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416" headerRowCount="1">
  <autoFilter ref="A1:DQ41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COUNTA('Picks'!$A$2:$A$416)</f>
        <v/>
      </c>
      <c r="C4" s="6">
        <f>COUNTIF('Picks'!$U$2:$U$416,"open")</f>
        <v/>
      </c>
      <c r="E4" s="6">
        <f>COUNTIF('Picks'!$U$2:$U$416,"settled")</f>
        <v/>
      </c>
      <c r="G4" s="6">
        <f>IF(COUNTIFS('Picks'!$U$2:$U$416,"settled",'Picks'!$V$2:$V$416,"win")+COUNTIFS('Picks'!$U$2:$U$416,"settled",'Picks'!$V$2:$V$416,"loss")&gt;=$L$2,"Ready","Insufficient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COUNTIF('Picks'!$BX$2:$BX$416,"&gt;0")</f>
        <v/>
      </c>
      <c r="C7" s="6">
        <f>COUNTIFS('Picks'!$BX$2:$BX$416,"&gt;0",'Picks'!$V$2:$V$416,"win")&amp;"-"&amp;COUNTIFS('Picks'!$BX$2:$BX$416,"&gt;0",'Picks'!$V$2:$V$416,"loss")</f>
        <v/>
      </c>
      <c r="E7" s="7">
        <f>IFERROR(COUNTIFS('Picks'!$BX$2:$BX$416,"&gt;0",'Picks'!$V$2:$V$416,"win")/(COUNTIFS('Picks'!$BX$2:$BX$416,"&gt;0",'Picks'!$V$2:$V$416,"win")+COUNTIFS('Picks'!$BX$2:$BX$416,"&gt;0",'Picks'!$V$2:$V$416,"loss")),0)</f>
        <v/>
      </c>
      <c r="G7" s="7">
        <f>IFERROR(SUM('Picks'!$BY$2:$BY$416)/SUM('Picks'!$BX$2:$BX$416),0)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SUM('Picks'!$BY$2:$BY$416)</f>
        <v/>
      </c>
      <c r="C10" s="9">
        <f>IFERROR(AVERAGEIF('Picks'!$AB$2:$AB$416,"&lt;&gt;",'Picks'!$AB$2:$AB$416),0)</f>
        <v/>
      </c>
      <c r="E10" s="6">
        <f>COUNTIFS('Picks'!$AM$2:$AM$416,"QUALIFIED_SHADOW_CALL",'Picks'!$U$2:$U$416,"settled")</f>
        <v/>
      </c>
      <c r="G10" s="8">
        <f>SUMIFS('Picks'!$AC$2:$AC$416,'Picks'!$AM$2:$AM$416,"QUALIFIED_SHADOW_CALL")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COUNTIFS('Picks'!$H$2:$H$416,$A14,'Picks'!$U$2:$U$416,"settled")</f>
        <v/>
      </c>
      <c r="C14" s="13">
        <f>COUNTIFS('Picks'!$H$2:$H$416,$A14,'Picks'!$U$2:$U$416,"settled",'Picks'!$V$2:$V$416,"win")</f>
        <v/>
      </c>
      <c r="D14" s="13">
        <f>COUNTIFS('Picks'!$H$2:$H$416,$A14,'Picks'!$U$2:$U$416,"settled",'Picks'!$V$2:$V$416,"loss")</f>
        <v/>
      </c>
      <c r="E14" s="14">
        <f>IFERROR(C14/(C14+D14),0)</f>
        <v/>
      </c>
      <c r="F14" s="15">
        <f>SUMIFS('Picks'!$BY$2:$BY$416,'Picks'!$H$2:$H$416,$A14)</f>
        <v/>
      </c>
      <c r="G14" s="16">
        <f>IFERROR(AVERAGEIFS('Picks'!$AB$2:$AB$416,'Picks'!$H$2:$H$416,$A14,'Picks'!$U$2:$U$416,"settled"),0)</f>
        <v/>
      </c>
    </row>
    <row r="15">
      <c r="A15" s="17" t="inlineStr">
        <is>
          <t>spread</t>
        </is>
      </c>
      <c r="B15" s="18">
        <f>COUNTIFS('Picks'!$H$2:$H$416,$A15,'Picks'!$U$2:$U$416,"settled")</f>
        <v/>
      </c>
      <c r="C15" s="18">
        <f>COUNTIFS('Picks'!$H$2:$H$416,$A15,'Picks'!$U$2:$U$416,"settled",'Picks'!$V$2:$V$416,"win")</f>
        <v/>
      </c>
      <c r="D15" s="18">
        <f>COUNTIFS('Picks'!$H$2:$H$416,$A15,'Picks'!$U$2:$U$416,"settled",'Picks'!$V$2:$V$416,"loss")</f>
        <v/>
      </c>
      <c r="E15" s="19">
        <f>IFERROR(C15/(C15+D15),0)</f>
        <v/>
      </c>
      <c r="F15" s="20">
        <f>SUMIFS('Picks'!$BY$2:$BY$416,'Picks'!$H$2:$H$416,$A15)</f>
        <v/>
      </c>
      <c r="G15" s="21">
        <f>IFERROR(AVERAGEIFS('Picks'!$AB$2:$AB$416,'Picks'!$H$2:$H$416,$A15,'Picks'!$U$2:$U$416,"settled"),0)</f>
        <v/>
      </c>
    </row>
    <row r="16">
      <c r="A16" s="12" t="inlineStr">
        <is>
          <t>total</t>
        </is>
      </c>
      <c r="B16" s="13">
        <f>COUNTIFS('Picks'!$H$2:$H$416,$A16,'Picks'!$U$2:$U$416,"settled")</f>
        <v/>
      </c>
      <c r="C16" s="13">
        <f>COUNTIFS('Picks'!$H$2:$H$416,$A16,'Picks'!$U$2:$U$416,"settled",'Picks'!$V$2:$V$416,"win")</f>
        <v/>
      </c>
      <c r="D16" s="13">
        <f>COUNTIFS('Picks'!$H$2:$H$416,$A16,'Picks'!$U$2:$U$416,"settled",'Picks'!$V$2:$V$416,"loss")</f>
        <v/>
      </c>
      <c r="E16" s="14">
        <f>IFERROR(C16/(C16+D16),0)</f>
        <v/>
      </c>
      <c r="F16" s="15">
        <f>SUMIFS('Picks'!$BY$2:$BY$416,'Picks'!$H$2:$H$416,$A16)</f>
        <v/>
      </c>
      <c r="G16" s="16">
        <f>IFERROR(AVERAGEIFS('Picks'!$AB$2:$AB$416,'Picks'!$H$2:$H$416,$A16,'Picks'!$U$2:$U$416,"settled"),0)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4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d3014a8ecca44f09</t>
        </is>
      </c>
      <c r="B2" s="24" t="inlineStr">
        <is>
          <t>2026-08-07T09:10:39.169965Z</t>
        </is>
      </c>
      <c r="C2" s="24" t="inlineStr">
        <is>
          <t>2026-08-07T12:00Z</t>
        </is>
      </c>
      <c r="D2" s="24" t="inlineStr">
        <is>
          <t>401867952</t>
        </is>
      </c>
      <c r="E2" s="24" t="inlineStr">
        <is>
          <t>SOCCER</t>
        </is>
      </c>
      <c r="F2" s="24" t="inlineStr">
        <is>
          <t>Aston Villa</t>
        </is>
      </c>
      <c r="G2" s="24" t="inlineStr">
        <is>
          <t>Bayern Munich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-108</v>
      </c>
      <c r="M2" s="27" t="n">
        <v>1.925926</v>
      </c>
      <c r="N2" s="28" t="n">
        <v>0.519231</v>
      </c>
      <c r="O2" s="28" t="n">
        <v>0.784326</v>
      </c>
      <c r="P2" s="28" t="n">
        <v>0.04</v>
      </c>
      <c r="Q2" s="28" t="n">
        <v>0.265095</v>
      </c>
      <c r="R2" s="26" t="n">
        <v>100</v>
      </c>
      <c r="S2" s="29" t="n">
        <v>2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/>
      <c r="AA2" s="28" t="n"/>
      <c r="AB2" s="28" t="n"/>
      <c r="AC2" s="30" t="n">
        <v>1.8519</v>
      </c>
      <c r="AD2" s="24" t="inlineStr">
        <is>
          <t>2026-08-07T15:18:14.967996Z</t>
        </is>
      </c>
      <c r="AE2" s="31" t="inlineStr">
        <is>
          <t>Poisson-DC rates 3.72 (home) / 1.43 (away) from EWMA attack/defense strengths. Executable ask 0.5200 (atc-clbf-bmu-avl-2026-08-07-bmu).</t>
        </is>
      </c>
      <c r="AF2" s="31" t="inlineStr">
        <is>
          <t>Research-only soccer score model; draw-aware, but not yet locked-holdout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Aston Villa</t>
        </is>
      </c>
      <c r="AQ2" s="24" t="inlineStr">
        <is>
          <t>Aston Villa</t>
        </is>
      </c>
      <c r="AR2" s="24" t="inlineStr">
        <is>
          <t>Aston Villa</t>
        </is>
      </c>
      <c r="AS2" s="24" t="inlineStr">
        <is>
          <t>Bayern Munich</t>
        </is>
      </c>
      <c r="AT2" s="24" t="inlineStr">
        <is>
          <t>Bayern Munich</t>
        </is>
      </c>
      <c r="AU2" s="24" t="inlineStr">
        <is>
          <t>Bayern Munich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c95ec2023134439ab985cb4cdcc58243749b9deb564fca7a2d587c15c9875427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c95ec2023134439ab985cb4cdcc58243749b9deb564fca7a2d587c15c9875427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c95ec2023134439ab985cb4cdcc58243749b9deb564fca7a2d587c15c9875427</t>
        </is>
      </c>
      <c r="BH2" s="24" t="inlineStr">
        <is>
          <t>2026-08-07T09:08:46.980092Z</t>
        </is>
      </c>
      <c r="BI2" s="24" t="inlineStr">
        <is>
          <t>["same_event","same_team_same_day","same_league_same_day"]</t>
        </is>
      </c>
      <c r="BJ2" s="25" t="n"/>
      <c r="BK2" s="26" t="n">
        <v>-108</v>
      </c>
      <c r="BL2" s="27" t="n">
        <v>1.925926</v>
      </c>
      <c r="BM2" s="28" t="n">
        <v>0.519231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0.519231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796e1a7e404f4db3</t>
        </is>
      </c>
      <c r="B3" s="24" t="inlineStr">
        <is>
          <t>2026-08-14T17:04:49.427276Z</t>
        </is>
      </c>
      <c r="C3" s="24" t="inlineStr">
        <is>
          <t>2026-08-14T18:30Z</t>
        </is>
      </c>
      <c r="D3" s="24" t="inlineStr">
        <is>
          <t>401906447</t>
        </is>
      </c>
      <c r="E3" s="24" t="inlineStr">
        <is>
          <t>SOCCER</t>
        </is>
      </c>
      <c r="F3" s="24" t="inlineStr">
        <is>
          <t>AS Monaco</t>
        </is>
      </c>
      <c r="G3" s="24" t="inlineStr">
        <is>
          <t>Coventry City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0.7488629999999999</v>
      </c>
      <c r="P3" s="28" t="n">
        <v>0.04</v>
      </c>
      <c r="Q3" s="28" t="n">
        <v>0.358238</v>
      </c>
      <c r="R3" s="26" t="n">
        <v>100</v>
      </c>
      <c r="S3" s="29" t="n">
        <v>2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2026-08-14T20:40:22.706960Z</t>
        </is>
      </c>
      <c r="AE3" s="31" t="inlineStr">
        <is>
          <t>Poisson-DC rates 2.79 (home) / 0.96 (away) from EWMA attack/defense strengths. Executable ask 0.3900 (atc-clbf-cov-asm-2026-08-14-cov).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AS Monaco</t>
        </is>
      </c>
      <c r="AQ3" s="24" t="inlineStr">
        <is>
          <t>AS Monaco</t>
        </is>
      </c>
      <c r="AR3" s="24" t="inlineStr">
        <is>
          <t>AS Monaco</t>
        </is>
      </c>
      <c r="AS3" s="24" t="inlineStr">
        <is>
          <t>Coventry City</t>
        </is>
      </c>
      <c r="AT3" s="24" t="inlineStr">
        <is>
          <t>Coventry City</t>
        </is>
      </c>
      <c r="AU3" s="24" t="inlineStr">
        <is>
          <t>Coventry City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c95ec2023134439ab985cb4cdcc58243749b9deb564fca7a2d587c15c9875427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c95ec2023134439ab985cb4cdcc58243749b9deb564fca7a2d587c15c9875427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c95ec2023134439ab985cb4cdcc58243749b9deb564fca7a2d587c15c9875427</t>
        </is>
      </c>
      <c r="BH3" s="24" t="inlineStr">
        <is>
          <t>2026-08-14T17:02:58.819415Z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0.390625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827d10113bf0410e</t>
        </is>
      </c>
      <c r="B4" s="24" t="inlineStr">
        <is>
          <t>2026-08-15T21:06:13.445365Z</t>
        </is>
      </c>
      <c r="C4" s="24" t="inlineStr">
        <is>
          <t>2026-08-15T23:30Z</t>
        </is>
      </c>
      <c r="D4" s="24" t="inlineStr">
        <is>
          <t>761713</t>
        </is>
      </c>
      <c r="E4" s="24" t="inlineStr">
        <is>
          <t>SOCCER</t>
        </is>
      </c>
      <c r="F4" s="24" t="inlineStr">
        <is>
          <t>FC Cincinnati</t>
        </is>
      </c>
      <c r="G4" s="24" t="inlineStr">
        <is>
          <t>Orlando City SC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-300</v>
      </c>
      <c r="M4" s="27" t="n">
        <v>1.333333</v>
      </c>
      <c r="N4" s="28" t="n">
        <v>0.75</v>
      </c>
      <c r="O4" s="28" t="n">
        <v>0.937877</v>
      </c>
      <c r="P4" s="28" t="n">
        <v>0.04</v>
      </c>
      <c r="Q4" s="28" t="n">
        <v>0.187877</v>
      </c>
      <c r="R4" s="26" t="n">
        <v>100</v>
      </c>
      <c r="S4" s="29" t="n">
        <v>2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1</v>
      </c>
      <c r="Y4" s="25" t="n"/>
      <c r="Z4" s="26" t="n"/>
      <c r="AA4" s="28" t="n"/>
      <c r="AB4" s="28" t="n"/>
      <c r="AC4" s="30" t="n">
        <v>-2</v>
      </c>
      <c r="AD4" s="24" t="inlineStr">
        <is>
          <t>2026-08-16T03:13:34.370087Z</t>
        </is>
      </c>
      <c r="AE4" s="31" t="inlineStr">
        <is>
          <t>Poisson-DC rates 2.82 (home) / 3.18 (away) from EWMA attack/defense strengths. Executable ask 0.7500 (tsc-mls-orl-fcc-2026-08-15-2pt5).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FC Cincinnati</t>
        </is>
      </c>
      <c r="AQ4" s="24" t="inlineStr">
        <is>
          <t>FC Cincinnati</t>
        </is>
      </c>
      <c r="AR4" s="24" t="inlineStr">
        <is>
          <t>FC Cincinnati</t>
        </is>
      </c>
      <c r="AS4" s="24" t="inlineStr">
        <is>
          <t>Orlando City SC</t>
        </is>
      </c>
      <c r="AT4" s="24" t="inlineStr">
        <is>
          <t>Orlando City SC</t>
        </is>
      </c>
      <c r="AU4" s="24" t="inlineStr">
        <is>
          <t>Orlando City SC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c95ec2023134439ab985cb4cdcc58243749b9deb564fca7a2d587c15c9875427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c95ec2023134439ab985cb4cdcc58243749b9deb564fca7a2d587c15c9875427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c95ec2023134439ab985cb4cdcc58243749b9deb564fca7a2d587c15c9875427</t>
        </is>
      </c>
      <c r="BH4" s="24" t="inlineStr">
        <is>
          <t>2026-08-15T21:04:56.769437Z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-300</v>
      </c>
      <c r="BL4" s="27" t="n">
        <v>1.333333</v>
      </c>
      <c r="BM4" s="28" t="n">
        <v>0.75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dec7203171ac4f2a</t>
        </is>
      </c>
      <c r="B5" s="24" t="inlineStr">
        <is>
          <t>2026-08-16T00:11:24.547402Z</t>
        </is>
      </c>
      <c r="C5" s="24" t="inlineStr">
        <is>
          <t>2026-08-16T00:30Z</t>
        </is>
      </c>
      <c r="D5" s="24" t="inlineStr">
        <is>
          <t>761716</t>
        </is>
      </c>
      <c r="E5" s="24" t="inlineStr">
        <is>
          <t>SOCCER</t>
        </is>
      </c>
      <c r="F5" s="24" t="inlineStr">
        <is>
          <t>Inter Miami CF</t>
        </is>
      </c>
      <c r="G5" s="24" t="inlineStr">
        <is>
          <t>Nashville SC</t>
        </is>
      </c>
      <c r="H5" s="24" t="inlineStr">
        <is>
          <t>total</t>
        </is>
      </c>
      <c r="I5" s="24" t="inlineStr">
        <is>
          <t>over</t>
        </is>
      </c>
      <c r="J5" s="25" t="n">
        <v>2.5</v>
      </c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0.827981</v>
      </c>
      <c r="P5" s="28" t="n">
        <v>0.04</v>
      </c>
      <c r="Q5" s="28" t="n">
        <v>0.168117</v>
      </c>
      <c r="R5" s="26" t="n">
        <v>100</v>
      </c>
      <c r="S5" s="29" t="n">
        <v>2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4</v>
      </c>
      <c r="Y5" s="25" t="n"/>
      <c r="Z5" s="26" t="n"/>
      <c r="AA5" s="28" t="n"/>
      <c r="AB5" s="28" t="n"/>
      <c r="AC5" s="30" t="n">
        <v>1.0309</v>
      </c>
      <c r="AD5" s="24" t="inlineStr">
        <is>
          <t>2026-08-16T03:13:34.786448Z</t>
        </is>
      </c>
      <c r="AE5" s="31" t="inlineStr">
        <is>
          <t>Poisson-DC rates 2.56 (home) / 1.95 (away) from EWMA attack/defense strengths. Executable ask 0.6600 (tsc-mls-nas-mia-2026-08-15-2pt5).</t>
        </is>
      </c>
      <c r="AF5" s="31" t="inlineStr">
        <is>
          <t>Research-only soccer score model; draw-aware, but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Inter Miami CF</t>
        </is>
      </c>
      <c r="AQ5" s="24" t="inlineStr">
        <is>
          <t>Inter Miami CF</t>
        </is>
      </c>
      <c r="AR5" s="24" t="inlineStr">
        <is>
          <t>Inter Miami CF</t>
        </is>
      </c>
      <c r="AS5" s="24" t="inlineStr">
        <is>
          <t>Nashville SC</t>
        </is>
      </c>
      <c r="AT5" s="24" t="inlineStr">
        <is>
          <t>Nashville SC</t>
        </is>
      </c>
      <c r="AU5" s="24" t="inlineStr">
        <is>
          <t>Nashville SC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c95ec2023134439ab985cb4cdcc58243749b9deb564fca7a2d587c15c9875427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c95ec2023134439ab985cb4cdcc58243749b9deb564fca7a2d587c15c9875427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c95ec2023134439ab985cb4cdcc58243749b9deb564fca7a2d587c15c9875427</t>
        </is>
      </c>
      <c r="BH5" s="24" t="inlineStr">
        <is>
          <t>2026-08-16T00:10:40.053553Z</t>
        </is>
      </c>
      <c r="BI5" s="24" t="inlineStr">
        <is>
          <t>["same_event","same_team_same_day","same_league_same_day"]</t>
        </is>
      </c>
      <c r="BJ5" s="25" t="n">
        <v>2.5</v>
      </c>
      <c r="BK5" s="26" t="n">
        <v>-194</v>
      </c>
      <c r="BL5" s="27" t="n">
        <v>1.515464</v>
      </c>
      <c r="BM5" s="28" t="n">
        <v>0.659864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0.659864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62712316223849f1</t>
        </is>
      </c>
      <c r="B6" s="24" t="inlineStr">
        <is>
          <t>2026-08-16T00:11:24.547402Z</t>
        </is>
      </c>
      <c r="C6" s="24" t="inlineStr">
        <is>
          <t>2026-08-16T01:30Z</t>
        </is>
      </c>
      <c r="D6" s="24" t="inlineStr">
        <is>
          <t>761718</t>
        </is>
      </c>
      <c r="E6" s="24" t="inlineStr">
        <is>
          <t>SOCCER</t>
        </is>
      </c>
      <c r="F6" s="24" t="inlineStr">
        <is>
          <t>Sporting Kansas City</t>
        </is>
      </c>
      <c r="G6" s="24" t="inlineStr">
        <is>
          <t>Colorado Rapids</t>
        </is>
      </c>
      <c r="H6" s="24" t="inlineStr">
        <is>
          <t>total</t>
        </is>
      </c>
      <c r="I6" s="24" t="inlineStr">
        <is>
          <t>over</t>
        </is>
      </c>
      <c r="J6" s="25" t="n">
        <v>2.5</v>
      </c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0.751454</v>
      </c>
      <c r="P6" s="28" t="n">
        <v>0.04</v>
      </c>
      <c r="Q6" s="28" t="n">
        <v>0.09159</v>
      </c>
      <c r="R6" s="26" t="n">
        <v>72</v>
      </c>
      <c r="S6" s="29" t="n">
        <v>2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2</v>
      </c>
      <c r="Y6" s="25" t="n"/>
      <c r="Z6" s="26" t="n"/>
      <c r="AA6" s="28" t="n"/>
      <c r="AB6" s="28" t="n"/>
      <c r="AC6" s="30" t="n">
        <v>-2</v>
      </c>
      <c r="AD6" s="24" t="inlineStr">
        <is>
          <t>2026-08-16T06:19:36.562401Z</t>
        </is>
      </c>
      <c r="AE6" s="31" t="inlineStr">
        <is>
          <t>Poisson-DC rates 2.74 (home) / 1.19 (away) from EWMA attack/defense strengths. Executable ask 0.6600 (tsc-mls-col-skc-2026-08-15-2pt5).</t>
        </is>
      </c>
      <c r="AF6" s="31" t="inlineStr">
        <is>
          <t>Research-only soccer score model; draw-aware, but not yet locked-holdout qualified.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Sporting Kansas City</t>
        </is>
      </c>
      <c r="AQ6" s="24" t="inlineStr">
        <is>
          <t>Sporting Kansas City</t>
        </is>
      </c>
      <c r="AR6" s="24" t="inlineStr">
        <is>
          <t>Sporting Kansas City</t>
        </is>
      </c>
      <c r="AS6" s="24" t="inlineStr">
        <is>
          <t>Colorado Rapids</t>
        </is>
      </c>
      <c r="AT6" s="24" t="inlineStr">
        <is>
          <t>Colorado Rapids</t>
        </is>
      </c>
      <c r="AU6" s="24" t="inlineStr">
        <is>
          <t>Colorado Rapids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c95ec2023134439ab985cb4cdcc58243749b9deb564fca7a2d587c15c9875427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c95ec2023134439ab985cb4cdcc58243749b9deb564fca7a2d587c15c9875427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c95ec2023134439ab985cb4cdcc58243749b9deb564fca7a2d587c15c9875427</t>
        </is>
      </c>
      <c r="BH6" s="24" t="inlineStr">
        <is>
          <t>2026-08-16T00:10:40.692517Z</t>
        </is>
      </c>
      <c r="BI6" s="24" t="inlineStr">
        <is>
          <t>["same_event","same_team_same_day","same_league_same_day"]</t>
        </is>
      </c>
      <c r="BJ6" s="25" t="n">
        <v>2.5</v>
      </c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0.659864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b063e59af95e4c7e</t>
        </is>
      </c>
      <c r="B7" s="24" t="inlineStr">
        <is>
          <t>2026-08-16T00:11:24.547402Z</t>
        </is>
      </c>
      <c r="C7" s="24" t="inlineStr">
        <is>
          <t>2026-08-16T02:30Z</t>
        </is>
      </c>
      <c r="D7" s="24" t="inlineStr">
        <is>
          <t>761721</t>
        </is>
      </c>
      <c r="E7" s="24" t="inlineStr">
        <is>
          <t>SOCCER</t>
        </is>
      </c>
      <c r="F7" s="24" t="inlineStr">
        <is>
          <t>St. Louis CITY SC</t>
        </is>
      </c>
      <c r="G7" s="24" t="inlineStr">
        <is>
          <t>San Jose Earthquakes</t>
        </is>
      </c>
      <c r="H7" s="24" t="inlineStr">
        <is>
          <t>total</t>
        </is>
      </c>
      <c r="I7" s="24" t="inlineStr">
        <is>
          <t>over</t>
        </is>
      </c>
      <c r="J7" s="25" t="n">
        <v>2.5</v>
      </c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0.738164</v>
      </c>
      <c r="P7" s="28" t="n">
        <v>0.04</v>
      </c>
      <c r="Q7" s="28" t="n">
        <v>0.07829999999999999</v>
      </c>
      <c r="R7" s="26" t="n">
        <v>65</v>
      </c>
      <c r="S7" s="29" t="n">
        <v>2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1</v>
      </c>
      <c r="Y7" s="25" t="n"/>
      <c r="Z7" s="26" t="n"/>
      <c r="AA7" s="28" t="n"/>
      <c r="AB7" s="28" t="n"/>
      <c r="AC7" s="30" t="n">
        <v>1.0309</v>
      </c>
      <c r="AD7" s="24" t="inlineStr">
        <is>
          <t>2026-08-16T06:19:37.064002Z</t>
        </is>
      </c>
      <c r="AE7" s="31" t="inlineStr">
        <is>
          <t>Poisson-DC rates 2.49 (home) / 1.35 (away) from EWMA attack/defense strengths. Executable ask 0.6600 (tsc-mls-sje-stl-2026-08-15-2pt5).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St. Louis CITY SC</t>
        </is>
      </c>
      <c r="AQ7" s="24" t="inlineStr">
        <is>
          <t>St. Louis CITY SC</t>
        </is>
      </c>
      <c r="AR7" s="24" t="inlineStr">
        <is>
          <t>St. Louis CITY SC</t>
        </is>
      </c>
      <c r="AS7" s="24" t="inlineStr">
        <is>
          <t>San Jose Earthquakes</t>
        </is>
      </c>
      <c r="AT7" s="24" t="inlineStr">
        <is>
          <t>San Jose Earthquakes</t>
        </is>
      </c>
      <c r="AU7" s="24" t="inlineStr">
        <is>
          <t>San Jose Earthquakes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c95ec2023134439ab985cb4cdcc58243749b9deb564fca7a2d587c15c9875427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c95ec2023134439ab985cb4cdcc58243749b9deb564fca7a2d587c15c9875427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c95ec2023134439ab985cb4cdcc58243749b9deb564fca7a2d587c15c9875427</t>
        </is>
      </c>
      <c r="BH7" s="24" t="inlineStr">
        <is>
          <t>2026-08-16T00:10:43.219280Z</t>
        </is>
      </c>
      <c r="BI7" s="24" t="inlineStr">
        <is>
          <t>["same_event","same_team_same_day","same_league_same_day"]</t>
        </is>
      </c>
      <c r="BJ7" s="25" t="n">
        <v>2.5</v>
      </c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0.659864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100a2d61fb3f4bd6</t>
        </is>
      </c>
      <c r="B8" s="24" t="inlineStr">
        <is>
          <t>2026-08-16T17:44:48.506019Z</t>
        </is>
      </c>
      <c r="C8" s="24" t="inlineStr">
        <is>
          <t>2026-08-16T22:00Z</t>
        </is>
      </c>
      <c r="D8" s="24" t="inlineStr">
        <is>
          <t>761723</t>
        </is>
      </c>
      <c r="E8" s="24" t="inlineStr">
        <is>
          <t>SOCCER</t>
        </is>
      </c>
      <c r="F8" s="24" t="inlineStr">
        <is>
          <t>Portland Timbers</t>
        </is>
      </c>
      <c r="G8" s="24" t="inlineStr">
        <is>
          <t>Chicago Fire FC</t>
        </is>
      </c>
      <c r="H8" s="24" t="inlineStr">
        <is>
          <t>total</t>
        </is>
      </c>
      <c r="I8" s="24" t="inlineStr">
        <is>
          <t>over</t>
        </is>
      </c>
      <c r="J8" s="25" t="n">
        <v>2.5</v>
      </c>
      <c r="K8" s="24" t="inlineStr">
        <is>
          <t>polymarket_us</t>
        </is>
      </c>
      <c r="L8" s="26" t="n">
        <v>-270</v>
      </c>
      <c r="M8" s="27" t="n">
        <v>1.37037</v>
      </c>
      <c r="N8" s="28" t="n">
        <v>0.72973</v>
      </c>
      <c r="O8" s="28" t="n">
        <v>0.788031</v>
      </c>
      <c r="P8" s="28" t="n">
        <v>0.04</v>
      </c>
      <c r="Q8" s="28" t="n">
        <v>0.058301</v>
      </c>
      <c r="R8" s="26" t="n">
        <v>55</v>
      </c>
      <c r="S8" s="29" t="n">
        <v>2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/>
      <c r="AA8" s="28" t="n"/>
      <c r="AB8" s="28" t="n"/>
      <c r="AC8" s="30" t="n">
        <v>0.7407</v>
      </c>
      <c r="AD8" s="24" t="inlineStr">
        <is>
          <t>2026-08-17T05:23:13.464243Z</t>
        </is>
      </c>
      <c r="AE8" s="31" t="inlineStr">
        <is>
          <t>Poisson-DC rates 2.77 (home) / 1.41 (away) from EWMA attack/defense strengths. Executable ask 0.7300 (tsc-mls-chi-por-2026-08-16-2pt5).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Portland Timbers</t>
        </is>
      </c>
      <c r="AQ8" s="24" t="inlineStr">
        <is>
          <t>Portland Timbers</t>
        </is>
      </c>
      <c r="AR8" s="24" t="inlineStr">
        <is>
          <t>Portland Timbers</t>
        </is>
      </c>
      <c r="AS8" s="24" t="inlineStr">
        <is>
          <t>Chicago Fire FC</t>
        </is>
      </c>
      <c r="AT8" s="24" t="inlineStr">
        <is>
          <t>Chicago Fire FC</t>
        </is>
      </c>
      <c r="AU8" s="24" t="inlineStr">
        <is>
          <t>Chicago Fire FC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c95ec2023134439ab985cb4cdcc58243749b9deb564fca7a2d587c15c9875427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c95ec2023134439ab985cb4cdcc58243749b9deb564fca7a2d587c15c9875427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c95ec2023134439ab985cb4cdcc58243749b9deb564fca7a2d587c15c9875427</t>
        </is>
      </c>
      <c r="BH8" s="24" t="inlineStr">
        <is>
          <t>2026-08-16T17:42:36.640583Z</t>
        </is>
      </c>
      <c r="BI8" s="24" t="inlineStr">
        <is>
          <t>["same_event","same_team_same_day","same_league_same_day"]</t>
        </is>
      </c>
      <c r="BJ8" s="25" t="n">
        <v>2.5</v>
      </c>
      <c r="BK8" s="26" t="n">
        <v>-270</v>
      </c>
      <c r="BL8" s="27" t="n">
        <v>1.37037</v>
      </c>
      <c r="BM8" s="28" t="n">
        <v>0.72973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0.72973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8205c4e495d14bb9</t>
        </is>
      </c>
      <c r="B9" s="24" t="inlineStr">
        <is>
          <t>2026-08-19T23:07:44.167003Z</t>
        </is>
      </c>
      <c r="C9" s="24" t="inlineStr">
        <is>
          <t>2026-08-19T23:30Z</t>
        </is>
      </c>
      <c r="D9" s="24" t="inlineStr">
        <is>
          <t>761730</t>
        </is>
      </c>
      <c r="E9" s="24" t="inlineStr">
        <is>
          <t>SOCCER</t>
        </is>
      </c>
      <c r="F9" s="24" t="inlineStr">
        <is>
          <t>New York City FC</t>
        </is>
      </c>
      <c r="G9" s="24" t="inlineStr">
        <is>
          <t>FC Cincinnati</t>
        </is>
      </c>
      <c r="H9" s="24" t="inlineStr">
        <is>
          <t>total</t>
        </is>
      </c>
      <c r="I9" s="24" t="inlineStr">
        <is>
          <t>over</t>
        </is>
      </c>
      <c r="J9" s="25" t="n">
        <v>2.5</v>
      </c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0.80849</v>
      </c>
      <c r="P9" s="28" t="n">
        <v>0.04</v>
      </c>
      <c r="Q9" s="28" t="n">
        <v>0.138523</v>
      </c>
      <c r="R9" s="26" t="n">
        <v>95</v>
      </c>
      <c r="S9" s="29" t="n">
        <v>2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/>
      <c r="Z9" s="26" t="n"/>
      <c r="AA9" s="28" t="n"/>
      <c r="AB9" s="28" t="n"/>
      <c r="AC9" s="30" t="n">
        <v>0.9852</v>
      </c>
      <c r="AD9" s="24" t="inlineStr">
        <is>
          <t>2026-08-20T02:28:46.988344Z</t>
        </is>
      </c>
      <c r="AE9" s="31" t="inlineStr">
        <is>
          <t>Poisson-DC rates 2.45 (home) / 1.90 (away) from EWMA attack/defense strengths. Executable ask 0.6700 (tsc-mls-fcc-nyc-2026-08-19-2pt5).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York City FC</t>
        </is>
      </c>
      <c r="AQ9" s="24" t="inlineStr">
        <is>
          <t>New York City FC</t>
        </is>
      </c>
      <c r="AR9" s="24" t="inlineStr">
        <is>
          <t>New York City FC</t>
        </is>
      </c>
      <c r="AS9" s="24" t="inlineStr">
        <is>
          <t>FC Cincinnati</t>
        </is>
      </c>
      <c r="AT9" s="24" t="inlineStr">
        <is>
          <t>FC Cincinnati</t>
        </is>
      </c>
      <c r="AU9" s="24" t="inlineStr">
        <is>
          <t>FC Cincinnati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c95ec2023134439ab985cb4cdcc58243749b9deb564fca7a2d587c15c9875427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c95ec2023134439ab985cb4cdcc58243749b9deb564fca7a2d587c15c9875427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c95ec2023134439ab985cb4cdcc58243749b9deb564fca7a2d587c15c9875427</t>
        </is>
      </c>
      <c r="BH9" s="24" t="inlineStr">
        <is>
          <t>2026-08-19T23:06:26.994419Z</t>
        </is>
      </c>
      <c r="BI9" s="24" t="inlineStr">
        <is>
          <t>["same_event","same_team_same_day","same_league_same_day"]</t>
        </is>
      </c>
      <c r="BJ9" s="25" t="n">
        <v>2.5</v>
      </c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0.669967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729dda4f77b44104</t>
        </is>
      </c>
      <c r="B10" s="24" t="inlineStr">
        <is>
          <t>2026-08-19T23:07:44.167003Z</t>
        </is>
      </c>
      <c r="C10" s="24" t="inlineStr">
        <is>
          <t>2026-08-19T23:30Z</t>
        </is>
      </c>
      <c r="D10" s="24" t="inlineStr">
        <is>
          <t>761729</t>
        </is>
      </c>
      <c r="E10" s="24" t="inlineStr">
        <is>
          <t>SOCCER</t>
        </is>
      </c>
      <c r="F10" s="24" t="inlineStr">
        <is>
          <t>Chicago Fire FC</t>
        </is>
      </c>
      <c r="G10" s="24" t="inlineStr">
        <is>
          <t>Orlando City SC</t>
        </is>
      </c>
      <c r="H10" s="24" t="inlineStr">
        <is>
          <t>total</t>
        </is>
      </c>
      <c r="I10" s="24" t="inlineStr">
        <is>
          <t>over</t>
        </is>
      </c>
      <c r="J10" s="25" t="n">
        <v>2.5</v>
      </c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0.855959</v>
      </c>
      <c r="P10" s="28" t="n">
        <v>0.04</v>
      </c>
      <c r="Q10" s="28" t="n">
        <v>0.156259</v>
      </c>
      <c r="R10" s="26" t="n">
        <v>100</v>
      </c>
      <c r="S10" s="29" t="n">
        <v>2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/>
      <c r="Z10" s="26" t="n"/>
      <c r="AA10" s="28" t="n"/>
      <c r="AB10" s="28" t="n"/>
      <c r="AC10" s="30" t="n">
        <v>0.8584000000000001</v>
      </c>
      <c r="AD10" s="24" t="inlineStr">
        <is>
          <t>2026-08-20T05:33:16.453443Z</t>
        </is>
      </c>
      <c r="AE10" s="31" t="inlineStr">
        <is>
          <t>Poisson-DC rates 1.92 (home) / 2.86 (away) from EWMA attack/defense strengths. Executable ask 0.7000 (tsc-mls-orl-chi-2026-08-19-2pt5).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Chicago Fire FC</t>
        </is>
      </c>
      <c r="AQ10" s="24" t="inlineStr">
        <is>
          <t>Chicago Fire FC</t>
        </is>
      </c>
      <c r="AR10" s="24" t="inlineStr">
        <is>
          <t>Chicago Fire FC</t>
        </is>
      </c>
      <c r="AS10" s="24" t="inlineStr">
        <is>
          <t>Orlando City SC</t>
        </is>
      </c>
      <c r="AT10" s="24" t="inlineStr">
        <is>
          <t>Orlando City SC</t>
        </is>
      </c>
      <c r="AU10" s="24" t="inlineStr">
        <is>
          <t>Orlando City SC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c95ec2023134439ab985cb4cdcc58243749b9deb564fca7a2d587c15c9875427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c95ec2023134439ab985cb4cdcc58243749b9deb564fca7a2d587c15c9875427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c95ec2023134439ab985cb4cdcc58243749b9deb564fca7a2d587c15c9875427</t>
        </is>
      </c>
      <c r="BH10" s="24" t="inlineStr">
        <is>
          <t>2026-08-19T23:06:27.603634Z</t>
        </is>
      </c>
      <c r="BI10" s="24" t="inlineStr">
        <is>
          <t>["same_event","same_team_same_day","same_league_same_day"]</t>
        </is>
      </c>
      <c r="BJ10" s="25" t="n">
        <v>2.5</v>
      </c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0.6997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421cc2bbf5fc4fde</t>
        </is>
      </c>
      <c r="B11" s="24" t="inlineStr">
        <is>
          <t>2026-08-19T23:07:44.167003Z</t>
        </is>
      </c>
      <c r="C11" s="24" t="inlineStr">
        <is>
          <t>2026-08-19T23:30Z</t>
        </is>
      </c>
      <c r="D11" s="24" t="inlineStr">
        <is>
          <t>761727</t>
        </is>
      </c>
      <c r="E11" s="24" t="inlineStr">
        <is>
          <t>SOCCER</t>
        </is>
      </c>
      <c r="F11" s="24" t="inlineStr">
        <is>
          <t>Inter Miami CF</t>
        </is>
      </c>
      <c r="G11" s="24" t="inlineStr">
        <is>
          <t>Philadelphia Union</t>
        </is>
      </c>
      <c r="H11" s="24" t="inlineStr">
        <is>
          <t>total</t>
        </is>
      </c>
      <c r="I11" s="24" t="inlineStr">
        <is>
          <t>over</t>
        </is>
      </c>
      <c r="J11" s="25" t="n">
        <v>2.5</v>
      </c>
      <c r="K11" s="24" t="inlineStr">
        <is>
          <t>polymarket_us</t>
        </is>
      </c>
      <c r="L11" s="26" t="n">
        <v>-300</v>
      </c>
      <c r="M11" s="27" t="n">
        <v>1.333333</v>
      </c>
      <c r="N11" s="28" t="n">
        <v>0.75</v>
      </c>
      <c r="O11" s="28" t="n">
        <v>0.875929</v>
      </c>
      <c r="P11" s="28" t="n">
        <v>0.04</v>
      </c>
      <c r="Q11" s="28" t="n">
        <v>0.125929</v>
      </c>
      <c r="R11" s="26" t="n">
        <v>89</v>
      </c>
      <c r="S11" s="29" t="n">
        <v>2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2</v>
      </c>
      <c r="Y11" s="25" t="n"/>
      <c r="Z11" s="26" t="n"/>
      <c r="AA11" s="28" t="n"/>
      <c r="AB11" s="28" t="n"/>
      <c r="AC11" s="30" t="n">
        <v>0.6667</v>
      </c>
      <c r="AD11" s="24" t="inlineStr">
        <is>
          <t>2026-08-20T02:28:47.544227Z</t>
        </is>
      </c>
      <c r="AE11" s="31" t="inlineStr">
        <is>
          <t>Poisson-DC rates 2.02 (home) / 2.99 (away) from EWMA attack/defense strengths. Executable ask 0.7500 (tsc-mls-phi-mia-2026-08-19-2pt5).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Inter Miami CF</t>
        </is>
      </c>
      <c r="AQ11" s="24" t="inlineStr">
        <is>
          <t>Inter Miami CF</t>
        </is>
      </c>
      <c r="AR11" s="24" t="inlineStr">
        <is>
          <t>Inter Miami CF</t>
        </is>
      </c>
      <c r="AS11" s="24" t="inlineStr">
        <is>
          <t>Philadelphia Union</t>
        </is>
      </c>
      <c r="AT11" s="24" t="inlineStr">
        <is>
          <t>Philadelphia Union</t>
        </is>
      </c>
      <c r="AU11" s="24" t="inlineStr">
        <is>
          <t>Philadelphia Union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c95ec2023134439ab985cb4cdcc58243749b9deb564fca7a2d587c15c9875427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c95ec2023134439ab985cb4cdcc58243749b9deb564fca7a2d587c15c9875427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c95ec2023134439ab985cb4cdcc58243749b9deb564fca7a2d587c15c9875427</t>
        </is>
      </c>
      <c r="BH11" s="24" t="inlineStr">
        <is>
          <t>2026-08-19T23:06:27.732820Z</t>
        </is>
      </c>
      <c r="BI11" s="24" t="inlineStr">
        <is>
          <t>["same_event","same_team_same_day","same_league_same_day"]</t>
        </is>
      </c>
      <c r="BJ11" s="25" t="n">
        <v>2.5</v>
      </c>
      <c r="BK11" s="26" t="n">
        <v>-300</v>
      </c>
      <c r="BL11" s="27" t="n">
        <v>1.333333</v>
      </c>
      <c r="BM11" s="28" t="n">
        <v>0.75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0.75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88e1174ed7d64438</t>
        </is>
      </c>
      <c r="B12" s="24" t="inlineStr">
        <is>
          <t>2026-08-19T23:07:44.167003Z</t>
        </is>
      </c>
      <c r="C12" s="24" t="inlineStr">
        <is>
          <t>2026-08-20T02:30Z</t>
        </is>
      </c>
      <c r="D12" s="24" t="inlineStr">
        <is>
          <t>761737</t>
        </is>
      </c>
      <c r="E12" s="24" t="inlineStr">
        <is>
          <t>SOCCER</t>
        </is>
      </c>
      <c r="F12" s="24" t="inlineStr">
        <is>
          <t>San Diego FC</t>
        </is>
      </c>
      <c r="G12" s="24" t="inlineStr">
        <is>
          <t>Portland Timbers</t>
        </is>
      </c>
      <c r="H12" s="24" t="inlineStr">
        <is>
          <t>total</t>
        </is>
      </c>
      <c r="I12" s="24" t="inlineStr">
        <is>
          <t>over</t>
        </is>
      </c>
      <c r="J12" s="25" t="n">
        <v>2.5</v>
      </c>
      <c r="K12" s="24" t="inlineStr">
        <is>
          <t>polymarket_us</t>
        </is>
      </c>
      <c r="L12" s="26" t="n">
        <v>-223</v>
      </c>
      <c r="M12" s="27" t="n">
        <v>1.44843</v>
      </c>
      <c r="N12" s="28" t="n">
        <v>0.690402</v>
      </c>
      <c r="O12" s="28" t="n">
        <v>0.795329</v>
      </c>
      <c r="P12" s="28" t="n">
        <v>0.04</v>
      </c>
      <c r="Q12" s="28" t="n">
        <v>0.104927</v>
      </c>
      <c r="R12" s="26" t="n">
        <v>78</v>
      </c>
      <c r="S12" s="29" t="n">
        <v>2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3</v>
      </c>
      <c r="Y12" s="25" t="n"/>
      <c r="Z12" s="26" t="n"/>
      <c r="AA12" s="28" t="n"/>
      <c r="AB12" s="28" t="n"/>
      <c r="AC12" s="30" t="n">
        <v>0.8969</v>
      </c>
      <c r="AD12" s="24" t="inlineStr">
        <is>
          <t>2026-08-20T05:33:17.060819Z</t>
        </is>
      </c>
      <c r="AE12" s="31" t="inlineStr">
        <is>
          <t>Poisson-DC rates 2.18 (home) / 2.06 (away) from EWMA attack/defense strengths. Executable ask 0.6900 (tsc-mls-por-sdg-2026-08-19-2pt5).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 Diego FC</t>
        </is>
      </c>
      <c r="AQ12" s="24" t="inlineStr">
        <is>
          <t>San Diego FC</t>
        </is>
      </c>
      <c r="AR12" s="24" t="inlineStr">
        <is>
          <t>San Diego FC</t>
        </is>
      </c>
      <c r="AS12" s="24" t="inlineStr">
        <is>
          <t>Portland Timbers</t>
        </is>
      </c>
      <c r="AT12" s="24" t="inlineStr">
        <is>
          <t>Portland Timbers</t>
        </is>
      </c>
      <c r="AU12" s="24" t="inlineStr">
        <is>
          <t>Portland Timbers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c95ec2023134439ab985cb4cdcc58243749b9deb564fca7a2d587c15c9875427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c95ec2023134439ab985cb4cdcc58243749b9deb564fca7a2d587c15c9875427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c95ec2023134439ab985cb4cdcc58243749b9deb564fca7a2d587c15c9875427</t>
        </is>
      </c>
      <c r="BH12" s="24" t="inlineStr">
        <is>
          <t>2026-08-19T23:06:29.087433Z</t>
        </is>
      </c>
      <c r="BI12" s="24" t="inlineStr">
        <is>
          <t>["same_event","same_team_same_day","same_league_same_day"]</t>
        </is>
      </c>
      <c r="BJ12" s="25" t="n">
        <v>2.5</v>
      </c>
      <c r="BK12" s="26" t="n">
        <v>-223</v>
      </c>
      <c r="BL12" s="27" t="n">
        <v>1.44843</v>
      </c>
      <c r="BM12" s="28" t="n">
        <v>0.690402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0.690402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9e095bfd601b472e</t>
        </is>
      </c>
      <c r="B13" s="24" t="inlineStr">
        <is>
          <t>2026-08-19T23:07:44.167003Z</t>
        </is>
      </c>
      <c r="C13" s="24" t="inlineStr">
        <is>
          <t>2026-08-20T02:30Z</t>
        </is>
      </c>
      <c r="D13" s="24" t="inlineStr">
        <is>
          <t>761739</t>
        </is>
      </c>
      <c r="E13" s="24" t="inlineStr">
        <is>
          <t>SOCCER</t>
        </is>
      </c>
      <c r="F13" s="24" t="inlineStr">
        <is>
          <t>Houston Dynamo FC</t>
        </is>
      </c>
      <c r="G13" s="24" t="inlineStr">
        <is>
          <t>Vancouver Whitecaps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-170</v>
      </c>
      <c r="M13" s="27" t="n">
        <v>1.588235</v>
      </c>
      <c r="N13" s="28" t="n">
        <v>0.62963</v>
      </c>
      <c r="O13" s="28" t="n">
        <v>0.747266</v>
      </c>
      <c r="P13" s="28" t="n">
        <v>0.04</v>
      </c>
      <c r="Q13" s="28" t="n">
        <v>0.117636</v>
      </c>
      <c r="R13" s="26" t="n">
        <v>85</v>
      </c>
      <c r="S13" s="29" t="n">
        <v>2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2026-08-20T05:33:17.645732Z</t>
        </is>
      </c>
      <c r="AE13" s="31" t="inlineStr">
        <is>
          <t>Poisson-DC rates 2.69 (home) / 0.89 (away) from EWMA attack/defense strengths. Executable ask 0.6300 (atc-mls-vwh-hou-2026-08-19-vwh).</t>
        </is>
      </c>
      <c r="AF13" s="31" t="inlineStr">
        <is>
          <t>Research-only soccer score model; draw-aware, but not yet locked-holdout qualified.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Houston Dynamo FC</t>
        </is>
      </c>
      <c r="AQ13" s="24" t="inlineStr">
        <is>
          <t>Houston Dynamo FC</t>
        </is>
      </c>
      <c r="AR13" s="24" t="inlineStr">
        <is>
          <t>Houston Dynamo FC</t>
        </is>
      </c>
      <c r="AS13" s="24" t="inlineStr">
        <is>
          <t>Vancouver Whitecaps</t>
        </is>
      </c>
      <c r="AT13" s="24" t="inlineStr">
        <is>
          <t>Vancouver Whitecaps</t>
        </is>
      </c>
      <c r="AU13" s="24" t="inlineStr">
        <is>
          <t>Vancouver Whitecaps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c95ec2023134439ab985cb4cdcc58243749b9deb564fca7a2d587c15c9875427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c95ec2023134439ab985cb4cdcc58243749b9deb564fca7a2d587c15c9875427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c95ec2023134439ab985cb4cdcc58243749b9deb564fca7a2d587c15c9875427</t>
        </is>
      </c>
      <c r="BH13" s="24" t="inlineStr">
        <is>
          <t>2026-08-19T23:06:29.099802Z</t>
        </is>
      </c>
      <c r="BI13" s="24" t="inlineStr">
        <is>
          <t>["same_event","same_team_same_day","same_league_same_day"]</t>
        </is>
      </c>
      <c r="BJ13" s="25" t="n"/>
      <c r="BK13" s="26" t="n">
        <v>-170</v>
      </c>
      <c r="BL13" s="27" t="n">
        <v>1.588235</v>
      </c>
      <c r="BM13" s="28" t="n">
        <v>0.62963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0.62963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08aaa23ec4d84bf5</t>
        </is>
      </c>
      <c r="B14" s="24" t="inlineStr">
        <is>
          <t>2026-08-22T15:59:05.718498Z</t>
        </is>
      </c>
      <c r="C14" s="24" t="inlineStr">
        <is>
          <t>2026-08-22T16:30Z</t>
        </is>
      </c>
      <c r="D14" s="24" t="inlineStr">
        <is>
          <t>401874931</t>
        </is>
      </c>
      <c r="E14" s="24" t="inlineStr">
        <is>
          <t>SOCCER</t>
        </is>
      </c>
      <c r="F14" s="24" t="inlineStr">
        <is>
          <t>Monza</t>
        </is>
      </c>
      <c r="G14" s="24" t="inlineStr">
        <is>
          <t>Internazionale</t>
        </is>
      </c>
      <c r="H14" s="24" t="inlineStr">
        <is>
          <t>total</t>
        </is>
      </c>
      <c r="I14" s="24" t="inlineStr">
        <is>
          <t>over</t>
        </is>
      </c>
      <c r="J14" s="25" t="n">
        <v>2.5</v>
      </c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0.761034</v>
      </c>
      <c r="P14" s="28" t="n">
        <v>0.04</v>
      </c>
      <c r="Q14" s="28" t="n">
        <v>0.120746</v>
      </c>
      <c r="R14" s="26" t="n">
        <v>86</v>
      </c>
      <c r="S14" s="29" t="n">
        <v>2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4</v>
      </c>
      <c r="Y14" s="25" t="n"/>
      <c r="Z14" s="26" t="n"/>
      <c r="AA14" s="28" t="n"/>
      <c r="AB14" s="28" t="n"/>
      <c r="AC14" s="30" t="n">
        <v>1.1236</v>
      </c>
      <c r="AD14" s="24" t="inlineStr">
        <is>
          <t>2026-08-22T19:03:14.328200Z</t>
        </is>
      </c>
      <c r="AE14" s="31" t="inlineStr">
        <is>
          <t>Poisson-DC rates 3.47 (home) / 0.53 (away) from EWMA attack/defense strengths. Executable ask 0.6400 (tsc-sea-int-mon-2026-08-22-2pt5).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Monza</t>
        </is>
      </c>
      <c r="AQ14" s="24" t="inlineStr">
        <is>
          <t>Monza</t>
        </is>
      </c>
      <c r="AR14" s="24" t="inlineStr">
        <is>
          <t>Monza</t>
        </is>
      </c>
      <c r="AS14" s="24" t="inlineStr">
        <is>
          <t>Internazionale</t>
        </is>
      </c>
      <c r="AT14" s="24" t="inlineStr">
        <is>
          <t>Internazionale</t>
        </is>
      </c>
      <c r="AU14" s="24" t="inlineStr">
        <is>
          <t>Internazionale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f585a7f3cb7ee04f9a319a60fa601ef15e86636fadaaa8c1380ac0f28f75c58a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f585a7f3cb7ee04f9a319a60fa601ef15e86636fadaaa8c1380ac0f28f75c58a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f585a7f3cb7ee04f9a319a60fa601ef15e86636fadaaa8c1380ac0f28f75c58a</t>
        </is>
      </c>
      <c r="BH14" s="24" t="inlineStr">
        <is>
          <t>2026-08-22T15:41:01.671529Z</t>
        </is>
      </c>
      <c r="BI14" s="24" t="inlineStr">
        <is>
          <t>["same_event","same_team_same_day","same_league_same_day"]</t>
        </is>
      </c>
      <c r="BJ14" s="25" t="n">
        <v>2.5</v>
      </c>
      <c r="BK14" s="26" t="n">
        <v>-178</v>
      </c>
      <c r="BL14" s="27" t="n">
        <v>1.561798</v>
      </c>
      <c r="BM14" s="28" t="n">
        <v>0.640288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0.640288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6616d654a9e141b9</t>
        </is>
      </c>
      <c r="B15" s="24" t="inlineStr">
        <is>
          <t>2026-08-22T15:59:05.718498Z</t>
        </is>
      </c>
      <c r="C15" s="24" t="inlineStr">
        <is>
          <t>2026-08-22T18:45Z</t>
        </is>
      </c>
      <c r="D15" s="24" t="inlineStr">
        <is>
          <t>401874747</t>
        </is>
      </c>
      <c r="E15" s="24" t="inlineStr">
        <is>
          <t>SOCCER</t>
        </is>
      </c>
      <c r="F15" s="24" t="inlineStr">
        <is>
          <t>Cagliari</t>
        </is>
      </c>
      <c r="G15" s="24" t="inlineStr">
        <is>
          <t>Parma</t>
        </is>
      </c>
      <c r="H15" s="24" t="inlineStr">
        <is>
          <t>total</t>
        </is>
      </c>
      <c r="I15" s="24" t="inlineStr">
        <is>
          <t>under</t>
        </is>
      </c>
      <c r="J15" s="25" t="n">
        <v>2.5</v>
      </c>
      <c r="K15" s="24" t="inlineStr">
        <is>
          <t>polymarket_us</t>
        </is>
      </c>
      <c r="L15" s="26" t="n">
        <v>-170</v>
      </c>
      <c r="M15" s="27" t="n">
        <v>1.588235</v>
      </c>
      <c r="N15" s="28" t="n">
        <v>0.62963</v>
      </c>
      <c r="O15" s="28" t="n">
        <v>0.732706</v>
      </c>
      <c r="P15" s="28" t="n">
        <v>0.04</v>
      </c>
      <c r="Q15" s="28" t="n">
        <v>0.103076</v>
      </c>
      <c r="R15" s="26" t="n">
        <v>78</v>
      </c>
      <c r="S15" s="29" t="n">
        <v>2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1.1765</v>
      </c>
      <c r="AD15" s="24" t="inlineStr">
        <is>
          <t>2026-08-22T22:14:27.974153Z</t>
        </is>
      </c>
      <c r="AE15" s="31" t="inlineStr">
        <is>
          <t>Poisson-DC rates 0.97 (home) / 0.82 (away) from EWMA attack/defense strengths. Executable ask 0.6300 (tsc-sea-par-cag-2026-08-22-2pt5).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Cagliari</t>
        </is>
      </c>
      <c r="AQ15" s="24" t="inlineStr">
        <is>
          <t>Cagliari</t>
        </is>
      </c>
      <c r="AR15" s="24" t="inlineStr">
        <is>
          <t>Cagliari</t>
        </is>
      </c>
      <c r="AS15" s="24" t="inlineStr">
        <is>
          <t>Parma</t>
        </is>
      </c>
      <c r="AT15" s="24" t="inlineStr">
        <is>
          <t>Parma</t>
        </is>
      </c>
      <c r="AU15" s="24" t="inlineStr">
        <is>
          <t>Parma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f585a7f3cb7ee04f9a319a60fa601ef15e86636fadaaa8c1380ac0f28f75c58a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f585a7f3cb7ee04f9a319a60fa601ef15e86636fadaaa8c1380ac0f28f75c58a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f585a7f3cb7ee04f9a319a60fa601ef15e86636fadaaa8c1380ac0f28f75c58a</t>
        </is>
      </c>
      <c r="BH15" s="24" t="inlineStr">
        <is>
          <t>2026-08-22T15:41:01.818309Z</t>
        </is>
      </c>
      <c r="BI15" s="24" t="inlineStr">
        <is>
          <t>["same_event","same_team_same_day","same_league_same_day"]</t>
        </is>
      </c>
      <c r="BJ15" s="25" t="n">
        <v>2.5</v>
      </c>
      <c r="BK15" s="26" t="n">
        <v>-170</v>
      </c>
      <c r="BL15" s="27" t="n">
        <v>1.588235</v>
      </c>
      <c r="BM15" s="28" t="n">
        <v>0.62963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0.62963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d498ef5821284809</t>
        </is>
      </c>
      <c r="B16" s="24" t="inlineStr">
        <is>
          <t>2026-08-22T15:59:05.718498Z</t>
        </is>
      </c>
      <c r="C16" s="24" t="inlineStr">
        <is>
          <t>2026-08-22T16:30Z</t>
        </is>
      </c>
      <c r="D16" s="24" t="inlineStr">
        <is>
          <t>401874931</t>
        </is>
      </c>
      <c r="E16" s="24" t="inlineStr">
        <is>
          <t>SOCCER</t>
        </is>
      </c>
      <c r="F16" s="24" t="inlineStr">
        <is>
          <t>Monza</t>
        </is>
      </c>
      <c r="G16" s="24" t="inlineStr">
        <is>
          <t>Internazionale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-488</v>
      </c>
      <c r="M16" s="27" t="n">
        <v>1.204918</v>
      </c>
      <c r="N16" s="28" t="n">
        <v>0.829932</v>
      </c>
      <c r="O16" s="28" t="n">
        <v>0.898833</v>
      </c>
      <c r="P16" s="28" t="n">
        <v>0.04</v>
      </c>
      <c r="Q16" s="28" t="n">
        <v>0.068901</v>
      </c>
      <c r="R16" s="26" t="n">
        <v>60</v>
      </c>
      <c r="S16" s="29" t="n">
        <v>2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4</v>
      </c>
      <c r="Y16" s="25" t="n"/>
      <c r="Z16" s="26" t="n"/>
      <c r="AA16" s="28" t="n"/>
      <c r="AB16" s="28" t="n"/>
      <c r="AC16" s="30" t="n">
        <v>0.4098</v>
      </c>
      <c r="AD16" s="24" t="inlineStr">
        <is>
          <t>2026-08-22T19:03:15.244574Z</t>
        </is>
      </c>
      <c r="AE16" s="31" t="inlineStr">
        <is>
          <t>Poisson-DC rates 3.47 (home) / 0.53 (away) from EWMA attack/defense strengths. Executable ask 0.8300 (atc-sea-int-mon-2026-08-22-int).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Monza</t>
        </is>
      </c>
      <c r="AQ16" s="24" t="inlineStr">
        <is>
          <t>Monza</t>
        </is>
      </c>
      <c r="AR16" s="24" t="inlineStr">
        <is>
          <t>Monza</t>
        </is>
      </c>
      <c r="AS16" s="24" t="inlineStr">
        <is>
          <t>Internazionale</t>
        </is>
      </c>
      <c r="AT16" s="24" t="inlineStr">
        <is>
          <t>Internazionale</t>
        </is>
      </c>
      <c r="AU16" s="24" t="inlineStr">
        <is>
          <t>Internazionale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f585a7f3cb7ee04f9a319a60fa601ef15e86636fadaaa8c1380ac0f28f75c58a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f585a7f3cb7ee04f9a319a60fa601ef15e86636fadaaa8c1380ac0f28f75c58a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f585a7f3cb7ee04f9a319a60fa601ef15e86636fadaaa8c1380ac0f28f75c58a</t>
        </is>
      </c>
      <c r="BH16" s="24" t="inlineStr">
        <is>
          <t>2026-08-22T15:41:01.641928Z</t>
        </is>
      </c>
      <c r="BI16" s="24" t="inlineStr">
        <is>
          <t>["same_event","same_team_same_day","same_league_same_day"]</t>
        </is>
      </c>
      <c r="BJ16" s="25" t="n"/>
      <c r="BK16" s="26" t="n">
        <v>-488</v>
      </c>
      <c r="BL16" s="27" t="n">
        <v>1.204918</v>
      </c>
      <c r="BM16" s="28" t="n">
        <v>0.829932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0.829932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3f3f583c458e46d1</t>
        </is>
      </c>
      <c r="B17" s="24" t="inlineStr">
        <is>
          <t>2026-08-22T23:01:37.142187Z</t>
        </is>
      </c>
      <c r="C17" s="24" t="inlineStr">
        <is>
          <t>2026-08-22T23:30Z</t>
        </is>
      </c>
      <c r="D17" s="24" t="inlineStr">
        <is>
          <t>761743</t>
        </is>
      </c>
      <c r="E17" s="24" t="inlineStr">
        <is>
          <t>SOCCER</t>
        </is>
      </c>
      <c r="F17" s="24" t="inlineStr">
        <is>
          <t>Seattle Sounders FC</t>
        </is>
      </c>
      <c r="G17" s="24" t="inlineStr">
        <is>
          <t>FC Cincinnati</t>
        </is>
      </c>
      <c r="H17" s="24" t="inlineStr">
        <is>
          <t>total</t>
        </is>
      </c>
      <c r="I17" s="24" t="inlineStr">
        <is>
          <t>over</t>
        </is>
      </c>
      <c r="J17" s="25" t="n">
        <v>2.5</v>
      </c>
      <c r="K17" s="24" t="inlineStr">
        <is>
          <t>polymarket_us</t>
        </is>
      </c>
      <c r="L17" s="26" t="n">
        <v>-257</v>
      </c>
      <c r="M17" s="27" t="n">
        <v>1.389105</v>
      </c>
      <c r="N17" s="28" t="n">
        <v>0.719888</v>
      </c>
      <c r="O17" s="28" t="n">
        <v>0.805175</v>
      </c>
      <c r="P17" s="28" t="n">
        <v>0.04</v>
      </c>
      <c r="Q17" s="28" t="n">
        <v>0.085287</v>
      </c>
      <c r="R17" s="26" t="n">
        <v>69</v>
      </c>
      <c r="S17" s="29" t="n">
        <v>1.25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1</v>
      </c>
      <c r="Y17" s="25" t="n"/>
      <c r="Z17" s="26" t="n"/>
      <c r="AA17" s="28" t="n"/>
      <c r="AB17" s="28" t="n"/>
      <c r="AC17" s="30" t="n">
        <v>-1.25</v>
      </c>
      <c r="AD17" s="24" t="inlineStr">
        <is>
          <t>2026-08-23T04:16:07.754799Z</t>
        </is>
      </c>
      <c r="AE17" s="31" t="inlineStr">
        <is>
          <t>Poisson-DC rates 2.45 (home) / 1.87 (away) from EWMA attack/defense strengths. Executable ask 0.7200 (tsc-mls-fcc-sea-2026-08-22-2pt5).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4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Seattle Sounders FC</t>
        </is>
      </c>
      <c r="AQ17" s="24" t="inlineStr">
        <is>
          <t>Seattle Sounders FC</t>
        </is>
      </c>
      <c r="AR17" s="24" t="inlineStr">
        <is>
          <t>Seattle Sounders FC</t>
        </is>
      </c>
      <c r="AS17" s="24" t="inlineStr">
        <is>
          <t>FC Cincinnati</t>
        </is>
      </c>
      <c r="AT17" s="24" t="inlineStr">
        <is>
          <t>FC Cincinnati</t>
        </is>
      </c>
      <c r="AU17" s="24" t="inlineStr">
        <is>
          <t>FC Cincinnati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f585a7f3cb7ee04f9a319a60fa601ef15e86636fadaaa8c1380ac0f28f75c58a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f585a7f3cb7ee04f9a319a60fa601ef15e86636fadaaa8c1380ac0f28f75c58a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f585a7f3cb7ee04f9a319a60fa601ef15e86636fadaaa8c1380ac0f28f75c58a</t>
        </is>
      </c>
      <c r="BH17" s="24" t="inlineStr">
        <is>
          <t>2026-08-22T22:58:24.995875Z</t>
        </is>
      </c>
      <c r="BI17" s="24" t="inlineStr">
        <is>
          <t>["same_event","same_team_same_day","same_league_same_day"]</t>
        </is>
      </c>
      <c r="BJ17" s="25" t="n">
        <v>2.5</v>
      </c>
      <c r="BK17" s="26" t="n">
        <v>-257</v>
      </c>
      <c r="BL17" s="27" t="n">
        <v>1.389105</v>
      </c>
      <c r="BM17" s="28" t="n">
        <v>0.719888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0.719888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8b3c4ebebd0a4f9a</t>
        </is>
      </c>
      <c r="B18" s="24" t="inlineStr">
        <is>
          <t>2026-08-22T23:01:37.142187Z</t>
        </is>
      </c>
      <c r="C18" s="24" t="inlineStr">
        <is>
          <t>2026-08-22T23:30Z</t>
        </is>
      </c>
      <c r="D18" s="24" t="inlineStr">
        <is>
          <t>761742</t>
        </is>
      </c>
      <c r="E18" s="24" t="inlineStr">
        <is>
          <t>SOCCER</t>
        </is>
      </c>
      <c r="F18" s="24" t="inlineStr">
        <is>
          <t>Toronto FC</t>
        </is>
      </c>
      <c r="G18" s="24" t="inlineStr">
        <is>
          <t>Inter Miami CF</t>
        </is>
      </c>
      <c r="H18" s="24" t="inlineStr">
        <is>
          <t>total</t>
        </is>
      </c>
      <c r="I18" s="24" t="inlineStr">
        <is>
          <t>over</t>
        </is>
      </c>
      <c r="J18" s="25" t="n">
        <v>2.5</v>
      </c>
      <c r="K18" s="24" t="inlineStr">
        <is>
          <t>polymarket_us</t>
        </is>
      </c>
      <c r="L18" s="26" t="n">
        <v>-426</v>
      </c>
      <c r="M18" s="27" t="n">
        <v>1.234742</v>
      </c>
      <c r="N18" s="28" t="n">
        <v>0.809886</v>
      </c>
      <c r="O18" s="28" t="n">
        <v>0.889359</v>
      </c>
      <c r="P18" s="28" t="n">
        <v>0.04</v>
      </c>
      <c r="Q18" s="28" t="n">
        <v>0.079473</v>
      </c>
      <c r="R18" s="26" t="n">
        <v>66</v>
      </c>
      <c r="S18" s="29" t="n">
        <v>1.25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1</v>
      </c>
      <c r="Y18" s="25" t="n"/>
      <c r="Z18" s="26" t="n"/>
      <c r="AA18" s="28" t="n"/>
      <c r="AB18" s="28" t="n"/>
      <c r="AC18" s="30" t="n">
        <v>0.2934</v>
      </c>
      <c r="AD18" s="24" t="inlineStr">
        <is>
          <t>2026-08-23T04:16:09.688041Z</t>
        </is>
      </c>
      <c r="AE18" s="31" t="inlineStr">
        <is>
          <t>Poisson-DC rates 3.79 (home) / 1.39 (away) from EWMA attack/defense strengths. Executable ask 0.8100 (tsc-mls-mia-tor-2026-08-22-2pt5).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Toronto FC</t>
        </is>
      </c>
      <c r="AQ18" s="24" t="inlineStr">
        <is>
          <t>Toronto FC</t>
        </is>
      </c>
      <c r="AR18" s="24" t="inlineStr">
        <is>
          <t>Toronto FC</t>
        </is>
      </c>
      <c r="AS18" s="24" t="inlineStr">
        <is>
          <t>Inter Miami CF</t>
        </is>
      </c>
      <c r="AT18" s="24" t="inlineStr">
        <is>
          <t>Inter Miami CF</t>
        </is>
      </c>
      <c r="AU18" s="24" t="inlineStr">
        <is>
          <t>Inter Miami CF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f585a7f3cb7ee04f9a319a60fa601ef15e86636fadaaa8c1380ac0f28f75c58a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f585a7f3cb7ee04f9a319a60fa601ef15e86636fadaaa8c1380ac0f28f75c58a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f585a7f3cb7ee04f9a319a60fa601ef15e86636fadaaa8c1380ac0f28f75c58a</t>
        </is>
      </c>
      <c r="BH18" s="24" t="inlineStr">
        <is>
          <t>2026-08-22T22:58:25.062255Z</t>
        </is>
      </c>
      <c r="BI18" s="24" t="inlineStr">
        <is>
          <t>["same_event","same_team_same_day","same_league_same_day"]</t>
        </is>
      </c>
      <c r="BJ18" s="25" t="n">
        <v>2.5</v>
      </c>
      <c r="BK18" s="26" t="n">
        <v>-426</v>
      </c>
      <c r="BL18" s="27" t="n">
        <v>1.234742</v>
      </c>
      <c r="BM18" s="28" t="n">
        <v>0.809886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0.809886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c45c2d04751d47dc</t>
        </is>
      </c>
      <c r="B19" s="24" t="inlineStr">
        <is>
          <t>2026-08-22T23:01:37.142187Z</t>
        </is>
      </c>
      <c r="C19" s="24" t="inlineStr">
        <is>
          <t>2026-08-22T23:30Z</t>
        </is>
      </c>
      <c r="D19" s="24" t="inlineStr">
        <is>
          <t>761740</t>
        </is>
      </c>
      <c r="E19" s="24" t="inlineStr">
        <is>
          <t>SOCCER</t>
        </is>
      </c>
      <c r="F19" s="24" t="inlineStr">
        <is>
          <t>Real Salt Lake</t>
        </is>
      </c>
      <c r="G19" s="24" t="inlineStr">
        <is>
          <t>Orlando City SC</t>
        </is>
      </c>
      <c r="H19" s="24" t="inlineStr">
        <is>
          <t>total</t>
        </is>
      </c>
      <c r="I19" s="24" t="inlineStr">
        <is>
          <t>over</t>
        </is>
      </c>
      <c r="J19" s="25" t="n">
        <v>2.5</v>
      </c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0.7976569999999999</v>
      </c>
      <c r="P19" s="28" t="n">
        <v>0.04</v>
      </c>
      <c r="Q19" s="28" t="n">
        <v>0.107255</v>
      </c>
      <c r="R19" s="26" t="n">
        <v>80</v>
      </c>
      <c r="S19" s="29" t="n">
        <v>1.5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2</v>
      </c>
      <c r="Y19" s="25" t="n"/>
      <c r="Z19" s="26" t="n"/>
      <c r="AA19" s="28" t="n"/>
      <c r="AB19" s="28" t="n"/>
      <c r="AC19" s="30" t="n">
        <v>0.6726</v>
      </c>
      <c r="AD19" s="24" t="inlineStr">
        <is>
          <t>2026-08-23T04:16:11.723125Z</t>
        </is>
      </c>
      <c r="AE19" s="31" t="inlineStr">
        <is>
          <t>Poisson-DC rates 1.93 (home) / 2.33 (away) from EWMA attack/defense strengths. Executable ask 0.6900 (tsc-mls-orl-rsl-2026-08-22-2pt5).</t>
        </is>
      </c>
      <c r="AF19" s="31" t="inlineStr">
        <is>
          <t>Research-only soccer score model; draw-aware, but not yet locked-holdout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Real Salt Lake</t>
        </is>
      </c>
      <c r="AQ19" s="24" t="inlineStr">
        <is>
          <t>Real Salt Lake</t>
        </is>
      </c>
      <c r="AR19" s="24" t="inlineStr">
        <is>
          <t>Real Salt Lake</t>
        </is>
      </c>
      <c r="AS19" s="24" t="inlineStr">
        <is>
          <t>Orlando City SC</t>
        </is>
      </c>
      <c r="AT19" s="24" t="inlineStr">
        <is>
          <t>Orlando City SC</t>
        </is>
      </c>
      <c r="AU19" s="24" t="inlineStr">
        <is>
          <t>Orlando City SC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f585a7f3cb7ee04f9a319a60fa601ef15e86636fadaaa8c1380ac0f28f75c58a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f585a7f3cb7ee04f9a319a60fa601ef15e86636fadaaa8c1380ac0f28f75c58a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f585a7f3cb7ee04f9a319a60fa601ef15e86636fadaaa8c1380ac0f28f75c58a</t>
        </is>
      </c>
      <c r="BH19" s="24" t="inlineStr">
        <is>
          <t>2026-08-22T22:58:25.277912Z</t>
        </is>
      </c>
      <c r="BI19" s="24" t="inlineStr">
        <is>
          <t>["same_event","same_team_same_day","same_league_same_day"]</t>
        </is>
      </c>
      <c r="BJ19" s="25" t="n">
        <v>2.5</v>
      </c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0.690402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fd8d95bf78cf42bc</t>
        </is>
      </c>
      <c r="B20" s="24" t="inlineStr">
        <is>
          <t>2026-08-22T23:01:37.142187Z</t>
        </is>
      </c>
      <c r="C20" s="24" t="inlineStr">
        <is>
          <t>2026-08-23T01:30Z</t>
        </is>
      </c>
      <c r="D20" s="24" t="inlineStr">
        <is>
          <t>761749</t>
        </is>
      </c>
      <c r="E20" s="24" t="inlineStr">
        <is>
          <t>SOCCER</t>
        </is>
      </c>
      <c r="F20" s="24" t="inlineStr">
        <is>
          <t>FC Dallas</t>
        </is>
      </c>
      <c r="G20" s="24" t="inlineStr">
        <is>
          <t>Vancouver Whitecaps</t>
        </is>
      </c>
      <c r="H20" s="24" t="inlineStr">
        <is>
          <t>total</t>
        </is>
      </c>
      <c r="I20" s="24" t="inlineStr">
        <is>
          <t>over</t>
        </is>
      </c>
      <c r="J20" s="25" t="n">
        <v>2.5</v>
      </c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0.740093</v>
      </c>
      <c r="P20" s="28" t="n">
        <v>0.04</v>
      </c>
      <c r="Q20" s="28" t="n">
        <v>0.08022899999999999</v>
      </c>
      <c r="R20" s="26" t="n">
        <v>66</v>
      </c>
      <c r="S20" s="29" t="n">
        <v>1.25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5</v>
      </c>
      <c r="Y20" s="25" t="n"/>
      <c r="Z20" s="26" t="n"/>
      <c r="AA20" s="28" t="n"/>
      <c r="AB20" s="28" t="n"/>
      <c r="AC20" s="30" t="n">
        <v>0.6443</v>
      </c>
      <c r="AD20" s="24" t="inlineStr">
        <is>
          <t>2026-08-23T04:16:13.760452Z</t>
        </is>
      </c>
      <c r="AE20" s="31" t="inlineStr">
        <is>
          <t>Poisson-DC rates 2.61 (home) / 1.25 (away) from EWMA attack/defense strengths. Executable ask 0.6600 (tsc-mls-vwh-dal-2026-08-22-2pt5).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FC Dallas</t>
        </is>
      </c>
      <c r="AQ20" s="24" t="inlineStr">
        <is>
          <t>FC Dallas</t>
        </is>
      </c>
      <c r="AR20" s="24" t="inlineStr">
        <is>
          <t>FC Dallas</t>
        </is>
      </c>
      <c r="AS20" s="24" t="inlineStr">
        <is>
          <t>Vancouver Whitecaps</t>
        </is>
      </c>
      <c r="AT20" s="24" t="inlineStr">
        <is>
          <t>Vancouver Whitecaps</t>
        </is>
      </c>
      <c r="AU20" s="24" t="inlineStr">
        <is>
          <t>Vancouver Whitecaps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f585a7f3cb7ee04f9a319a60fa601ef15e86636fadaaa8c1380ac0f28f75c58a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f585a7f3cb7ee04f9a319a60fa601ef15e86636fadaaa8c1380ac0f28f75c58a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f585a7f3cb7ee04f9a319a60fa601ef15e86636fadaaa8c1380ac0f28f75c58a</t>
        </is>
      </c>
      <c r="BH20" s="24" t="inlineStr">
        <is>
          <t>2026-08-22T22:58:26.064711Z</t>
        </is>
      </c>
      <c r="BI20" s="24" t="inlineStr">
        <is>
          <t>["same_event","same_team_same_day","same_league_same_day"]</t>
        </is>
      </c>
      <c r="BJ20" s="25" t="n">
        <v>2.5</v>
      </c>
      <c r="BK20" s="26" t="n">
        <v>-194</v>
      </c>
      <c r="BL20" s="27" t="n">
        <v>1.515464</v>
      </c>
      <c r="BM20" s="28" t="n">
        <v>0.659864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0.659864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ab0d90a125864710</t>
        </is>
      </c>
      <c r="B21" s="24" t="inlineStr">
        <is>
          <t>2026-08-22T23:01:37.142187Z</t>
        </is>
      </c>
      <c r="C21" s="24" t="inlineStr">
        <is>
          <t>2026-08-23T02:30Z</t>
        </is>
      </c>
      <c r="D21" s="24" t="inlineStr">
        <is>
          <t>761750</t>
        </is>
      </c>
      <c r="E21" s="24" t="inlineStr">
        <is>
          <t>SOCCER</t>
        </is>
      </c>
      <c r="F21" s="24" t="inlineStr">
        <is>
          <t>Colorado Rapids</t>
        </is>
      </c>
      <c r="G21" s="24" t="inlineStr">
        <is>
          <t>San Diego FC</t>
        </is>
      </c>
      <c r="H21" s="24" t="inlineStr">
        <is>
          <t>total</t>
        </is>
      </c>
      <c r="I21" s="24" t="inlineStr">
        <is>
          <t>over</t>
        </is>
      </c>
      <c r="J21" s="25" t="n">
        <v>2.5</v>
      </c>
      <c r="K21" s="24" t="inlineStr">
        <is>
          <t>polymarket_us</t>
        </is>
      </c>
      <c r="L21" s="26" t="n">
        <v>-170</v>
      </c>
      <c r="M21" s="27" t="n">
        <v>1.588235</v>
      </c>
      <c r="N21" s="28" t="n">
        <v>0.62963</v>
      </c>
      <c r="O21" s="28" t="n">
        <v>0.7616039999999999</v>
      </c>
      <c r="P21" s="28" t="n">
        <v>0.04</v>
      </c>
      <c r="Q21" s="28" t="n">
        <v>0.131974</v>
      </c>
      <c r="R21" s="26" t="n">
        <v>92</v>
      </c>
      <c r="S21" s="29" t="n">
        <v>1.5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3</v>
      </c>
      <c r="Y21" s="25" t="n"/>
      <c r="Z21" s="26" t="n"/>
      <c r="AA21" s="28" t="n"/>
      <c r="AB21" s="28" t="n"/>
      <c r="AC21" s="30" t="n">
        <v>0.8824</v>
      </c>
      <c r="AD21" s="24" t="inlineStr">
        <is>
          <t>2026-08-23T08:11:47.190604Z</t>
        </is>
      </c>
      <c r="AE21" s="31" t="inlineStr">
        <is>
          <t>Poisson-DC rates 2.54 (home) / 1.45 (away) from EWMA attack/defense strengths. Executable ask 0.6300 (tsc-mls-sdg-col-2026-08-22-2pt5).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Colorado Rapids</t>
        </is>
      </c>
      <c r="AQ21" s="24" t="inlineStr">
        <is>
          <t>Colorado Rapids</t>
        </is>
      </c>
      <c r="AR21" s="24" t="inlineStr">
        <is>
          <t>Colorado Rapids</t>
        </is>
      </c>
      <c r="AS21" s="24" t="inlineStr">
        <is>
          <t>San Diego FC</t>
        </is>
      </c>
      <c r="AT21" s="24" t="inlineStr">
        <is>
          <t>San Diego FC</t>
        </is>
      </c>
      <c r="AU21" s="24" t="inlineStr">
        <is>
          <t>San Diego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f585a7f3cb7ee04f9a319a60fa601ef15e86636fadaaa8c1380ac0f28f75c58a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f585a7f3cb7ee04f9a319a60fa601ef15e86636fadaaa8c1380ac0f28f75c58a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f585a7f3cb7ee04f9a319a60fa601ef15e86636fadaaa8c1380ac0f28f75c58a</t>
        </is>
      </c>
      <c r="BH21" s="24" t="inlineStr">
        <is>
          <t>2026-08-22T22:58:26.715275Z</t>
        </is>
      </c>
      <c r="BI21" s="24" t="inlineStr">
        <is>
          <t>["same_event","same_team_same_day","same_league_same_day"]</t>
        </is>
      </c>
      <c r="BJ21" s="25" t="n">
        <v>2.5</v>
      </c>
      <c r="BK21" s="26" t="n">
        <v>-170</v>
      </c>
      <c r="BL21" s="27" t="n">
        <v>1.588235</v>
      </c>
      <c r="BM21" s="28" t="n">
        <v>0.62963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0.62963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4678e6e823ee4011</t>
        </is>
      </c>
      <c r="B22" s="24" t="inlineStr">
        <is>
          <t>2026-08-22T23:01:37.142187Z</t>
        </is>
      </c>
      <c r="C22" s="24" t="inlineStr">
        <is>
          <t>2026-08-22T23:30Z</t>
        </is>
      </c>
      <c r="D22" s="24" t="inlineStr">
        <is>
          <t>761742</t>
        </is>
      </c>
      <c r="E22" s="24" t="inlineStr">
        <is>
          <t>SOCCER</t>
        </is>
      </c>
      <c r="F22" s="24" t="inlineStr">
        <is>
          <t>Toronto FC</t>
        </is>
      </c>
      <c r="G22" s="24" t="inlineStr">
        <is>
          <t>Inter Miami CF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-270</v>
      </c>
      <c r="M22" s="27" t="n">
        <v>1.37037</v>
      </c>
      <c r="N22" s="28" t="n">
        <v>0.72973</v>
      </c>
      <c r="O22" s="28" t="n">
        <v>0.798698</v>
      </c>
      <c r="P22" s="28" t="n">
        <v>0.04</v>
      </c>
      <c r="Q22" s="28" t="n">
        <v>0.068968</v>
      </c>
      <c r="R22" s="26" t="n">
        <v>60</v>
      </c>
      <c r="S22" s="29" t="n">
        <v>1.25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1</v>
      </c>
      <c r="Y22" s="25" t="n"/>
      <c r="Z22" s="26" t="n"/>
      <c r="AA22" s="28" t="n"/>
      <c r="AB22" s="28" t="n"/>
      <c r="AC22" s="30" t="n">
        <v>-1.25</v>
      </c>
      <c r="AD22" s="24" t="inlineStr">
        <is>
          <t>2026-08-23T04:16:15.753624Z</t>
        </is>
      </c>
      <c r="AE22" s="31" t="inlineStr">
        <is>
          <t>Poisson-DC rates 3.79 (home) / 1.39 (away) from EWMA attack/defense strengths. Executable ask 0.7300 (atc-mls-mia-tor-2026-08-22-mia).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Toronto FC</t>
        </is>
      </c>
      <c r="AQ22" s="24" t="inlineStr">
        <is>
          <t>Toronto FC</t>
        </is>
      </c>
      <c r="AR22" s="24" t="inlineStr">
        <is>
          <t>Toronto FC</t>
        </is>
      </c>
      <c r="AS22" s="24" t="inlineStr">
        <is>
          <t>Inter Miami CF</t>
        </is>
      </c>
      <c r="AT22" s="24" t="inlineStr">
        <is>
          <t>Inter Miami CF</t>
        </is>
      </c>
      <c r="AU22" s="24" t="inlineStr">
        <is>
          <t>Inter Miami CF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f585a7f3cb7ee04f9a319a60fa601ef15e86636fadaaa8c1380ac0f28f75c58a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f585a7f3cb7ee04f9a319a60fa601ef15e86636fadaaa8c1380ac0f28f75c58a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f585a7f3cb7ee04f9a319a60fa601ef15e86636fadaaa8c1380ac0f28f75c58a</t>
        </is>
      </c>
      <c r="BH22" s="24" t="inlineStr">
        <is>
          <t>2026-08-22T22:58:25.011258Z</t>
        </is>
      </c>
      <c r="BI22" s="24" t="inlineStr">
        <is>
          <t>["same_event","same_team_same_day","same_league_same_day"]</t>
        </is>
      </c>
      <c r="BJ22" s="25" t="n"/>
      <c r="BK22" s="26" t="n">
        <v>-270</v>
      </c>
      <c r="BL22" s="27" t="n">
        <v>1.37037</v>
      </c>
      <c r="BM22" s="28" t="n">
        <v>0.72973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0.72973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5084f2f0e94c4601</t>
        </is>
      </c>
      <c r="B23" s="24" t="inlineStr">
        <is>
          <t>2026-08-23T16:11:24.374330Z</t>
        </is>
      </c>
      <c r="C23" s="24" t="inlineStr">
        <is>
          <t>2026-08-23T16:30Z</t>
        </is>
      </c>
      <c r="D23" s="24" t="inlineStr">
        <is>
          <t>401874946</t>
        </is>
      </c>
      <c r="E23" s="24" t="inlineStr">
        <is>
          <t>SOCCER</t>
        </is>
      </c>
      <c r="F23" s="24" t="inlineStr">
        <is>
          <t>Lecce</t>
        </is>
      </c>
      <c r="G23" s="24" t="inlineStr">
        <is>
          <t>Venezia</t>
        </is>
      </c>
      <c r="H23" s="24" t="inlineStr">
        <is>
          <t>total</t>
        </is>
      </c>
      <c r="I23" s="24" t="inlineStr">
        <is>
          <t>under</t>
        </is>
      </c>
      <c r="J23" s="25" t="n">
        <v>2.5</v>
      </c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0.740691</v>
      </c>
      <c r="P23" s="28" t="n">
        <v>0.04</v>
      </c>
      <c r="Q23" s="28" t="n">
        <v>0.210175</v>
      </c>
      <c r="R23" s="26" t="n">
        <v>100</v>
      </c>
      <c r="S23" s="29" t="n">
        <v>2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0</v>
      </c>
      <c r="Y23" s="25" t="n"/>
      <c r="Z23" s="26" t="n"/>
      <c r="AA23" s="28" t="n"/>
      <c r="AB23" s="28" t="n"/>
      <c r="AC23" s="30" t="n">
        <v>1.7699</v>
      </c>
      <c r="AD23" s="24" t="inlineStr">
        <is>
          <t>2026-08-23T18:42:42.477852Z</t>
        </is>
      </c>
      <c r="AE23" s="31" t="inlineStr">
        <is>
          <t>Poisson-DC rates 0.99 (home) / 0.77 (away) from EWMA attack/defense strengths. Executable ask 0.5300 (tsc-sea-ven-lec-2026-08-23-2pt5).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Lecce</t>
        </is>
      </c>
      <c r="AQ23" s="24" t="inlineStr">
        <is>
          <t>Lecce</t>
        </is>
      </c>
      <c r="AR23" s="24" t="inlineStr">
        <is>
          <t>Lecce</t>
        </is>
      </c>
      <c r="AS23" s="24" t="inlineStr">
        <is>
          <t>Venezia</t>
        </is>
      </c>
      <c r="AT23" s="24" t="inlineStr">
        <is>
          <t>Venezia</t>
        </is>
      </c>
      <c r="AU23" s="24" t="inlineStr">
        <is>
          <t>Venezia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f585a7f3cb7ee04f9a319a60fa601ef15e86636fadaaa8c1380ac0f28f75c58a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f585a7f3cb7ee04f9a319a60fa601ef15e86636fadaaa8c1380ac0f28f75c58a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f585a7f3cb7ee04f9a319a60fa601ef15e86636fadaaa8c1380ac0f28f75c58a</t>
        </is>
      </c>
      <c r="BH23" s="24" t="inlineStr">
        <is>
          <t>2026-08-23T16:08:38.773498Z</t>
        </is>
      </c>
      <c r="BI23" s="24" t="inlineStr">
        <is>
          <t>["same_event","same_team_same_day","same_league_same_day"]</t>
        </is>
      </c>
      <c r="BJ23" s="25" t="n">
        <v>2.5</v>
      </c>
      <c r="BK23" s="26" t="n">
        <v>-113</v>
      </c>
      <c r="BL23" s="27" t="n">
        <v>1.884956</v>
      </c>
      <c r="BM23" s="28" t="n">
        <v>0.530516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0.530516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adaeba5cd2fa428a</t>
        </is>
      </c>
      <c r="B24" s="24" t="inlineStr">
        <is>
          <t>2026-08-25T13:31:47.072010Z</t>
        </is>
      </c>
      <c r="C24" s="24" t="inlineStr">
        <is>
          <t>2026-08-25T19:00Z</t>
        </is>
      </c>
      <c r="D24" s="24" t="inlineStr">
        <is>
          <t>401882917</t>
        </is>
      </c>
      <c r="E24" s="24" t="inlineStr">
        <is>
          <t>SOCCER</t>
        </is>
      </c>
      <c r="F24" s="24" t="inlineStr">
        <is>
          <t>Real Betis</t>
        </is>
      </c>
      <c r="G24" s="24" t="inlineStr">
        <is>
          <t>Valencia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0.416274</v>
      </c>
      <c r="P24" s="28" t="n">
        <v>0.04</v>
      </c>
      <c r="Q24" s="28" t="n">
        <v>0.076138</v>
      </c>
      <c r="R24" s="26" t="n">
        <v>64</v>
      </c>
      <c r="S24" s="29" t="n">
        <v>1.25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2026-08-26T12:31:33.974220Z</t>
        </is>
      </c>
      <c r="AE24" s="31" t="inlineStr">
        <is>
          <t>Poisson-DC rates 1.53 (home) / 1.30 (away) from EWMA attack/defense strengths. Executable ask 0.3400 (atc-lal-val-bet-2026-08-25-val).</t>
        </is>
      </c>
      <c r="AF24" s="31" t="inlineStr">
        <is>
          <t>Research-only soccer score model; draw-aware, but not yet locked-holdout qualified.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Real Betis</t>
        </is>
      </c>
      <c r="AQ24" s="24" t="inlineStr">
        <is>
          <t>Real Betis</t>
        </is>
      </c>
      <c r="AR24" s="24" t="inlineStr">
        <is>
          <t>Real Betis</t>
        </is>
      </c>
      <c r="AS24" s="24" t="inlineStr">
        <is>
          <t>Valencia</t>
        </is>
      </c>
      <c r="AT24" s="24" t="inlineStr">
        <is>
          <t>Valencia</t>
        </is>
      </c>
      <c r="AU24" s="24" t="inlineStr">
        <is>
          <t>Valencia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f585a7f3cb7ee04f9a319a60fa601ef15e86636fadaaa8c1380ac0f28f75c58a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f585a7f3cb7ee04f9a319a60fa601ef15e86636fadaaa8c1380ac0f28f75c58a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f585a7f3cb7ee04f9a319a60fa601ef15e86636fadaaa8c1380ac0f28f75c58a</t>
        </is>
      </c>
      <c r="BH24" s="24" t="inlineStr">
        <is>
          <t>2026-08-25T13:29:43.158873Z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inlineStr">
        <is>
          <t>2026-08-26T12:31:33.974220Z</t>
        </is>
      </c>
      <c r="CA24" s="31" t="inlineStr">
        <is>
          <t>fixed one-unit hypothetical scoring; no real exposure or execution</t>
        </is>
      </c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0.340136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2cdd3373f5334b34</t>
        </is>
      </c>
      <c r="B25" s="24" t="inlineStr">
        <is>
          <t>2026-08-26T16:35:11.867033Z</t>
        </is>
      </c>
      <c r="C25" s="24" t="inlineStr">
        <is>
          <t>2026-08-26T19:00Z</t>
        </is>
      </c>
      <c r="D25" s="24" t="inlineStr">
        <is>
          <t>401882919</t>
        </is>
      </c>
      <c r="E25" s="24" t="inlineStr">
        <is>
          <t>SOCCER</t>
        </is>
      </c>
      <c r="F25" s="24" t="inlineStr">
        <is>
          <t>Real Sociedad</t>
        </is>
      </c>
      <c r="G25" s="24" t="inlineStr">
        <is>
          <t>Real Madrid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-426</v>
      </c>
      <c r="M25" s="27" t="n">
        <v>1.234742</v>
      </c>
      <c r="N25" s="28" t="n">
        <v>0.809886</v>
      </c>
      <c r="O25" s="28" t="n">
        <v>0.690265</v>
      </c>
      <c r="P25" s="28" t="n">
        <v>0.04</v>
      </c>
      <c r="Q25" s="28" t="n">
        <v>-0.119621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4</v>
      </c>
      <c r="Y25" s="25" t="n"/>
      <c r="Z25" s="26" t="n"/>
      <c r="AA25" s="28" t="n"/>
      <c r="AB25" s="28" t="n"/>
      <c r="AC25" s="30" t="n">
        <v>0.2347</v>
      </c>
      <c r="AD25" s="24" t="inlineStr">
        <is>
          <t>2026-08-26T22:11:50.922257Z</t>
        </is>
      </c>
      <c r="AE25" s="31" t="inlineStr">
        <is>
          <t>Poisson-DC rates 2.67 (home) / 1.15 (away) from EWMA attack/defense strengths. Executable ask 0.8100 (atc-lal-rma-rso-2026-08-26-rma).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Real Sociedad</t>
        </is>
      </c>
      <c r="AQ25" s="24" t="inlineStr">
        <is>
          <t>Real Sociedad</t>
        </is>
      </c>
      <c r="AR25" s="24" t="inlineStr">
        <is>
          <t>Real Sociedad</t>
        </is>
      </c>
      <c r="AS25" s="24" t="inlineStr">
        <is>
          <t>Real Madrid</t>
        </is>
      </c>
      <c r="AT25" s="24" t="inlineStr">
        <is>
          <t>Real Madrid</t>
        </is>
      </c>
      <c r="AU25" s="24" t="inlineStr">
        <is>
          <t>Real Madrid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f585a7f3cb7ee04f9a319a60fa601ef15e86636fadaaa8c1380ac0f28f75c58a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f585a7f3cb7ee04f9a319a60fa601ef15e86636fadaaa8c1380ac0f28f75c58a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f585a7f3cb7ee04f9a319a60fa601ef15e86636fadaaa8c1380ac0f28f75c58a</t>
        </is>
      </c>
      <c r="BH25" s="24" t="inlineStr">
        <is>
          <t>2026-08-26T16:31:16.435912Z</t>
        </is>
      </c>
      <c r="BI25" s="24" t="inlineStr">
        <is>
          <t>["same_event","same_team_same_day","same_league_same_day"]</t>
        </is>
      </c>
      <c r="BJ25" s="25" t="n"/>
      <c r="BK25" s="26" t="n">
        <v>-426</v>
      </c>
      <c r="BL25" s="27" t="n">
        <v>1.234742</v>
      </c>
      <c r="BM25" s="28" t="n">
        <v>0.809886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0.234742</v>
      </c>
      <c r="BZ25" s="24" t="inlineStr">
        <is>
          <t>2026-08-26T22:11:50.922257Z</t>
        </is>
      </c>
      <c r="CA25" s="31" t="inlineStr">
        <is>
          <t>fixed one-unit hypothetical scoring; no real exposure or execution</t>
        </is>
      </c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0.809886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b05c85ef657947bb</t>
        </is>
      </c>
      <c r="B26" s="24" t="inlineStr">
        <is>
          <t>2026-08-26T16:35:11.867033Z</t>
        </is>
      </c>
      <c r="C26" s="24" t="inlineStr">
        <is>
          <t>2026-08-26T18:00Z</t>
        </is>
      </c>
      <c r="D26" s="24" t="inlineStr">
        <is>
          <t>401843982</t>
        </is>
      </c>
      <c r="E26" s="24" t="inlineStr">
        <is>
          <t>SOCCER</t>
        </is>
      </c>
      <c r="F26" s="24" t="inlineStr">
        <is>
          <t>San Telmo</t>
        </is>
      </c>
      <c r="G26" s="24" t="inlineStr">
        <is>
          <t>Acassuso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150</v>
      </c>
      <c r="M26" s="27" t="n">
        <v>2.5</v>
      </c>
      <c r="N26" s="28" t="n">
        <v>0.4</v>
      </c>
      <c r="O26" s="28" t="n">
        <v>0.456135</v>
      </c>
      <c r="P26" s="28" t="n">
        <v>0.2</v>
      </c>
      <c r="Q26" s="28" t="n">
        <v>0.056135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2026-08-26T22:11:52.765224Z</t>
        </is>
      </c>
      <c r="AE26" s="31" t="inlineStr">
        <is>
          <t>Poisson-DC rates 1.64 (home) / 1.24 (away) from EWMA attack/defense strengths. Executable ask 0.4000 (atc-arg2-aca-ste-2026-08-26-aca).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San Telmo</t>
        </is>
      </c>
      <c r="AQ26" s="24" t="inlineStr">
        <is>
          <t>San Telmo</t>
        </is>
      </c>
      <c r="AR26" s="24" t="inlineStr">
        <is>
          <t>San Telmo</t>
        </is>
      </c>
      <c r="AS26" s="24" t="inlineStr">
        <is>
          <t>Acassuso</t>
        </is>
      </c>
      <c r="AT26" s="24" t="inlineStr">
        <is>
          <t>Acassuso</t>
        </is>
      </c>
      <c r="AU26" s="24" t="inlineStr">
        <is>
          <t>Acassuso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f585a7f3cb7ee04f9a319a60fa601ef15e86636fadaaa8c1380ac0f28f75c58a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f585a7f3cb7ee04f9a319a60fa601ef15e86636fadaaa8c1380ac0f28f75c58a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f585a7f3cb7ee04f9a319a60fa601ef15e86636fadaaa8c1380ac0f28f75c58a</t>
        </is>
      </c>
      <c r="BH26" s="24" t="inlineStr">
        <is>
          <t>2026-08-26T16:31:16.899858Z</t>
        </is>
      </c>
      <c r="BI26" s="24" t="inlineStr">
        <is>
          <t>["same_event","same_team_same_day","same_league_same_day"]</t>
        </is>
      </c>
      <c r="BJ26" s="25" t="n"/>
      <c r="BK26" s="26" t="n">
        <v>150</v>
      </c>
      <c r="BL26" s="27" t="n">
        <v>2.5</v>
      </c>
      <c r="BM26" s="28" t="n">
        <v>0.4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inlineStr">
        <is>
          <t>2026-08-26T22:11:52.765224Z</t>
        </is>
      </c>
      <c r="CA26" s="31" t="inlineStr">
        <is>
          <t>fixed one-unit hypothetical scoring; no real exposure or execution</t>
        </is>
      </c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17cd1e21a7cd43af</t>
        </is>
      </c>
      <c r="B27" s="24" t="inlineStr">
        <is>
          <t>2026-08-26T16:35:11.867033Z</t>
        </is>
      </c>
      <c r="C27" s="24" t="inlineStr">
        <is>
          <t>2026-08-26T18:00Z</t>
        </is>
      </c>
      <c r="D27" s="24" t="inlineStr">
        <is>
          <t>401843977</t>
        </is>
      </c>
      <c r="E27" s="24" t="inlineStr">
        <is>
          <t>SOCCER</t>
        </is>
      </c>
      <c r="F27" s="24" t="inlineStr">
        <is>
          <t>San Miguel</t>
        </is>
      </c>
      <c r="G27" s="24" t="inlineStr">
        <is>
          <t>Chaco For Ever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0.456135</v>
      </c>
      <c r="P27" s="28" t="n">
        <v>0.2</v>
      </c>
      <c r="Q27" s="28" t="n">
        <v>0.046299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3</v>
      </c>
      <c r="Y27" s="25" t="n"/>
      <c r="Z27" s="26" t="n"/>
      <c r="AA27" s="28" t="n"/>
      <c r="AB27" s="28" t="n"/>
      <c r="AC27" s="30" t="n">
        <v>1.44</v>
      </c>
      <c r="AD27" s="24" t="inlineStr">
        <is>
          <t>2026-08-26T22:11:53.798328Z</t>
        </is>
      </c>
      <c r="AE27" s="31" t="inlineStr">
        <is>
          <t>Poisson-DC rates 1.64 (home) / 1.24 (away) from EWMA attack/defense strengths. Executable ask 0.4100 (atc-arg2-cfe-casm-2026-08-26-cfe).</t>
        </is>
      </c>
      <c r="AF27" s="31" t="inlineStr">
        <is>
          <t>Research-only soccer score model; draw-aware, but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San Miguel</t>
        </is>
      </c>
      <c r="AQ27" s="24" t="inlineStr">
        <is>
          <t>San Miguel</t>
        </is>
      </c>
      <c r="AR27" s="24" t="inlineStr">
        <is>
          <t>San Miguel</t>
        </is>
      </c>
      <c r="AS27" s="24" t="inlineStr">
        <is>
          <t>Chaco For Ever</t>
        </is>
      </c>
      <c r="AT27" s="24" t="inlineStr">
        <is>
          <t>Chaco For Ever</t>
        </is>
      </c>
      <c r="AU27" s="24" t="inlineStr">
        <is>
          <t>Chaco For Ever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f585a7f3cb7ee04f9a319a60fa601ef15e86636fadaaa8c1380ac0f28f75c58a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f585a7f3cb7ee04f9a319a60fa601ef15e86636fadaaa8c1380ac0f28f75c58a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f585a7f3cb7ee04f9a319a60fa601ef15e86636fadaaa8c1380ac0f28f75c58a</t>
        </is>
      </c>
      <c r="BH27" s="24" t="inlineStr">
        <is>
          <t>2026-08-26T16:31:16.889306Z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1.44</v>
      </c>
      <c r="BZ27" s="24" t="inlineStr">
        <is>
          <t>2026-08-26T22:11:53.798328Z</t>
        </is>
      </c>
      <c r="CA27" s="31" t="inlineStr">
        <is>
          <t>fixed one-unit hypothetical scoring; no real exposure or execution</t>
        </is>
      </c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0.409836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2b5513d841e842c0</t>
        </is>
      </c>
      <c r="B28" s="24" t="inlineStr">
        <is>
          <t>2026-08-26T16:35:11.867033Z</t>
        </is>
      </c>
      <c r="C28" s="24" t="inlineStr">
        <is>
          <t>2026-08-26T18:30Z</t>
        </is>
      </c>
      <c r="D28" s="24" t="inlineStr">
        <is>
          <t>401843989</t>
        </is>
      </c>
      <c r="E28" s="24" t="inlineStr">
        <is>
          <t>SOCCER</t>
        </is>
      </c>
      <c r="F28" s="24" t="inlineStr">
        <is>
          <t>Atlanta</t>
        </is>
      </c>
      <c r="G28" s="24" t="inlineStr">
        <is>
          <t>Patronato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138</v>
      </c>
      <c r="M28" s="27" t="n">
        <v>2.38</v>
      </c>
      <c r="N28" s="28" t="n">
        <v>0.420168</v>
      </c>
      <c r="O28" s="28" t="n">
        <v>0.456135</v>
      </c>
      <c r="P28" s="28" t="n">
        <v>0.2</v>
      </c>
      <c r="Q28" s="28" t="n">
        <v>0.035967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2</v>
      </c>
      <c r="Y28" s="25" t="n"/>
      <c r="Z28" s="26" t="n"/>
      <c r="AA28" s="28" t="n"/>
      <c r="AB28" s="28" t="n"/>
      <c r="AC28" s="30" t="n">
        <v>1.38</v>
      </c>
      <c r="AD28" s="24" t="inlineStr">
        <is>
          <t>2026-08-26T22:11:54.845391Z</t>
        </is>
      </c>
      <c r="AE28" s="31" t="inlineStr">
        <is>
          <t>Poisson-DC rates 1.64 (home) / 1.24 (away) from EWMA attack/defense strengths. Executable ask 0.4200 (atc-arg2-cap-atl-2026-08-26-cap).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Atlanta</t>
        </is>
      </c>
      <c r="AQ28" s="24" t="inlineStr">
        <is>
          <t>Atlanta</t>
        </is>
      </c>
      <c r="AR28" s="24" t="inlineStr">
        <is>
          <t>Atlanta</t>
        </is>
      </c>
      <c r="AS28" s="24" t="inlineStr">
        <is>
          <t>Patronato</t>
        </is>
      </c>
      <c r="AT28" s="24" t="inlineStr">
        <is>
          <t>Patronato</t>
        </is>
      </c>
      <c r="AU28" s="24" t="inlineStr">
        <is>
          <t>Patronato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f585a7f3cb7ee04f9a319a60fa601ef15e86636fadaaa8c1380ac0f28f75c58a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f585a7f3cb7ee04f9a319a60fa601ef15e86636fadaaa8c1380ac0f28f75c58a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f585a7f3cb7ee04f9a319a60fa601ef15e86636fadaaa8c1380ac0f28f75c58a</t>
        </is>
      </c>
      <c r="BH28" s="24" t="inlineStr">
        <is>
          <t>2026-08-26T16:31:16.912144Z</t>
        </is>
      </c>
      <c r="BI28" s="24" t="inlineStr">
        <is>
          <t>["same_event","same_team_same_day","same_league_same_day"]</t>
        </is>
      </c>
      <c r="BJ28" s="25" t="n"/>
      <c r="BK28" s="26" t="n">
        <v>138</v>
      </c>
      <c r="BL28" s="27" t="n">
        <v>2.38</v>
      </c>
      <c r="BM28" s="28" t="n">
        <v>0.420168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1.38</v>
      </c>
      <c r="BZ28" s="24" t="inlineStr">
        <is>
          <t>2026-08-26T22:11:54.845391Z</t>
        </is>
      </c>
      <c r="CA28" s="31" t="inlineStr">
        <is>
          <t>fixed one-unit hypothetical scoring; no real exposure or execution</t>
        </is>
      </c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0.420168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d57307b4f8134233</t>
        </is>
      </c>
      <c r="B29" s="24" t="inlineStr">
        <is>
          <t>2026-08-26T22:17:59.923991Z</t>
        </is>
      </c>
      <c r="C29" s="24" t="inlineStr">
        <is>
          <t>2026-08-27T00:30Z</t>
        </is>
      </c>
      <c r="D29" s="24" t="inlineStr">
        <is>
          <t>401903295</t>
        </is>
      </c>
      <c r="E29" s="24" t="inlineStr">
        <is>
          <t>SOCCER</t>
        </is>
      </c>
      <c r="F29" s="24" t="inlineStr">
        <is>
          <t>Independiente Santa Fe</t>
        </is>
      </c>
      <c r="G29" s="24" t="inlineStr">
        <is>
          <t>River Plate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0.564816</v>
      </c>
      <c r="P29" s="28" t="n">
        <v>0.2</v>
      </c>
      <c r="Q29" s="28" t="n">
        <v>0.114366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2026-08-27T03:39:17.178085Z</t>
        </is>
      </c>
      <c r="AE29" s="31" t="inlineStr">
        <is>
          <t>Poisson-DC rates 1.84 (home) / 1.10 (away) from EWMA attack/defense strengths. Executable ask 0.4500 (tsc-sud-riv-isf-2026-08-26-2pt5).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Independiente Santa Fe</t>
        </is>
      </c>
      <c r="AQ29" s="24" t="inlineStr">
        <is>
          <t>Independiente Santa Fe</t>
        </is>
      </c>
      <c r="AR29" s="24" t="inlineStr">
        <is>
          <t>Independiente Santa Fe</t>
        </is>
      </c>
      <c r="AS29" s="24" t="inlineStr">
        <is>
          <t>River Plate</t>
        </is>
      </c>
      <c r="AT29" s="24" t="inlineStr">
        <is>
          <t>River Plate</t>
        </is>
      </c>
      <c r="AU29" s="24" t="inlineStr">
        <is>
          <t>River Plate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f585a7f3cb7ee04f9a319a60fa601ef15e86636fadaaa8c1380ac0f28f75c58a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f585a7f3cb7ee04f9a319a60fa601ef15e86636fadaaa8c1380ac0f28f75c58a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f585a7f3cb7ee04f9a319a60fa601ef15e86636fadaaa8c1380ac0f28f75c58a</t>
        </is>
      </c>
      <c r="BH29" s="24" t="inlineStr">
        <is>
          <t>2026-08-26T22:16:54.700994Z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inlineStr">
        <is>
          <t>2026-08-27T03:39:17.178085Z</t>
        </is>
      </c>
      <c r="CA29" s="31" t="inlineStr">
        <is>
          <t>fixed one-unit hypothetical scoring; no real exposure or execution</t>
        </is>
      </c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0.45045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69cf37524ec445b6</t>
        </is>
      </c>
      <c r="B30" s="24" t="inlineStr">
        <is>
          <t>2026-08-26T22:17:59.923991Z</t>
        </is>
      </c>
      <c r="C30" s="24" t="inlineStr">
        <is>
          <t>2026-08-27T00:30Z</t>
        </is>
      </c>
      <c r="D30" s="24" t="inlineStr">
        <is>
          <t>401903295</t>
        </is>
      </c>
      <c r="E30" s="24" t="inlineStr">
        <is>
          <t>SOCCER</t>
        </is>
      </c>
      <c r="F30" s="24" t="inlineStr">
        <is>
          <t>Independiente Santa Fe</t>
        </is>
      </c>
      <c r="G30" s="24" t="inlineStr">
        <is>
          <t>River Plate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-300</v>
      </c>
      <c r="M30" s="27" t="n">
        <v>1.333333</v>
      </c>
      <c r="N30" s="28" t="n">
        <v>0.75</v>
      </c>
      <c r="O30" s="28" t="n">
        <v>0.5359159999999999</v>
      </c>
      <c r="P30" s="28" t="n">
        <v>0.2</v>
      </c>
      <c r="Q30" s="28" t="n">
        <v>-0.214084</v>
      </c>
      <c r="R30" s="26" t="n">
        <v>0</v>
      </c>
      <c r="S30" s="29" t="n">
        <v>1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1</v>
      </c>
      <c r="Y30" s="25" t="n"/>
      <c r="Z30" s="26" t="n"/>
      <c r="AA30" s="28" t="n"/>
      <c r="AB30" s="28" t="n"/>
      <c r="AC30" s="30" t="n">
        <v>-1</v>
      </c>
      <c r="AD30" s="24" t="inlineStr">
        <is>
          <t>2026-08-27T03:39:19.248015Z</t>
        </is>
      </c>
      <c r="AE30" s="31" t="inlineStr">
        <is>
          <t>Poisson-DC rates 1.84 (home) / 1.10 (away) from EWMA attack/defense strengths. Executable ask 0.7500 (atc-sud-riv-isf-2026-08-26-riv).</t>
        </is>
      </c>
      <c r="AF30" s="31" t="inlineStr">
        <is>
          <t>Research-only soccer score model; draw-aware, but not yet locked-holdout qualified.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Independiente Santa Fe</t>
        </is>
      </c>
      <c r="AQ30" s="24" t="inlineStr">
        <is>
          <t>Independiente Santa Fe</t>
        </is>
      </c>
      <c r="AR30" s="24" t="inlineStr">
        <is>
          <t>Independiente Santa Fe</t>
        </is>
      </c>
      <c r="AS30" s="24" t="inlineStr">
        <is>
          <t>River Plate</t>
        </is>
      </c>
      <c r="AT30" s="24" t="inlineStr">
        <is>
          <t>River Plate</t>
        </is>
      </c>
      <c r="AU30" s="24" t="inlineStr">
        <is>
          <t>River Plate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f585a7f3cb7ee04f9a319a60fa601ef15e86636fadaaa8c1380ac0f28f75c58a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f585a7f3cb7ee04f9a319a60fa601ef15e86636fadaaa8c1380ac0f28f75c58a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f585a7f3cb7ee04f9a319a60fa601ef15e86636fadaaa8c1380ac0f28f75c58a</t>
        </is>
      </c>
      <c r="BH30" s="24" t="inlineStr">
        <is>
          <t>2026-08-26T22:16:54.661176Z</t>
        </is>
      </c>
      <c r="BI30" s="24" t="inlineStr">
        <is>
          <t>["same_event","same_team_same_day","same_league_same_day"]</t>
        </is>
      </c>
      <c r="BJ30" s="25" t="n"/>
      <c r="BK30" s="26" t="n">
        <v>-300</v>
      </c>
      <c r="BL30" s="27" t="n">
        <v>1.333333</v>
      </c>
      <c r="BM30" s="28" t="n">
        <v>0.75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inlineStr">
        <is>
          <t>2026-08-27T03:39:19.248015Z</t>
        </is>
      </c>
      <c r="CA30" s="31" t="inlineStr">
        <is>
          <t>fixed one-unit hypothetical scoring; no real exposure or execution</t>
        </is>
      </c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0.75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d36dec2a0d0c45aa</t>
        </is>
      </c>
      <c r="B31" s="24" t="inlineStr">
        <is>
          <t>2026-08-27T13:58:22.555559Z</t>
        </is>
      </c>
      <c r="C31" s="24" t="inlineStr">
        <is>
          <t>2026-08-27T19:00Z</t>
        </is>
      </c>
      <c r="D31" s="24" t="inlineStr">
        <is>
          <t>401882921</t>
        </is>
      </c>
      <c r="E31" s="24" t="inlineStr">
        <is>
          <t>SOCCER</t>
        </is>
      </c>
      <c r="F31" s="24" t="inlineStr">
        <is>
          <t>Athletic Club</t>
        </is>
      </c>
      <c r="G31" s="24" t="inlineStr">
        <is>
          <t>Barcelona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-426</v>
      </c>
      <c r="M31" s="27" t="n">
        <v>1.234742</v>
      </c>
      <c r="N31" s="28" t="n">
        <v>0.809886</v>
      </c>
      <c r="O31" s="28" t="n">
        <v>0.796816</v>
      </c>
      <c r="P31" s="28" t="n">
        <v>0.04</v>
      </c>
      <c r="Q31" s="28" t="n">
        <v>-0.01307</v>
      </c>
      <c r="R31" s="26" t="n">
        <v>19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2</v>
      </c>
      <c r="Y31" s="25" t="n"/>
      <c r="Z31" s="26" t="n"/>
      <c r="AA31" s="28" t="n"/>
      <c r="AB31" s="28" t="n"/>
      <c r="AC31" s="30" t="n">
        <v>0.2347</v>
      </c>
      <c r="AD31" s="24" t="inlineStr">
        <is>
          <t>2026-08-27T21:47:02.057591Z</t>
        </is>
      </c>
      <c r="AE31" s="31" t="inlineStr">
        <is>
          <t>Poisson-DC rates 2.96 (home) / 0.83 (away) from EWMA attack/defense strengths. Executable ask 0.8100 (atc-lal-fcb-ath-2026-08-27-fcb).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Athletic Club</t>
        </is>
      </c>
      <c r="AQ31" s="24" t="inlineStr">
        <is>
          <t>Athletic Club</t>
        </is>
      </c>
      <c r="AR31" s="24" t="inlineStr">
        <is>
          <t>Athletic Club</t>
        </is>
      </c>
      <c r="AS31" s="24" t="inlineStr">
        <is>
          <t>Barcelona</t>
        </is>
      </c>
      <c r="AT31" s="24" t="inlineStr">
        <is>
          <t>Barcelona</t>
        </is>
      </c>
      <c r="AU31" s="24" t="inlineStr">
        <is>
          <t>Barcelona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f585a7f3cb7ee04f9a319a60fa601ef15e86636fadaaa8c1380ac0f28f75c58a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f585a7f3cb7ee04f9a319a60fa601ef15e86636fadaaa8c1380ac0f28f75c58a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f585a7f3cb7ee04f9a319a60fa601ef15e86636fadaaa8c1380ac0f28f75c58a</t>
        </is>
      </c>
      <c r="BH31" s="24" t="inlineStr">
        <is>
          <t>2026-08-27T13:56:37.901224Z</t>
        </is>
      </c>
      <c r="BI31" s="24" t="inlineStr">
        <is>
          <t>["same_event","same_team_same_day","same_league_same_day"]</t>
        </is>
      </c>
      <c r="BJ31" s="25" t="n"/>
      <c r="BK31" s="26" t="n">
        <v>-426</v>
      </c>
      <c r="BL31" s="27" t="n">
        <v>1.234742</v>
      </c>
      <c r="BM31" s="28" t="n">
        <v>0.809886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0.234742</v>
      </c>
      <c r="BZ31" s="24" t="inlineStr">
        <is>
          <t>2026-08-27T21:47:02.057591Z</t>
        </is>
      </c>
      <c r="CA31" s="31" t="inlineStr">
        <is>
          <t>fixed one-unit hypothetical scoring; no real exposure or execution</t>
        </is>
      </c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0.809886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6ad8b5aa27614a33</t>
        </is>
      </c>
      <c r="B32" s="24" t="inlineStr">
        <is>
          <t>2026-08-27T22:19:14.878680Z</t>
        </is>
      </c>
      <c r="C32" s="24" t="inlineStr">
        <is>
          <t>2026-08-27T23:10Z</t>
        </is>
      </c>
      <c r="D32" s="24" t="inlineStr">
        <is>
          <t>401877881</t>
        </is>
      </c>
      <c r="E32" s="24" t="inlineStr">
        <is>
          <t>SOCCER</t>
        </is>
      </c>
      <c r="F32" s="24" t="inlineStr">
        <is>
          <t>Millonarios</t>
        </is>
      </c>
      <c r="G32" s="24" t="inlineStr">
        <is>
          <t>Llaneros FC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270</v>
      </c>
      <c r="M32" s="27" t="n">
        <v>3.7</v>
      </c>
      <c r="N32" s="28" t="n">
        <v>0.27027</v>
      </c>
      <c r="O32" s="28" t="n">
        <v>0.440521</v>
      </c>
      <c r="P32" s="28" t="n">
        <v>0.2</v>
      </c>
      <c r="Q32" s="28" t="n">
        <v>0.170251</v>
      </c>
      <c r="R32" s="26" t="n">
        <v>15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0</v>
      </c>
      <c r="Y32" s="25" t="n"/>
      <c r="Z32" s="26" t="n"/>
      <c r="AA32" s="28" t="n"/>
      <c r="AB32" s="28" t="n"/>
      <c r="AC32" s="30" t="n">
        <v>-1</v>
      </c>
      <c r="AD32" s="24" t="inlineStr">
        <is>
          <t>2026-08-28T02:37:21.632722Z</t>
        </is>
      </c>
      <c r="AE32" s="31" t="inlineStr">
        <is>
          <t>Poisson-DC rates 1.46 (home) / 1.10 (away) from EWMA attack/defense strengths. Executable ask 0.2700 (atc-lco-lla-mil-2026-08-27-lla).</t>
        </is>
      </c>
      <c r="AF32" s="31" t="inlineStr">
        <is>
          <t>Research-only soccer score model; draw-aware, but not yet locked-holdout qualified.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Millonarios</t>
        </is>
      </c>
      <c r="AQ32" s="24" t="inlineStr">
        <is>
          <t>Millonarios</t>
        </is>
      </c>
      <c r="AR32" s="24" t="inlineStr">
        <is>
          <t>Millonarios</t>
        </is>
      </c>
      <c r="AS32" s="24" t="inlineStr">
        <is>
          <t>Llaneros FC</t>
        </is>
      </c>
      <c r="AT32" s="24" t="inlineStr">
        <is>
          <t>Llaneros FC</t>
        </is>
      </c>
      <c r="AU32" s="24" t="inlineStr">
        <is>
          <t>Llaneros FC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f585a7f3cb7ee04f9a319a60fa601ef15e86636fadaaa8c1380ac0f28f75c58a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f585a7f3cb7ee04f9a319a60fa601ef15e86636fadaaa8c1380ac0f28f75c58a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f585a7f3cb7ee04f9a319a60fa601ef15e86636fadaaa8c1380ac0f28f75c58a</t>
        </is>
      </c>
      <c r="BH32" s="24" t="inlineStr">
        <is>
          <t>2026-08-27T22:17:27.428966Z</t>
        </is>
      </c>
      <c r="BI32" s="24" t="inlineStr">
        <is>
          <t>["same_event","same_team_same_day","same_league_same_day"]</t>
        </is>
      </c>
      <c r="BJ32" s="25" t="n"/>
      <c r="BK32" s="26" t="n">
        <v>270</v>
      </c>
      <c r="BL32" s="27" t="n">
        <v>3.7</v>
      </c>
      <c r="BM32" s="28" t="n">
        <v>0.27027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-1</v>
      </c>
      <c r="BZ32" s="24" t="inlineStr">
        <is>
          <t>2026-08-28T02:37:21.632722Z</t>
        </is>
      </c>
      <c r="CA32" s="31" t="inlineStr">
        <is>
          <t>fixed one-unit hypothetical scoring; no real exposure or execution</t>
        </is>
      </c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0.27027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7e7599820639487a</t>
        </is>
      </c>
      <c r="B33" s="24" t="inlineStr">
        <is>
          <t>2026-08-28T12:35:00.420703Z</t>
        </is>
      </c>
      <c r="C33" s="24" t="inlineStr">
        <is>
          <t>2026-08-28T19:00Z</t>
        </is>
      </c>
      <c r="D33" s="24" t="inlineStr">
        <is>
          <t>401879294</t>
        </is>
      </c>
      <c r="E33" s="24" t="inlineStr">
        <is>
          <t>SOCCER</t>
        </is>
      </c>
      <c r="F33" s="24" t="inlineStr">
        <is>
          <t>Manchester City</t>
        </is>
      </c>
      <c r="G33" s="24" t="inlineStr">
        <is>
          <t>Crystal Palace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0.481635</v>
      </c>
      <c r="P33" s="28" t="n">
        <v>0.04</v>
      </c>
      <c r="Q33" s="28" t="n">
        <v>-0.108529</v>
      </c>
      <c r="R33" s="26" t="n">
        <v>0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4</v>
      </c>
      <c r="X33" s="26" t="n">
        <v>1</v>
      </c>
      <c r="Y33" s="25" t="n"/>
      <c r="Z33" s="26" t="n"/>
      <c r="AA33" s="28" t="n"/>
      <c r="AB33" s="28" t="n"/>
      <c r="AC33" s="30" t="n">
        <v>0.6944</v>
      </c>
      <c r="AD33" s="24" t="inlineStr">
        <is>
          <t>2026-08-29T12:32:39.648995Z</t>
        </is>
      </c>
      <c r="AE33" s="31" t="inlineStr">
        <is>
          <t>Poisson-DC rates 1.19 (home) / 1.70 (away) from EWMA attack/defense strengths. Executable ask 0.5900 (atc-epl-cry-mnc-2026-08-28-mnc).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Manchester City</t>
        </is>
      </c>
      <c r="AQ33" s="24" t="inlineStr">
        <is>
          <t>Manchester City</t>
        </is>
      </c>
      <c r="AR33" s="24" t="inlineStr">
        <is>
          <t>Manchester City</t>
        </is>
      </c>
      <c r="AS33" s="24" t="inlineStr">
        <is>
          <t>Crystal Palace</t>
        </is>
      </c>
      <c r="AT33" s="24" t="inlineStr">
        <is>
          <t>Crystal Palace</t>
        </is>
      </c>
      <c r="AU33" s="24" t="inlineStr">
        <is>
          <t>Crystal Palace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f585a7f3cb7ee04f9a319a60fa601ef15e86636fadaaa8c1380ac0f28f75c58a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f585a7f3cb7ee04f9a319a60fa601ef15e86636fadaaa8c1380ac0f28f75c58a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f585a7f3cb7ee04f9a319a60fa601ef15e86636fadaaa8c1380ac0f28f75c58a</t>
        </is>
      </c>
      <c r="BH33" s="24" t="inlineStr">
        <is>
          <t>2026-08-28T12:33:30.528919Z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0.694444</v>
      </c>
      <c r="BZ33" s="24" t="inlineStr">
        <is>
          <t>2026-08-29T12:32:39.648995Z</t>
        </is>
      </c>
      <c r="CA33" s="31" t="inlineStr">
        <is>
          <t>fixed one-unit hypothetical scoring; no real exposure or execution</t>
        </is>
      </c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0.590164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d6eb922df50943d0</t>
        </is>
      </c>
      <c r="B34" s="24" t="inlineStr">
        <is>
          <t>2026-08-28T12:35:00.420703Z</t>
        </is>
      </c>
      <c r="C34" s="24" t="inlineStr">
        <is>
          <t>2026-08-28T18:45Z</t>
        </is>
      </c>
      <c r="D34" s="24" t="inlineStr">
        <is>
          <t>401874758</t>
        </is>
      </c>
      <c r="E34" s="24" t="inlineStr">
        <is>
          <t>SOCCER</t>
        </is>
      </c>
      <c r="F34" s="24" t="inlineStr">
        <is>
          <t>Venezia</t>
        </is>
      </c>
      <c r="G34" s="24" t="inlineStr">
        <is>
          <t>AC Milan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-203</v>
      </c>
      <c r="M34" s="27" t="n">
        <v>1.492611</v>
      </c>
      <c r="N34" s="28" t="n">
        <v>0.669967</v>
      </c>
      <c r="O34" s="28" t="n">
        <v>0.548899</v>
      </c>
      <c r="P34" s="28" t="n">
        <v>0.04</v>
      </c>
      <c r="Q34" s="28" t="n">
        <v>-0.121068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2</v>
      </c>
      <c r="Y34" s="25" t="n"/>
      <c r="Z34" s="26" t="n"/>
      <c r="AA34" s="28" t="n"/>
      <c r="AB34" s="28" t="n"/>
      <c r="AC34" s="30" t="n">
        <v>0.4926</v>
      </c>
      <c r="AD34" s="24" t="inlineStr">
        <is>
          <t>2026-08-29T12:32:40.782896Z</t>
        </is>
      </c>
      <c r="AE34" s="31" t="inlineStr">
        <is>
          <t>Poisson-DC rates 1.46 (home) / 0.68 (away) from EWMA attack/defense strengths. Executable ask 0.6700 (atc-sea-mil-ven-2026-08-28-mil).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Venezia</t>
        </is>
      </c>
      <c r="AQ34" s="24" t="inlineStr">
        <is>
          <t>Venezia</t>
        </is>
      </c>
      <c r="AR34" s="24" t="inlineStr">
        <is>
          <t>Venezia</t>
        </is>
      </c>
      <c r="AS34" s="24" t="inlineStr">
        <is>
          <t>AC Milan</t>
        </is>
      </c>
      <c r="AT34" s="24" t="inlineStr">
        <is>
          <t>AC Milan</t>
        </is>
      </c>
      <c r="AU34" s="24" t="inlineStr">
        <is>
          <t>AC Milan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f585a7f3cb7ee04f9a319a60fa601ef15e86636fadaaa8c1380ac0f28f75c58a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f585a7f3cb7ee04f9a319a60fa601ef15e86636fadaaa8c1380ac0f28f75c58a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f585a7f3cb7ee04f9a319a60fa601ef15e86636fadaaa8c1380ac0f28f75c58a</t>
        </is>
      </c>
      <c r="BH34" s="24" t="inlineStr">
        <is>
          <t>2026-08-28T12:33:31.007249Z</t>
        </is>
      </c>
      <c r="BI34" s="24" t="inlineStr">
        <is>
          <t>["same_event","same_team_same_day","same_league_same_day"]</t>
        </is>
      </c>
      <c r="BJ34" s="25" t="n"/>
      <c r="BK34" s="26" t="n">
        <v>-203</v>
      </c>
      <c r="BL34" s="27" t="n">
        <v>1.492611</v>
      </c>
      <c r="BM34" s="28" t="n">
        <v>0.669967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0.492611</v>
      </c>
      <c r="BZ34" s="24" t="inlineStr">
        <is>
          <t>2026-08-29T12:32:40.782896Z</t>
        </is>
      </c>
      <c r="CA34" s="31" t="inlineStr">
        <is>
          <t>fixed one-unit hypothetical scoring; no real exposure or execution</t>
        </is>
      </c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0.669967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00057487bf884674</t>
        </is>
      </c>
      <c r="B35" s="24" t="inlineStr">
        <is>
          <t>2026-08-28T12:35:00.420703Z</t>
        </is>
      </c>
      <c r="C35" s="24" t="inlineStr">
        <is>
          <t>2026-08-29T01:00Z</t>
        </is>
      </c>
      <c r="D35" s="24" t="inlineStr">
        <is>
          <t>401844097</t>
        </is>
      </c>
      <c r="E35" s="24" t="inlineStr">
        <is>
          <t>SOCCER</t>
        </is>
      </c>
      <c r="F35" s="24" t="inlineStr">
        <is>
          <t>Chacarita Juniors</t>
        </is>
      </c>
      <c r="G35" s="24" t="inlineStr">
        <is>
          <t>Gimnasia y Tiro (Salta)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0.456135</v>
      </c>
      <c r="P35" s="28" t="n">
        <v>0.2</v>
      </c>
      <c r="Q35" s="28" t="n">
        <v>-0.024634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1.08</v>
      </c>
      <c r="AD35" s="24" t="inlineStr">
        <is>
          <t>2026-08-29T12:32:42.265726Z</t>
        </is>
      </c>
      <c r="AE35" s="31" t="inlineStr">
        <is>
          <t>Poisson-DC rates 1.64 (home) / 1.24 (away) from EWMA attack/defense strengths. Executable ask 0.4800 (atc-arg2-gyt-cjh-2026-08-28-gyt).</t>
        </is>
      </c>
      <c r="AF35" s="31" t="inlineStr">
        <is>
          <t>Research-only soccer score model; draw-aware, but not yet locked-holdout qualified.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Chacarita Juniors</t>
        </is>
      </c>
      <c r="AQ35" s="24" t="inlineStr">
        <is>
          <t>Chacarita Juniors</t>
        </is>
      </c>
      <c r="AR35" s="24" t="inlineStr">
        <is>
          <t>Chacarita Juniors</t>
        </is>
      </c>
      <c r="AS35" s="24" t="inlineStr">
        <is>
          <t>Gimnasia y Tiro (Salta)</t>
        </is>
      </c>
      <c r="AT35" s="24" t="inlineStr">
        <is>
          <t>Gimnasia y Tiro (Salta)</t>
        </is>
      </c>
      <c r="AU35" s="24" t="inlineStr">
        <is>
          <t>Gimnasia y Tiro (Salta)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f585a7f3cb7ee04f9a319a60fa601ef15e86636fadaaa8c1380ac0f28f75c58a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f585a7f3cb7ee04f9a319a60fa601ef15e86636fadaaa8c1380ac0f28f75c58a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f585a7f3cb7ee04f9a319a60fa601ef15e86636fadaaa8c1380ac0f28f75c58a</t>
        </is>
      </c>
      <c r="BH35" s="24" t="inlineStr">
        <is>
          <t>2026-08-28T12:33:31.200581Z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1.080001</v>
      </c>
      <c r="BZ35" s="24" t="inlineStr">
        <is>
          <t>2026-08-29T12:32:42.265726Z</t>
        </is>
      </c>
      <c r="CA35" s="31" t="inlineStr">
        <is>
          <t>fixed one-unit hypothetical scoring; no real exposure or execution</t>
        </is>
      </c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0.480769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0cb14219f81f4b74</t>
        </is>
      </c>
      <c r="B36" s="24" t="inlineStr">
        <is>
          <t>2026-08-28T12:35:00.420703Z</t>
        </is>
      </c>
      <c r="C36" s="24" t="inlineStr">
        <is>
          <t>2026-08-28T22:30Z</t>
        </is>
      </c>
      <c r="D36" s="24" t="inlineStr">
        <is>
          <t>401850636</t>
        </is>
      </c>
      <c r="E36" s="24" t="inlineStr">
        <is>
          <t>SOCCER</t>
        </is>
      </c>
      <c r="F36" s="24" t="inlineStr">
        <is>
          <t>Palestino</t>
        </is>
      </c>
      <c r="G36" s="24" t="inlineStr">
        <is>
          <t>Cobresal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156</v>
      </c>
      <c r="M36" s="27" t="n">
        <v>2.56</v>
      </c>
      <c r="N36" s="28" t="n">
        <v>0.390625</v>
      </c>
      <c r="O36" s="28" t="n">
        <v>0.396866</v>
      </c>
      <c r="P36" s="28" t="n">
        <v>0.19</v>
      </c>
      <c r="Q36" s="28" t="n">
        <v>0.006241</v>
      </c>
      <c r="R36" s="26" t="n">
        <v>0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2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2026-08-29T12:32:43.371211Z</t>
        </is>
      </c>
      <c r="AE36" s="31" t="inlineStr">
        <is>
          <t>Poisson-DC rates 1.30 (home) / 1.46 (away) from EWMA attack/defense strengths. Executable ask 0.3900 (atc-pdc-cbs-pal-2026-08-28-pal).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Palestino</t>
        </is>
      </c>
      <c r="AQ36" s="24" t="inlineStr">
        <is>
          <t>Palestino</t>
        </is>
      </c>
      <c r="AR36" s="24" t="inlineStr">
        <is>
          <t>Palestino</t>
        </is>
      </c>
      <c r="AS36" s="24" t="inlineStr">
        <is>
          <t>Cobresal</t>
        </is>
      </c>
      <c r="AT36" s="24" t="inlineStr">
        <is>
          <t>Cobresal</t>
        </is>
      </c>
      <c r="AU36" s="24" t="inlineStr">
        <is>
          <t>Cobresal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f585a7f3cb7ee04f9a319a60fa601ef15e86636fadaaa8c1380ac0f28f75c58a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f585a7f3cb7ee04f9a319a60fa601ef15e86636fadaaa8c1380ac0f28f75c58a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f585a7f3cb7ee04f9a319a60fa601ef15e86636fadaaa8c1380ac0f28f75c58a</t>
        </is>
      </c>
      <c r="BH36" s="24" t="inlineStr">
        <is>
          <t>2026-08-28T12:33:31.207618Z</t>
        </is>
      </c>
      <c r="BI36" s="24" t="inlineStr">
        <is>
          <t>["same_event","same_team_same_day","same_league_same_day"]</t>
        </is>
      </c>
      <c r="BJ36" s="25" t="n"/>
      <c r="BK36" s="26" t="n">
        <v>156</v>
      </c>
      <c r="BL36" s="27" t="n">
        <v>2.56</v>
      </c>
      <c r="BM36" s="28" t="n">
        <v>0.390625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-1</v>
      </c>
      <c r="BZ36" s="24" t="inlineStr">
        <is>
          <t>2026-08-29T12:32:43.371211Z</t>
        </is>
      </c>
      <c r="CA36" s="31" t="inlineStr">
        <is>
          <t>fixed one-unit hypothetical scoring; no real exposure or execution</t>
        </is>
      </c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0.390625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bef36429087f4b17</t>
        </is>
      </c>
      <c r="B37" s="24" t="inlineStr">
        <is>
          <t>2026-08-28T12:35:00.420703Z</t>
        </is>
      </c>
      <c r="C37" s="24" t="inlineStr">
        <is>
          <t>2026-08-28T20:00Z</t>
        </is>
      </c>
      <c r="D37" s="24" t="inlineStr">
        <is>
          <t>401886193</t>
        </is>
      </c>
      <c r="E37" s="24" t="inlineStr">
        <is>
          <t>SOCCER</t>
        </is>
      </c>
      <c r="F37" s="24" t="inlineStr">
        <is>
          <t>FC Cajamarca</t>
        </is>
      </c>
      <c r="G37" s="24" t="inlineStr">
        <is>
          <t>Comerciantes Unidos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0.461873</v>
      </c>
      <c r="P37" s="28" t="n">
        <v>0.2</v>
      </c>
      <c r="Q37" s="28" t="n">
        <v>-0.138127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3</v>
      </c>
      <c r="X37" s="26" t="n">
        <v>2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2026-08-29T12:32:44.595665Z</t>
        </is>
      </c>
      <c r="AE37" s="31" t="inlineStr">
        <is>
          <t>Poisson-DC rates 1.72 (home) / 1.30 (away) from EWMA attack/defense strengths. Executable ask 0.6000 (atc-pl1-cou-caj-2026-08-28-cou).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FC Cajamarca</t>
        </is>
      </c>
      <c r="AQ37" s="24" t="inlineStr">
        <is>
          <t>FC Cajamarca</t>
        </is>
      </c>
      <c r="AR37" s="24" t="inlineStr">
        <is>
          <t>FC Cajamarca</t>
        </is>
      </c>
      <c r="AS37" s="24" t="inlineStr">
        <is>
          <t>Comerciantes Unidos</t>
        </is>
      </c>
      <c r="AT37" s="24" t="inlineStr">
        <is>
          <t>Comerciantes Unidos</t>
        </is>
      </c>
      <c r="AU37" s="24" t="inlineStr">
        <is>
          <t>Comerciantes Unidos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f585a7f3cb7ee04f9a319a60fa601ef15e86636fadaaa8c1380ac0f28f75c58a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f585a7f3cb7ee04f9a319a60fa601ef15e86636fadaaa8c1380ac0f28f75c58a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f585a7f3cb7ee04f9a319a60fa601ef15e86636fadaaa8c1380ac0f28f75c58a</t>
        </is>
      </c>
      <c r="BH37" s="24" t="inlineStr">
        <is>
          <t>2026-08-28T12:33:31.265108Z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inlineStr">
        <is>
          <t>2026-08-29T12:32:44.595665Z</t>
        </is>
      </c>
      <c r="CA37" s="31" t="inlineStr">
        <is>
          <t>fixed one-unit hypothetical scoring; no real exposure or execution</t>
        </is>
      </c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0c7b33a9024b4029</t>
        </is>
      </c>
      <c r="B38" s="24" t="inlineStr">
        <is>
          <t>2026-08-29T12:42:16.008350Z</t>
        </is>
      </c>
      <c r="C38" s="24" t="inlineStr">
        <is>
          <t>2026-08-29T14:00Z</t>
        </is>
      </c>
      <c r="D38" s="24" t="inlineStr">
        <is>
          <t>401879296</t>
        </is>
      </c>
      <c r="E38" s="24" t="inlineStr">
        <is>
          <t>SOCCER</t>
        </is>
      </c>
      <c r="F38" s="24" t="inlineStr">
        <is>
          <t>Everton</t>
        </is>
      </c>
      <c r="G38" s="24" t="inlineStr">
        <is>
          <t>AFC Bournemouth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113</v>
      </c>
      <c r="M38" s="27" t="n">
        <v>2.13</v>
      </c>
      <c r="N38" s="28" t="n">
        <v>0.469484</v>
      </c>
      <c r="O38" s="28" t="n">
        <v>0.5553169999999999</v>
      </c>
      <c r="P38" s="28" t="n">
        <v>0.04</v>
      </c>
      <c r="Q38" s="28" t="n">
        <v>0.08583300000000001</v>
      </c>
      <c r="R38" s="26" t="n">
        <v>69</v>
      </c>
      <c r="S38" s="29" t="n">
        <v>1.25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-1.25</v>
      </c>
      <c r="AD38" s="24" t="inlineStr">
        <is>
          <t>2026-08-29T16:00:08.996840Z</t>
        </is>
      </c>
      <c r="AE38" s="31" t="inlineStr">
        <is>
          <t>Poisson-DC rates 1.76 (home) / 0.95 (away) from EWMA attack/defense strengths. Executable ask 0.4700 (atc-epl-bor-eve-2026-08-29-bor).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Everton</t>
        </is>
      </c>
      <c r="AQ38" s="24" t="inlineStr">
        <is>
          <t>Everton</t>
        </is>
      </c>
      <c r="AR38" s="24" t="inlineStr">
        <is>
          <t>Everton</t>
        </is>
      </c>
      <c r="AS38" s="24" t="inlineStr">
        <is>
          <t>AFC Bournemouth</t>
        </is>
      </c>
      <c r="AT38" s="24" t="inlineStr">
        <is>
          <t>AFC Bournemouth</t>
        </is>
      </c>
      <c r="AU38" s="24" t="inlineStr">
        <is>
          <t>AFC Bournemouth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f585a7f3cb7ee04f9a319a60fa601ef15e86636fadaaa8c1380ac0f28f75c58a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f585a7f3cb7ee04f9a319a60fa601ef15e86636fadaaa8c1380ac0f28f75c58a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f585a7f3cb7ee04f9a319a60fa601ef15e86636fadaaa8c1380ac0f28f75c58a</t>
        </is>
      </c>
      <c r="BH38" s="24" t="inlineStr">
        <is>
          <t>2026-08-29T12:40:47.451458Z</t>
        </is>
      </c>
      <c r="BI38" s="24" t="inlineStr">
        <is>
          <t>["same_event","same_team_same_day","same_league_same_day"]</t>
        </is>
      </c>
      <c r="BJ38" s="25" t="n"/>
      <c r="BK38" s="26" t="n">
        <v>113</v>
      </c>
      <c r="BL38" s="27" t="n">
        <v>2.13</v>
      </c>
      <c r="BM38" s="28" t="n">
        <v>0.469484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inlineStr">
        <is>
          <t>2026-08-29T16:00:08.996840Z</t>
        </is>
      </c>
      <c r="CA38" s="31" t="inlineStr">
        <is>
          <t>fixed one-unit hypothetical scoring; no real exposure or execution</t>
        </is>
      </c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0.469484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409ffac2efa942e1</t>
        </is>
      </c>
      <c r="B39" s="24" t="inlineStr">
        <is>
          <t>2026-08-29T12:42:16.008350Z</t>
        </is>
      </c>
      <c r="C39" s="24" t="inlineStr">
        <is>
          <t>2026-08-29T14:00Z</t>
        </is>
      </c>
      <c r="D39" s="24" t="inlineStr">
        <is>
          <t>401879316</t>
        </is>
      </c>
      <c r="E39" s="24" t="inlineStr">
        <is>
          <t>SOCCER</t>
        </is>
      </c>
      <c r="F39" s="24" t="inlineStr">
        <is>
          <t>Hull City</t>
        </is>
      </c>
      <c r="G39" s="24" t="inlineStr">
        <is>
          <t>Coventry City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0.636521</v>
      </c>
      <c r="P39" s="28" t="n">
        <v>0.04</v>
      </c>
      <c r="Q39" s="28" t="n">
        <v>0.08697100000000001</v>
      </c>
      <c r="R39" s="26" t="n">
        <v>69</v>
      </c>
      <c r="S39" s="29" t="n">
        <v>1.25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2026-08-29T16:00:10.108587Z</t>
        </is>
      </c>
      <c r="AE39" s="31" t="inlineStr">
        <is>
          <t>Poisson-DC rates 1.87 (home) / 0.72 (away) from EWMA attack/defense strengths. Executable ask 0.5500 (atc-epl-cov-hul-2026-08-29-cov).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Hull City</t>
        </is>
      </c>
      <c r="AQ39" s="24" t="inlineStr">
        <is>
          <t>Hull City</t>
        </is>
      </c>
      <c r="AR39" s="24" t="inlineStr">
        <is>
          <t>Hull City</t>
        </is>
      </c>
      <c r="AS39" s="24" t="inlineStr">
        <is>
          <t>Coventry City</t>
        </is>
      </c>
      <c r="AT39" s="24" t="inlineStr">
        <is>
          <t>Coventry City</t>
        </is>
      </c>
      <c r="AU39" s="24" t="inlineStr">
        <is>
          <t>Coventry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f585a7f3cb7ee04f9a319a60fa601ef15e86636fadaaa8c1380ac0f28f75c58a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f585a7f3cb7ee04f9a319a60fa601ef15e86636fadaaa8c1380ac0f28f75c58a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f585a7f3cb7ee04f9a319a60fa601ef15e86636fadaaa8c1380ac0f28f75c58a</t>
        </is>
      </c>
      <c r="BH39" s="24" t="inlineStr">
        <is>
          <t>2026-08-29T12:40:47.555445Z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inlineStr">
        <is>
          <t>2026-08-29T16:00:10.108587Z</t>
        </is>
      </c>
      <c r="CA39" s="31" t="inlineStr">
        <is>
          <t>fixed one-unit hypothetical scoring; no real exposure or execution</t>
        </is>
      </c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0.54955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f6bb12ed40534730</t>
        </is>
      </c>
      <c r="B40" s="24" t="inlineStr">
        <is>
          <t>2026-08-29T12:42:16.008350Z</t>
        </is>
      </c>
      <c r="C40" s="24" t="inlineStr">
        <is>
          <t>2026-08-29T15:00Z</t>
        </is>
      </c>
      <c r="D40" s="24" t="inlineStr">
        <is>
          <t>401882902</t>
        </is>
      </c>
      <c r="E40" s="24" t="inlineStr">
        <is>
          <t>SOCCER</t>
        </is>
      </c>
      <c r="F40" s="24" t="inlineStr">
        <is>
          <t>Real Betis</t>
        </is>
      </c>
      <c r="G40" s="24" t="inlineStr">
        <is>
          <t>Levante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245</v>
      </c>
      <c r="M40" s="27" t="n">
        <v>3.45</v>
      </c>
      <c r="N40" s="28" t="n">
        <v>0.289855</v>
      </c>
      <c r="O40" s="28" t="n">
        <v>0.376006</v>
      </c>
      <c r="P40" s="28" t="n">
        <v>0.04</v>
      </c>
      <c r="Q40" s="28" t="n">
        <v>0.08615100000000001</v>
      </c>
      <c r="R40" s="26" t="n">
        <v>69</v>
      </c>
      <c r="S40" s="29" t="n">
        <v>1.25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5</v>
      </c>
      <c r="Y40" s="25" t="n"/>
      <c r="Z40" s="26" t="n"/>
      <c r="AA40" s="28" t="n"/>
      <c r="AB40" s="28" t="n"/>
      <c r="AC40" s="30" t="n">
        <v>3.0625</v>
      </c>
      <c r="AD40" s="24" t="inlineStr">
        <is>
          <t>2026-08-30T03:24:07.368510Z</t>
        </is>
      </c>
      <c r="AE40" s="31" t="inlineStr">
        <is>
          <t>Poisson-DC rates 1.49 (home) / 1.44 (away) from EWMA attack/defense strengths. Executable ask 0.2900 (atc-lal-lev-bet-2026-08-29-lev).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Real Betis</t>
        </is>
      </c>
      <c r="AQ40" s="24" t="inlineStr">
        <is>
          <t>Real Betis</t>
        </is>
      </c>
      <c r="AR40" s="24" t="inlineStr">
        <is>
          <t>Real Betis</t>
        </is>
      </c>
      <c r="AS40" s="24" t="inlineStr">
        <is>
          <t>Levante</t>
        </is>
      </c>
      <c r="AT40" s="24" t="inlineStr">
        <is>
          <t>Levante</t>
        </is>
      </c>
      <c r="AU40" s="24" t="inlineStr">
        <is>
          <t>Levante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f585a7f3cb7ee04f9a319a60fa601ef15e86636fadaaa8c1380ac0f28f75c58a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f585a7f3cb7ee04f9a319a60fa601ef15e86636fadaaa8c1380ac0f28f75c58a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f585a7f3cb7ee04f9a319a60fa601ef15e86636fadaaa8c1380ac0f28f75c58a</t>
        </is>
      </c>
      <c r="BH40" s="24" t="inlineStr">
        <is>
          <t>2026-08-29T12:40:47.774305Z</t>
        </is>
      </c>
      <c r="BI40" s="24" t="inlineStr">
        <is>
          <t>["same_event","same_team_same_day","same_league_same_day"]</t>
        </is>
      </c>
      <c r="BJ40" s="25" t="n"/>
      <c r="BK40" s="26" t="n">
        <v>245</v>
      </c>
      <c r="BL40" s="27" t="n">
        <v>3.45</v>
      </c>
      <c r="BM40" s="28" t="n">
        <v>0.289855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2.450001</v>
      </c>
      <c r="BZ40" s="24" t="inlineStr">
        <is>
          <t>2026-08-30T03:24:07.368510Z</t>
        </is>
      </c>
      <c r="CA40" s="31" t="inlineStr">
        <is>
          <t>fixed one-unit hypothetical scoring; no real exposure or execution</t>
        </is>
      </c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0.289855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a6114a656de64cf8</t>
        </is>
      </c>
      <c r="B41" s="24" t="inlineStr">
        <is>
          <t>2026-08-29T12:42:16.008350Z</t>
        </is>
      </c>
      <c r="C41" s="24" t="inlineStr">
        <is>
          <t>2026-08-29T13:30Z</t>
        </is>
      </c>
      <c r="D41" s="24" t="inlineStr">
        <is>
          <t>401884811</t>
        </is>
      </c>
      <c r="E41" s="24" t="inlineStr">
        <is>
          <t>SOCCER</t>
        </is>
      </c>
      <c r="F41" s="24" t="inlineStr">
        <is>
          <t>Eintracht Frankfurt</t>
        </is>
      </c>
      <c r="G41" s="24" t="inlineStr">
        <is>
          <t>1. FC Union Berlin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170</v>
      </c>
      <c r="M41" s="27" t="n">
        <v>2.7</v>
      </c>
      <c r="N41" s="28" t="n">
        <v>0.37037</v>
      </c>
      <c r="O41" s="28" t="n">
        <v>0.483617</v>
      </c>
      <c r="P41" s="28" t="n">
        <v>0.04</v>
      </c>
      <c r="Q41" s="28" t="n">
        <v>0.113247</v>
      </c>
      <c r="R41" s="26" t="n">
        <v>83</v>
      </c>
      <c r="S41" s="29" t="n">
        <v>1.5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3</v>
      </c>
      <c r="X41" s="26" t="n">
        <v>3</v>
      </c>
      <c r="Y41" s="25" t="n"/>
      <c r="Z41" s="26" t="n"/>
      <c r="AA41" s="28" t="n"/>
      <c r="AB41" s="28" t="n"/>
      <c r="AC41" s="30" t="n">
        <v>-1.5</v>
      </c>
      <c r="AD41" s="24" t="inlineStr">
        <is>
          <t>2026-08-29T16:00:11.426673Z</t>
        </is>
      </c>
      <c r="AE41" s="31" t="inlineStr">
        <is>
          <t>Poisson-DC rates 2.05 (home) / 1.56 (away) from EWMA attack/defense strengths. Executable ask 0.3700 (atc-bun-unb-fra-2026-08-29-unb).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Eintracht Frankfurt</t>
        </is>
      </c>
      <c r="AQ41" s="24" t="inlineStr">
        <is>
          <t>Eintracht Frankfurt</t>
        </is>
      </c>
      <c r="AR41" s="24" t="inlineStr">
        <is>
          <t>Eintracht Frankfurt</t>
        </is>
      </c>
      <c r="AS41" s="24" t="inlineStr">
        <is>
          <t>1. FC Union Berlin</t>
        </is>
      </c>
      <c r="AT41" s="24" t="inlineStr">
        <is>
          <t>1. FC Union Berlin</t>
        </is>
      </c>
      <c r="AU41" s="24" t="inlineStr">
        <is>
          <t>1. FC Union Berlin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f585a7f3cb7ee04f9a319a60fa601ef15e86636fadaaa8c1380ac0f28f75c58a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f585a7f3cb7ee04f9a319a60fa601ef15e86636fadaaa8c1380ac0f28f75c58a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f585a7f3cb7ee04f9a319a60fa601ef15e86636fadaaa8c1380ac0f28f75c58a</t>
        </is>
      </c>
      <c r="BH41" s="24" t="inlineStr">
        <is>
          <t>2026-08-29T12:40:48.209027Z</t>
        </is>
      </c>
      <c r="BI41" s="24" t="inlineStr">
        <is>
          <t>["same_event","same_team_same_day","same_league_same_day"]</t>
        </is>
      </c>
      <c r="BJ41" s="25" t="n"/>
      <c r="BK41" s="26" t="n">
        <v>170</v>
      </c>
      <c r="BL41" s="27" t="n">
        <v>2.7</v>
      </c>
      <c r="BM41" s="28" t="n">
        <v>0.37037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-1</v>
      </c>
      <c r="BZ41" s="24" t="inlineStr">
        <is>
          <t>2026-08-29T16:00:11.426673Z</t>
        </is>
      </c>
      <c r="CA41" s="31" t="inlineStr">
        <is>
          <t>fixed one-unit hypothetical scoring; no real exposure or execution</t>
        </is>
      </c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0.37037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fe62c85b8ed34e40</t>
        </is>
      </c>
      <c r="B42" s="24" t="inlineStr">
        <is>
          <t>2026-08-29T12:42:16.008350Z</t>
        </is>
      </c>
      <c r="C42" s="24" t="inlineStr">
        <is>
          <t>2026-08-29T13:30Z</t>
        </is>
      </c>
      <c r="D42" s="24" t="inlineStr">
        <is>
          <t>401884812</t>
        </is>
      </c>
      <c r="E42" s="24" t="inlineStr">
        <is>
          <t>SOCCER</t>
        </is>
      </c>
      <c r="F42" s="24" t="inlineStr">
        <is>
          <t>SC Paderborn 07</t>
        </is>
      </c>
      <c r="G42" s="24" t="inlineStr">
        <is>
          <t>Mainz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0.461842</v>
      </c>
      <c r="P42" s="28" t="n">
        <v>0.2</v>
      </c>
      <c r="Q42" s="28" t="n">
        <v>-0.178446</v>
      </c>
      <c r="R42" s="26" t="n">
        <v>0</v>
      </c>
      <c r="S42" s="29" t="n">
        <v>1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2026-08-29T16:00:12.081198Z</t>
        </is>
      </c>
      <c r="AE42" s="31" t="inlineStr">
        <is>
          <t>Poisson-DC rates 1.70 (home) / 1.28 (away) from EWMA attack/defense strengths. Executable ask 0.6400 (atc-bun-mai-scp-2026-08-29-mai).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SC Paderborn 07</t>
        </is>
      </c>
      <c r="AQ42" s="24" t="inlineStr">
        <is>
          <t>SC Paderborn 07</t>
        </is>
      </c>
      <c r="AR42" s="24" t="inlineStr">
        <is>
          <t>SC Paderborn 07</t>
        </is>
      </c>
      <c r="AS42" s="24" t="inlineStr">
        <is>
          <t>Mainz</t>
        </is>
      </c>
      <c r="AT42" s="24" t="inlineStr">
        <is>
          <t>Mainz</t>
        </is>
      </c>
      <c r="AU42" s="24" t="inlineStr">
        <is>
          <t>Mainz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f585a7f3cb7ee04f9a319a60fa601ef15e86636fadaaa8c1380ac0f28f75c58a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f585a7f3cb7ee04f9a319a60fa601ef15e86636fadaaa8c1380ac0f28f75c58a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f585a7f3cb7ee04f9a319a60fa601ef15e86636fadaaa8c1380ac0f28f75c58a</t>
        </is>
      </c>
      <c r="BH42" s="24" t="inlineStr">
        <is>
          <t>2026-08-29T12:40:48.305995Z</t>
        </is>
      </c>
      <c r="BI42" s="24" t="inlineStr">
        <is>
          <t>["same_event","same_team_same_day","same_league_same_day"]</t>
        </is>
      </c>
      <c r="BJ42" s="25" t="n"/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inlineStr">
        <is>
          <t>2026-08-29T16:00:12.081198Z</t>
        </is>
      </c>
      <c r="CA42" s="31" t="inlineStr">
        <is>
          <t>fixed one-unit hypothetical scoring; no real exposure or execution</t>
        </is>
      </c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0.640288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e69b1f745b0b4f93</t>
        </is>
      </c>
      <c r="B43" s="24" t="inlineStr">
        <is>
          <t>2026-08-29T12:42:16.008350Z</t>
        </is>
      </c>
      <c r="C43" s="24" t="inlineStr">
        <is>
          <t>2026-08-29T13:30Z</t>
        </is>
      </c>
      <c r="D43" s="24" t="inlineStr">
        <is>
          <t>401884809</t>
        </is>
      </c>
      <c r="E43" s="24" t="inlineStr">
        <is>
          <t>SOCCER</t>
        </is>
      </c>
      <c r="F43" s="24" t="inlineStr">
        <is>
          <t>Bayer Leverkusen</t>
        </is>
      </c>
      <c r="G43" s="24" t="inlineStr">
        <is>
          <t>SV ELVERSBERG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456</v>
      </c>
      <c r="M43" s="27" t="n">
        <v>5.56</v>
      </c>
      <c r="N43" s="28" t="n">
        <v>0.179856</v>
      </c>
      <c r="O43" s="28" t="n">
        <v>0.382661</v>
      </c>
      <c r="P43" s="28" t="n">
        <v>0.2</v>
      </c>
      <c r="Q43" s="28" t="n">
        <v>0.202805</v>
      </c>
      <c r="R43" s="26" t="n">
        <v>31</v>
      </c>
      <c r="S43" s="29" t="n">
        <v>1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3</v>
      </c>
      <c r="Y43" s="25" t="n"/>
      <c r="Z43" s="26" t="n"/>
      <c r="AA43" s="28" t="n"/>
      <c r="AB43" s="28" t="n"/>
      <c r="AC43" s="30" t="n">
        <v>4.56</v>
      </c>
      <c r="AD43" s="24" t="inlineStr">
        <is>
          <t>2026-08-29T16:00:12.687984Z</t>
        </is>
      </c>
      <c r="AE43" s="31" t="inlineStr">
        <is>
          <t>Poisson-DC rates 1.60 (home) / 1.55 (away) from EWMA attack/defense strengths. Executable ask 0.1800 (atc-bun-elv-lev-2026-08-29-elv).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Bayer Leverkusen</t>
        </is>
      </c>
      <c r="AQ43" s="24" t="inlineStr">
        <is>
          <t>Bayer Leverkusen</t>
        </is>
      </c>
      <c r="AR43" s="24" t="inlineStr">
        <is>
          <t>Bayer Leverkusen</t>
        </is>
      </c>
      <c r="AS43" s="24" t="inlineStr">
        <is>
          <t>SV ELVERSBERG</t>
        </is>
      </c>
      <c r="AT43" s="24" t="inlineStr">
        <is>
          <t>SV ELVERSBERG</t>
        </is>
      </c>
      <c r="AU43" s="24" t="inlineStr">
        <is>
          <t>SV ELVERSBERG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f585a7f3cb7ee04f9a319a60fa601ef15e86636fadaaa8c1380ac0f28f75c58a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f585a7f3cb7ee04f9a319a60fa601ef15e86636fadaaa8c1380ac0f28f75c58a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f585a7f3cb7ee04f9a319a60fa601ef15e86636fadaaa8c1380ac0f28f75c58a</t>
        </is>
      </c>
      <c r="BH43" s="24" t="inlineStr">
        <is>
          <t>2026-08-29T12:40:48.525103Z</t>
        </is>
      </c>
      <c r="BI43" s="24" t="inlineStr">
        <is>
          <t>["same_event","same_team_same_day","same_league_same_day"]</t>
        </is>
      </c>
      <c r="BJ43" s="25" t="n"/>
      <c r="BK43" s="26" t="n">
        <v>456</v>
      </c>
      <c r="BL43" s="27" t="n">
        <v>5.56</v>
      </c>
      <c r="BM43" s="28" t="n">
        <v>0.179856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4.560004</v>
      </c>
      <c r="BZ43" s="24" t="inlineStr">
        <is>
          <t>2026-08-29T16:00:12.687984Z</t>
        </is>
      </c>
      <c r="CA43" s="31" t="inlineStr">
        <is>
          <t>fixed one-unit hypothetical scoring; no real exposure or execution</t>
        </is>
      </c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0.179856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0f16991e04b64d0c</t>
        </is>
      </c>
      <c r="B44" s="24" t="inlineStr">
        <is>
          <t>2026-08-29T12:42:16.008350Z</t>
        </is>
      </c>
      <c r="C44" s="24" t="inlineStr">
        <is>
          <t>2026-08-29T14:00Z</t>
        </is>
      </c>
      <c r="D44" s="24" t="inlineStr">
        <is>
          <t>401912241</t>
        </is>
      </c>
      <c r="E44" s="24" t="inlineStr">
        <is>
          <t>SOCCER</t>
        </is>
      </c>
      <c r="F44" s="24" t="inlineStr">
        <is>
          <t>Danubio</t>
        </is>
      </c>
      <c r="G44" s="24" t="inlineStr">
        <is>
          <t>Progreso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212</v>
      </c>
      <c r="M44" s="27" t="n">
        <v>3.12</v>
      </c>
      <c r="N44" s="28" t="n">
        <v>0.320513</v>
      </c>
      <c r="O44" s="28" t="n">
        <v>0.459261</v>
      </c>
      <c r="P44" s="28" t="n">
        <v>0.2</v>
      </c>
      <c r="Q44" s="28" t="n">
        <v>0.138748</v>
      </c>
      <c r="R44" s="26" t="n">
        <v>0</v>
      </c>
      <c r="S44" s="29" t="n">
        <v>1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2.12</v>
      </c>
      <c r="AD44" s="24" t="inlineStr">
        <is>
          <t>2026-08-29T16:00:14.137825Z</t>
        </is>
      </c>
      <c r="AE44" s="31" t="inlineStr">
        <is>
          <t>Poisson-DC rates 1.43 (home) / 0.99 (away) from EWMA attack/defense strengths. Executable ask 0.3200 (atc-uru1-pro-dan-2026-08-30-pro).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Danubio</t>
        </is>
      </c>
      <c r="AQ44" s="24" t="inlineStr">
        <is>
          <t>Danubio</t>
        </is>
      </c>
      <c r="AR44" s="24" t="inlineStr">
        <is>
          <t>Danubio</t>
        </is>
      </c>
      <c r="AS44" s="24" t="inlineStr">
        <is>
          <t>Progreso</t>
        </is>
      </c>
      <c r="AT44" s="24" t="inlineStr">
        <is>
          <t>Progreso</t>
        </is>
      </c>
      <c r="AU44" s="24" t="inlineStr">
        <is>
          <t>Progreso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f585a7f3cb7ee04f9a319a60fa601ef15e86636fadaaa8c1380ac0f28f75c58a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f585a7f3cb7ee04f9a319a60fa601ef15e86636fadaaa8c1380ac0f28f75c58a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f585a7f3cb7ee04f9a319a60fa601ef15e86636fadaaa8c1380ac0f28f75c58a</t>
        </is>
      </c>
      <c r="BH44" s="24" t="inlineStr">
        <is>
          <t>2026-08-29T12:40:53.453017Z</t>
        </is>
      </c>
      <c r="BI44" s="24" t="inlineStr">
        <is>
          <t>["same_event","same_team_same_day","same_league_same_day"]</t>
        </is>
      </c>
      <c r="BJ44" s="25" t="n"/>
      <c r="BK44" s="26" t="n">
        <v>212</v>
      </c>
      <c r="BL44" s="27" t="n">
        <v>3.12</v>
      </c>
      <c r="BM44" s="28" t="n">
        <v>0.320513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2.119998</v>
      </c>
      <c r="BZ44" s="24" t="inlineStr">
        <is>
          <t>2026-08-29T16:00:14.137825Z</t>
        </is>
      </c>
      <c r="CA44" s="31" t="inlineStr">
        <is>
          <t>fixed one-unit hypothetical scoring; no real exposure or execution</t>
        </is>
      </c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0.320513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00f7e84d849c489b</t>
        </is>
      </c>
      <c r="B45" s="24" t="inlineStr">
        <is>
          <t>2026-08-29T16:04:47.832302Z</t>
        </is>
      </c>
      <c r="C45" s="24" t="inlineStr">
        <is>
          <t>2026-08-29T16:30Z</t>
        </is>
      </c>
      <c r="D45" s="24" t="inlineStr">
        <is>
          <t>401879312</t>
        </is>
      </c>
      <c r="E45" s="24" t="inlineStr">
        <is>
          <t>SOCCER</t>
        </is>
      </c>
      <c r="F45" s="24" t="inlineStr">
        <is>
          <t>Newcastle United</t>
        </is>
      </c>
      <c r="G45" s="24" t="inlineStr">
        <is>
          <t>Tottenham Hotspur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127</v>
      </c>
      <c r="M45" s="27" t="n">
        <v>2.27</v>
      </c>
      <c r="N45" s="28" t="n">
        <v>0.440529</v>
      </c>
      <c r="O45" s="28" t="n">
        <v>0.410717</v>
      </c>
      <c r="P45" s="28" t="n">
        <v>0.04</v>
      </c>
      <c r="Q45" s="28" t="n">
        <v>-0.029812</v>
      </c>
      <c r="R45" s="26" t="n">
        <v>11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2026-08-30T03:26:23.339517Z</t>
        </is>
      </c>
      <c r="AE45" s="31" t="inlineStr">
        <is>
          <t>Poisson-DC rates 1.72 (home) / 1.55 (away) from EWMA attack/defense strengths. Executable ask 0.4400 (atc-epl-tot-new-2026-08-29-tot).</t>
        </is>
      </c>
      <c r="AF45" s="31" t="inlineStr">
        <is>
          <t>Research-only soccer score model; draw-aware, but not yet locked-holdout qualified.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Newcastle United</t>
        </is>
      </c>
      <c r="AQ45" s="24" t="inlineStr">
        <is>
          <t>Newcastle United</t>
        </is>
      </c>
      <c r="AR45" s="24" t="inlineStr">
        <is>
          <t>Newcastle United</t>
        </is>
      </c>
      <c r="AS45" s="24" t="inlineStr">
        <is>
          <t>Tottenham Hotspur</t>
        </is>
      </c>
      <c r="AT45" s="24" t="inlineStr">
        <is>
          <t>Tottenham Hotspur</t>
        </is>
      </c>
      <c r="AU45" s="24" t="inlineStr">
        <is>
          <t>Tottenham Hotspur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f585a7f3cb7ee04f9a319a60fa601ef15e86636fadaaa8c1380ac0f28f75c58a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f585a7f3cb7ee04f9a319a60fa601ef15e86636fadaaa8c1380ac0f28f75c58a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f585a7f3cb7ee04f9a319a60fa601ef15e86636fadaaa8c1380ac0f28f75c58a</t>
        </is>
      </c>
      <c r="BH45" s="24" t="inlineStr">
        <is>
          <t>2026-08-29T16:02:44.771505Z</t>
        </is>
      </c>
      <c r="BI45" s="24" t="inlineStr">
        <is>
          <t>["same_event","same_team_same_day","same_league_same_day"]</t>
        </is>
      </c>
      <c r="BJ45" s="25" t="n"/>
      <c r="BK45" s="26" t="n">
        <v>127</v>
      </c>
      <c r="BL45" s="27" t="n">
        <v>2.27</v>
      </c>
      <c r="BM45" s="28" t="n">
        <v>0.440529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inlineStr">
        <is>
          <t>2026-08-30T03:26:23.339517Z</t>
        </is>
      </c>
      <c r="CA45" s="31" t="inlineStr">
        <is>
          <t>fixed one-unit hypothetical scoring; no real exposure or execution</t>
        </is>
      </c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0.440529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3f72d2ba02fd4244</t>
        </is>
      </c>
      <c r="B46" s="24" t="inlineStr">
        <is>
          <t>2026-08-29T16:04:47.832302Z</t>
        </is>
      </c>
      <c r="C46" s="24" t="inlineStr">
        <is>
          <t>2026-08-29T17:00Z</t>
        </is>
      </c>
      <c r="D46" s="24" t="inlineStr">
        <is>
          <t>401882898</t>
        </is>
      </c>
      <c r="E46" s="24" t="inlineStr">
        <is>
          <t>SOCCER</t>
        </is>
      </c>
      <c r="F46" s="24" t="inlineStr">
        <is>
          <t>Espanyol</t>
        </is>
      </c>
      <c r="G46" s="24" t="inlineStr">
        <is>
          <t>Real Sociedad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-113</v>
      </c>
      <c r="M46" s="27" t="n">
        <v>1.884956</v>
      </c>
      <c r="N46" s="28" t="n">
        <v>0.530516</v>
      </c>
      <c r="O46" s="28" t="n">
        <v>0.53889</v>
      </c>
      <c r="P46" s="28" t="n">
        <v>0.04</v>
      </c>
      <c r="Q46" s="28" t="n">
        <v>0.008373999999999999</v>
      </c>
      <c r="R46" s="26" t="n">
        <v>30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2</v>
      </c>
      <c r="Y46" s="25" t="n"/>
      <c r="Z46" s="26" t="n"/>
      <c r="AA46" s="28" t="n"/>
      <c r="AB46" s="28" t="n"/>
      <c r="AC46" s="30" t="n">
        <v>0.885</v>
      </c>
      <c r="AD46" s="24" t="inlineStr">
        <is>
          <t>2026-08-30T03:26:24.483243Z</t>
        </is>
      </c>
      <c r="AE46" s="31" t="inlineStr">
        <is>
          <t>Poisson-DC rates 1.88 (home) / 1.13 (away) from EWMA attack/defense strengths. Executable ask 0.5300 (atc-lal-rso-esp-2026-08-29-rso).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Espanyol</t>
        </is>
      </c>
      <c r="AQ46" s="24" t="inlineStr">
        <is>
          <t>Espanyol</t>
        </is>
      </c>
      <c r="AR46" s="24" t="inlineStr">
        <is>
          <t>Espanyol</t>
        </is>
      </c>
      <c r="AS46" s="24" t="inlineStr">
        <is>
          <t>Real Sociedad</t>
        </is>
      </c>
      <c r="AT46" s="24" t="inlineStr">
        <is>
          <t>Real Sociedad</t>
        </is>
      </c>
      <c r="AU46" s="24" t="inlineStr">
        <is>
          <t>Real Sociedad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f585a7f3cb7ee04f9a319a60fa601ef15e86636fadaaa8c1380ac0f28f75c58a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f585a7f3cb7ee04f9a319a60fa601ef15e86636fadaaa8c1380ac0f28f75c58a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f585a7f3cb7ee04f9a319a60fa601ef15e86636fadaaa8c1380ac0f28f75c58a</t>
        </is>
      </c>
      <c r="BH46" s="24" t="inlineStr">
        <is>
          <t>2026-08-29T16:02:44.923436Z</t>
        </is>
      </c>
      <c r="BI46" s="24" t="inlineStr">
        <is>
          <t>["same_event","same_team_same_day","same_league_same_day"]</t>
        </is>
      </c>
      <c r="BJ46" s="25" t="n"/>
      <c r="BK46" s="26" t="n">
        <v>-113</v>
      </c>
      <c r="BL46" s="27" t="n">
        <v>1.884956</v>
      </c>
      <c r="BM46" s="28" t="n">
        <v>0.530516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0.884957</v>
      </c>
      <c r="BZ46" s="24" t="inlineStr">
        <is>
          <t>2026-08-30T03:26:24.483243Z</t>
        </is>
      </c>
      <c r="CA46" s="31" t="inlineStr">
        <is>
          <t>fixed one-unit hypothetical scoring; no real exposure or execution</t>
        </is>
      </c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0.530516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d9b03b9ac4d74bb5</t>
        </is>
      </c>
      <c r="B47" s="24" t="inlineStr">
        <is>
          <t>2026-08-29T16:04:47.832302Z</t>
        </is>
      </c>
      <c r="C47" s="24" t="inlineStr">
        <is>
          <t>2026-08-29T16:30Z</t>
        </is>
      </c>
      <c r="D47" s="24" t="inlineStr">
        <is>
          <t>401874942</t>
        </is>
      </c>
      <c r="E47" s="24" t="inlineStr">
        <is>
          <t>SOCCER</t>
        </is>
      </c>
      <c r="F47" s="24" t="inlineStr">
        <is>
          <t>Frosinone</t>
        </is>
      </c>
      <c r="G47" s="24" t="inlineStr">
        <is>
          <t>Fiorentina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-138</v>
      </c>
      <c r="M47" s="27" t="n">
        <v>1.724638</v>
      </c>
      <c r="N47" s="28" t="n">
        <v>0.579832</v>
      </c>
      <c r="O47" s="28" t="n">
        <v>0.519686</v>
      </c>
      <c r="P47" s="28" t="n">
        <v>0.04</v>
      </c>
      <c r="Q47" s="28" t="n">
        <v>-0.060146</v>
      </c>
      <c r="R47" s="26" t="n">
        <v>0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0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2026-08-30T03:26:25.722905Z</t>
        </is>
      </c>
      <c r="AE47" s="31" t="inlineStr">
        <is>
          <t>Poisson-DC rates 1.41 (home) / 0.73 (away) from EWMA attack/defense strengths. Executable ask 0.5800 (atc-sea-fio-fro-2026-08-29-fio).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Frosinone</t>
        </is>
      </c>
      <c r="AQ47" s="24" t="inlineStr">
        <is>
          <t>Frosinone</t>
        </is>
      </c>
      <c r="AR47" s="24" t="inlineStr">
        <is>
          <t>Frosinone</t>
        </is>
      </c>
      <c r="AS47" s="24" t="inlineStr">
        <is>
          <t>Fiorentina</t>
        </is>
      </c>
      <c r="AT47" s="24" t="inlineStr">
        <is>
          <t>Fiorentina</t>
        </is>
      </c>
      <c r="AU47" s="24" t="inlineStr">
        <is>
          <t>Fiorentina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f585a7f3cb7ee04f9a319a60fa601ef15e86636fadaaa8c1380ac0f28f75c58a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f585a7f3cb7ee04f9a319a60fa601ef15e86636fadaaa8c1380ac0f28f75c58a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f585a7f3cb7ee04f9a319a60fa601ef15e86636fadaaa8c1380ac0f28f75c58a</t>
        </is>
      </c>
      <c r="BH47" s="24" t="inlineStr">
        <is>
          <t>2026-08-29T16:02:45.460335Z</t>
        </is>
      </c>
      <c r="BI47" s="24" t="inlineStr">
        <is>
          <t>["same_event","same_team_same_day","same_league_same_day"]</t>
        </is>
      </c>
      <c r="BJ47" s="25" t="n"/>
      <c r="BK47" s="26" t="n">
        <v>-138</v>
      </c>
      <c r="BL47" s="27" t="n">
        <v>1.724638</v>
      </c>
      <c r="BM47" s="28" t="n">
        <v>0.579832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-1</v>
      </c>
      <c r="BZ47" s="24" t="inlineStr">
        <is>
          <t>2026-08-30T03:26:25.722905Z</t>
        </is>
      </c>
      <c r="CA47" s="31" t="inlineStr">
        <is>
          <t>fixed one-unit hypothetical scoring; no real exposure or execution</t>
        </is>
      </c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0.579832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8d8ece82336c4c5e</t>
        </is>
      </c>
      <c r="B48" s="24" t="inlineStr">
        <is>
          <t>2026-08-29T16:04:47.832302Z</t>
        </is>
      </c>
      <c r="C48" s="24" t="inlineStr">
        <is>
          <t>2026-08-29T16:30Z</t>
        </is>
      </c>
      <c r="D48" s="24" t="inlineStr">
        <is>
          <t>401874749</t>
        </is>
      </c>
      <c r="E48" s="24" t="inlineStr">
        <is>
          <t>SOCCER</t>
        </is>
      </c>
      <c r="F48" s="24" t="inlineStr">
        <is>
          <t>Udinese</t>
        </is>
      </c>
      <c r="G48" s="24" t="inlineStr">
        <is>
          <t>Monza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170</v>
      </c>
      <c r="M48" s="27" t="n">
        <v>2.7</v>
      </c>
      <c r="N48" s="28" t="n">
        <v>0.37037</v>
      </c>
      <c r="O48" s="28" t="n">
        <v>0.5538999999999999</v>
      </c>
      <c r="P48" s="28" t="n">
        <v>0.04</v>
      </c>
      <c r="Q48" s="28" t="n">
        <v>0.18353</v>
      </c>
      <c r="R48" s="26" t="n">
        <v>100</v>
      </c>
      <c r="S48" s="29" t="n">
        <v>2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win</t>
        </is>
      </c>
      <c r="W48" s="26" t="n">
        <v>3</v>
      </c>
      <c r="X48" s="26" t="n">
        <v>2</v>
      </c>
      <c r="Y48" s="25" t="n"/>
      <c r="Z48" s="26" t="n"/>
      <c r="AA48" s="28" t="n"/>
      <c r="AB48" s="28" t="n"/>
      <c r="AC48" s="30" t="n">
        <v>3.4</v>
      </c>
      <c r="AD48" s="24" t="inlineStr">
        <is>
          <t>2026-08-30T03:26:26.874173Z</t>
        </is>
      </c>
      <c r="AE48" s="31" t="inlineStr">
        <is>
          <t>Poisson-DC rates 0.66 (home) / 1.46 (away) from EWMA attack/defense strengths. Executable ask 0.3700 (atc-sea-mon-udi-2026-08-29-udi).</t>
        </is>
      </c>
      <c r="AF48" s="31" t="inlineStr">
        <is>
          <t>Research-only soccer score model; draw-aware, but not yet locked-holdout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Udinese</t>
        </is>
      </c>
      <c r="AQ48" s="24" t="inlineStr">
        <is>
          <t>Udinese</t>
        </is>
      </c>
      <c r="AR48" s="24" t="inlineStr">
        <is>
          <t>Udinese</t>
        </is>
      </c>
      <c r="AS48" s="24" t="inlineStr">
        <is>
          <t>Monza</t>
        </is>
      </c>
      <c r="AT48" s="24" t="inlineStr">
        <is>
          <t>Monza</t>
        </is>
      </c>
      <c r="AU48" s="24" t="inlineStr">
        <is>
          <t>Monza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f585a7f3cb7ee04f9a319a60fa601ef15e86636fadaaa8c1380ac0f28f75c58a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f585a7f3cb7ee04f9a319a60fa601ef15e86636fadaaa8c1380ac0f28f75c58a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f585a7f3cb7ee04f9a319a60fa601ef15e86636fadaaa8c1380ac0f28f75c58a</t>
        </is>
      </c>
      <c r="BH48" s="24" t="inlineStr">
        <is>
          <t>2026-08-29T16:02:45.324514Z</t>
        </is>
      </c>
      <c r="BI48" s="24" t="inlineStr">
        <is>
          <t>["same_event","same_team_same_day","same_league_same_day"]</t>
        </is>
      </c>
      <c r="BJ48" s="25" t="n"/>
      <c r="BK48" s="26" t="n">
        <v>170</v>
      </c>
      <c r="BL48" s="27" t="n">
        <v>2.7</v>
      </c>
      <c r="BM48" s="28" t="n">
        <v>0.37037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1.700003</v>
      </c>
      <c r="BZ48" s="24" t="inlineStr">
        <is>
          <t>2026-08-30T03:26:26.874173Z</t>
        </is>
      </c>
      <c r="CA48" s="31" t="inlineStr">
        <is>
          <t>fixed one-unit hypothetical scoring; no real exposure or execution</t>
        </is>
      </c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0.37037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a7753ca3aa8149bf</t>
        </is>
      </c>
      <c r="B49" s="24" t="inlineStr">
        <is>
          <t>2026-08-29T16:04:47.832302Z</t>
        </is>
      </c>
      <c r="C49" s="24" t="inlineStr">
        <is>
          <t>2026-08-29T16:30Z</t>
        </is>
      </c>
      <c r="D49" s="24" t="inlineStr">
        <is>
          <t>401874743</t>
        </is>
      </c>
      <c r="E49" s="24" t="inlineStr">
        <is>
          <t>SOCCER</t>
        </is>
      </c>
      <c r="F49" s="24" t="inlineStr">
        <is>
          <t>Torino</t>
        </is>
      </c>
      <c r="G49" s="24" t="inlineStr">
        <is>
          <t>Sassuolo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133</v>
      </c>
      <c r="M49" s="27" t="n">
        <v>2.33</v>
      </c>
      <c r="N49" s="28" t="n">
        <v>0.429185</v>
      </c>
      <c r="O49" s="28" t="n">
        <v>0.466093</v>
      </c>
      <c r="P49" s="28" t="n">
        <v>0.04</v>
      </c>
      <c r="Q49" s="28" t="n">
        <v>0.036908</v>
      </c>
      <c r="R49" s="26" t="n">
        <v>44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1.33</v>
      </c>
      <c r="AD49" s="24" t="inlineStr">
        <is>
          <t>2026-08-30T03:26:28.064701Z</t>
        </is>
      </c>
      <c r="AE49" s="31" t="inlineStr">
        <is>
          <t>Poisson-DC rates 1.52 (home) / 1.07 (away) from EWMA attack/defense strengths. Executable ask 0.4300 (atc-sea-sas-tor-2026-08-29-sas).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Torino</t>
        </is>
      </c>
      <c r="AQ49" s="24" t="inlineStr">
        <is>
          <t>Torino</t>
        </is>
      </c>
      <c r="AR49" s="24" t="inlineStr">
        <is>
          <t>Torino</t>
        </is>
      </c>
      <c r="AS49" s="24" t="inlineStr">
        <is>
          <t>Sassuolo</t>
        </is>
      </c>
      <c r="AT49" s="24" t="inlineStr">
        <is>
          <t>Sassuolo</t>
        </is>
      </c>
      <c r="AU49" s="24" t="inlineStr">
        <is>
          <t>Sassuolo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f585a7f3cb7ee04f9a319a60fa601ef15e86636fadaaa8c1380ac0f28f75c58a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f585a7f3cb7ee04f9a319a60fa601ef15e86636fadaaa8c1380ac0f28f75c58a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f585a7f3cb7ee04f9a319a60fa601ef15e86636fadaaa8c1380ac0f28f75c58a</t>
        </is>
      </c>
      <c r="BH49" s="24" t="inlineStr">
        <is>
          <t>2026-08-29T16:02:45.592095Z</t>
        </is>
      </c>
      <c r="BI49" s="24" t="inlineStr">
        <is>
          <t>["same_event","same_team_same_day","same_league_same_day"]</t>
        </is>
      </c>
      <c r="BJ49" s="25" t="n"/>
      <c r="BK49" s="26" t="n">
        <v>133</v>
      </c>
      <c r="BL49" s="27" t="n">
        <v>2.33</v>
      </c>
      <c r="BM49" s="28" t="n">
        <v>0.429185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1.329998</v>
      </c>
      <c r="BZ49" s="24" t="inlineStr">
        <is>
          <t>2026-08-30T03:26:28.064701Z</t>
        </is>
      </c>
      <c r="CA49" s="31" t="inlineStr">
        <is>
          <t>fixed one-unit hypothetical scoring; no real exposure or execution</t>
        </is>
      </c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0.429185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f7815bfc98304d34</t>
        </is>
      </c>
      <c r="B50" s="24" t="inlineStr">
        <is>
          <t>2026-08-29T16:04:47.832302Z</t>
        </is>
      </c>
      <c r="C50" s="24" t="inlineStr">
        <is>
          <t>2026-08-29T18:45Z</t>
        </is>
      </c>
      <c r="D50" s="24" t="inlineStr">
        <is>
          <t>401874746</t>
        </is>
      </c>
      <c r="E50" s="24" t="inlineStr">
        <is>
          <t>SOCCER</t>
        </is>
      </c>
      <c r="F50" s="24" t="inlineStr">
        <is>
          <t>Parma</t>
        </is>
      </c>
      <c r="G50" s="24" t="inlineStr">
        <is>
          <t>Juventus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-400</v>
      </c>
      <c r="M50" s="27" t="n">
        <v>1.25</v>
      </c>
      <c r="N50" s="28" t="n">
        <v>0.8</v>
      </c>
      <c r="O50" s="28" t="n">
        <v>0.5909140000000001</v>
      </c>
      <c r="P50" s="28" t="n">
        <v>0.04</v>
      </c>
      <c r="Q50" s="28" t="n">
        <v>-0.209086</v>
      </c>
      <c r="R50" s="26" t="n">
        <v>0</v>
      </c>
      <c r="S50" s="29" t="n">
        <v>1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2</v>
      </c>
      <c r="Y50" s="25" t="n"/>
      <c r="Z50" s="26" t="n"/>
      <c r="AA50" s="28" t="n"/>
      <c r="AB50" s="28" t="n"/>
      <c r="AC50" s="30" t="n">
        <v>0.25</v>
      </c>
      <c r="AD50" s="24" t="inlineStr">
        <is>
          <t>2026-08-30T03:26:29.199324Z</t>
        </is>
      </c>
      <c r="AE50" s="31" t="inlineStr">
        <is>
          <t>Poisson-DC rates 1.44 (home) / 0.52 (away) from EWMA attack/defense strengths. Executable ask 0.8000 (atc-sea-juv-par-2026-08-29-juv).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Parma</t>
        </is>
      </c>
      <c r="AQ50" s="24" t="inlineStr">
        <is>
          <t>Parma</t>
        </is>
      </c>
      <c r="AR50" s="24" t="inlineStr">
        <is>
          <t>Parma</t>
        </is>
      </c>
      <c r="AS50" s="24" t="inlineStr">
        <is>
          <t>Juventus</t>
        </is>
      </c>
      <c r="AT50" s="24" t="inlineStr">
        <is>
          <t>Juventus</t>
        </is>
      </c>
      <c r="AU50" s="24" t="inlineStr">
        <is>
          <t>Juventus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f585a7f3cb7ee04f9a319a60fa601ef15e86636fadaaa8c1380ac0f28f75c58a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f585a7f3cb7ee04f9a319a60fa601ef15e86636fadaaa8c1380ac0f28f75c58a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f585a7f3cb7ee04f9a319a60fa601ef15e86636fadaaa8c1380ac0f28f75c58a</t>
        </is>
      </c>
      <c r="BH50" s="24" t="inlineStr">
        <is>
          <t>2026-08-29T16:02:45.732513Z</t>
        </is>
      </c>
      <c r="BI50" s="24" t="inlineStr">
        <is>
          <t>["same_event","same_team_same_day","same_league_same_day"]</t>
        </is>
      </c>
      <c r="BJ50" s="25" t="n"/>
      <c r="BK50" s="26" t="n">
        <v>-400</v>
      </c>
      <c r="BL50" s="27" t="n">
        <v>1.25</v>
      </c>
      <c r="BM50" s="28" t="n">
        <v>0.8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0.25</v>
      </c>
      <c r="BZ50" s="24" t="inlineStr">
        <is>
          <t>2026-08-30T03:26:29.199324Z</t>
        </is>
      </c>
      <c r="CA50" s="31" t="inlineStr">
        <is>
          <t>fixed one-unit hypothetical scoring; no real exposure or execution</t>
        </is>
      </c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5e9881b6644143fc</t>
        </is>
      </c>
      <c r="B51" s="24" t="inlineStr">
        <is>
          <t>2026-08-29T16:04:47.832302Z</t>
        </is>
      </c>
      <c r="C51" s="24" t="inlineStr">
        <is>
          <t>2026-08-29T20:30Z</t>
        </is>
      </c>
      <c r="D51" s="24" t="inlineStr">
        <is>
          <t>761755</t>
        </is>
      </c>
      <c r="E51" s="24" t="inlineStr">
        <is>
          <t>SOCCER</t>
        </is>
      </c>
      <c r="F51" s="24" t="inlineStr">
        <is>
          <t>Chicago Fire FC</t>
        </is>
      </c>
      <c r="G51" s="24" t="inlineStr">
        <is>
          <t>Seattle Sounders FC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194</v>
      </c>
      <c r="M51" s="27" t="n">
        <v>2.94</v>
      </c>
      <c r="N51" s="28" t="n">
        <v>0.340136</v>
      </c>
      <c r="O51" s="28" t="n">
        <v>0.379925</v>
      </c>
      <c r="P51" s="28" t="n">
        <v>0.04</v>
      </c>
      <c r="Q51" s="28" t="n">
        <v>0.039789</v>
      </c>
      <c r="R51" s="26" t="n">
        <v>46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2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2026-08-30T03:26:30.315491Z</t>
        </is>
      </c>
      <c r="AE51" s="31" t="inlineStr">
        <is>
          <t>Poisson-DC rates 1.69 (home) / 1.67 (away) from EWMA attack/defense strengths. Executable ask 0.3400 (atc-mls-sea-chi-2026-08-29-sea).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Chicago Fire FC</t>
        </is>
      </c>
      <c r="AQ51" s="24" t="inlineStr">
        <is>
          <t>Chicago Fire FC</t>
        </is>
      </c>
      <c r="AR51" s="24" t="inlineStr">
        <is>
          <t>Chicago Fire FC</t>
        </is>
      </c>
      <c r="AS51" s="24" t="inlineStr">
        <is>
          <t>Seattle Sounders FC</t>
        </is>
      </c>
      <c r="AT51" s="24" t="inlineStr">
        <is>
          <t>Seattle Sounders FC</t>
        </is>
      </c>
      <c r="AU51" s="24" t="inlineStr">
        <is>
          <t>Seattle Sounders FC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f585a7f3cb7ee04f9a319a60fa601ef15e86636fadaaa8c1380ac0f28f75c58a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f585a7f3cb7ee04f9a319a60fa601ef15e86636fadaaa8c1380ac0f28f75c58a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f585a7f3cb7ee04f9a319a60fa601ef15e86636fadaaa8c1380ac0f28f75c58a</t>
        </is>
      </c>
      <c r="BH51" s="24" t="inlineStr">
        <is>
          <t>2026-08-29T16:02:45.865363Z</t>
        </is>
      </c>
      <c r="BI51" s="24" t="inlineStr">
        <is>
          <t>["same_event","same_team_same_day","same_league_same_day"]</t>
        </is>
      </c>
      <c r="BJ51" s="25" t="n"/>
      <c r="BK51" s="26" t="n">
        <v>194</v>
      </c>
      <c r="BL51" s="27" t="n">
        <v>2.94</v>
      </c>
      <c r="BM51" s="28" t="n">
        <v>0.340136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inlineStr">
        <is>
          <t>2026-08-30T03:26:30.315491Z</t>
        </is>
      </c>
      <c r="CA51" s="31" t="inlineStr">
        <is>
          <t>fixed one-unit hypothetical scoring; no real exposure or execution</t>
        </is>
      </c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0.340136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f47268744fa74b3d</t>
        </is>
      </c>
      <c r="B52" s="24" t="inlineStr">
        <is>
          <t>2026-08-29T16:04:47.832302Z</t>
        </is>
      </c>
      <c r="C52" s="24" t="inlineStr">
        <is>
          <t>2026-08-29T23:30Z</t>
        </is>
      </c>
      <c r="D52" s="24" t="inlineStr">
        <is>
          <t>761759</t>
        </is>
      </c>
      <c r="E52" s="24" t="inlineStr">
        <is>
          <t>SOCCER</t>
        </is>
      </c>
      <c r="F52" s="24" t="inlineStr">
        <is>
          <t>Charlotte FC</t>
        </is>
      </c>
      <c r="G52" s="24" t="inlineStr">
        <is>
          <t>Atlanta United FC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170</v>
      </c>
      <c r="M52" s="27" t="n">
        <v>2.7</v>
      </c>
      <c r="N52" s="28" t="n">
        <v>0.37037</v>
      </c>
      <c r="O52" s="28" t="n">
        <v>0.434008</v>
      </c>
      <c r="P52" s="28" t="n">
        <v>0.04</v>
      </c>
      <c r="Q52" s="28" t="n">
        <v>0.063638</v>
      </c>
      <c r="R52" s="26" t="n">
        <v>58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0</v>
      </c>
      <c r="Y52" s="25" t="n"/>
      <c r="Z52" s="26" t="n"/>
      <c r="AA52" s="28" t="n"/>
      <c r="AB52" s="28" t="n"/>
      <c r="AC52" s="30" t="n">
        <v>2.125</v>
      </c>
      <c r="AD52" s="24" t="inlineStr">
        <is>
          <t>2026-08-30T03:26:31.482777Z</t>
        </is>
      </c>
      <c r="AE52" s="31" t="inlineStr">
        <is>
          <t>Poisson-DC rates 1.14 (home) / 1.47 (away) from EWMA attack/defense strengths. Executable ask 0.3700 (atc-mls-atl-clt-2026-08-29-clt).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Charlotte FC</t>
        </is>
      </c>
      <c r="AQ52" s="24" t="inlineStr">
        <is>
          <t>Charlotte FC</t>
        </is>
      </c>
      <c r="AR52" s="24" t="inlineStr">
        <is>
          <t>Charlotte FC</t>
        </is>
      </c>
      <c r="AS52" s="24" t="inlineStr">
        <is>
          <t>Atlanta United FC</t>
        </is>
      </c>
      <c r="AT52" s="24" t="inlineStr">
        <is>
          <t>Atlanta United FC</t>
        </is>
      </c>
      <c r="AU52" s="24" t="inlineStr">
        <is>
          <t>Atlanta United FC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f585a7f3cb7ee04f9a319a60fa601ef15e86636fadaaa8c1380ac0f28f75c58a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f585a7f3cb7ee04f9a319a60fa601ef15e86636fadaaa8c1380ac0f28f75c58a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f585a7f3cb7ee04f9a319a60fa601ef15e86636fadaaa8c1380ac0f28f75c58a</t>
        </is>
      </c>
      <c r="BH52" s="24" t="inlineStr">
        <is>
          <t>2026-08-29T16:02:46.126479Z</t>
        </is>
      </c>
      <c r="BI52" s="24" t="inlineStr">
        <is>
          <t>["same_event","same_team_same_day","same_league_same_day"]</t>
        </is>
      </c>
      <c r="BJ52" s="25" t="n"/>
      <c r="BK52" s="26" t="n">
        <v>170</v>
      </c>
      <c r="BL52" s="27" t="n">
        <v>2.7</v>
      </c>
      <c r="BM52" s="28" t="n">
        <v>0.37037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>
        <v>1</v>
      </c>
      <c r="BY52" s="27" t="n">
        <v>1.700003</v>
      </c>
      <c r="BZ52" s="24" t="inlineStr">
        <is>
          <t>2026-08-30T03:26:31.482777Z</t>
        </is>
      </c>
      <c r="CA52" s="31" t="inlineStr">
        <is>
          <t>fixed one-unit hypothetical scoring; no real exposure or execution</t>
        </is>
      </c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0.37037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4f549a31e20c4271</t>
        </is>
      </c>
      <c r="B53" s="24" t="inlineStr">
        <is>
          <t>2026-08-29T16:04:47.832302Z</t>
        </is>
      </c>
      <c r="C53" s="24" t="inlineStr">
        <is>
          <t>2026-08-29T23:30Z</t>
        </is>
      </c>
      <c r="D53" s="24" t="inlineStr">
        <is>
          <t>761760</t>
        </is>
      </c>
      <c r="E53" s="24" t="inlineStr">
        <is>
          <t>SOCCER</t>
        </is>
      </c>
      <c r="F53" s="24" t="inlineStr">
        <is>
          <t>New York City FC</t>
        </is>
      </c>
      <c r="G53" s="24" t="inlineStr">
        <is>
          <t>Toronto FC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178</v>
      </c>
      <c r="M53" s="27" t="n">
        <v>2.78</v>
      </c>
      <c r="N53" s="28" t="n">
        <v>0.359712</v>
      </c>
      <c r="O53" s="28" t="n">
        <v>0.379238</v>
      </c>
      <c r="P53" s="28" t="n">
        <v>0.04</v>
      </c>
      <c r="Q53" s="28" t="n">
        <v>0.019526</v>
      </c>
      <c r="R53" s="26" t="n">
        <v>36</v>
      </c>
      <c r="S53" s="29" t="n">
        <v>1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1</v>
      </c>
      <c r="Y53" s="25" t="n"/>
      <c r="Z53" s="26" t="n"/>
      <c r="AA53" s="28" t="n"/>
      <c r="AB53" s="28" t="n"/>
      <c r="AC53" s="30" t="n">
        <v>-1</v>
      </c>
      <c r="AD53" s="24" t="inlineStr">
        <is>
          <t>2026-08-30T03:26:32.606716Z</t>
        </is>
      </c>
      <c r="AE53" s="31" t="inlineStr">
        <is>
          <t>Poisson-DC rates 1.50 (home) / 1.55 (away) from EWMA attack/defense strengths. Executable ask 0.3600 (atc-mls-tor-nyc-2026-08-29-nyc).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New York City FC</t>
        </is>
      </c>
      <c r="AQ53" s="24" t="inlineStr">
        <is>
          <t>New York City FC</t>
        </is>
      </c>
      <c r="AR53" s="24" t="inlineStr">
        <is>
          <t>New York City FC</t>
        </is>
      </c>
      <c r="AS53" s="24" t="inlineStr">
        <is>
          <t>Toronto FC</t>
        </is>
      </c>
      <c r="AT53" s="24" t="inlineStr">
        <is>
          <t>Toronto FC</t>
        </is>
      </c>
      <c r="AU53" s="24" t="inlineStr">
        <is>
          <t>Toronto FC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f585a7f3cb7ee04f9a319a60fa601ef15e86636fadaaa8c1380ac0f28f75c58a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f585a7f3cb7ee04f9a319a60fa601ef15e86636fadaaa8c1380ac0f28f75c58a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f585a7f3cb7ee04f9a319a60fa601ef15e86636fadaaa8c1380ac0f28f75c58a</t>
        </is>
      </c>
      <c r="BH53" s="24" t="inlineStr">
        <is>
          <t>2026-08-29T16:02:46.004416Z</t>
        </is>
      </c>
      <c r="BI53" s="24" t="inlineStr">
        <is>
          <t>["same_event","same_team_same_day","same_league_same_day"]</t>
        </is>
      </c>
      <c r="BJ53" s="25" t="n"/>
      <c r="BK53" s="26" t="n">
        <v>178</v>
      </c>
      <c r="BL53" s="27" t="n">
        <v>2.78</v>
      </c>
      <c r="BM53" s="28" t="n">
        <v>0.359712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inlineStr">
        <is>
          <t>2026-08-30T03:26:32.606716Z</t>
        </is>
      </c>
      <c r="CA53" s="31" t="inlineStr">
        <is>
          <t>fixed one-unit hypothetical scoring; no real exposure or execution</t>
        </is>
      </c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0.359712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7e4bc1c4f7b84405</t>
        </is>
      </c>
      <c r="B54" s="24" t="inlineStr">
        <is>
          <t>2026-08-29T16:04:47.832302Z</t>
        </is>
      </c>
      <c r="C54" s="24" t="inlineStr">
        <is>
          <t>2026-08-30T00:30Z</t>
        </is>
      </c>
      <c r="D54" s="24" t="inlineStr">
        <is>
          <t>761765</t>
        </is>
      </c>
      <c r="E54" s="24" t="inlineStr">
        <is>
          <t>SOCCER</t>
        </is>
      </c>
      <c r="F54" s="24" t="inlineStr">
        <is>
          <t>San Jose Earthquakes</t>
        </is>
      </c>
      <c r="G54" s="24" t="inlineStr">
        <is>
          <t>Houston Dynamo FC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426</v>
      </c>
      <c r="M54" s="27" t="n">
        <v>5.26</v>
      </c>
      <c r="N54" s="28" t="n">
        <v>0.190114</v>
      </c>
      <c r="O54" s="28" t="n">
        <v>0.44421</v>
      </c>
      <c r="P54" s="28" t="n">
        <v>0.04</v>
      </c>
      <c r="Q54" s="28" t="n">
        <v>0.254096</v>
      </c>
      <c r="R54" s="26" t="n">
        <v>100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2026-08-30T03:26:33.921075Z</t>
        </is>
      </c>
      <c r="AE54" s="31" t="inlineStr">
        <is>
          <t>Poisson-DC rates 1.56 (home) / 1.88 (away) from EWMA attack/defense strengths. Executable ask 0.1900 (atc-mls-hou-sje-2026-08-29-sje).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San Jose Earthquakes</t>
        </is>
      </c>
      <c r="AQ54" s="24" t="inlineStr">
        <is>
          <t>San Jose Earthquakes</t>
        </is>
      </c>
      <c r="AR54" s="24" t="inlineStr">
        <is>
          <t>San Jose Earthquakes</t>
        </is>
      </c>
      <c r="AS54" s="24" t="inlineStr">
        <is>
          <t>Houston Dynamo FC</t>
        </is>
      </c>
      <c r="AT54" s="24" t="inlineStr">
        <is>
          <t>Houston Dynamo FC</t>
        </is>
      </c>
      <c r="AU54" s="24" t="inlineStr">
        <is>
          <t>Houston Dynamo FC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f585a7f3cb7ee04f9a319a60fa601ef15e86636fadaaa8c1380ac0f28f75c58a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f585a7f3cb7ee04f9a319a60fa601ef15e86636fadaaa8c1380ac0f28f75c58a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f585a7f3cb7ee04f9a319a60fa601ef15e86636fadaaa8c1380ac0f28f75c58a</t>
        </is>
      </c>
      <c r="BH54" s="24" t="inlineStr">
        <is>
          <t>2026-08-29T16:02:46.689652Z</t>
        </is>
      </c>
      <c r="BI54" s="24" t="inlineStr">
        <is>
          <t>["same_event","same_team_same_day","same_league_same_day"]</t>
        </is>
      </c>
      <c r="BJ54" s="25" t="n"/>
      <c r="BK54" s="26" t="n">
        <v>426</v>
      </c>
      <c r="BL54" s="27" t="n">
        <v>5.26</v>
      </c>
      <c r="BM54" s="28" t="n">
        <v>0.190114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>
        <v>1</v>
      </c>
      <c r="BY54" s="27" t="n">
        <v>-1</v>
      </c>
      <c r="BZ54" s="24" t="inlineStr">
        <is>
          <t>2026-08-30T03:26:33.921075Z</t>
        </is>
      </c>
      <c r="CA54" s="31" t="inlineStr">
        <is>
          <t>fixed one-unit hypothetical scoring; no real exposure or execution</t>
        </is>
      </c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0.190114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c393b688c9944f56</t>
        </is>
      </c>
      <c r="B55" s="24" t="inlineStr">
        <is>
          <t>2026-08-29T16:04:47.832302Z</t>
        </is>
      </c>
      <c r="C55" s="24" t="inlineStr">
        <is>
          <t>2026-08-30T00:30Z</t>
        </is>
      </c>
      <c r="D55" s="24" t="inlineStr">
        <is>
          <t>761763</t>
        </is>
      </c>
      <c r="E55" s="24" t="inlineStr">
        <is>
          <t>SOCCER</t>
        </is>
      </c>
      <c r="F55" s="24" t="inlineStr">
        <is>
          <t>Orlando City SC</t>
        </is>
      </c>
      <c r="G55" s="24" t="inlineStr">
        <is>
          <t>Minnesota United FC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-117</v>
      </c>
      <c r="M55" s="27" t="n">
        <v>1.854701</v>
      </c>
      <c r="N55" s="28" t="n">
        <v>0.539171</v>
      </c>
      <c r="O55" s="28" t="n">
        <v>0.615174</v>
      </c>
      <c r="P55" s="28" t="n">
        <v>0.04</v>
      </c>
      <c r="Q55" s="28" t="n">
        <v>0.076003</v>
      </c>
      <c r="R55" s="26" t="n">
        <v>64</v>
      </c>
      <c r="S55" s="29" t="n">
        <v>1.25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3</v>
      </c>
      <c r="Y55" s="25" t="n"/>
      <c r="Z55" s="26" t="n"/>
      <c r="AA55" s="28" t="n"/>
      <c r="AB55" s="28" t="n"/>
      <c r="AC55" s="30" t="n">
        <v>-1.25</v>
      </c>
      <c r="AD55" s="24" t="inlineStr">
        <is>
          <t>2026-08-30T03:26:35.090641Z</t>
        </is>
      </c>
      <c r="AE55" s="31" t="inlineStr">
        <is>
          <t>Poisson-DC rates 2.59 (home) / 1.45 (away) from EWMA attack/defense strengths. Executable ask 0.5400 (atc-mls-min-orl-2026-08-29-min).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Orlando City SC</t>
        </is>
      </c>
      <c r="AQ55" s="24" t="inlineStr">
        <is>
          <t>Orlando City SC</t>
        </is>
      </c>
      <c r="AR55" s="24" t="inlineStr">
        <is>
          <t>Orlando City SC</t>
        </is>
      </c>
      <c r="AS55" s="24" t="inlineStr">
        <is>
          <t>Minnesota United FC</t>
        </is>
      </c>
      <c r="AT55" s="24" t="inlineStr">
        <is>
          <t>Minnesota United FC</t>
        </is>
      </c>
      <c r="AU55" s="24" t="inlineStr">
        <is>
          <t>Minnesota United FC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f585a7f3cb7ee04f9a319a60fa601ef15e86636fadaaa8c1380ac0f28f75c58a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f585a7f3cb7ee04f9a319a60fa601ef15e86636fadaaa8c1380ac0f28f75c58a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f585a7f3cb7ee04f9a319a60fa601ef15e86636fadaaa8c1380ac0f28f75c58a</t>
        </is>
      </c>
      <c r="BH55" s="24" t="inlineStr">
        <is>
          <t>2026-08-29T16:02:46.824609Z</t>
        </is>
      </c>
      <c r="BI55" s="24" t="inlineStr">
        <is>
          <t>["same_event","same_team_same_day","same_league_same_day"]</t>
        </is>
      </c>
      <c r="BJ55" s="25" t="n"/>
      <c r="BK55" s="26" t="n">
        <v>-117</v>
      </c>
      <c r="BL55" s="27" t="n">
        <v>1.854701</v>
      </c>
      <c r="BM55" s="28" t="n">
        <v>0.539171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>
        <v>1</v>
      </c>
      <c r="BY55" s="27" t="n">
        <v>-1</v>
      </c>
      <c r="BZ55" s="24" t="inlineStr">
        <is>
          <t>2026-08-30T03:26:35.090641Z</t>
        </is>
      </c>
      <c r="CA55" s="31" t="inlineStr">
        <is>
          <t>fixed one-unit hypothetical scoring; no real exposure or execution</t>
        </is>
      </c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0.539171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623ff94ab58f43ec</t>
        </is>
      </c>
      <c r="B56" s="24" t="inlineStr">
        <is>
          <t>2026-08-29T16:04:47.832302Z</t>
        </is>
      </c>
      <c r="C56" s="24" t="inlineStr">
        <is>
          <t>2026-08-30T00:30Z</t>
        </is>
      </c>
      <c r="D56" s="24" t="inlineStr">
        <is>
          <t>761764</t>
        </is>
      </c>
      <c r="E56" s="24" t="inlineStr">
        <is>
          <t>SOCCER</t>
        </is>
      </c>
      <c r="F56" s="24" t="inlineStr">
        <is>
          <t>FC Cincinnati</t>
        </is>
      </c>
      <c r="G56" s="24" t="inlineStr">
        <is>
          <t>Nashville SC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-122</v>
      </c>
      <c r="M56" s="27" t="n">
        <v>1.819672</v>
      </c>
      <c r="N56" s="28" t="n">
        <v>0.54955</v>
      </c>
      <c r="O56" s="28" t="n">
        <v>0.687867</v>
      </c>
      <c r="P56" s="28" t="n">
        <v>0.04</v>
      </c>
      <c r="Q56" s="28" t="n">
        <v>0.138317</v>
      </c>
      <c r="R56" s="26" t="n">
        <v>95</v>
      </c>
      <c r="S56" s="29" t="n">
        <v>1.75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4</v>
      </c>
      <c r="Y56" s="25" t="n"/>
      <c r="Z56" s="26" t="n"/>
      <c r="AA56" s="28" t="n"/>
      <c r="AB56" s="28" t="n"/>
      <c r="AC56" s="30" t="n">
        <v>1.4344</v>
      </c>
      <c r="AD56" s="24" t="inlineStr">
        <is>
          <t>2026-08-30T03:26:36.229740Z</t>
        </is>
      </c>
      <c r="AE56" s="31" t="inlineStr">
        <is>
          <t>Poisson-DC rates 3.12 (home) / 1.52 (away) from EWMA attack/defense strengths. Executable ask 0.5500 (atc-mls-nas-fcc-2026-08-29-nas).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FC Cincinnati</t>
        </is>
      </c>
      <c r="AQ56" s="24" t="inlineStr">
        <is>
          <t>FC Cincinnati</t>
        </is>
      </c>
      <c r="AR56" s="24" t="inlineStr">
        <is>
          <t>FC Cincinnati</t>
        </is>
      </c>
      <c r="AS56" s="24" t="inlineStr">
        <is>
          <t>Nashville SC</t>
        </is>
      </c>
      <c r="AT56" s="24" t="inlineStr">
        <is>
          <t>Nashville SC</t>
        </is>
      </c>
      <c r="AU56" s="24" t="inlineStr">
        <is>
          <t>Nashville SC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f585a7f3cb7ee04f9a319a60fa601ef15e86636fadaaa8c1380ac0f28f75c58a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f585a7f3cb7ee04f9a319a60fa601ef15e86636fadaaa8c1380ac0f28f75c58a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f585a7f3cb7ee04f9a319a60fa601ef15e86636fadaaa8c1380ac0f28f75c58a</t>
        </is>
      </c>
      <c r="BH56" s="24" t="inlineStr">
        <is>
          <t>2026-08-29T16:02:46.949878Z</t>
        </is>
      </c>
      <c r="BI56" s="24" t="inlineStr">
        <is>
          <t>["same_event","same_team_same_day","same_league_same_day"]</t>
        </is>
      </c>
      <c r="BJ56" s="25" t="n"/>
      <c r="BK56" s="26" t="n">
        <v>-122</v>
      </c>
      <c r="BL56" s="27" t="n">
        <v>1.819672</v>
      </c>
      <c r="BM56" s="28" t="n">
        <v>0.54955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0.819671</v>
      </c>
      <c r="BZ56" s="24" t="inlineStr">
        <is>
          <t>2026-08-30T03:26:36.229740Z</t>
        </is>
      </c>
      <c r="CA56" s="31" t="inlineStr">
        <is>
          <t>fixed one-unit hypothetical scoring; no real exposure or execution</t>
        </is>
      </c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0.54955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d20a967d62724182</t>
        </is>
      </c>
      <c r="B57" s="24" t="inlineStr">
        <is>
          <t>2026-08-29T16:04:47.832302Z</t>
        </is>
      </c>
      <c r="C57" s="24" t="inlineStr">
        <is>
          <t>2026-08-30T00:30Z</t>
        </is>
      </c>
      <c r="D57" s="24" t="inlineStr">
        <is>
          <t>761762</t>
        </is>
      </c>
      <c r="E57" s="24" t="inlineStr">
        <is>
          <t>SOCCER</t>
        </is>
      </c>
      <c r="F57" s="24" t="inlineStr">
        <is>
          <t>Vancouver Whitecaps</t>
        </is>
      </c>
      <c r="G57" s="24" t="inlineStr">
        <is>
          <t>Sporting Kansas City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-223</v>
      </c>
      <c r="M57" s="27" t="n">
        <v>1.44843</v>
      </c>
      <c r="N57" s="28" t="n">
        <v>0.690402</v>
      </c>
      <c r="O57" s="28" t="n">
        <v>0.767632</v>
      </c>
      <c r="P57" s="28" t="n">
        <v>0.04</v>
      </c>
      <c r="Q57" s="28" t="n">
        <v>0.07722999999999999</v>
      </c>
      <c r="R57" s="26" t="n">
        <v>65</v>
      </c>
      <c r="S57" s="29" t="n">
        <v>1.25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0</v>
      </c>
      <c r="Y57" s="25" t="n"/>
      <c r="Z57" s="26" t="n"/>
      <c r="AA57" s="28" t="n"/>
      <c r="AB57" s="28" t="n"/>
      <c r="AC57" s="30" t="n">
        <v>0.5605</v>
      </c>
      <c r="AD57" s="24" t="inlineStr">
        <is>
          <t>2026-08-30T03:26:37.405937Z</t>
        </is>
      </c>
      <c r="AE57" s="31" t="inlineStr">
        <is>
          <t>Poisson-DC rates 1.08 (home) / 3.10 (away) from EWMA attack/defense strengths. Executable ask 0.6900 (atc-mls-skc-vwh-2026-08-29-vwh).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Vancouver Whitecaps</t>
        </is>
      </c>
      <c r="AQ57" s="24" t="inlineStr">
        <is>
          <t>Vancouver Whitecaps</t>
        </is>
      </c>
      <c r="AR57" s="24" t="inlineStr">
        <is>
          <t>Vancouver Whitecaps</t>
        </is>
      </c>
      <c r="AS57" s="24" t="inlineStr">
        <is>
          <t>Sporting Kansas City</t>
        </is>
      </c>
      <c r="AT57" s="24" t="inlineStr">
        <is>
          <t>Sporting Kansas City</t>
        </is>
      </c>
      <c r="AU57" s="24" t="inlineStr">
        <is>
          <t>Sporting Kansas City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f585a7f3cb7ee04f9a319a60fa601ef15e86636fadaaa8c1380ac0f28f75c58a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f585a7f3cb7ee04f9a319a60fa601ef15e86636fadaaa8c1380ac0f28f75c58a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f585a7f3cb7ee04f9a319a60fa601ef15e86636fadaaa8c1380ac0f28f75c58a</t>
        </is>
      </c>
      <c r="BH57" s="24" t="inlineStr">
        <is>
          <t>2026-08-29T16:02:47.109817Z</t>
        </is>
      </c>
      <c r="BI57" s="24" t="inlineStr">
        <is>
          <t>["same_event","same_team_same_day","same_league_same_day"]</t>
        </is>
      </c>
      <c r="BJ57" s="25" t="n"/>
      <c r="BK57" s="26" t="n">
        <v>-223</v>
      </c>
      <c r="BL57" s="27" t="n">
        <v>1.44843</v>
      </c>
      <c r="BM57" s="28" t="n">
        <v>0.690402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0.690402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787854d0acab4353</t>
        </is>
      </c>
      <c r="B58" s="24" t="inlineStr">
        <is>
          <t>2026-08-29T16:04:47.832302Z</t>
        </is>
      </c>
      <c r="C58" s="24" t="inlineStr">
        <is>
          <t>2026-08-30T01:30Z</t>
        </is>
      </c>
      <c r="D58" s="24" t="inlineStr">
        <is>
          <t>761766</t>
        </is>
      </c>
      <c r="E58" s="24" t="inlineStr">
        <is>
          <t>SOCCER</t>
        </is>
      </c>
      <c r="F58" s="24" t="inlineStr">
        <is>
          <t>Real Salt Lake</t>
        </is>
      </c>
      <c r="G58" s="24" t="inlineStr">
        <is>
          <t>Colorado Rapids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0.386558</v>
      </c>
      <c r="P58" s="28" t="n">
        <v>0.04</v>
      </c>
      <c r="Q58" s="28" t="n">
        <v>-0.103638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1.04</v>
      </c>
      <c r="AD58" s="24" t="inlineStr">
        <is>
          <t>2026-08-30T16:00:23.330132Z</t>
        </is>
      </c>
      <c r="AE58" s="31" t="inlineStr">
        <is>
          <t>Poisson-DC rates 1.65 (home) / 1.59 (away) from EWMA attack/defense strengths. Executable ask 0.4900 (atc-mls-col-rsl-2026-08-29-col).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Real Salt Lake</t>
        </is>
      </c>
      <c r="AQ58" s="24" t="inlineStr">
        <is>
          <t>Real Salt Lake</t>
        </is>
      </c>
      <c r="AR58" s="24" t="inlineStr">
        <is>
          <t>Real Salt Lake</t>
        </is>
      </c>
      <c r="AS58" s="24" t="inlineStr">
        <is>
          <t>Colorado Rapids</t>
        </is>
      </c>
      <c r="AT58" s="24" t="inlineStr">
        <is>
          <t>Colorado Rapids</t>
        </is>
      </c>
      <c r="AU58" s="24" t="inlineStr">
        <is>
          <t>Colorado Rapids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f585a7f3cb7ee04f9a319a60fa601ef15e86636fadaaa8c1380ac0f28f75c58a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f585a7f3cb7ee04f9a319a60fa601ef15e86636fadaaa8c1380ac0f28f75c58a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f585a7f3cb7ee04f9a319a60fa601ef15e86636fadaaa8c1380ac0f28f75c58a</t>
        </is>
      </c>
      <c r="BH58" s="24" t="inlineStr">
        <is>
          <t>2026-08-29T16:02:47.221477Z</t>
        </is>
      </c>
      <c r="BI58" s="24" t="inlineStr">
        <is>
          <t>["same_event","same_team_same_day","same_league_same_day"]</t>
        </is>
      </c>
      <c r="BJ58" s="25" t="n"/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>
        <v>1</v>
      </c>
      <c r="BY58" s="27" t="n">
        <v>1.04</v>
      </c>
      <c r="BZ58" s="24" t="inlineStr">
        <is>
          <t>2026-08-30T16:00:23.330132Z</t>
        </is>
      </c>
      <c r="CA58" s="31" t="inlineStr">
        <is>
          <t>fixed one-unit hypothetical scoring; no real exposure or execution</t>
        </is>
      </c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3e8b9e996ba047da</t>
        </is>
      </c>
      <c r="B59" s="24" t="inlineStr">
        <is>
          <t>2026-08-29T16:04:47.832302Z</t>
        </is>
      </c>
      <c r="C59" s="24" t="inlineStr">
        <is>
          <t>2026-08-30T02:30Z</t>
        </is>
      </c>
      <c r="D59" s="24" t="inlineStr">
        <is>
          <t>761768</t>
        </is>
      </c>
      <c r="E59" s="24" t="inlineStr">
        <is>
          <t>SOCCER</t>
        </is>
      </c>
      <c r="F59" s="24" t="inlineStr">
        <is>
          <t>Austin FC</t>
        </is>
      </c>
      <c r="G59" s="24" t="inlineStr">
        <is>
          <t>Portland Timbers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0.638552</v>
      </c>
      <c r="P59" s="28" t="n">
        <v>0.04</v>
      </c>
      <c r="Q59" s="28" t="n">
        <v>0.01878</v>
      </c>
      <c r="R59" s="26" t="n">
        <v>35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1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2026-08-30T16:00:23.944239Z</t>
        </is>
      </c>
      <c r="AE59" s="31" t="inlineStr">
        <is>
          <t>Poisson-DC rates 2.59 (home) / 1.33 (away) from EWMA attack/defense strengths. Executable ask 0.6200 (atc-mls-por-aus-2026-08-29-por).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Austin FC</t>
        </is>
      </c>
      <c r="AQ59" s="24" t="inlineStr">
        <is>
          <t>Austin FC</t>
        </is>
      </c>
      <c r="AR59" s="24" t="inlineStr">
        <is>
          <t>Austin FC</t>
        </is>
      </c>
      <c r="AS59" s="24" t="inlineStr">
        <is>
          <t>Portland Timbers</t>
        </is>
      </c>
      <c r="AT59" s="24" t="inlineStr">
        <is>
          <t>Portland Timbers</t>
        </is>
      </c>
      <c r="AU59" s="24" t="inlineStr">
        <is>
          <t>Portland Timbers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f585a7f3cb7ee04f9a319a60fa601ef15e86636fadaaa8c1380ac0f28f75c58a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f585a7f3cb7ee04f9a319a60fa601ef15e86636fadaaa8c1380ac0f28f75c58a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f585a7f3cb7ee04f9a319a60fa601ef15e86636fadaaa8c1380ac0f28f75c58a</t>
        </is>
      </c>
      <c r="BH59" s="24" t="inlineStr">
        <is>
          <t>2026-08-29T16:02:47.353073Z</t>
        </is>
      </c>
      <c r="BI59" s="24" t="inlineStr">
        <is>
          <t>["same_event","same_team_same_day","same_league_same_day"]</t>
        </is>
      </c>
      <c r="BJ59" s="25" t="n"/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inlineStr">
        <is>
          <t>2026-08-30T16:00:23.944239Z</t>
        </is>
      </c>
      <c r="CA59" s="31" t="inlineStr">
        <is>
          <t>fixed one-unit hypothetical scoring; no real exposure or execution</t>
        </is>
      </c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0.619772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9a0eb71595fb4172</t>
        </is>
      </c>
      <c r="B60" s="24" t="inlineStr">
        <is>
          <t>2026-08-29T16:04:47.832302Z</t>
        </is>
      </c>
      <c r="C60" s="24" t="inlineStr">
        <is>
          <t>2026-08-30T02:30Z</t>
        </is>
      </c>
      <c r="D60" s="24" t="inlineStr">
        <is>
          <t>761767</t>
        </is>
      </c>
      <c r="E60" s="24" t="inlineStr">
        <is>
          <t>SOCCER</t>
        </is>
      </c>
      <c r="F60" s="24" t="inlineStr">
        <is>
          <t>LA Galaxy</t>
        </is>
      </c>
      <c r="G60" s="24" t="inlineStr">
        <is>
          <t>San Diego FC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0.592102</v>
      </c>
      <c r="P60" s="28" t="n">
        <v>0.04</v>
      </c>
      <c r="Q60" s="28" t="n">
        <v>0.032631</v>
      </c>
      <c r="R60" s="26" t="n">
        <v>42</v>
      </c>
      <c r="S60" s="29" t="n">
        <v>1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3</v>
      </c>
      <c r="Y60" s="25" t="n"/>
      <c r="Z60" s="26" t="n"/>
      <c r="AA60" s="28" t="n"/>
      <c r="AB60" s="28" t="n"/>
      <c r="AC60" s="30" t="n">
        <v>0.7874</v>
      </c>
      <c r="AD60" s="24" t="inlineStr">
        <is>
          <t>2026-08-30T16:00:24.547859Z</t>
        </is>
      </c>
      <c r="AE60" s="31" t="inlineStr">
        <is>
          <t>Poisson-DC rates 2.49 (home) / 1.47 (away) from EWMA attack/defense strengths. Executable ask 0.5600 (atc-mls-sdg-lag-2026-08-29-sdg).</t>
        </is>
      </c>
      <c r="AF60" s="31" t="inlineStr">
        <is>
          <t>Research-only soccer score model; draw-aware, but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LA Galaxy</t>
        </is>
      </c>
      <c r="AQ60" s="24" t="inlineStr">
        <is>
          <t>LA Galaxy</t>
        </is>
      </c>
      <c r="AR60" s="24" t="inlineStr">
        <is>
          <t>LA Galaxy</t>
        </is>
      </c>
      <c r="AS60" s="24" t="inlineStr">
        <is>
          <t>San Diego FC</t>
        </is>
      </c>
      <c r="AT60" s="24" t="inlineStr">
        <is>
          <t>San Diego FC</t>
        </is>
      </c>
      <c r="AU60" s="24" t="inlineStr">
        <is>
          <t>San Diego FC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f585a7f3cb7ee04f9a319a60fa601ef15e86636fadaaa8c1380ac0f28f75c58a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f585a7f3cb7ee04f9a319a60fa601ef15e86636fadaaa8c1380ac0f28f75c58a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f585a7f3cb7ee04f9a319a60fa601ef15e86636fadaaa8c1380ac0f28f75c58a</t>
        </is>
      </c>
      <c r="BH60" s="24" t="inlineStr">
        <is>
          <t>2026-08-29T16:02:47.519791Z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>
        <v>1</v>
      </c>
      <c r="BY60" s="27" t="n">
        <v>0.787403</v>
      </c>
      <c r="BZ60" s="24" t="inlineStr">
        <is>
          <t>2026-08-30T16:00:24.547859Z</t>
        </is>
      </c>
      <c r="CA60" s="31" t="inlineStr">
        <is>
          <t>fixed one-unit hypothetical scoring; no real exposure or execution</t>
        </is>
      </c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0.559471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b0e8fcbff85340b6</t>
        </is>
      </c>
      <c r="B61" s="24" t="inlineStr">
        <is>
          <t>2026-08-29T16:04:47.832302Z</t>
        </is>
      </c>
      <c r="C61" s="24" t="inlineStr">
        <is>
          <t>2026-08-29T23:00Z</t>
        </is>
      </c>
      <c r="D61" s="24" t="inlineStr">
        <is>
          <t>401841209</t>
        </is>
      </c>
      <c r="E61" s="24" t="inlineStr">
        <is>
          <t>SOCCER</t>
        </is>
      </c>
      <c r="F61" s="24" t="inlineStr">
        <is>
          <t>Red Bull Bragantino</t>
        </is>
      </c>
      <c r="G61" s="24" t="inlineStr">
        <is>
          <t>São Paulo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127</v>
      </c>
      <c r="M61" s="27" t="n">
        <v>2.27</v>
      </c>
      <c r="N61" s="28" t="n">
        <v>0.440529</v>
      </c>
      <c r="O61" s="28" t="n">
        <v>0.456135</v>
      </c>
      <c r="P61" s="28" t="n">
        <v>0.2</v>
      </c>
      <c r="Q61" s="28" t="n">
        <v>0.015606</v>
      </c>
      <c r="R61" s="26" t="n">
        <v>0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2</v>
      </c>
      <c r="Y61" s="25" t="n"/>
      <c r="Z61" s="26" t="n"/>
      <c r="AA61" s="28" t="n"/>
      <c r="AB61" s="28" t="n"/>
      <c r="AC61" s="30" t="n">
        <v>1.27</v>
      </c>
      <c r="AD61" s="24" t="inlineStr">
        <is>
          <t>2026-08-30T03:26:38.776681Z</t>
        </is>
      </c>
      <c r="AE61" s="31" t="inlineStr">
        <is>
          <t>Poisson-DC rates 1.64 (home) / 1.24 (away) from EWMA attack/defense strengths. Executable ask 0.4400 (atc-bra-sao-bra-2026-08-29-sao).</t>
        </is>
      </c>
      <c r="AF61" s="31" t="inlineStr">
        <is>
          <t>Research-only soccer score model; draw-aware, but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Red Bull Bragantino</t>
        </is>
      </c>
      <c r="AQ61" s="24" t="inlineStr">
        <is>
          <t>Red Bull Bragantino</t>
        </is>
      </c>
      <c r="AR61" s="24" t="inlineStr">
        <is>
          <t>Red Bull Bragantino</t>
        </is>
      </c>
      <c r="AS61" s="24" t="inlineStr">
        <is>
          <t>São Paulo</t>
        </is>
      </c>
      <c r="AT61" s="24" t="inlineStr">
        <is>
          <t>São Paulo</t>
        </is>
      </c>
      <c r="AU61" s="24" t="inlineStr">
        <is>
          <t>São Paulo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f585a7f3cb7ee04f9a319a60fa601ef15e86636fadaaa8c1380ac0f28f75c58a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f585a7f3cb7ee04f9a319a60fa601ef15e86636fadaaa8c1380ac0f28f75c58a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f585a7f3cb7ee04f9a319a60fa601ef15e86636fadaaa8c1380ac0f28f75c58a</t>
        </is>
      </c>
      <c r="BH61" s="24" t="inlineStr">
        <is>
          <t>2026-08-29T16:02:47.650016Z</t>
        </is>
      </c>
      <c r="BI61" s="24" t="inlineStr">
        <is>
          <t>["same_event","same_team_same_day","same_league_same_day"]</t>
        </is>
      </c>
      <c r="BJ61" s="25" t="n"/>
      <c r="BK61" s="26" t="n">
        <v>127</v>
      </c>
      <c r="BL61" s="27" t="n">
        <v>2.27</v>
      </c>
      <c r="BM61" s="28" t="n">
        <v>0.440529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>
        <v>1</v>
      </c>
      <c r="BY61" s="27" t="n">
        <v>1.269998</v>
      </c>
      <c r="BZ61" s="24" t="inlineStr">
        <is>
          <t>2026-08-30T03:26:38.776681Z</t>
        </is>
      </c>
      <c r="CA61" s="31" t="inlineStr">
        <is>
          <t>fixed one-unit hypothetical scoring; no real exposure or execution</t>
        </is>
      </c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0.440529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ac1813b49f6d49d9</t>
        </is>
      </c>
      <c r="B62" s="24" t="inlineStr">
        <is>
          <t>2026-08-29T16:04:47.832302Z</t>
        </is>
      </c>
      <c r="C62" s="24" t="inlineStr">
        <is>
          <t>2026-08-30T00:20Z</t>
        </is>
      </c>
      <c r="D62" s="24" t="inlineStr">
        <is>
          <t>401841212</t>
        </is>
      </c>
      <c r="E62" s="24" t="inlineStr">
        <is>
          <t>SOCCER</t>
        </is>
      </c>
      <c r="F62" s="24" t="inlineStr">
        <is>
          <t>Cruzeiro</t>
        </is>
      </c>
      <c r="G62" s="24" t="inlineStr">
        <is>
          <t>Vasco da Gama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108</v>
      </c>
      <c r="M62" s="27" t="n">
        <v>2.08</v>
      </c>
      <c r="N62" s="28" t="n">
        <v>0.480769</v>
      </c>
      <c r="O62" s="28" t="n">
        <v>0.456135</v>
      </c>
      <c r="P62" s="28" t="n">
        <v>0.2</v>
      </c>
      <c r="Q62" s="28" t="n">
        <v>-0.024634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/>
      <c r="Z62" s="26" t="n"/>
      <c r="AA62" s="28" t="n"/>
      <c r="AB62" s="28" t="n"/>
      <c r="AC62" s="30" t="n">
        <v>1.08</v>
      </c>
      <c r="AD62" s="24" t="inlineStr">
        <is>
          <t>2026-08-30T03:26:39.911825Z</t>
        </is>
      </c>
      <c r="AE62" s="31" t="inlineStr">
        <is>
          <t>Poisson-DC rates 1.64 (home) / 1.24 (away) from EWMA attack/defense strengths. Executable ask 0.4800 (atc-bra-vas-cru-2026-08-29-vas).</t>
        </is>
      </c>
      <c r="AF62" s="31" t="inlineStr">
        <is>
          <t>Research-only soccer score model; draw-aware, but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Cruzeiro</t>
        </is>
      </c>
      <c r="AQ62" s="24" t="inlineStr">
        <is>
          <t>Cruzeiro</t>
        </is>
      </c>
      <c r="AR62" s="24" t="inlineStr">
        <is>
          <t>Cruzeiro</t>
        </is>
      </c>
      <c r="AS62" s="24" t="inlineStr">
        <is>
          <t>Vasco da Gama</t>
        </is>
      </c>
      <c r="AT62" s="24" t="inlineStr">
        <is>
          <t>Vasco da Gama</t>
        </is>
      </c>
      <c r="AU62" s="24" t="inlineStr">
        <is>
          <t>Vasco da Gama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f585a7f3cb7ee04f9a319a60fa601ef15e86636fadaaa8c1380ac0f28f75c58a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f585a7f3cb7ee04f9a319a60fa601ef15e86636fadaaa8c1380ac0f28f75c58a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f585a7f3cb7ee04f9a319a60fa601ef15e86636fadaaa8c1380ac0f28f75c58a</t>
        </is>
      </c>
      <c r="BH62" s="24" t="inlineStr">
        <is>
          <t>2026-08-29T16:02:47.687969Z</t>
        </is>
      </c>
      <c r="BI62" s="24" t="inlineStr">
        <is>
          <t>["same_event","same_team_same_day","same_league_same_day"]</t>
        </is>
      </c>
      <c r="BJ62" s="25" t="n"/>
      <c r="BK62" s="26" t="n">
        <v>108</v>
      </c>
      <c r="BL62" s="27" t="n">
        <v>2.08</v>
      </c>
      <c r="BM62" s="28" t="n">
        <v>0.480769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>
        <v>1</v>
      </c>
      <c r="BY62" s="27" t="n">
        <v>1.080001</v>
      </c>
      <c r="BZ62" s="24" t="inlineStr">
        <is>
          <t>2026-08-30T03:26:39.911825Z</t>
        </is>
      </c>
      <c r="CA62" s="31" t="inlineStr">
        <is>
          <t>fixed one-unit hypothetical scoring; no real exposure or execution</t>
        </is>
      </c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0.480769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21b9d4791a9940fc</t>
        </is>
      </c>
      <c r="B63" s="24" t="inlineStr">
        <is>
          <t>2026-08-29T16:04:47.832302Z</t>
        </is>
      </c>
      <c r="C63" s="24" t="inlineStr">
        <is>
          <t>2026-08-29T21:30Z</t>
        </is>
      </c>
      <c r="D63" s="24" t="inlineStr">
        <is>
          <t>401860304</t>
        </is>
      </c>
      <c r="E63" s="24" t="inlineStr">
        <is>
          <t>SOCCER</t>
        </is>
      </c>
      <c r="F63" s="24" t="inlineStr">
        <is>
          <t>Cuiabá</t>
        </is>
      </c>
      <c r="G63" s="24" t="inlineStr">
        <is>
          <t>Botafogo-SP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0.456135</v>
      </c>
      <c r="P63" s="28" t="n">
        <v>0.2</v>
      </c>
      <c r="Q63" s="28" t="n">
        <v>-0.004694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1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2026-08-30T03:26:41.107599Z</t>
        </is>
      </c>
      <c r="AE63" s="31" t="inlineStr">
        <is>
          <t>Poisson-DC rates 1.64 (home) / 1.24 (away) from EWMA attack/defense strengths. Executable ask 0.4600 (atc-brb-bot-cui-2026-08-29-bot).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Cuiabá</t>
        </is>
      </c>
      <c r="AQ63" s="24" t="inlineStr">
        <is>
          <t>Cuiabá</t>
        </is>
      </c>
      <c r="AR63" s="24" t="inlineStr">
        <is>
          <t>Cuiabá</t>
        </is>
      </c>
      <c r="AS63" s="24" t="inlineStr">
        <is>
          <t>Botafogo-SP</t>
        </is>
      </c>
      <c r="AT63" s="24" t="inlineStr">
        <is>
          <t>Botafogo-SP</t>
        </is>
      </c>
      <c r="AU63" s="24" t="inlineStr">
        <is>
          <t>Botafogo-SP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f585a7f3cb7ee04f9a319a60fa601ef15e86636fadaaa8c1380ac0f28f75c58a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f585a7f3cb7ee04f9a319a60fa601ef15e86636fadaaa8c1380ac0f28f75c58a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f585a7f3cb7ee04f9a319a60fa601ef15e86636fadaaa8c1380ac0f28f75c58a</t>
        </is>
      </c>
      <c r="BH63" s="24" t="inlineStr">
        <is>
          <t>2026-08-29T16:02:47.704657Z</t>
        </is>
      </c>
      <c r="BI63" s="24" t="inlineStr">
        <is>
          <t>["same_event","same_team_same_day","same_league_same_day"]</t>
        </is>
      </c>
      <c r="BJ63" s="25" t="n"/>
      <c r="BK63" s="26" t="n">
        <v>117</v>
      </c>
      <c r="BL63" s="27" t="n">
        <v>2.17</v>
      </c>
      <c r="BM63" s="28" t="n">
        <v>0.460829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>
        <v>1</v>
      </c>
      <c r="BY63" s="27" t="n">
        <v>-1</v>
      </c>
      <c r="BZ63" s="24" t="inlineStr">
        <is>
          <t>2026-08-30T03:26:41.107599Z</t>
        </is>
      </c>
      <c r="CA63" s="31" t="inlineStr">
        <is>
          <t>fixed one-unit hypothetical scoring; no real exposure or execution</t>
        </is>
      </c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0.460829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614eabe541704989</t>
        </is>
      </c>
      <c r="B64" s="24" t="inlineStr">
        <is>
          <t>2026-08-29T16:04:47.832302Z</t>
        </is>
      </c>
      <c r="C64" s="24" t="inlineStr">
        <is>
          <t>2026-08-29T20:00Z</t>
        </is>
      </c>
      <c r="D64" s="24" t="inlineStr">
        <is>
          <t>401841535</t>
        </is>
      </c>
      <c r="E64" s="24" t="inlineStr">
        <is>
          <t>SOCCER</t>
        </is>
      </c>
      <c r="F64" s="24" t="inlineStr">
        <is>
          <t>Gimnasia La Plata</t>
        </is>
      </c>
      <c r="G64" s="24" t="inlineStr">
        <is>
          <t>Rosario Central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0.456135</v>
      </c>
      <c r="P64" s="28" t="n">
        <v>0.2</v>
      </c>
      <c r="Q64" s="28" t="n">
        <v>-0.134029</v>
      </c>
      <c r="R64" s="26" t="n">
        <v>0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2026-08-30T03:26:42.309217Z</t>
        </is>
      </c>
      <c r="AE64" s="31" t="inlineStr">
        <is>
          <t>Poisson-DC rates 1.64 (home) / 1.24 (away) from EWMA attack/defense strengths. Executable ask 0.5900 (atc-lpa-ros-gim-2026-08-29-ros).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Gimnasia La Plata</t>
        </is>
      </c>
      <c r="AQ64" s="24" t="inlineStr">
        <is>
          <t>Gimnasia La Plata</t>
        </is>
      </c>
      <c r="AR64" s="24" t="inlineStr">
        <is>
          <t>Gimnasia La Plata</t>
        </is>
      </c>
      <c r="AS64" s="24" t="inlineStr">
        <is>
          <t>Rosario Central</t>
        </is>
      </c>
      <c r="AT64" s="24" t="inlineStr">
        <is>
          <t>Rosario Central</t>
        </is>
      </c>
      <c r="AU64" s="24" t="inlineStr">
        <is>
          <t>Rosario Central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f585a7f3cb7ee04f9a319a60fa601ef15e86636fadaaa8c1380ac0f28f75c58a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f585a7f3cb7ee04f9a319a60fa601ef15e86636fadaaa8c1380ac0f28f75c58a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f585a7f3cb7ee04f9a319a60fa601ef15e86636fadaaa8c1380ac0f28f75c58a</t>
        </is>
      </c>
      <c r="BH64" s="24" t="inlineStr">
        <is>
          <t>2026-08-29T16:02:47.743774Z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>
        <v>1</v>
      </c>
      <c r="BY64" s="27" t="n">
        <v>-1</v>
      </c>
      <c r="BZ64" s="24" t="inlineStr">
        <is>
          <t>2026-08-30T03:26:42.309217Z</t>
        </is>
      </c>
      <c r="CA64" s="31" t="inlineStr">
        <is>
          <t>fixed one-unit hypothetical scoring; no real exposure or execution</t>
        </is>
      </c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4d279269e0c24118</t>
        </is>
      </c>
      <c r="B65" s="24" t="inlineStr">
        <is>
          <t>2026-08-29T16:04:47.832302Z</t>
        </is>
      </c>
      <c r="C65" s="24" t="inlineStr">
        <is>
          <t>2026-08-29T19:30Z</t>
        </is>
      </c>
      <c r="D65" s="24" t="inlineStr">
        <is>
          <t>401844099</t>
        </is>
      </c>
      <c r="E65" s="24" t="inlineStr">
        <is>
          <t>SOCCER</t>
        </is>
      </c>
      <c r="F65" s="24" t="inlineStr">
        <is>
          <t>Nueva Chicago</t>
        </is>
      </c>
      <c r="G65" s="24" t="inlineStr">
        <is>
          <t>Midland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-127</v>
      </c>
      <c r="M65" s="27" t="n">
        <v>1.787402</v>
      </c>
      <c r="N65" s="28" t="n">
        <v>0.5594710000000001</v>
      </c>
      <c r="O65" s="28" t="n">
        <v>0.440521</v>
      </c>
      <c r="P65" s="28" t="n">
        <v>0.2</v>
      </c>
      <c r="Q65" s="28" t="n">
        <v>-0.11895</v>
      </c>
      <c r="R65" s="26" t="n">
        <v>0</v>
      </c>
      <c r="S65" s="29" t="n">
        <v>1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2</v>
      </c>
      <c r="Y65" s="25" t="n"/>
      <c r="Z65" s="26" t="n"/>
      <c r="AA65" s="28" t="n"/>
      <c r="AB65" s="28" t="n"/>
      <c r="AC65" s="30" t="n">
        <v>0.7874</v>
      </c>
      <c r="AD65" s="24" t="inlineStr">
        <is>
          <t>2026-08-30T03:26:43.499037Z</t>
        </is>
      </c>
      <c r="AE65" s="31" t="inlineStr">
        <is>
          <t>Poisson-DC rates 1.46 (home) / 1.10 (away) from EWMA attack/defense strengths. Executable ask 0.5600 (atc-arg2-afm-chi-2026-08-29-afm).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Nueva Chicago</t>
        </is>
      </c>
      <c r="AQ65" s="24" t="inlineStr">
        <is>
          <t>Nueva Chicago</t>
        </is>
      </c>
      <c r="AR65" s="24" t="inlineStr">
        <is>
          <t>Nueva Chicago</t>
        </is>
      </c>
      <c r="AS65" s="24" t="inlineStr">
        <is>
          <t>Midland</t>
        </is>
      </c>
      <c r="AT65" s="24" t="inlineStr">
        <is>
          <t>Midland</t>
        </is>
      </c>
      <c r="AU65" s="24" t="inlineStr">
        <is>
          <t>Midland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f585a7f3cb7ee04f9a319a60fa601ef15e86636fadaaa8c1380ac0f28f75c58a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f585a7f3cb7ee04f9a319a60fa601ef15e86636fadaaa8c1380ac0f28f75c58a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f585a7f3cb7ee04f9a319a60fa601ef15e86636fadaaa8c1380ac0f28f75c58a</t>
        </is>
      </c>
      <c r="BH65" s="24" t="inlineStr">
        <is>
          <t>2026-08-29T16:02:47.831546Z</t>
        </is>
      </c>
      <c r="BI65" s="24" t="inlineStr">
        <is>
          <t>["same_event","same_team_same_day","same_league_same_day"]</t>
        </is>
      </c>
      <c r="BJ65" s="25" t="n"/>
      <c r="BK65" s="26" t="n">
        <v>-127</v>
      </c>
      <c r="BL65" s="27" t="n">
        <v>1.787402</v>
      </c>
      <c r="BM65" s="28" t="n">
        <v>0.5594710000000001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>
        <v>1</v>
      </c>
      <c r="BY65" s="27" t="n">
        <v>0.787403</v>
      </c>
      <c r="BZ65" s="24" t="inlineStr">
        <is>
          <t>2026-08-30T03:26:43.499037Z</t>
        </is>
      </c>
      <c r="CA65" s="31" t="inlineStr">
        <is>
          <t>fixed one-unit hypothetical scoring; no real exposure or execution</t>
        </is>
      </c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0.559471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811a876c765549eb</t>
        </is>
      </c>
      <c r="B66" s="24" t="inlineStr">
        <is>
          <t>2026-08-29T16:04:47.832302Z</t>
        </is>
      </c>
      <c r="C66" s="24" t="inlineStr">
        <is>
          <t>2026-08-29T17:00Z</t>
        </is>
      </c>
      <c r="D66" s="24" t="inlineStr">
        <is>
          <t>401912470</t>
        </is>
      </c>
      <c r="E66" s="24" t="inlineStr">
        <is>
          <t>SOCCER</t>
        </is>
      </c>
      <c r="F66" s="24" t="inlineStr">
        <is>
          <t>Cerro</t>
        </is>
      </c>
      <c r="G66" s="24" t="inlineStr">
        <is>
          <t>Boston River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100</v>
      </c>
      <c r="M66" s="27" t="n">
        <v>2</v>
      </c>
      <c r="N66" s="28" t="n">
        <v>0.5</v>
      </c>
      <c r="O66" s="28" t="n">
        <v>0.378182</v>
      </c>
      <c r="P66" s="28" t="n">
        <v>0.2</v>
      </c>
      <c r="Q66" s="28" t="n">
        <v>-0.121818</v>
      </c>
      <c r="R66" s="26" t="n">
        <v>0</v>
      </c>
      <c r="S66" s="29" t="n">
        <v>1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</v>
      </c>
      <c r="AD66" s="24" t="inlineStr">
        <is>
          <t>2026-08-30T03:26:44.793515Z</t>
        </is>
      </c>
      <c r="AE66" s="31" t="inlineStr">
        <is>
          <t>Poisson-DC rates 1.46 (home) / 1.39 (away) from EWMA attack/defense strengths. Executable ask 0.5000 (atc-uru1-bri-cer-2026-08-29-bri).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Cerro</t>
        </is>
      </c>
      <c r="AQ66" s="24" t="inlineStr">
        <is>
          <t>Cerro</t>
        </is>
      </c>
      <c r="AR66" s="24" t="inlineStr">
        <is>
          <t>Cerro</t>
        </is>
      </c>
      <c r="AS66" s="24" t="inlineStr">
        <is>
          <t>Boston River</t>
        </is>
      </c>
      <c r="AT66" s="24" t="inlineStr">
        <is>
          <t>Boston River</t>
        </is>
      </c>
      <c r="AU66" s="24" t="inlineStr">
        <is>
          <t>Boston River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f585a7f3cb7ee04f9a319a60fa601ef15e86636fadaaa8c1380ac0f28f75c58a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f585a7f3cb7ee04f9a319a60fa601ef15e86636fadaaa8c1380ac0f28f75c58a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f585a7f3cb7ee04f9a319a60fa601ef15e86636fadaaa8c1380ac0f28f75c58a</t>
        </is>
      </c>
      <c r="BH66" s="24" t="inlineStr">
        <is>
          <t>2026-08-29T16:02:47.974883Z</t>
        </is>
      </c>
      <c r="BI66" s="24" t="inlineStr">
        <is>
          <t>["same_event","same_team_same_day","same_league_same_day"]</t>
        </is>
      </c>
      <c r="BJ66" s="25" t="n"/>
      <c r="BK66" s="26" t="n">
        <v>100</v>
      </c>
      <c r="BL66" s="27" t="n">
        <v>2</v>
      </c>
      <c r="BM66" s="28" t="n">
        <v>0.5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>
        <v>1</v>
      </c>
      <c r="BY66" s="27" t="n">
        <v>-1</v>
      </c>
      <c r="BZ66" s="24" t="inlineStr">
        <is>
          <t>2026-08-30T03:26:44.793515Z</t>
        </is>
      </c>
      <c r="CA66" s="31" t="inlineStr">
        <is>
          <t>fixed one-unit hypothetical scoring; no real exposure or execution</t>
        </is>
      </c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e3df22fedcd74187</t>
        </is>
      </c>
      <c r="B67" s="24" t="inlineStr">
        <is>
          <t>2026-08-29T16:04:47.832302Z</t>
        </is>
      </c>
      <c r="C67" s="24" t="inlineStr">
        <is>
          <t>2026-08-29T17:00Z</t>
        </is>
      </c>
      <c r="D67" s="24" t="inlineStr">
        <is>
          <t>401912472</t>
        </is>
      </c>
      <c r="E67" s="24" t="inlineStr">
        <is>
          <t>SOCCER</t>
        </is>
      </c>
      <c r="F67" s="24" t="inlineStr">
        <is>
          <t>Deportivo Maldonado</t>
        </is>
      </c>
      <c r="G67" s="24" t="inlineStr">
        <is>
          <t>Juventud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186</v>
      </c>
      <c r="M67" s="27" t="n">
        <v>2.86</v>
      </c>
      <c r="N67" s="28" t="n">
        <v>0.34965</v>
      </c>
      <c r="O67" s="28" t="n">
        <v>0.473701</v>
      </c>
      <c r="P67" s="28" t="n">
        <v>0.2</v>
      </c>
      <c r="Q67" s="28" t="n">
        <v>0.124051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2</v>
      </c>
      <c r="Y67" s="25" t="n"/>
      <c r="Z67" s="26" t="n"/>
      <c r="AA67" s="28" t="n"/>
      <c r="AB67" s="28" t="n"/>
      <c r="AC67" s="30" t="n">
        <v>1.86</v>
      </c>
      <c r="AD67" s="24" t="inlineStr">
        <is>
          <t>2026-08-30T03:26:45.935576Z</t>
        </is>
      </c>
      <c r="AE67" s="31" t="inlineStr">
        <is>
          <t>Poisson-DC rates 1.59 (home) / 1.10 (away) from EWMA attack/defense strengths. Executable ask 0.3500 (atc-uru1-juv-mal-2026-08-29-juv).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Deportivo Maldonado</t>
        </is>
      </c>
      <c r="AQ67" s="24" t="inlineStr">
        <is>
          <t>Deportivo Maldonado</t>
        </is>
      </c>
      <c r="AR67" s="24" t="inlineStr">
        <is>
          <t>Deportivo Maldonado</t>
        </is>
      </c>
      <c r="AS67" s="24" t="inlineStr">
        <is>
          <t>Juventud</t>
        </is>
      </c>
      <c r="AT67" s="24" t="inlineStr">
        <is>
          <t>Juventud</t>
        </is>
      </c>
      <c r="AU67" s="24" t="inlineStr">
        <is>
          <t>Juventud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f585a7f3cb7ee04f9a319a60fa601ef15e86636fadaaa8c1380ac0f28f75c58a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f585a7f3cb7ee04f9a319a60fa601ef15e86636fadaaa8c1380ac0f28f75c58a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f585a7f3cb7ee04f9a319a60fa601ef15e86636fadaaa8c1380ac0f28f75c58a</t>
        </is>
      </c>
      <c r="BH67" s="24" t="inlineStr">
        <is>
          <t>2026-08-29T16:02:47.955247Z</t>
        </is>
      </c>
      <c r="BI67" s="24" t="inlineStr">
        <is>
          <t>["same_event","same_team_same_day","same_league_same_day"]</t>
        </is>
      </c>
      <c r="BJ67" s="25" t="n"/>
      <c r="BK67" s="26" t="n">
        <v>186</v>
      </c>
      <c r="BL67" s="27" t="n">
        <v>2.86</v>
      </c>
      <c r="BM67" s="28" t="n">
        <v>0.34965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>
        <v>1</v>
      </c>
      <c r="BY67" s="27" t="n">
        <v>1.860003</v>
      </c>
      <c r="BZ67" s="24" t="inlineStr">
        <is>
          <t>2026-08-30T03:26:45.935576Z</t>
        </is>
      </c>
      <c r="CA67" s="31" t="inlineStr">
        <is>
          <t>fixed one-unit hypothetical scoring; no real exposure or execution</t>
        </is>
      </c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0.34965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ec5b1ff832904c92</t>
        </is>
      </c>
      <c r="B68" s="24" t="inlineStr">
        <is>
          <t>2026-08-29T16:04:47.832302Z</t>
        </is>
      </c>
      <c r="C68" s="24" t="inlineStr">
        <is>
          <t>2026-08-29T20:00Z</t>
        </is>
      </c>
      <c r="D68" s="24" t="inlineStr">
        <is>
          <t>401912469</t>
        </is>
      </c>
      <c r="E68" s="24" t="inlineStr">
        <is>
          <t>SOCCER</t>
        </is>
      </c>
      <c r="F68" s="24" t="inlineStr">
        <is>
          <t>Montevideo City Torque</t>
        </is>
      </c>
      <c r="G68" s="24" t="inlineStr">
        <is>
          <t>Defensor Sporting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270</v>
      </c>
      <c r="M68" s="27" t="n">
        <v>3.7</v>
      </c>
      <c r="N68" s="28" t="n">
        <v>0.27027</v>
      </c>
      <c r="O68" s="28" t="n">
        <v>0.473701</v>
      </c>
      <c r="P68" s="28" t="n">
        <v>0.2</v>
      </c>
      <c r="Q68" s="28" t="n">
        <v>0.203431</v>
      </c>
      <c r="R68" s="26" t="n">
        <v>32</v>
      </c>
      <c r="S68" s="29" t="n">
        <v>1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3</v>
      </c>
      <c r="X68" s="26" t="n">
        <v>1</v>
      </c>
      <c r="Y68" s="25" t="n"/>
      <c r="Z68" s="26" t="n"/>
      <c r="AA68" s="28" t="n"/>
      <c r="AB68" s="28" t="n"/>
      <c r="AC68" s="30" t="n">
        <v>-1</v>
      </c>
      <c r="AD68" s="24" t="inlineStr">
        <is>
          <t>2026-08-30T03:26:47.074340Z</t>
        </is>
      </c>
      <c r="AE68" s="31" t="inlineStr">
        <is>
          <t>Poisson-DC rates 1.59 (home) / 1.10 (away) from EWMA attack/defense strengths. Executable ask 0.2700 (atc-uru1-def-tor-2026-08-29-def).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Montevideo City Torque</t>
        </is>
      </c>
      <c r="AQ68" s="24" t="inlineStr">
        <is>
          <t>Montevideo City Torque</t>
        </is>
      </c>
      <c r="AR68" s="24" t="inlineStr">
        <is>
          <t>Montevideo City Torque</t>
        </is>
      </c>
      <c r="AS68" s="24" t="inlineStr">
        <is>
          <t>Defensor Sporting</t>
        </is>
      </c>
      <c r="AT68" s="24" t="inlineStr">
        <is>
          <t>Defensor Sporting</t>
        </is>
      </c>
      <c r="AU68" s="24" t="inlineStr">
        <is>
          <t>Defensor Sporting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f585a7f3cb7ee04f9a319a60fa601ef15e86636fadaaa8c1380ac0f28f75c58a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f585a7f3cb7ee04f9a319a60fa601ef15e86636fadaaa8c1380ac0f28f75c58a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f585a7f3cb7ee04f9a319a60fa601ef15e86636fadaaa8c1380ac0f28f75c58a</t>
        </is>
      </c>
      <c r="BH68" s="24" t="inlineStr">
        <is>
          <t>2026-08-29T16:02:47.982900Z</t>
        </is>
      </c>
      <c r="BI68" s="24" t="inlineStr">
        <is>
          <t>["same_event","same_team_same_day","same_league_same_day"]</t>
        </is>
      </c>
      <c r="BJ68" s="25" t="n"/>
      <c r="BK68" s="26" t="n">
        <v>270</v>
      </c>
      <c r="BL68" s="27" t="n">
        <v>3.7</v>
      </c>
      <c r="BM68" s="28" t="n">
        <v>0.27027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inlineStr">
        <is>
          <t>2026-08-30T03:26:47.074340Z</t>
        </is>
      </c>
      <c r="CA68" s="31" t="inlineStr">
        <is>
          <t>fixed one-unit hypothetical scoring; no real exposure or execution</t>
        </is>
      </c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0.27027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499bbf29503546ee</t>
        </is>
      </c>
      <c r="B69" s="24" t="inlineStr">
        <is>
          <t>2026-08-29T16:04:47.832302Z</t>
        </is>
      </c>
      <c r="C69" s="24" t="inlineStr">
        <is>
          <t>2026-08-30T00:00Z</t>
        </is>
      </c>
      <c r="D69" s="24" t="inlineStr">
        <is>
          <t>401859670</t>
        </is>
      </c>
      <c r="E69" s="24" t="inlineStr">
        <is>
          <t>SOCCER</t>
        </is>
      </c>
      <c r="F69" s="24" t="inlineStr">
        <is>
          <t>Barcelona SC</t>
        </is>
      </c>
      <c r="G69" s="24" t="inlineStr">
        <is>
          <t>Manta F.C.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104</v>
      </c>
      <c r="M69" s="27" t="n">
        <v>2.04</v>
      </c>
      <c r="N69" s="28" t="n">
        <v>0.490196</v>
      </c>
      <c r="O69" s="28" t="n">
        <v>0.444128</v>
      </c>
      <c r="P69" s="28" t="n">
        <v>0.2</v>
      </c>
      <c r="Q69" s="28" t="n">
        <v>-0.046068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2</v>
      </c>
      <c r="Y69" s="25" t="n"/>
      <c r="Z69" s="26" t="n"/>
      <c r="AA69" s="28" t="n"/>
      <c r="AB69" s="28" t="n"/>
      <c r="AC69" s="30" t="n">
        <v>-1</v>
      </c>
      <c r="AD69" s="24" t="inlineStr">
        <is>
          <t>2026-08-30T03:26:48.196580Z</t>
        </is>
      </c>
      <c r="AE69" s="31" t="inlineStr">
        <is>
          <t>Poisson-DC rates 1.42 (home) / 1.75 (away) from EWMA attack/defense strengths. Executable ask 0.4900 (atc-ecu1-man-bsc-2026-08-29-bsc).</t>
        </is>
      </c>
      <c r="AF69" s="31" t="inlineStr">
        <is>
          <t>Research-only soccer score model; draw-aware, but not yet locked-holdout qualified.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Barcelona SC</t>
        </is>
      </c>
      <c r="AQ69" s="24" t="inlineStr">
        <is>
          <t>Barcelona SC</t>
        </is>
      </c>
      <c r="AR69" s="24" t="inlineStr">
        <is>
          <t>Barcelona SC</t>
        </is>
      </c>
      <c r="AS69" s="24" t="inlineStr">
        <is>
          <t>Manta F.C.</t>
        </is>
      </c>
      <c r="AT69" s="24" t="inlineStr">
        <is>
          <t>Manta F.C.</t>
        </is>
      </c>
      <c r="AU69" s="24" t="inlineStr">
        <is>
          <t>Manta F.C.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f585a7f3cb7ee04f9a319a60fa601ef15e86636fadaaa8c1380ac0f28f75c58a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f585a7f3cb7ee04f9a319a60fa601ef15e86636fadaaa8c1380ac0f28f75c58a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f585a7f3cb7ee04f9a319a60fa601ef15e86636fadaaa8c1380ac0f28f75c58a</t>
        </is>
      </c>
      <c r="BH69" s="24" t="inlineStr">
        <is>
          <t>2026-08-29T16:02:51.962661Z</t>
        </is>
      </c>
      <c r="BI69" s="24" t="inlineStr">
        <is>
          <t>["same_event","same_team_same_day","same_league_same_day"]</t>
        </is>
      </c>
      <c r="BJ69" s="25" t="n"/>
      <c r="BK69" s="26" t="n">
        <v>104</v>
      </c>
      <c r="BL69" s="27" t="n">
        <v>2.04</v>
      </c>
      <c r="BM69" s="28" t="n">
        <v>0.490196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>
        <v>1</v>
      </c>
      <c r="BY69" s="27" t="n">
        <v>-1</v>
      </c>
      <c r="BZ69" s="24" t="inlineStr">
        <is>
          <t>2026-08-30T03:26:48.196580Z</t>
        </is>
      </c>
      <c r="CA69" s="31" t="inlineStr">
        <is>
          <t>fixed one-unit hypothetical scoring; no real exposure or execution</t>
        </is>
      </c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0.490196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f0cbb780fb0e416a</t>
        </is>
      </c>
      <c r="B70" s="24" t="inlineStr">
        <is>
          <t>2026-08-29T16:04:47.832302Z</t>
        </is>
      </c>
      <c r="C70" s="24" t="inlineStr">
        <is>
          <t>2026-08-29T18:00Z</t>
        </is>
      </c>
      <c r="D70" s="24" t="inlineStr">
        <is>
          <t>401886222</t>
        </is>
      </c>
      <c r="E70" s="24" t="inlineStr">
        <is>
          <t>SOCCER</t>
        </is>
      </c>
      <c r="F70" s="24" t="inlineStr">
        <is>
          <t>Juan Pablo II</t>
        </is>
      </c>
      <c r="G70" s="24" t="inlineStr">
        <is>
          <t>Los Chankas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0.456135</v>
      </c>
      <c r="P70" s="28" t="n">
        <v>0.2</v>
      </c>
      <c r="Q70" s="28" t="n">
        <v>-0.123697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3</v>
      </c>
      <c r="Y70" s="25" t="n"/>
      <c r="Z70" s="26" t="n"/>
      <c r="AA70" s="28" t="n"/>
      <c r="AB70" s="28" t="n"/>
      <c r="AC70" s="30" t="n">
        <v>-1</v>
      </c>
      <c r="AD70" s="24" t="inlineStr">
        <is>
          <t>2026-08-30T03:26:49.387575Z</t>
        </is>
      </c>
      <c r="AE70" s="31" t="inlineStr">
        <is>
          <t>Poisson-DC rates 1.64 (home) / 1.24 (away) from EWMA attack/defense strengths. Executable ask 0.5800 (atc-pl1-cha-jpc-2026-08-29-cha).</t>
        </is>
      </c>
      <c r="AF70" s="31" t="inlineStr">
        <is>
          <t>Research-only soccer score model; draw-aware, but not yet locked-holdout qualified.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Juan Pablo II</t>
        </is>
      </c>
      <c r="AQ70" s="24" t="inlineStr">
        <is>
          <t>Juan Pablo II</t>
        </is>
      </c>
      <c r="AR70" s="24" t="inlineStr">
        <is>
          <t>Juan Pablo II</t>
        </is>
      </c>
      <c r="AS70" s="24" t="inlineStr">
        <is>
          <t>Los Chankas</t>
        </is>
      </c>
      <c r="AT70" s="24" t="inlineStr">
        <is>
          <t>Los Chankas</t>
        </is>
      </c>
      <c r="AU70" s="24" t="inlineStr">
        <is>
          <t>Los Chankas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f585a7f3cb7ee04f9a319a60fa601ef15e86636fadaaa8c1380ac0f28f75c58a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f585a7f3cb7ee04f9a319a60fa601ef15e86636fadaaa8c1380ac0f28f75c58a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f585a7f3cb7ee04f9a319a60fa601ef15e86636fadaaa8c1380ac0f28f75c58a</t>
        </is>
      </c>
      <c r="BH70" s="24" t="inlineStr">
        <is>
          <t>2026-08-29T16:02:51.996978Z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>
        <v>1</v>
      </c>
      <c r="BY70" s="27" t="n">
        <v>-1</v>
      </c>
      <c r="BZ70" s="24" t="inlineStr">
        <is>
          <t>2026-08-30T03:26:49.387575Z</t>
        </is>
      </c>
      <c r="CA70" s="31" t="inlineStr">
        <is>
          <t>fixed one-unit hypothetical scoring; no real exposure or execution</t>
        </is>
      </c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0.579832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61405385e1af4712</t>
        </is>
      </c>
      <c r="B71" s="24" t="inlineStr">
        <is>
          <t>2026-08-30T16:06:27.993415Z</t>
        </is>
      </c>
      <c r="C71" s="24" t="inlineStr">
        <is>
          <t>2026-08-30T17:30Z</t>
        </is>
      </c>
      <c r="D71" s="24" t="inlineStr">
        <is>
          <t>401882904</t>
        </is>
      </c>
      <c r="E71" s="24" t="inlineStr">
        <is>
          <t>SOCCER</t>
        </is>
      </c>
      <c r="F71" s="24" t="inlineStr">
        <is>
          <t>Valencia</t>
        </is>
      </c>
      <c r="G71" s="24" t="inlineStr">
        <is>
          <t>Deportivo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163</v>
      </c>
      <c r="M71" s="27" t="n">
        <v>2.63</v>
      </c>
      <c r="N71" s="28" t="n">
        <v>0.380228</v>
      </c>
      <c r="O71" s="28" t="n">
        <v>0.437699</v>
      </c>
      <c r="P71" s="28" t="n">
        <v>0.2</v>
      </c>
      <c r="Q71" s="28" t="n">
        <v>0.057471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3</v>
      </c>
      <c r="Y71" s="25" t="n"/>
      <c r="Z71" s="26" t="n">
        <v>163</v>
      </c>
      <c r="AA71" s="28" t="n">
        <v>0.38</v>
      </c>
      <c r="AB71" s="28" t="n">
        <v>-0.000228</v>
      </c>
      <c r="AC71" s="30" t="n">
        <v>1.63</v>
      </c>
      <c r="AD71" s="24" t="inlineStr">
        <is>
          <t>2026-08-31T04:32:07.107146Z</t>
        </is>
      </c>
      <c r="AE71" s="31" t="inlineStr">
        <is>
          <t>Poisson-DC rates 1.57 (home) / 1.24 (away) from EWMA attack/defense strengths. Executable ask 0.3800 (atc-lal-dep-val-2026-08-30-dep).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Valencia</t>
        </is>
      </c>
      <c r="AQ71" s="24" t="inlineStr">
        <is>
          <t>Valencia</t>
        </is>
      </c>
      <c r="AR71" s="24" t="inlineStr">
        <is>
          <t>Valencia</t>
        </is>
      </c>
      <c r="AS71" s="24" t="inlineStr">
        <is>
          <t>Deportivo</t>
        </is>
      </c>
      <c r="AT71" s="24" t="inlineStr">
        <is>
          <t>Deportivo</t>
        </is>
      </c>
      <c r="AU71" s="24" t="inlineStr">
        <is>
          <t>Deportivo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f585a7f3cb7ee04f9a319a60fa601ef15e86636fadaaa8c1380ac0f28f75c58a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f585a7f3cb7ee04f9a319a60fa601ef15e86636fadaaa8c1380ac0f28f75c58a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f585a7f3cb7ee04f9a319a60fa601ef15e86636fadaaa8c1380ac0f28f75c58a</t>
        </is>
      </c>
      <c r="BH71" s="24" t="inlineStr">
        <is>
          <t>2026-08-30T16:04:53.804746Z</t>
        </is>
      </c>
      <c r="BI71" s="24" t="inlineStr">
        <is>
          <t>["same_event","same_team_same_day","same_league_same_day"]</t>
        </is>
      </c>
      <c r="BJ71" s="25" t="n"/>
      <c r="BK71" s="26" t="n">
        <v>163</v>
      </c>
      <c r="BL71" s="27" t="n">
        <v>2.63</v>
      </c>
      <c r="BM71" s="28" t="n">
        <v>0.380228</v>
      </c>
      <c r="BN71" s="28" t="n"/>
      <c r="BO71" s="28" t="n"/>
      <c r="BP71" s="25" t="n"/>
      <c r="BQ71" s="27" t="n">
        <v>2.63</v>
      </c>
      <c r="BR71" s="28" t="n">
        <v>0.38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1.630001</v>
      </c>
      <c r="BZ71" s="24" t="inlineStr">
        <is>
          <t>2026-08-31T04:32:07.107146Z</t>
        </is>
      </c>
      <c r="CA71" s="31" t="inlineStr">
        <is>
          <t>fixed one-unit hypothetical scoring; no real exposure or execution</t>
        </is>
      </c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0.380228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fa5b8803cfb64907</t>
        </is>
      </c>
      <c r="B72" s="24" t="inlineStr">
        <is>
          <t>2026-08-30T16:06:27.993415Z</t>
        </is>
      </c>
      <c r="C72" s="24" t="inlineStr">
        <is>
          <t>2026-08-30T19:30Z</t>
        </is>
      </c>
      <c r="D72" s="24" t="inlineStr">
        <is>
          <t>401882905</t>
        </is>
      </c>
      <c r="E72" s="24" t="inlineStr">
        <is>
          <t>SOCCER</t>
        </is>
      </c>
      <c r="F72" s="24" t="inlineStr">
        <is>
          <t>Athletic Club</t>
        </is>
      </c>
      <c r="G72" s="24" t="inlineStr">
        <is>
          <t>Celta Vigo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186</v>
      </c>
      <c r="M72" s="27" t="n">
        <v>2.86</v>
      </c>
      <c r="N72" s="28" t="n">
        <v>0.34965</v>
      </c>
      <c r="O72" s="28" t="n">
        <v>0.578739</v>
      </c>
      <c r="P72" s="28" t="n">
        <v>0.04</v>
      </c>
      <c r="Q72" s="28" t="n">
        <v>0.229089</v>
      </c>
      <c r="R72" s="26" t="n">
        <v>100</v>
      </c>
      <c r="S72" s="29" t="n">
        <v>2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loss</t>
        </is>
      </c>
      <c r="W72" s="26" t="n">
        <v>2</v>
      </c>
      <c r="X72" s="26" t="n">
        <v>0</v>
      </c>
      <c r="Y72" s="25" t="n"/>
      <c r="Z72" s="26" t="n">
        <v>186</v>
      </c>
      <c r="AA72" s="28" t="n">
        <v>0.35</v>
      </c>
      <c r="AB72" s="28" t="n">
        <v>0.00035</v>
      </c>
      <c r="AC72" s="30" t="n">
        <v>-2</v>
      </c>
      <c r="AD72" s="24" t="inlineStr">
        <is>
          <t>2026-08-31T04:32:08.339740Z</t>
        </is>
      </c>
      <c r="AE72" s="31" t="inlineStr">
        <is>
          <t>Poisson-DC rates 1.96 (home) / 1.03 (away) from EWMA attack/defense strengths. Executable ask 0.3500 (atc-lal-cel-ath-2026-08-30-cel).</t>
        </is>
      </c>
      <c r="AF72" s="31" t="inlineStr">
        <is>
          <t>Research-only soccer score model; draw-aware, but not yet locked-holdout qualified.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Athletic Club</t>
        </is>
      </c>
      <c r="AQ72" s="24" t="inlineStr">
        <is>
          <t>Athletic Club</t>
        </is>
      </c>
      <c r="AR72" s="24" t="inlineStr">
        <is>
          <t>Athletic Club</t>
        </is>
      </c>
      <c r="AS72" s="24" t="inlineStr">
        <is>
          <t>Celta Vigo</t>
        </is>
      </c>
      <c r="AT72" s="24" t="inlineStr">
        <is>
          <t>Celta Vigo</t>
        </is>
      </c>
      <c r="AU72" s="24" t="inlineStr">
        <is>
          <t>Celta Vigo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f585a7f3cb7ee04f9a319a60fa601ef15e86636fadaaa8c1380ac0f28f75c58a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f585a7f3cb7ee04f9a319a60fa601ef15e86636fadaaa8c1380ac0f28f75c58a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f585a7f3cb7ee04f9a319a60fa601ef15e86636fadaaa8c1380ac0f28f75c58a</t>
        </is>
      </c>
      <c r="BH72" s="24" t="inlineStr">
        <is>
          <t>2026-08-30T16:04:53.930733Z</t>
        </is>
      </c>
      <c r="BI72" s="24" t="inlineStr">
        <is>
          <t>["same_event","same_team_same_day","same_league_same_day"]</t>
        </is>
      </c>
      <c r="BJ72" s="25" t="n"/>
      <c r="BK72" s="26" t="n">
        <v>186</v>
      </c>
      <c r="BL72" s="27" t="n">
        <v>2.86</v>
      </c>
      <c r="BM72" s="28" t="n">
        <v>0.34965</v>
      </c>
      <c r="BN72" s="28" t="n"/>
      <c r="BO72" s="28" t="n"/>
      <c r="BP72" s="25" t="n"/>
      <c r="BQ72" s="27" t="n">
        <v>2.86</v>
      </c>
      <c r="BR72" s="28" t="n">
        <v>0.35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inlineStr">
        <is>
          <t>2026-08-31T04:32:08.339740Z</t>
        </is>
      </c>
      <c r="CA72" s="31" t="inlineStr">
        <is>
          <t>fixed one-unit hypothetical scoring; no real exposure or execution</t>
        </is>
      </c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0.34965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63b1a9a4b4fb48e1</t>
        </is>
      </c>
      <c r="B73" s="24" t="inlineStr">
        <is>
          <t>2026-08-30T16:06:27.993415Z</t>
        </is>
      </c>
      <c r="C73" s="24" t="inlineStr">
        <is>
          <t>2026-08-30T16:30Z</t>
        </is>
      </c>
      <c r="D73" s="24" t="inlineStr">
        <is>
          <t>401874755</t>
        </is>
      </c>
      <c r="E73" s="24" t="inlineStr">
        <is>
          <t>SOCCER</t>
        </is>
      </c>
      <c r="F73" s="24" t="inlineStr">
        <is>
          <t>Como</t>
        </is>
      </c>
      <c r="G73" s="24" t="inlineStr">
        <is>
          <t>Napoli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233</v>
      </c>
      <c r="M73" s="27" t="n">
        <v>3.33</v>
      </c>
      <c r="N73" s="28" t="n">
        <v>0.3003</v>
      </c>
      <c r="O73" s="28" t="n">
        <v>0.354823</v>
      </c>
      <c r="P73" s="28" t="n">
        <v>0.04</v>
      </c>
      <c r="Q73" s="28" t="n">
        <v>0.054523</v>
      </c>
      <c r="R73" s="26" t="n">
        <v>53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</v>
      </c>
      <c r="Y73" s="25" t="n"/>
      <c r="Z73" s="26" t="n">
        <v>-245</v>
      </c>
      <c r="AA73" s="28" t="n">
        <v>0.71</v>
      </c>
      <c r="AB73" s="28" t="n">
        <v>0.4097</v>
      </c>
      <c r="AC73" s="30" t="n">
        <v>2.33</v>
      </c>
      <c r="AD73" s="24" t="inlineStr">
        <is>
          <t>2026-08-31T04:32:09.718362Z</t>
        </is>
      </c>
      <c r="AE73" s="31" t="inlineStr">
        <is>
          <t>Poisson-DC rates 1.04 (home) / 1.10 (away) from EWMA attack/defense strengths. Executable ask 0.3000 (atc-sea-nap-com-2026-08-30-com).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Como</t>
        </is>
      </c>
      <c r="AQ73" s="24" t="inlineStr">
        <is>
          <t>Como</t>
        </is>
      </c>
      <c r="AR73" s="24" t="inlineStr">
        <is>
          <t>Como</t>
        </is>
      </c>
      <c r="AS73" s="24" t="inlineStr">
        <is>
          <t>Napoli</t>
        </is>
      </c>
      <c r="AT73" s="24" t="inlineStr">
        <is>
          <t>Napoli</t>
        </is>
      </c>
      <c r="AU73" s="24" t="inlineStr">
        <is>
          <t>Napoli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f585a7f3cb7ee04f9a319a60fa601ef15e86636fadaaa8c1380ac0f28f75c58a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f585a7f3cb7ee04f9a319a60fa601ef15e86636fadaaa8c1380ac0f28f75c58a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f585a7f3cb7ee04f9a319a60fa601ef15e86636fadaaa8c1380ac0f28f75c58a</t>
        </is>
      </c>
      <c r="BH73" s="24" t="inlineStr">
        <is>
          <t>2026-08-30T16:04:54.181506Z</t>
        </is>
      </c>
      <c r="BI73" s="24" t="inlineStr">
        <is>
          <t>["same_event","same_team_same_day","same_league_same_day"]</t>
        </is>
      </c>
      <c r="BJ73" s="25" t="n"/>
      <c r="BK73" s="26" t="n">
        <v>233</v>
      </c>
      <c r="BL73" s="27" t="n">
        <v>3.33</v>
      </c>
      <c r="BM73" s="28" t="n">
        <v>0.3003</v>
      </c>
      <c r="BN73" s="28" t="n"/>
      <c r="BO73" s="28" t="n"/>
      <c r="BP73" s="25" t="n"/>
      <c r="BQ73" s="27" t="n">
        <v>1.408163</v>
      </c>
      <c r="BR73" s="28" t="n">
        <v>0.71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2.330003</v>
      </c>
      <c r="BZ73" s="24" t="inlineStr">
        <is>
          <t>2026-08-31T04:32:09.718362Z</t>
        </is>
      </c>
      <c r="CA73" s="31" t="inlineStr">
        <is>
          <t>fixed one-unit hypothetical scoring; no real exposure or execution</t>
        </is>
      </c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0.3003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c84e9513ac964216</t>
        </is>
      </c>
      <c r="B74" s="24" t="inlineStr">
        <is>
          <t>2026-08-30T16:06:27.993415Z</t>
        </is>
      </c>
      <c r="C74" s="24" t="inlineStr">
        <is>
          <t>2026-08-30T18:45Z</t>
        </is>
      </c>
      <c r="D74" s="24" t="inlineStr">
        <is>
          <t>401874938</t>
        </is>
      </c>
      <c r="E74" s="24" t="inlineStr">
        <is>
          <t>SOCCER</t>
        </is>
      </c>
      <c r="F74" s="24" t="inlineStr">
        <is>
          <t>Internazionale</t>
        </is>
      </c>
      <c r="G74" s="24" t="inlineStr">
        <is>
          <t>Cagliari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-233</v>
      </c>
      <c r="M74" s="27" t="n">
        <v>1.429185</v>
      </c>
      <c r="N74" s="28" t="n">
        <v>0.6997</v>
      </c>
      <c r="O74" s="28" t="n">
        <v>0.559413</v>
      </c>
      <c r="P74" s="28" t="n">
        <v>0.04</v>
      </c>
      <c r="Q74" s="28" t="n">
        <v>-0.140287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0</v>
      </c>
      <c r="Y74" s="25" t="n"/>
      <c r="Z74" s="26" t="n">
        <v>223</v>
      </c>
      <c r="AA74" s="28" t="n">
        <v>0.31</v>
      </c>
      <c r="AB74" s="28" t="n">
        <v>-0.3897</v>
      </c>
      <c r="AC74" s="30" t="n">
        <v>0.4292</v>
      </c>
      <c r="AD74" s="24" t="inlineStr">
        <is>
          <t>2026-08-31T04:32:10.982071Z</t>
        </is>
      </c>
      <c r="AE74" s="31" t="inlineStr">
        <is>
          <t>Poisson-DC rates 1.02 (home) / 1.86 (away) from EWMA attack/defense strengths. Executable ask 0.7000 (atc-sea-cag-int-2026-08-30-int).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Internazionale</t>
        </is>
      </c>
      <c r="AQ74" s="24" t="inlineStr">
        <is>
          <t>Internazionale</t>
        </is>
      </c>
      <c r="AR74" s="24" t="inlineStr">
        <is>
          <t>Internazionale</t>
        </is>
      </c>
      <c r="AS74" s="24" t="inlineStr">
        <is>
          <t>Cagliari</t>
        </is>
      </c>
      <c r="AT74" s="24" t="inlineStr">
        <is>
          <t>Cagliari</t>
        </is>
      </c>
      <c r="AU74" s="24" t="inlineStr">
        <is>
          <t>Cagliari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f585a7f3cb7ee04f9a319a60fa601ef15e86636fadaaa8c1380ac0f28f75c58a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f585a7f3cb7ee04f9a319a60fa601ef15e86636fadaaa8c1380ac0f28f75c58a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f585a7f3cb7ee04f9a319a60fa601ef15e86636fadaaa8c1380ac0f28f75c58a</t>
        </is>
      </c>
      <c r="BH74" s="24" t="inlineStr">
        <is>
          <t>2026-08-30T16:04:54.308920Z</t>
        </is>
      </c>
      <c r="BI74" s="24" t="inlineStr">
        <is>
          <t>["same_event","same_team_same_day","same_league_same_day"]</t>
        </is>
      </c>
      <c r="BJ74" s="25" t="n"/>
      <c r="BK74" s="26" t="n">
        <v>-233</v>
      </c>
      <c r="BL74" s="27" t="n">
        <v>1.429185</v>
      </c>
      <c r="BM74" s="28" t="n">
        <v>0.6997</v>
      </c>
      <c r="BN74" s="28" t="n"/>
      <c r="BO74" s="28" t="n"/>
      <c r="BP74" s="25" t="n"/>
      <c r="BQ74" s="27" t="n">
        <v>3.23</v>
      </c>
      <c r="BR74" s="28" t="n">
        <v>0.31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0.429184</v>
      </c>
      <c r="BZ74" s="24" t="inlineStr">
        <is>
          <t>2026-08-31T04:32:10.982071Z</t>
        </is>
      </c>
      <c r="CA74" s="31" t="inlineStr">
        <is>
          <t>fixed one-unit hypothetical scoring; no real exposure or execution</t>
        </is>
      </c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0.6997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9cff4307b61f4cf0</t>
        </is>
      </c>
      <c r="B75" s="24" t="inlineStr">
        <is>
          <t>2026-08-30T16:06:27.993415Z</t>
        </is>
      </c>
      <c r="C75" s="24" t="inlineStr">
        <is>
          <t>2026-08-30T18:45Z</t>
        </is>
      </c>
      <c r="D75" s="24" t="inlineStr">
        <is>
          <t>401874742</t>
        </is>
      </c>
      <c r="E75" s="24" t="inlineStr">
        <is>
          <t>SOCCER</t>
        </is>
      </c>
      <c r="F75" s="24" t="inlineStr">
        <is>
          <t>Genoa</t>
        </is>
      </c>
      <c r="G75" s="24" t="inlineStr">
        <is>
          <t>Lazio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138</v>
      </c>
      <c r="M75" s="27" t="n">
        <v>2.38</v>
      </c>
      <c r="N75" s="28" t="n">
        <v>0.420168</v>
      </c>
      <c r="O75" s="28" t="n">
        <v>0.436516</v>
      </c>
      <c r="P75" s="28" t="n">
        <v>0.04</v>
      </c>
      <c r="Q75" s="28" t="n">
        <v>0.016348</v>
      </c>
      <c r="R75" s="26" t="n">
        <v>34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138</v>
      </c>
      <c r="AA75" s="28" t="n">
        <v>0.42</v>
      </c>
      <c r="AB75" s="28" t="n">
        <v>-0.000168</v>
      </c>
      <c r="AC75" s="30" t="n">
        <v>1.38</v>
      </c>
      <c r="AD75" s="24" t="inlineStr">
        <is>
          <t>2026-08-31T04:32:12.155953Z</t>
        </is>
      </c>
      <c r="AE75" s="31" t="inlineStr">
        <is>
          <t>Poisson-DC rates 1.16 (home) / 0.78 (away) from EWMA attack/defense strengths. Executable ask 0.4200 (atc-sea-laz-gen-2026-08-30-laz).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Genoa</t>
        </is>
      </c>
      <c r="AQ75" s="24" t="inlineStr">
        <is>
          <t>Genoa</t>
        </is>
      </c>
      <c r="AR75" s="24" t="inlineStr">
        <is>
          <t>Genoa</t>
        </is>
      </c>
      <c r="AS75" s="24" t="inlineStr">
        <is>
          <t>Lazio</t>
        </is>
      </c>
      <c r="AT75" s="24" t="inlineStr">
        <is>
          <t>Lazio</t>
        </is>
      </c>
      <c r="AU75" s="24" t="inlineStr">
        <is>
          <t>Lazio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f585a7f3cb7ee04f9a319a60fa601ef15e86636fadaaa8c1380ac0f28f75c58a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f585a7f3cb7ee04f9a319a60fa601ef15e86636fadaaa8c1380ac0f28f75c58a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f585a7f3cb7ee04f9a319a60fa601ef15e86636fadaaa8c1380ac0f28f75c58a</t>
        </is>
      </c>
      <c r="BH75" s="24" t="inlineStr">
        <is>
          <t>2026-08-30T16:04:54.409013Z</t>
        </is>
      </c>
      <c r="BI75" s="24" t="inlineStr">
        <is>
          <t>["same_event","same_team_same_day","same_league_same_day"]</t>
        </is>
      </c>
      <c r="BJ75" s="25" t="n"/>
      <c r="BK75" s="26" t="n">
        <v>138</v>
      </c>
      <c r="BL75" s="27" t="n">
        <v>2.38</v>
      </c>
      <c r="BM75" s="28" t="n">
        <v>0.420168</v>
      </c>
      <c r="BN75" s="28" t="n"/>
      <c r="BO75" s="28" t="n"/>
      <c r="BP75" s="25" t="n"/>
      <c r="BQ75" s="27" t="n">
        <v>2.38</v>
      </c>
      <c r="BR75" s="28" t="n">
        <v>0.42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1.38</v>
      </c>
      <c r="BZ75" s="24" t="inlineStr">
        <is>
          <t>2026-08-31T04:32:12.155953Z</t>
        </is>
      </c>
      <c r="CA75" s="31" t="inlineStr">
        <is>
          <t>fixed one-unit hypothetical scoring; no real exposure or execution</t>
        </is>
      </c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0.420168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418dd589286f4684</t>
        </is>
      </c>
      <c r="B76" s="24" t="inlineStr">
        <is>
          <t>2026-08-30T16:06:27.993415Z</t>
        </is>
      </c>
      <c r="C76" s="24" t="inlineStr">
        <is>
          <t>2026-08-30T20:30Z</t>
        </is>
      </c>
      <c r="D76" s="24" t="inlineStr">
        <is>
          <t>761758</t>
        </is>
      </c>
      <c r="E76" s="24" t="inlineStr">
        <is>
          <t>SOCCER</t>
        </is>
      </c>
      <c r="F76" s="24" t="inlineStr">
        <is>
          <t>New England Revolution</t>
        </is>
      </c>
      <c r="G76" s="24" t="inlineStr">
        <is>
          <t>Columbus Crew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117</v>
      </c>
      <c r="M76" s="27" t="n">
        <v>2.17</v>
      </c>
      <c r="N76" s="28" t="n">
        <v>0.460829</v>
      </c>
      <c r="O76" s="28" t="n">
        <v>0.469467</v>
      </c>
      <c r="P76" s="28" t="n">
        <v>0.04</v>
      </c>
      <c r="Q76" s="28" t="n">
        <v>0.008638</v>
      </c>
      <c r="R76" s="26" t="n">
        <v>30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loss</t>
        </is>
      </c>
      <c r="W76" s="26" t="n">
        <v>3</v>
      </c>
      <c r="X76" s="26" t="n">
        <v>1</v>
      </c>
      <c r="Y76" s="25" t="n"/>
      <c r="Z76" s="26" t="n">
        <v>117</v>
      </c>
      <c r="AA76" s="28" t="n">
        <v>0.46</v>
      </c>
      <c r="AB76" s="28" t="n">
        <v>-0.000829</v>
      </c>
      <c r="AC76" s="30" t="n">
        <v>-1</v>
      </c>
      <c r="AD76" s="24" t="inlineStr">
        <is>
          <t>2026-08-31T04:32:13.623403Z</t>
        </is>
      </c>
      <c r="AE76" s="31" t="inlineStr">
        <is>
          <t>Poisson-DC rates 1.74 (home) / 1.29 (away) from EWMA attack/defense strengths. Executable ask 0.4600 (atc-mls-clb-ner-2026-08-29-clb).</t>
        </is>
      </c>
      <c r="AF76" s="31" t="inlineStr">
        <is>
          <t>Research-only soccer score model; draw-aware, but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New England Revolution</t>
        </is>
      </c>
      <c r="AQ76" s="24" t="inlineStr">
        <is>
          <t>New England Revolution</t>
        </is>
      </c>
      <c r="AR76" s="24" t="inlineStr">
        <is>
          <t>New England Revolution</t>
        </is>
      </c>
      <c r="AS76" s="24" t="inlineStr">
        <is>
          <t>Columbus Crew</t>
        </is>
      </c>
      <c r="AT76" s="24" t="inlineStr">
        <is>
          <t>Columbus Crew</t>
        </is>
      </c>
      <c r="AU76" s="24" t="inlineStr">
        <is>
          <t>Columbus Crew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f585a7f3cb7ee04f9a319a60fa601ef15e86636fadaaa8c1380ac0f28f75c58a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f585a7f3cb7ee04f9a319a60fa601ef15e86636fadaaa8c1380ac0f28f75c58a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f585a7f3cb7ee04f9a319a60fa601ef15e86636fadaaa8c1380ac0f28f75c58a</t>
        </is>
      </c>
      <c r="BH76" s="24" t="inlineStr">
        <is>
          <t>2026-08-30T16:04:54.542047Z</t>
        </is>
      </c>
      <c r="BI76" s="24" t="inlineStr">
        <is>
          <t>["same_event","same_team_same_day","same_league_same_day"]</t>
        </is>
      </c>
      <c r="BJ76" s="25" t="n"/>
      <c r="BK76" s="26" t="n">
        <v>117</v>
      </c>
      <c r="BL76" s="27" t="n">
        <v>2.17</v>
      </c>
      <c r="BM76" s="28" t="n">
        <v>0.460829</v>
      </c>
      <c r="BN76" s="28" t="n"/>
      <c r="BO76" s="28" t="n"/>
      <c r="BP76" s="25" t="n"/>
      <c r="BQ76" s="27" t="n">
        <v>2.17</v>
      </c>
      <c r="BR76" s="28" t="n">
        <v>0.46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inlineStr">
        <is>
          <t>2026-08-31T04:32:13.623403Z</t>
        </is>
      </c>
      <c r="CA76" s="31" t="inlineStr">
        <is>
          <t>fixed one-unit hypothetical scoring; no real exposure or execution</t>
        </is>
      </c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0.460829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7dfdbd0f62024453</t>
        </is>
      </c>
      <c r="B77" s="24" t="inlineStr">
        <is>
          <t>2026-08-30T16:06:27.993415Z</t>
        </is>
      </c>
      <c r="C77" s="24" t="inlineStr">
        <is>
          <t>2026-08-30T23:00Z</t>
        </is>
      </c>
      <c r="D77" s="24" t="inlineStr">
        <is>
          <t>761769</t>
        </is>
      </c>
      <c r="E77" s="24" t="inlineStr">
        <is>
          <t>SOCCER</t>
        </is>
      </c>
      <c r="F77" s="24" t="inlineStr">
        <is>
          <t>FC Dallas</t>
        </is>
      </c>
      <c r="G77" s="24" t="inlineStr">
        <is>
          <t>St. Louis CITY SC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113</v>
      </c>
      <c r="M77" s="27" t="n">
        <v>2.13</v>
      </c>
      <c r="N77" s="28" t="n">
        <v>0.469484</v>
      </c>
      <c r="O77" s="28" t="n">
        <v>0.394466</v>
      </c>
      <c r="P77" s="28" t="n">
        <v>0.04</v>
      </c>
      <c r="Q77" s="28" t="n">
        <v>-0.075018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loss</t>
        </is>
      </c>
      <c r="W77" s="26" t="n">
        <v>3</v>
      </c>
      <c r="X77" s="26" t="n">
        <v>3</v>
      </c>
      <c r="Y77" s="25" t="n"/>
      <c r="Z77" s="26" t="n">
        <v>113</v>
      </c>
      <c r="AA77" s="28" t="n">
        <v>0.47</v>
      </c>
      <c r="AB77" s="28" t="n">
        <v>0.000516</v>
      </c>
      <c r="AC77" s="30" t="n">
        <v>-1</v>
      </c>
      <c r="AD77" s="24" t="inlineStr">
        <is>
          <t>2026-08-31T04:32:14.838461Z</t>
        </is>
      </c>
      <c r="AE77" s="31" t="inlineStr">
        <is>
          <t>Poisson-DC rates 1.80 (home) / 1.73 (away) from EWMA attack/defense strengths. Executable ask 0.4700 (atc-mls-stl-dal-2026-08-30-stl).</t>
        </is>
      </c>
      <c r="AF77" s="31" t="inlineStr">
        <is>
          <t>Research-only soccer score model; draw-aware, but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FC Dallas</t>
        </is>
      </c>
      <c r="AQ77" s="24" t="inlineStr">
        <is>
          <t>FC Dallas</t>
        </is>
      </c>
      <c r="AR77" s="24" t="inlineStr">
        <is>
          <t>FC Dallas</t>
        </is>
      </c>
      <c r="AS77" s="24" t="inlineStr">
        <is>
          <t>St. Louis CITY SC</t>
        </is>
      </c>
      <c r="AT77" s="24" t="inlineStr">
        <is>
          <t>St. Louis CITY SC</t>
        </is>
      </c>
      <c r="AU77" s="24" t="inlineStr">
        <is>
          <t>St. Louis CITY SC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f585a7f3cb7ee04f9a319a60fa601ef15e86636fadaaa8c1380ac0f28f75c58a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f585a7f3cb7ee04f9a319a60fa601ef15e86636fadaaa8c1380ac0f28f75c58a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f585a7f3cb7ee04f9a319a60fa601ef15e86636fadaaa8c1380ac0f28f75c58a</t>
        </is>
      </c>
      <c r="BH77" s="24" t="inlineStr">
        <is>
          <t>2026-08-30T16:04:54.573680Z</t>
        </is>
      </c>
      <c r="BI77" s="24" t="inlineStr">
        <is>
          <t>["same_event","same_team_same_day","same_league_same_day"]</t>
        </is>
      </c>
      <c r="BJ77" s="25" t="n"/>
      <c r="BK77" s="26" t="n">
        <v>113</v>
      </c>
      <c r="BL77" s="27" t="n">
        <v>2.13</v>
      </c>
      <c r="BM77" s="28" t="n">
        <v>0.469484</v>
      </c>
      <c r="BN77" s="28" t="n"/>
      <c r="BO77" s="28" t="n"/>
      <c r="BP77" s="25" t="n"/>
      <c r="BQ77" s="27" t="n">
        <v>2.13</v>
      </c>
      <c r="BR77" s="28" t="n">
        <v>0.47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-1</v>
      </c>
      <c r="BZ77" s="24" t="inlineStr">
        <is>
          <t>2026-08-31T04:32:14.838461Z</t>
        </is>
      </c>
      <c r="CA77" s="31" t="inlineStr">
        <is>
          <t>fixed one-unit hypothetical scoring; no real exposure or execution</t>
        </is>
      </c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0.469484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f3341986953d48e9</t>
        </is>
      </c>
      <c r="B78" s="24" t="inlineStr">
        <is>
          <t>2026-08-30T16:06:27.993415Z</t>
        </is>
      </c>
      <c r="C78" s="24" t="inlineStr">
        <is>
          <t>2026-08-30T19:00Z</t>
        </is>
      </c>
      <c r="D78" s="24" t="inlineStr">
        <is>
          <t>401841214</t>
        </is>
      </c>
      <c r="E78" s="24" t="inlineStr">
        <is>
          <t>SOCCER</t>
        </is>
      </c>
      <c r="F78" s="24" t="inlineStr">
        <is>
          <t>Santos</t>
        </is>
      </c>
      <c r="G78" s="24" t="inlineStr">
        <is>
          <t>Corinthians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0.456135</v>
      </c>
      <c r="P78" s="28" t="n">
        <v>0.2</v>
      </c>
      <c r="Q78" s="28" t="n">
        <v>-0.053669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0</v>
      </c>
      <c r="Y78" s="25" t="n"/>
      <c r="Z78" s="26" t="n">
        <v>-104</v>
      </c>
      <c r="AA78" s="28" t="n">
        <v>0.51</v>
      </c>
      <c r="AB78" s="28" t="n">
        <v>0.000196</v>
      </c>
      <c r="AC78" s="30" t="n">
        <v>-1</v>
      </c>
      <c r="AD78" s="24" t="inlineStr">
        <is>
          <t>2026-08-31T04:32:16.244634Z</t>
        </is>
      </c>
      <c r="AE78" s="31" t="inlineStr">
        <is>
          <t>Poisson-DC rates 1.64 (home) / 1.24 (away) from EWMA attack/defense strengths. Executable ask 0.5100 (atc-bra-scp-san-2026-08-30-scp).</t>
        </is>
      </c>
      <c r="AF78" s="31" t="inlineStr">
        <is>
          <t>Research-only soccer score model; draw-aware, but not yet locked-holdout qualified.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Santos</t>
        </is>
      </c>
      <c r="AQ78" s="24" t="inlineStr">
        <is>
          <t>Santos</t>
        </is>
      </c>
      <c r="AR78" s="24" t="inlineStr">
        <is>
          <t>Santos</t>
        </is>
      </c>
      <c r="AS78" s="24" t="inlineStr">
        <is>
          <t>Corinthians</t>
        </is>
      </c>
      <c r="AT78" s="24" t="inlineStr">
        <is>
          <t>Corinthians</t>
        </is>
      </c>
      <c r="AU78" s="24" t="inlineStr">
        <is>
          <t>Corinthians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f585a7f3cb7ee04f9a319a60fa601ef15e86636fadaaa8c1380ac0f28f75c58a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f585a7f3cb7ee04f9a319a60fa601ef15e86636fadaaa8c1380ac0f28f75c58a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f585a7f3cb7ee04f9a319a60fa601ef15e86636fadaaa8c1380ac0f28f75c58a</t>
        </is>
      </c>
      <c r="BH78" s="24" t="inlineStr">
        <is>
          <t>2026-08-30T16:04:54.700215Z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>
        <v>1.961538</v>
      </c>
      <c r="BR78" s="28" t="n">
        <v>0.51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inlineStr">
        <is>
          <t>2026-08-31T04:32:16.244634Z</t>
        </is>
      </c>
      <c r="CA78" s="31" t="inlineStr">
        <is>
          <t>fixed one-unit hypothetical scoring; no real exposure or execution</t>
        </is>
      </c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0.509804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790848634c73454a</t>
        </is>
      </c>
      <c r="B79" s="24" t="inlineStr">
        <is>
          <t>2026-08-30T16:06:27.993415Z</t>
        </is>
      </c>
      <c r="C79" s="24" t="inlineStr">
        <is>
          <t>2026-08-30T19:00Z</t>
        </is>
      </c>
      <c r="D79" s="24" t="inlineStr">
        <is>
          <t>401841213</t>
        </is>
      </c>
      <c r="E79" s="24" t="inlineStr">
        <is>
          <t>SOCCER</t>
        </is>
      </c>
      <c r="F79" s="24" t="inlineStr">
        <is>
          <t>Botafogo</t>
        </is>
      </c>
      <c r="G79" s="24" t="inlineStr">
        <is>
          <t>Flamengo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-270</v>
      </c>
      <c r="M79" s="27" t="n">
        <v>1.37037</v>
      </c>
      <c r="N79" s="28" t="n">
        <v>0.72973</v>
      </c>
      <c r="O79" s="28" t="n">
        <v>0.456135</v>
      </c>
      <c r="P79" s="28" t="n">
        <v>0.2</v>
      </c>
      <c r="Q79" s="28" t="n">
        <v>-0.273595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3</v>
      </c>
      <c r="Y79" s="25" t="n"/>
      <c r="Z79" s="26" t="n">
        <v>-270</v>
      </c>
      <c r="AA79" s="28" t="n">
        <v>0.73</v>
      </c>
      <c r="AB79" s="28" t="n">
        <v>0.00027</v>
      </c>
      <c r="AC79" s="30" t="n">
        <v>0.3704</v>
      </c>
      <c r="AD79" s="24" t="inlineStr">
        <is>
          <t>2026-08-31T04:32:17.512222Z</t>
        </is>
      </c>
      <c r="AE79" s="31" t="inlineStr">
        <is>
          <t>Poisson-DC rates 1.64 (home) / 1.24 (away) from EWMA attack/defense strengths. Executable ask 0.7300 (atc-bra-fla-bot-2026-08-30-fla).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PAPER_CALL_MODEL_UNVALIDATED</t>
        </is>
      </c>
      <c r="AP79" s="24" t="inlineStr">
        <is>
          <t>Botafogo</t>
        </is>
      </c>
      <c r="AQ79" s="24" t="inlineStr">
        <is>
          <t>Botafogo</t>
        </is>
      </c>
      <c r="AR79" s="24" t="inlineStr">
        <is>
          <t>Botafogo</t>
        </is>
      </c>
      <c r="AS79" s="24" t="inlineStr">
        <is>
          <t>Flamengo</t>
        </is>
      </c>
      <c r="AT79" s="24" t="inlineStr">
        <is>
          <t>Flamengo</t>
        </is>
      </c>
      <c r="AU79" s="24" t="inlineStr">
        <is>
          <t>Flamengo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f585a7f3cb7ee04f9a319a60fa601ef15e86636fadaaa8c1380ac0f28f75c58a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f585a7f3cb7ee04f9a319a60fa601ef15e86636fadaaa8c1380ac0f28f75c58a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f585a7f3cb7ee04f9a319a60fa601ef15e86636fadaaa8c1380ac0f28f75c58a</t>
        </is>
      </c>
      <c r="BH79" s="24" t="inlineStr">
        <is>
          <t>2026-08-30T16:04:54.676387Z</t>
        </is>
      </c>
      <c r="BI79" s="24" t="inlineStr">
        <is>
          <t>["same_event","same_team_same_day","same_league_same_day"]</t>
        </is>
      </c>
      <c r="BJ79" s="25" t="n"/>
      <c r="BK79" s="26" t="n">
        <v>-270</v>
      </c>
      <c r="BL79" s="27" t="n">
        <v>1.37037</v>
      </c>
      <c r="BM79" s="28" t="n">
        <v>0.72973</v>
      </c>
      <c r="BN79" s="28" t="n"/>
      <c r="BO79" s="28" t="n"/>
      <c r="BP79" s="25" t="n"/>
      <c r="BQ79" s="27" t="n">
        <v>1.37037</v>
      </c>
      <c r="BR79" s="28" t="n">
        <v>0.73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0.37037</v>
      </c>
      <c r="BZ79" s="24" t="inlineStr">
        <is>
          <t>2026-08-31T04:32:17.512222Z</t>
        </is>
      </c>
      <c r="CA79" s="31" t="inlineStr">
        <is>
          <t>fixed one-unit hypothetical scoring; no real exposure or execution</t>
        </is>
      </c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0.72973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387647dc2c2349fc</t>
        </is>
      </c>
      <c r="B80" s="24" t="inlineStr">
        <is>
          <t>2026-08-30T16:06:27.993415Z</t>
        </is>
      </c>
      <c r="C80" s="24" t="inlineStr">
        <is>
          <t>2026-08-30T21:30Z</t>
        </is>
      </c>
      <c r="D80" s="24" t="inlineStr">
        <is>
          <t>401841211</t>
        </is>
      </c>
      <c r="E80" s="24" t="inlineStr">
        <is>
          <t>SOCCER</t>
        </is>
      </c>
      <c r="F80" s="24" t="inlineStr">
        <is>
          <t>Palmeiras</t>
        </is>
      </c>
      <c r="G80" s="24" t="inlineStr">
        <is>
          <t>Mirassol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285</v>
      </c>
      <c r="M80" s="27" t="n">
        <v>3.85</v>
      </c>
      <c r="N80" s="28" t="n">
        <v>0.25974</v>
      </c>
      <c r="O80" s="28" t="n">
        <v>0.440521</v>
      </c>
      <c r="P80" s="28" t="n">
        <v>0.2</v>
      </c>
      <c r="Q80" s="28" t="n">
        <v>0.180781</v>
      </c>
      <c r="R80" s="26" t="n">
        <v>20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1</v>
      </c>
      <c r="X80" s="26" t="n">
        <v>1</v>
      </c>
      <c r="Y80" s="25" t="n"/>
      <c r="Z80" s="26" t="n">
        <v>285</v>
      </c>
      <c r="AA80" s="28" t="n">
        <v>0.26</v>
      </c>
      <c r="AB80" s="28" t="n">
        <v>0.00026</v>
      </c>
      <c r="AC80" s="30" t="n">
        <v>-1</v>
      </c>
      <c r="AD80" s="24" t="inlineStr">
        <is>
          <t>2026-08-31T04:32:18.766848Z</t>
        </is>
      </c>
      <c r="AE80" s="31" t="inlineStr">
        <is>
          <t>Poisson-DC rates 1.46 (home) / 1.10 (away) from EWMA attack/defense strengths. Executable ask 0.2600 (atc-bra-mir-pal-2026-08-30-mir).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Palmeiras</t>
        </is>
      </c>
      <c r="AQ80" s="24" t="inlineStr">
        <is>
          <t>Palmeiras</t>
        </is>
      </c>
      <c r="AR80" s="24" t="inlineStr">
        <is>
          <t>Palmeiras</t>
        </is>
      </c>
      <c r="AS80" s="24" t="inlineStr">
        <is>
          <t>Mirassol</t>
        </is>
      </c>
      <c r="AT80" s="24" t="inlineStr">
        <is>
          <t>Mirassol</t>
        </is>
      </c>
      <c r="AU80" s="24" t="inlineStr">
        <is>
          <t>Mirassol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f585a7f3cb7ee04f9a319a60fa601ef15e86636fadaaa8c1380ac0f28f75c58a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f585a7f3cb7ee04f9a319a60fa601ef15e86636fadaaa8c1380ac0f28f75c58a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f585a7f3cb7ee04f9a319a60fa601ef15e86636fadaaa8c1380ac0f28f75c58a</t>
        </is>
      </c>
      <c r="BH80" s="24" t="inlineStr">
        <is>
          <t>2026-08-30T16:04:54.719002Z</t>
        </is>
      </c>
      <c r="BI80" s="24" t="inlineStr">
        <is>
          <t>["same_event","same_team_same_day","same_league_same_day"]</t>
        </is>
      </c>
      <c r="BJ80" s="25" t="n"/>
      <c r="BK80" s="26" t="n">
        <v>285</v>
      </c>
      <c r="BL80" s="27" t="n">
        <v>3.85</v>
      </c>
      <c r="BM80" s="28" t="n">
        <v>0.25974</v>
      </c>
      <c r="BN80" s="28" t="n"/>
      <c r="BO80" s="28" t="n"/>
      <c r="BP80" s="25" t="n"/>
      <c r="BQ80" s="27" t="n">
        <v>3.85</v>
      </c>
      <c r="BR80" s="28" t="n">
        <v>0.26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-1</v>
      </c>
      <c r="BZ80" s="24" t="inlineStr">
        <is>
          <t>2026-08-31T04:32:18.766848Z</t>
        </is>
      </c>
      <c r="CA80" s="31" t="inlineStr">
        <is>
          <t>fixed one-unit hypothetical scoring; no real exposure or execution</t>
        </is>
      </c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0.25974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11c1c7f466cd4c08</t>
        </is>
      </c>
      <c r="B81" s="24" t="inlineStr">
        <is>
          <t>2026-08-30T16:06:27.993415Z</t>
        </is>
      </c>
      <c r="C81" s="24" t="inlineStr">
        <is>
          <t>2026-08-30T22:30Z</t>
        </is>
      </c>
      <c r="D81" s="24" t="inlineStr">
        <is>
          <t>401841215</t>
        </is>
      </c>
      <c r="E81" s="24" t="inlineStr">
        <is>
          <t>SOCCER</t>
        </is>
      </c>
      <c r="F81" s="24" t="inlineStr">
        <is>
          <t>Internacional</t>
        </is>
      </c>
      <c r="G81" s="24" t="inlineStr">
        <is>
          <t>Bahia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0.456135</v>
      </c>
      <c r="P81" s="28" t="n">
        <v>0.2</v>
      </c>
      <c r="Q81" s="28" t="n">
        <v>-0.074381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3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0.885</v>
      </c>
      <c r="AD81" s="24" t="inlineStr">
        <is>
          <t>2026-08-31T04:32:20.137417Z</t>
        </is>
      </c>
      <c r="AE81" s="31" t="inlineStr">
        <is>
          <t>Poisson-DC rates 1.64 (home) / 1.24 (away) from EWMA attack/defense strengths. Executable ask 0.5300 (atc-bra-bah-int-2026-08-30-bah).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Internacional</t>
        </is>
      </c>
      <c r="AQ81" s="24" t="inlineStr">
        <is>
          <t>Internacional</t>
        </is>
      </c>
      <c r="AR81" s="24" t="inlineStr">
        <is>
          <t>Internacional</t>
        </is>
      </c>
      <c r="AS81" s="24" t="inlineStr">
        <is>
          <t>Bahia</t>
        </is>
      </c>
      <c r="AT81" s="24" t="inlineStr">
        <is>
          <t>Bahia</t>
        </is>
      </c>
      <c r="AU81" s="24" t="inlineStr">
        <is>
          <t>Bahia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f585a7f3cb7ee04f9a319a60fa601ef15e86636fadaaa8c1380ac0f28f75c58a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f585a7f3cb7ee04f9a319a60fa601ef15e86636fadaaa8c1380ac0f28f75c58a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f585a7f3cb7ee04f9a319a60fa601ef15e86636fadaaa8c1380ac0f28f75c58a</t>
        </is>
      </c>
      <c r="BH81" s="24" t="inlineStr">
        <is>
          <t>2026-08-30T16:04:54.736463Z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0.884957</v>
      </c>
      <c r="BZ81" s="24" t="inlineStr">
        <is>
          <t>2026-08-31T04:32:20.137417Z</t>
        </is>
      </c>
      <c r="CA81" s="31" t="inlineStr">
        <is>
          <t>fixed one-unit hypothetical scoring; no real exposure or execution</t>
        </is>
      </c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0.530516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a1949dd9ff824433</t>
        </is>
      </c>
      <c r="B82" s="24" t="inlineStr">
        <is>
          <t>2026-08-30T16:06:27.993415Z</t>
        </is>
      </c>
      <c r="C82" s="24" t="inlineStr">
        <is>
          <t>2026-08-30T21:30Z</t>
        </is>
      </c>
      <c r="D82" s="24" t="inlineStr">
        <is>
          <t>401860306</t>
        </is>
      </c>
      <c r="E82" s="24" t="inlineStr">
        <is>
          <t>SOCCER</t>
        </is>
      </c>
      <c r="F82" s="24" t="inlineStr">
        <is>
          <t>Ceará</t>
        </is>
      </c>
      <c r="G82" s="24" t="inlineStr">
        <is>
          <t>Vila Nova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0.398039</v>
      </c>
      <c r="P82" s="28" t="n">
        <v>0.2</v>
      </c>
      <c r="Q82" s="28" t="n">
        <v>-0.111765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2</v>
      </c>
      <c r="Y82" s="25" t="n"/>
      <c r="Z82" s="26" t="n">
        <v>-104</v>
      </c>
      <c r="AA82" s="28" t="n">
        <v>0.51</v>
      </c>
      <c r="AB82" s="28" t="n">
        <v>0.000196</v>
      </c>
      <c r="AC82" s="30" t="n">
        <v>0.9615</v>
      </c>
      <c r="AD82" s="24" t="inlineStr">
        <is>
          <t>2026-08-31T04:32:21.441194Z</t>
        </is>
      </c>
      <c r="AE82" s="31" t="inlineStr">
        <is>
          <t>Poisson-DC rates 1.46 (home) / 1.30 (away) from EWMA attack/defense strengths. Executable ask 0.5100 (atc-brb-vln-csc-2026-08-30-vln).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Ceará</t>
        </is>
      </c>
      <c r="AQ82" s="24" t="inlineStr">
        <is>
          <t>Ceará</t>
        </is>
      </c>
      <c r="AR82" s="24" t="inlineStr">
        <is>
          <t>Ceará</t>
        </is>
      </c>
      <c r="AS82" s="24" t="inlineStr">
        <is>
          <t>Vila Nova</t>
        </is>
      </c>
      <c r="AT82" s="24" t="inlineStr">
        <is>
          <t>Vila Nova</t>
        </is>
      </c>
      <c r="AU82" s="24" t="inlineStr">
        <is>
          <t>Vila Nova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f585a7f3cb7ee04f9a319a60fa601ef15e86636fadaaa8c1380ac0f28f75c58a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f585a7f3cb7ee04f9a319a60fa601ef15e86636fadaaa8c1380ac0f28f75c58a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f585a7f3cb7ee04f9a319a60fa601ef15e86636fadaaa8c1380ac0f28f75c58a</t>
        </is>
      </c>
      <c r="BH82" s="24" t="inlineStr">
        <is>
          <t>2026-08-30T16:04:54.794961Z</t>
        </is>
      </c>
      <c r="BI82" s="24" t="inlineStr">
        <is>
          <t>["same_event","same_team_same_day","same_league_same_day"]</t>
        </is>
      </c>
      <c r="BJ82" s="25" t="n"/>
      <c r="BK82" s="26" t="n">
        <v>-104</v>
      </c>
      <c r="BL82" s="27" t="n">
        <v>1.961538</v>
      </c>
      <c r="BM82" s="28" t="n">
        <v>0.509804</v>
      </c>
      <c r="BN82" s="28" t="n"/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0.961538</v>
      </c>
      <c r="BZ82" s="24" t="inlineStr">
        <is>
          <t>2026-08-31T04:32:21.441194Z</t>
        </is>
      </c>
      <c r="CA82" s="31" t="inlineStr">
        <is>
          <t>fixed one-unit hypothetical scoring; no real exposure or execution</t>
        </is>
      </c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0.509804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700ce9f4b2484f6a</t>
        </is>
      </c>
      <c r="B83" s="24" t="inlineStr">
        <is>
          <t>2026-08-30T16:06:27.993415Z</t>
        </is>
      </c>
      <c r="C83" s="24" t="inlineStr">
        <is>
          <t>2026-08-30T18:00Z</t>
        </is>
      </c>
      <c r="D83" s="24" t="inlineStr">
        <is>
          <t>401841526</t>
        </is>
      </c>
      <c r="E83" s="24" t="inlineStr">
        <is>
          <t>SOCCER</t>
        </is>
      </c>
      <c r="F83" s="24" t="inlineStr">
        <is>
          <t>River Plate</t>
        </is>
      </c>
      <c r="G83" s="24" t="inlineStr">
        <is>
          <t>Banfield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567</v>
      </c>
      <c r="M83" s="27" t="n">
        <v>6.67</v>
      </c>
      <c r="N83" s="28" t="n">
        <v>0.149925</v>
      </c>
      <c r="O83" s="28" t="n">
        <v>0.378182</v>
      </c>
      <c r="P83" s="28" t="n">
        <v>0.2</v>
      </c>
      <c r="Q83" s="28" t="n">
        <v>0.228257</v>
      </c>
      <c r="R83" s="26" t="n">
        <v>44</v>
      </c>
      <c r="S83" s="29" t="n">
        <v>1.25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loss</t>
        </is>
      </c>
      <c r="W83" s="26" t="n">
        <v>3</v>
      </c>
      <c r="X83" s="26" t="n">
        <v>2</v>
      </c>
      <c r="Y83" s="25" t="n"/>
      <c r="Z83" s="26" t="n">
        <v>567</v>
      </c>
      <c r="AA83" s="28" t="n">
        <v>0.15</v>
      </c>
      <c r="AB83" s="28" t="n">
        <v>7.499999999999999e-05</v>
      </c>
      <c r="AC83" s="30" t="n">
        <v>-1.25</v>
      </c>
      <c r="AD83" s="24" t="inlineStr">
        <is>
          <t>2026-08-31T04:32:22.807498Z</t>
        </is>
      </c>
      <c r="AE83" s="31" t="inlineStr">
        <is>
          <t>Poisson-DC rates 1.46 (home) / 1.39 (away) from EWMA attack/defense strengths. Executable ask 0.1500 (atc-lpa-ban-riv-2026-08-30-ban).</t>
        </is>
      </c>
      <c r="AF83" s="31" t="inlineStr">
        <is>
          <t>Research-only soccer score model; draw-aware, but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River Plate</t>
        </is>
      </c>
      <c r="AQ83" s="24" t="inlineStr">
        <is>
          <t>River Plate</t>
        </is>
      </c>
      <c r="AR83" s="24" t="inlineStr">
        <is>
          <t>River Plate</t>
        </is>
      </c>
      <c r="AS83" s="24" t="inlineStr">
        <is>
          <t>Banfield</t>
        </is>
      </c>
      <c r="AT83" s="24" t="inlineStr">
        <is>
          <t>Banfield</t>
        </is>
      </c>
      <c r="AU83" s="24" t="inlineStr">
        <is>
          <t>Banfield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f585a7f3cb7ee04f9a319a60fa601ef15e86636fadaaa8c1380ac0f28f75c58a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f585a7f3cb7ee04f9a319a60fa601ef15e86636fadaaa8c1380ac0f28f75c58a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f585a7f3cb7ee04f9a319a60fa601ef15e86636fadaaa8c1380ac0f28f75c58a</t>
        </is>
      </c>
      <c r="BH83" s="24" t="inlineStr">
        <is>
          <t>2026-08-30T16:04:54.812633Z</t>
        </is>
      </c>
      <c r="BI83" s="24" t="inlineStr">
        <is>
          <t>["same_event","same_team_same_day","same_league_same_day"]</t>
        </is>
      </c>
      <c r="BJ83" s="25" t="n"/>
      <c r="BK83" s="26" t="n">
        <v>567</v>
      </c>
      <c r="BL83" s="27" t="n">
        <v>6.67</v>
      </c>
      <c r="BM83" s="28" t="n">
        <v>0.149925</v>
      </c>
      <c r="BN83" s="28" t="n"/>
      <c r="BO83" s="28" t="n"/>
      <c r="BP83" s="25" t="n"/>
      <c r="BQ83" s="27" t="n">
        <v>6.67</v>
      </c>
      <c r="BR83" s="28" t="n">
        <v>0.15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-1</v>
      </c>
      <c r="BZ83" s="24" t="inlineStr">
        <is>
          <t>2026-08-31T04:32:22.807498Z</t>
        </is>
      </c>
      <c r="CA83" s="31" t="inlineStr">
        <is>
          <t>fixed one-unit hypothetical scoring; no real exposure or execution</t>
        </is>
      </c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0.149925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38cb33886ae84487</t>
        </is>
      </c>
      <c r="B84" s="24" t="inlineStr">
        <is>
          <t>2026-08-30T16:06:27.993415Z</t>
        </is>
      </c>
      <c r="C84" s="24" t="inlineStr">
        <is>
          <t>2026-08-30T20:00Z</t>
        </is>
      </c>
      <c r="D84" s="24" t="inlineStr">
        <is>
          <t>401841524</t>
        </is>
      </c>
      <c r="E84" s="24" t="inlineStr">
        <is>
          <t>SOCCER</t>
        </is>
      </c>
      <c r="F84" s="24" t="inlineStr">
        <is>
          <t>Aldosivi</t>
        </is>
      </c>
      <c r="G84" s="24" t="inlineStr">
        <is>
          <t>Argentinos Juniors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-223</v>
      </c>
      <c r="M84" s="27" t="n">
        <v>1.44843</v>
      </c>
      <c r="N84" s="28" t="n">
        <v>0.690402</v>
      </c>
      <c r="O84" s="28" t="n">
        <v>0.456135</v>
      </c>
      <c r="P84" s="28" t="n">
        <v>0.2</v>
      </c>
      <c r="Q84" s="28" t="n">
        <v>-0.234267</v>
      </c>
      <c r="R84" s="26" t="n">
        <v>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2</v>
      </c>
      <c r="Y84" s="25" t="n"/>
      <c r="Z84" s="26" t="n">
        <v>-223</v>
      </c>
      <c r="AA84" s="28" t="n">
        <v>0.6899999999999999</v>
      </c>
      <c r="AB84" s="28" t="n">
        <v>-0.000402</v>
      </c>
      <c r="AC84" s="30" t="n">
        <v>0.4484</v>
      </c>
      <c r="AD84" s="24" t="inlineStr">
        <is>
          <t>2026-08-31T04:32:24.095318Z</t>
        </is>
      </c>
      <c r="AE84" s="31" t="inlineStr">
        <is>
          <t>Poisson-DC rates 1.64 (home) / 1.24 (away) from EWMA attack/defense strengths. Executable ask 0.6900 (atc-lpa-aaj-ald-2026-08-30-aaj).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PAPER_CALL_MODEL_UNVALIDATED</t>
        </is>
      </c>
      <c r="AP84" s="24" t="inlineStr">
        <is>
          <t>Aldosivi</t>
        </is>
      </c>
      <c r="AQ84" s="24" t="inlineStr">
        <is>
          <t>Aldosivi</t>
        </is>
      </c>
      <c r="AR84" s="24" t="inlineStr">
        <is>
          <t>Aldosivi</t>
        </is>
      </c>
      <c r="AS84" s="24" t="inlineStr">
        <is>
          <t>Argentinos Juniors</t>
        </is>
      </c>
      <c r="AT84" s="24" t="inlineStr">
        <is>
          <t>Argentinos Juniors</t>
        </is>
      </c>
      <c r="AU84" s="24" t="inlineStr">
        <is>
          <t>Argentinos Juniors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f585a7f3cb7ee04f9a319a60fa601ef15e86636fadaaa8c1380ac0f28f75c58a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f585a7f3cb7ee04f9a319a60fa601ef15e86636fadaaa8c1380ac0f28f75c58a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f585a7f3cb7ee04f9a319a60fa601ef15e86636fadaaa8c1380ac0f28f75c58a</t>
        </is>
      </c>
      <c r="BH84" s="24" t="inlineStr">
        <is>
          <t>2026-08-30T16:04:54.811245Z</t>
        </is>
      </c>
      <c r="BI84" s="24" t="inlineStr">
        <is>
          <t>["same_event","same_team_same_day","same_league_same_day"]</t>
        </is>
      </c>
      <c r="BJ84" s="25" t="n"/>
      <c r="BK84" s="26" t="n">
        <v>-223</v>
      </c>
      <c r="BL84" s="27" t="n">
        <v>1.44843</v>
      </c>
      <c r="BM84" s="28" t="n">
        <v>0.690402</v>
      </c>
      <c r="BN84" s="28" t="n"/>
      <c r="BO84" s="28" t="n"/>
      <c r="BP84" s="25" t="n"/>
      <c r="BQ84" s="27" t="n">
        <v>1.44843</v>
      </c>
      <c r="BR84" s="28" t="n">
        <v>0.6899999999999999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0.448431</v>
      </c>
      <c r="BZ84" s="24" t="inlineStr">
        <is>
          <t>2026-08-31T04:32:24.095318Z</t>
        </is>
      </c>
      <c r="CA84" s="31" t="inlineStr">
        <is>
          <t>fixed one-unit hypothetical scoring; no real exposure or execution</t>
        </is>
      </c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0.690402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bf40e623153243f0</t>
        </is>
      </c>
      <c r="B85" s="24" t="inlineStr">
        <is>
          <t>2026-08-30T16:06:27.993415Z</t>
        </is>
      </c>
      <c r="C85" s="24" t="inlineStr">
        <is>
          <t>2026-08-30T22:15Z</t>
        </is>
      </c>
      <c r="D85" s="24" t="inlineStr">
        <is>
          <t>401841532</t>
        </is>
      </c>
      <c r="E85" s="24" t="inlineStr">
        <is>
          <t>SOCCER</t>
        </is>
      </c>
      <c r="F85" s="24" t="inlineStr">
        <is>
          <t>Gimnasia (Mendoza)</t>
        </is>
      </c>
      <c r="G85" s="24" t="inlineStr">
        <is>
          <t>Independiente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-133</v>
      </c>
      <c r="M85" s="27" t="n">
        <v>1.75188</v>
      </c>
      <c r="N85" s="28" t="n">
        <v>0.570815</v>
      </c>
      <c r="O85" s="28" t="n">
        <v>0.456135</v>
      </c>
      <c r="P85" s="28" t="n">
        <v>0.2</v>
      </c>
      <c r="Q85" s="28" t="n">
        <v>-0.11468</v>
      </c>
      <c r="R85" s="26" t="n">
        <v>0</v>
      </c>
      <c r="S85" s="29" t="n">
        <v>1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0</v>
      </c>
      <c r="Y85" s="25" t="n"/>
      <c r="Z85" s="26" t="n">
        <v>-133</v>
      </c>
      <c r="AA85" s="28" t="n">
        <v>0.57</v>
      </c>
      <c r="AB85" s="28" t="n">
        <v>-0.000815</v>
      </c>
      <c r="AC85" s="30" t="n">
        <v>-1</v>
      </c>
      <c r="AD85" s="24" t="inlineStr">
        <is>
          <t>2026-08-31T04:32:25.362953Z</t>
        </is>
      </c>
      <c r="AE85" s="31" t="inlineStr">
        <is>
          <t>Poisson-DC rates 1.64 (home) / 1.24 (away) from EWMA attack/defense strengths. Executable ask 0.5700 (atc-lpa-ind-gye-2026-08-30-ind).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PAPER_CALL_MODEL_UNVALIDATED</t>
        </is>
      </c>
      <c r="AP85" s="24" t="inlineStr">
        <is>
          <t>Gimnasia (Mendoza)</t>
        </is>
      </c>
      <c r="AQ85" s="24" t="inlineStr">
        <is>
          <t>Gimnasia (Mendoza)</t>
        </is>
      </c>
      <c r="AR85" s="24" t="inlineStr">
        <is>
          <t>Gimnasia (Mendoza)</t>
        </is>
      </c>
      <c r="AS85" s="24" t="inlineStr">
        <is>
          <t>Independiente</t>
        </is>
      </c>
      <c r="AT85" s="24" t="inlineStr">
        <is>
          <t>Independiente</t>
        </is>
      </c>
      <c r="AU85" s="24" t="inlineStr">
        <is>
          <t>Independiente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f585a7f3cb7ee04f9a319a60fa601ef15e86636fadaaa8c1380ac0f28f75c58a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f585a7f3cb7ee04f9a319a60fa601ef15e86636fadaaa8c1380ac0f28f75c58a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f585a7f3cb7ee04f9a319a60fa601ef15e86636fadaaa8c1380ac0f28f75c58a</t>
        </is>
      </c>
      <c r="BH85" s="24" t="inlineStr">
        <is>
          <t>2026-08-30T16:04:54.821907Z</t>
        </is>
      </c>
      <c r="BI85" s="24" t="inlineStr">
        <is>
          <t>["same_event","same_team_same_day","same_league_same_day"]</t>
        </is>
      </c>
      <c r="BJ85" s="25" t="n"/>
      <c r="BK85" s="26" t="n">
        <v>-133</v>
      </c>
      <c r="BL85" s="27" t="n">
        <v>1.75188</v>
      </c>
      <c r="BM85" s="28" t="n">
        <v>0.570815</v>
      </c>
      <c r="BN85" s="28" t="n"/>
      <c r="BO85" s="28" t="n"/>
      <c r="BP85" s="25" t="n"/>
      <c r="BQ85" s="27" t="n">
        <v>1.75188</v>
      </c>
      <c r="BR85" s="28" t="n">
        <v>0.57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inlineStr">
        <is>
          <t>2026-08-31T04:32:25.362953Z</t>
        </is>
      </c>
      <c r="CA85" s="31" t="inlineStr">
        <is>
          <t>fixed one-unit hypothetical scoring; no real exposure or execution</t>
        </is>
      </c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0.570815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9b455e5eacdc4d29</t>
        </is>
      </c>
      <c r="B86" s="24" t="inlineStr">
        <is>
          <t>2026-08-30T16:06:27.993415Z</t>
        </is>
      </c>
      <c r="C86" s="24" t="inlineStr">
        <is>
          <t>2026-08-31T00:30Z</t>
        </is>
      </c>
      <c r="D86" s="24" t="inlineStr">
        <is>
          <t>401841533</t>
        </is>
      </c>
      <c r="E86" s="24" t="inlineStr">
        <is>
          <t>SOCCER</t>
        </is>
      </c>
      <c r="F86" s="24" t="inlineStr">
        <is>
          <t>Racing Club</t>
        </is>
      </c>
      <c r="G86" s="24" t="inlineStr">
        <is>
          <t>Independiente Rivadavia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127</v>
      </c>
      <c r="M86" s="27" t="n">
        <v>2.27</v>
      </c>
      <c r="N86" s="28" t="n">
        <v>0.440529</v>
      </c>
      <c r="O86" s="28" t="n">
        <v>0.405043</v>
      </c>
      <c r="P86" s="28" t="n">
        <v>0.19</v>
      </c>
      <c r="Q86" s="28" t="n">
        <v>-0.035486</v>
      </c>
      <c r="R86" s="26" t="n">
        <v>0</v>
      </c>
      <c r="S86" s="29" t="n">
        <v>1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3</v>
      </c>
      <c r="Y86" s="25" t="n"/>
      <c r="Z86" s="26" t="n">
        <v>127</v>
      </c>
      <c r="AA86" s="28" t="n">
        <v>0.44</v>
      </c>
      <c r="AB86" s="28" t="n">
        <v>-0.000529</v>
      </c>
      <c r="AC86" s="30" t="n">
        <v>1.27</v>
      </c>
      <c r="AD86" s="24" t="inlineStr">
        <is>
          <t>2026-08-31T04:32:26.617665Z</t>
        </is>
      </c>
      <c r="AE86" s="31" t="inlineStr">
        <is>
          <t>Poisson-DC rates 1.53 (home) / 1.35 (away) from EWMA attack/defense strengths. Executable ask 0.4400 (atc-lpa-cir-rac-2026-08-30-cir).</t>
        </is>
      </c>
      <c r="AF86" s="31" t="inlineStr">
        <is>
          <t>Research-only soccer score model; draw-aware, but not yet locked-holdout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PAPER_CALL_MODEL_UNVALIDATED</t>
        </is>
      </c>
      <c r="AP86" s="24" t="inlineStr">
        <is>
          <t>Racing Club</t>
        </is>
      </c>
      <c r="AQ86" s="24" t="inlineStr">
        <is>
          <t>Racing Club</t>
        </is>
      </c>
      <c r="AR86" s="24" t="inlineStr">
        <is>
          <t>Racing Club</t>
        </is>
      </c>
      <c r="AS86" s="24" t="inlineStr">
        <is>
          <t>Independiente Rivadavia</t>
        </is>
      </c>
      <c r="AT86" s="24" t="inlineStr">
        <is>
          <t>Independiente Rivadavia</t>
        </is>
      </c>
      <c r="AU86" s="24" t="inlineStr">
        <is>
          <t>Independiente Rivadavia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f585a7f3cb7ee04f9a319a60fa601ef15e86636fadaaa8c1380ac0f28f75c58a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f585a7f3cb7ee04f9a319a60fa601ef15e86636fadaaa8c1380ac0f28f75c58a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f585a7f3cb7ee04f9a319a60fa601ef15e86636fadaaa8c1380ac0f28f75c58a</t>
        </is>
      </c>
      <c r="BH86" s="24" t="inlineStr">
        <is>
          <t>2026-08-30T16:04:54.819076Z</t>
        </is>
      </c>
      <c r="BI86" s="24" t="inlineStr">
        <is>
          <t>["same_event","same_team_same_day","same_league_same_day"]</t>
        </is>
      </c>
      <c r="BJ86" s="25" t="n"/>
      <c r="BK86" s="26" t="n">
        <v>127</v>
      </c>
      <c r="BL86" s="27" t="n">
        <v>2.27</v>
      </c>
      <c r="BM86" s="28" t="n">
        <v>0.440529</v>
      </c>
      <c r="BN86" s="28" t="n"/>
      <c r="BO86" s="28" t="n"/>
      <c r="BP86" s="25" t="n"/>
      <c r="BQ86" s="27" t="n">
        <v>2.27</v>
      </c>
      <c r="BR86" s="28" t="n">
        <v>0.44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1.269998</v>
      </c>
      <c r="BZ86" s="24" t="inlineStr">
        <is>
          <t>2026-08-31T04:32:26.617665Z</t>
        </is>
      </c>
      <c r="CA86" s="31" t="inlineStr">
        <is>
          <t>fixed one-unit hypothetical scoring; no real exposure or execution</t>
        </is>
      </c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0.440529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4791b9c58be24e42</t>
        </is>
      </c>
      <c r="B87" s="24" t="inlineStr">
        <is>
          <t>2026-08-30T16:06:27.993415Z</t>
        </is>
      </c>
      <c r="C87" s="24" t="inlineStr">
        <is>
          <t>2026-08-30T18:00Z</t>
        </is>
      </c>
      <c r="D87" s="24" t="inlineStr">
        <is>
          <t>401844100</t>
        </is>
      </c>
      <c r="E87" s="24" t="inlineStr">
        <is>
          <t>SOCCER</t>
        </is>
      </c>
      <c r="F87" s="24" t="inlineStr">
        <is>
          <t>Deportivo Madryn</t>
        </is>
      </c>
      <c r="G87" s="24" t="inlineStr">
        <is>
          <t>Almirante Brown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144</v>
      </c>
      <c r="M87" s="27" t="n">
        <v>2.44</v>
      </c>
      <c r="N87" s="28" t="n">
        <v>0.409836</v>
      </c>
      <c r="O87" s="28" t="n">
        <v>0.456135</v>
      </c>
      <c r="P87" s="28" t="n">
        <v>0.2</v>
      </c>
      <c r="Q87" s="28" t="n">
        <v>0.046299</v>
      </c>
      <c r="R87" s="26" t="n">
        <v>0</v>
      </c>
      <c r="S87" s="29" t="n">
        <v>1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144</v>
      </c>
      <c r="AA87" s="28" t="n">
        <v>0.41</v>
      </c>
      <c r="AB87" s="28" t="n">
        <v>0.000164</v>
      </c>
      <c r="AC87" s="30" t="n">
        <v>1.44</v>
      </c>
      <c r="AD87" s="24" t="inlineStr">
        <is>
          <t>2026-08-31T04:32:28.050548Z</t>
        </is>
      </c>
      <c r="AE87" s="31" t="inlineStr">
        <is>
          <t>Poisson-DC rates 1.64 (home) / 1.24 (away) from EWMA attack/defense strengths. Executable ask 0.4100 (atc-arg2-alb-dma-2026-08-29-alb).</t>
        </is>
      </c>
      <c r="AF87" s="31" t="inlineStr">
        <is>
          <t>Research-only soccer score model; draw-aware, but not yet locked-holdout qualified.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Deportivo Madryn</t>
        </is>
      </c>
      <c r="AQ87" s="24" t="inlineStr">
        <is>
          <t>Deportivo Madryn</t>
        </is>
      </c>
      <c r="AR87" s="24" t="inlineStr">
        <is>
          <t>Deportivo Madryn</t>
        </is>
      </c>
      <c r="AS87" s="24" t="inlineStr">
        <is>
          <t>Almirante Brown</t>
        </is>
      </c>
      <c r="AT87" s="24" t="inlineStr">
        <is>
          <t>Almirante Brown</t>
        </is>
      </c>
      <c r="AU87" s="24" t="inlineStr">
        <is>
          <t>Almirante Brown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f585a7f3cb7ee04f9a319a60fa601ef15e86636fadaaa8c1380ac0f28f75c58a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f585a7f3cb7ee04f9a319a60fa601ef15e86636fadaaa8c1380ac0f28f75c58a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f585a7f3cb7ee04f9a319a60fa601ef15e86636fadaaa8c1380ac0f28f75c58a</t>
        </is>
      </c>
      <c r="BH87" s="24" t="inlineStr">
        <is>
          <t>2026-08-30T16:04:54.841546Z</t>
        </is>
      </c>
      <c r="BI87" s="24" t="inlineStr">
        <is>
          <t>["same_event","same_team_same_day","same_league_same_day"]</t>
        </is>
      </c>
      <c r="BJ87" s="25" t="n"/>
      <c r="BK87" s="26" t="n">
        <v>144</v>
      </c>
      <c r="BL87" s="27" t="n">
        <v>2.44</v>
      </c>
      <c r="BM87" s="28" t="n">
        <v>0.409836</v>
      </c>
      <c r="BN87" s="28" t="n"/>
      <c r="BO87" s="28" t="n"/>
      <c r="BP87" s="25" t="n"/>
      <c r="BQ87" s="27" t="n">
        <v>2.44</v>
      </c>
      <c r="BR87" s="28" t="n">
        <v>0.41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1.44</v>
      </c>
      <c r="BZ87" s="24" t="inlineStr">
        <is>
          <t>2026-08-31T04:32:28.050548Z</t>
        </is>
      </c>
      <c r="CA87" s="31" t="inlineStr">
        <is>
          <t>fixed one-unit hypothetical scoring; no real exposure or execution</t>
        </is>
      </c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0.409836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1ed72ef4369c4ae9</t>
        </is>
      </c>
      <c r="B88" s="24" t="inlineStr">
        <is>
          <t>2026-08-30T16:06:27.993415Z</t>
        </is>
      </c>
      <c r="C88" s="24" t="inlineStr">
        <is>
          <t>2026-08-30T18:00Z</t>
        </is>
      </c>
      <c r="D88" s="24" t="inlineStr">
        <is>
          <t>401844094</t>
        </is>
      </c>
      <c r="E88" s="24" t="inlineStr">
        <is>
          <t>SOCCER</t>
        </is>
      </c>
      <c r="F88" s="24" t="inlineStr">
        <is>
          <t>Central Norte</t>
        </is>
      </c>
      <c r="G88" s="24" t="inlineStr">
        <is>
          <t>Mitre (Santiago del Estero)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0.456135</v>
      </c>
      <c r="P88" s="28" t="n">
        <v>0.2</v>
      </c>
      <c r="Q88" s="28" t="n">
        <v>-0.053669</v>
      </c>
      <c r="R88" s="26" t="n">
        <v>0</v>
      </c>
      <c r="S88" s="29" t="n">
        <v>1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2</v>
      </c>
      <c r="Y88" s="25" t="n"/>
      <c r="Z88" s="26" t="n">
        <v>-104</v>
      </c>
      <c r="AA88" s="28" t="n">
        <v>0.51</v>
      </c>
      <c r="AB88" s="28" t="n">
        <v>0.000196</v>
      </c>
      <c r="AC88" s="30" t="n">
        <v>-1</v>
      </c>
      <c r="AD88" s="24" t="inlineStr">
        <is>
          <t>2026-08-31T04:32:29.366402Z</t>
        </is>
      </c>
      <c r="AE88" s="31" t="inlineStr">
        <is>
          <t>Poisson-DC rates 1.64 (home) / 1.24 (away) from EWMA attack/defense strengths. Executable ask 0.5100 (atc-arg2-cam-ccns-2026-08-29-cam).</t>
        </is>
      </c>
      <c r="AF88" s="31" t="inlineStr">
        <is>
          <t>Research-only soccer score model; draw-aware, but not yet locked-holdout qualified.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PAPER_CALL_MODEL_UNVALIDATED</t>
        </is>
      </c>
      <c r="AP88" s="24" t="inlineStr">
        <is>
          <t>Central Norte</t>
        </is>
      </c>
      <c r="AQ88" s="24" t="inlineStr">
        <is>
          <t>Central Norte</t>
        </is>
      </c>
      <c r="AR88" s="24" t="inlineStr">
        <is>
          <t>Central Norte</t>
        </is>
      </c>
      <c r="AS88" s="24" t="inlineStr">
        <is>
          <t>Mitre (Santiago del Estero)</t>
        </is>
      </c>
      <c r="AT88" s="24" t="inlineStr">
        <is>
          <t>Mitre (Santiago del Estero)</t>
        </is>
      </c>
      <c r="AU88" s="24" t="inlineStr">
        <is>
          <t>Mitre (Santiago del Estero)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f585a7f3cb7ee04f9a319a60fa601ef15e86636fadaaa8c1380ac0f28f75c58a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f585a7f3cb7ee04f9a319a60fa601ef15e86636fadaaa8c1380ac0f28f75c58a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f585a7f3cb7ee04f9a319a60fa601ef15e86636fadaaa8c1380ac0f28f75c58a</t>
        </is>
      </c>
      <c r="BH88" s="24" t="inlineStr">
        <is>
          <t>2026-08-30T16:04:54.875472Z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/>
      <c r="BO88" s="28" t="n"/>
      <c r="BP88" s="25" t="n"/>
      <c r="BQ88" s="27" t="n">
        <v>1.961538</v>
      </c>
      <c r="BR88" s="28" t="n">
        <v>0.51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inlineStr">
        <is>
          <t>2026-08-31T04:32:29.366402Z</t>
        </is>
      </c>
      <c r="CA88" s="31" t="inlineStr">
        <is>
          <t>fixed one-unit hypothetical scoring; no real exposure or execution</t>
        </is>
      </c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0.509804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04165d9cfe514dbf</t>
        </is>
      </c>
      <c r="B89" s="24" t="inlineStr">
        <is>
          <t>2026-08-30T16:06:27.993415Z</t>
        </is>
      </c>
      <c r="C89" s="24" t="inlineStr">
        <is>
          <t>2026-08-30T18:30Z</t>
        </is>
      </c>
      <c r="D89" s="24" t="inlineStr">
        <is>
          <t>401844083</t>
        </is>
      </c>
      <c r="E89" s="24" t="inlineStr">
        <is>
          <t>SOCCER</t>
        </is>
      </c>
      <c r="F89" s="24" t="inlineStr">
        <is>
          <t>Chaco For Ever</t>
        </is>
      </c>
      <c r="G89" s="24" t="inlineStr">
        <is>
          <t>All Boys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156</v>
      </c>
      <c r="M89" s="27" t="n">
        <v>2.56</v>
      </c>
      <c r="N89" s="28" t="n">
        <v>0.390625</v>
      </c>
      <c r="O89" s="28" t="n">
        <v>0.456135</v>
      </c>
      <c r="P89" s="28" t="n">
        <v>0.2</v>
      </c>
      <c r="Q89" s="28" t="n">
        <v>0.06551</v>
      </c>
      <c r="R89" s="26" t="n">
        <v>0</v>
      </c>
      <c r="S89" s="29" t="n">
        <v>1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loss</t>
        </is>
      </c>
      <c r="W89" s="26" t="n">
        <v>0</v>
      </c>
      <c r="X89" s="26" t="n">
        <v>0</v>
      </c>
      <c r="Y89" s="25" t="n"/>
      <c r="Z89" s="26" t="n">
        <v>156</v>
      </c>
      <c r="AA89" s="28" t="n">
        <v>0.39</v>
      </c>
      <c r="AB89" s="28" t="n">
        <v>-0.000625</v>
      </c>
      <c r="AC89" s="30" t="n">
        <v>-1</v>
      </c>
      <c r="AD89" s="24" t="inlineStr">
        <is>
          <t>2026-08-31T04:32:30.615928Z</t>
        </is>
      </c>
      <c r="AE89" s="31" t="inlineStr">
        <is>
          <t>Poisson-DC rates 1.64 (home) / 1.24 (away) from EWMA attack/defense strengths. Executable ask 0.3900 (atc-arg2-abo-cfe-2026-08-29-abo).</t>
        </is>
      </c>
      <c r="AF89" s="31" t="inlineStr">
        <is>
          <t>Research-only soccer score model; draw-aware, but not yet locked-holdout qualified.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PAPER_CALL_MODEL_UNVALIDATED</t>
        </is>
      </c>
      <c r="AP89" s="24" t="inlineStr">
        <is>
          <t>Chaco For Ever</t>
        </is>
      </c>
      <c r="AQ89" s="24" t="inlineStr">
        <is>
          <t>Chaco For Ever</t>
        </is>
      </c>
      <c r="AR89" s="24" t="inlineStr">
        <is>
          <t>Chaco For Ever</t>
        </is>
      </c>
      <c r="AS89" s="24" t="inlineStr">
        <is>
          <t>All Boys</t>
        </is>
      </c>
      <c r="AT89" s="24" t="inlineStr">
        <is>
          <t>All Boys</t>
        </is>
      </c>
      <c r="AU89" s="24" t="inlineStr">
        <is>
          <t>All Boys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f585a7f3cb7ee04f9a319a60fa601ef15e86636fadaaa8c1380ac0f28f75c58a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f585a7f3cb7ee04f9a319a60fa601ef15e86636fadaaa8c1380ac0f28f75c58a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f585a7f3cb7ee04f9a319a60fa601ef15e86636fadaaa8c1380ac0f28f75c58a</t>
        </is>
      </c>
      <c r="BH89" s="24" t="inlineStr">
        <is>
          <t>2026-08-30T16:04:54.925768Z</t>
        </is>
      </c>
      <c r="BI89" s="24" t="inlineStr">
        <is>
          <t>["same_event","same_team_same_day","same_league_same_day"]</t>
        </is>
      </c>
      <c r="BJ89" s="25" t="n"/>
      <c r="BK89" s="26" t="n">
        <v>156</v>
      </c>
      <c r="BL89" s="27" t="n">
        <v>2.56</v>
      </c>
      <c r="BM89" s="28" t="n">
        <v>0.390625</v>
      </c>
      <c r="BN89" s="28" t="n"/>
      <c r="BO89" s="28" t="n"/>
      <c r="BP89" s="25" t="n"/>
      <c r="BQ89" s="27" t="n">
        <v>2.56</v>
      </c>
      <c r="BR89" s="28" t="n">
        <v>0.39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-1</v>
      </c>
      <c r="BZ89" s="24" t="inlineStr">
        <is>
          <t>2026-08-31T04:32:30.615928Z</t>
        </is>
      </c>
      <c r="CA89" s="31" t="inlineStr">
        <is>
          <t>fixed one-unit hypothetical scoring; no real exposure or execution</t>
        </is>
      </c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0.390625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92a462688db44f81</t>
        </is>
      </c>
      <c r="B90" s="24" t="inlineStr">
        <is>
          <t>2026-08-30T16:06:27.993415Z</t>
        </is>
      </c>
      <c r="C90" s="24" t="inlineStr">
        <is>
          <t>2026-08-30T18:30Z</t>
        </is>
      </c>
      <c r="D90" s="24" t="inlineStr">
        <is>
          <t>401844093</t>
        </is>
      </c>
      <c r="E90" s="24" t="inlineStr">
        <is>
          <t>SOCCER</t>
        </is>
      </c>
      <c r="F90" s="24" t="inlineStr">
        <is>
          <t>Almagro</t>
        </is>
      </c>
      <c r="G90" s="24" t="inlineStr">
        <is>
          <t>Patronato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-144</v>
      </c>
      <c r="M90" s="27" t="n">
        <v>1.694444</v>
      </c>
      <c r="N90" s="28" t="n">
        <v>0.590164</v>
      </c>
      <c r="O90" s="28" t="n">
        <v>0.456135</v>
      </c>
      <c r="P90" s="28" t="n">
        <v>0.2</v>
      </c>
      <c r="Q90" s="28" t="n">
        <v>-0.134029</v>
      </c>
      <c r="R90" s="26" t="n">
        <v>0</v>
      </c>
      <c r="S90" s="29" t="n">
        <v>1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-144</v>
      </c>
      <c r="AA90" s="28" t="n">
        <v>0.59</v>
      </c>
      <c r="AB90" s="28" t="n">
        <v>-0.000164</v>
      </c>
      <c r="AC90" s="30" t="n">
        <v>-1</v>
      </c>
      <c r="AD90" s="24" t="inlineStr">
        <is>
          <t>2026-08-31T04:32:31.934307Z</t>
        </is>
      </c>
      <c r="AE90" s="31" t="inlineStr">
        <is>
          <t>Poisson-DC rates 1.64 (home) / 1.24 (away) from EWMA attack/defense strengths. Executable ask 0.5900 (atc-arg2-cap-alm-2026-08-29-cap).</t>
        </is>
      </c>
      <c r="AF90" s="31" t="inlineStr">
        <is>
          <t>Research-only soccer score model; draw-aware, but not yet locked-holdout qualified.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Almagro</t>
        </is>
      </c>
      <c r="AQ90" s="24" t="inlineStr">
        <is>
          <t>Almagro</t>
        </is>
      </c>
      <c r="AR90" s="24" t="inlineStr">
        <is>
          <t>Almagro</t>
        </is>
      </c>
      <c r="AS90" s="24" t="inlineStr">
        <is>
          <t>Patronato</t>
        </is>
      </c>
      <c r="AT90" s="24" t="inlineStr">
        <is>
          <t>Patronato</t>
        </is>
      </c>
      <c r="AU90" s="24" t="inlineStr">
        <is>
          <t>Patronato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f585a7f3cb7ee04f9a319a60fa601ef15e86636fadaaa8c1380ac0f28f75c58a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f585a7f3cb7ee04f9a319a60fa601ef15e86636fadaaa8c1380ac0f28f75c58a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f585a7f3cb7ee04f9a319a60fa601ef15e86636fadaaa8c1380ac0f28f75c58a</t>
        </is>
      </c>
      <c r="BH90" s="24" t="inlineStr">
        <is>
          <t>2026-08-30T16:04:54.890180Z</t>
        </is>
      </c>
      <c r="BI90" s="24" t="inlineStr">
        <is>
          <t>["same_event","same_team_same_day","same_league_same_day"]</t>
        </is>
      </c>
      <c r="BJ90" s="25" t="n"/>
      <c r="BK90" s="26" t="n">
        <v>-144</v>
      </c>
      <c r="BL90" s="27" t="n">
        <v>1.694444</v>
      </c>
      <c r="BM90" s="28" t="n">
        <v>0.590164</v>
      </c>
      <c r="BN90" s="28" t="n"/>
      <c r="BO90" s="28" t="n"/>
      <c r="BP90" s="25" t="n"/>
      <c r="BQ90" s="27" t="n">
        <v>1.694444</v>
      </c>
      <c r="BR90" s="28" t="n">
        <v>0.59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-1</v>
      </c>
      <c r="BZ90" s="24" t="inlineStr">
        <is>
          <t>2026-08-31T04:32:31.934307Z</t>
        </is>
      </c>
      <c r="CA90" s="31" t="inlineStr">
        <is>
          <t>fixed one-unit hypothetical scoring; no real exposure or execution</t>
        </is>
      </c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0.590164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c78cf8a26645459f</t>
        </is>
      </c>
      <c r="B91" s="24" t="inlineStr">
        <is>
          <t>2026-08-30T16:06:27.993415Z</t>
        </is>
      </c>
      <c r="C91" s="24" t="inlineStr">
        <is>
          <t>2026-08-30T22:00Z</t>
        </is>
      </c>
      <c r="D91" s="24" t="inlineStr">
        <is>
          <t>401844092</t>
        </is>
      </c>
      <c r="E91" s="24" t="inlineStr">
        <is>
          <t>SOCCER</t>
        </is>
      </c>
      <c r="F91" s="24" t="inlineStr">
        <is>
          <t>Temperley</t>
        </is>
      </c>
      <c r="G91" s="24" t="inlineStr">
        <is>
          <t>Quilmes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104</v>
      </c>
      <c r="M91" s="27" t="n">
        <v>2.04</v>
      </c>
      <c r="N91" s="28" t="n">
        <v>0.490196</v>
      </c>
      <c r="O91" s="28" t="n">
        <v>0.440521</v>
      </c>
      <c r="P91" s="28" t="n">
        <v>0.2</v>
      </c>
      <c r="Q91" s="28" t="n">
        <v>-0.049675</v>
      </c>
      <c r="R91" s="26" t="n">
        <v>0</v>
      </c>
      <c r="S91" s="29" t="n">
        <v>1</v>
      </c>
      <c r="T91" s="24" t="inlineStr">
        <is>
          <t>soccer-poisson-dc-v1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104</v>
      </c>
      <c r="AA91" s="28" t="n">
        <v>0.49</v>
      </c>
      <c r="AB91" s="28" t="n">
        <v>-0.000196</v>
      </c>
      <c r="AC91" s="30" t="n">
        <v>-1</v>
      </c>
      <c r="AD91" s="24" t="inlineStr">
        <is>
          <t>2026-08-31T04:32:33.254069Z</t>
        </is>
      </c>
      <c r="AE91" s="31" t="inlineStr">
        <is>
          <t>Poisson-DC rates 1.46 (home) / 1.10 (away) from EWMA attack/defense strengths. Executable ask 0.4900 (atc-arg2-qui-cat-2026-08-29-qui).</t>
        </is>
      </c>
      <c r="AF91" s="31" t="inlineStr">
        <is>
          <t>Research-only soccer score model; draw-aware, but not yet locked-holdout qualified.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PAPER_CALL_MODEL_UNVALIDATED</t>
        </is>
      </c>
      <c r="AP91" s="24" t="inlineStr">
        <is>
          <t>Temperley</t>
        </is>
      </c>
      <c r="AQ91" s="24" t="inlineStr">
        <is>
          <t>Temperley</t>
        </is>
      </c>
      <c r="AR91" s="24" t="inlineStr">
        <is>
          <t>Temperley</t>
        </is>
      </c>
      <c r="AS91" s="24" t="inlineStr">
        <is>
          <t>Quilmes</t>
        </is>
      </c>
      <c r="AT91" s="24" t="inlineStr">
        <is>
          <t>Quilmes</t>
        </is>
      </c>
      <c r="AU91" s="24" t="inlineStr">
        <is>
          <t>Quilmes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f585a7f3cb7ee04f9a319a60fa601ef15e86636fadaaa8c1380ac0f28f75c58a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f585a7f3cb7ee04f9a319a60fa601ef15e86636fadaaa8c1380ac0f28f75c58a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f585a7f3cb7ee04f9a319a60fa601ef15e86636fadaaa8c1380ac0f28f75c58a</t>
        </is>
      </c>
      <c r="BH91" s="24" t="inlineStr">
        <is>
          <t>2026-08-30T16:04:54.964123Z</t>
        </is>
      </c>
      <c r="BI91" s="24" t="inlineStr">
        <is>
          <t>["same_event","same_team_same_day","same_league_same_day"]</t>
        </is>
      </c>
      <c r="BJ91" s="25" t="n"/>
      <c r="BK91" s="26" t="n">
        <v>104</v>
      </c>
      <c r="BL91" s="27" t="n">
        <v>2.04</v>
      </c>
      <c r="BM91" s="28" t="n">
        <v>0.490196</v>
      </c>
      <c r="BN91" s="28" t="n"/>
      <c r="BO91" s="28" t="n"/>
      <c r="BP91" s="25" t="n"/>
      <c r="BQ91" s="27" t="n">
        <v>2.04</v>
      </c>
      <c r="BR91" s="28" t="n">
        <v>0.49</v>
      </c>
      <c r="BS91" s="28" t="n"/>
      <c r="BT91" s="28" t="n"/>
      <c r="BU91" s="25" t="n"/>
      <c r="BV91" s="29" t="n"/>
      <c r="BW91" s="24" t="n"/>
      <c r="BX91" s="30" t="n">
        <v>1</v>
      </c>
      <c r="BY91" s="27" t="n">
        <v>-1</v>
      </c>
      <c r="BZ91" s="24" t="inlineStr">
        <is>
          <t>2026-08-31T04:32:33.254069Z</t>
        </is>
      </c>
      <c r="CA91" s="31" t="inlineStr">
        <is>
          <t>fixed one-unit hypothetical scoring; no real exposure or execution</t>
        </is>
      </c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0.490196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f1d5a6eff5b04579</t>
        </is>
      </c>
      <c r="B92" s="24" t="inlineStr">
        <is>
          <t>2026-08-30T16:06:27.993415Z</t>
        </is>
      </c>
      <c r="C92" s="24" t="inlineStr">
        <is>
          <t>2026-08-30T23:15Z</t>
        </is>
      </c>
      <c r="D92" s="24" t="inlineStr">
        <is>
          <t>401878042</t>
        </is>
      </c>
      <c r="E92" s="24" t="inlineStr">
        <is>
          <t>SOCCER</t>
        </is>
      </c>
      <c r="F92" s="24" t="inlineStr">
        <is>
          <t>Internacional de Bogotá</t>
        </is>
      </c>
      <c r="G92" s="24" t="inlineStr">
        <is>
          <t>Millonarios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-194</v>
      </c>
      <c r="M92" s="27" t="n">
        <v>1.515464</v>
      </c>
      <c r="N92" s="28" t="n">
        <v>0.659864</v>
      </c>
      <c r="O92" s="28" t="n">
        <v>0.440521</v>
      </c>
      <c r="P92" s="28" t="n">
        <v>0.2</v>
      </c>
      <c r="Q92" s="28" t="n">
        <v>-0.219343</v>
      </c>
      <c r="R92" s="26" t="n">
        <v>0</v>
      </c>
      <c r="S92" s="29" t="n">
        <v>1</v>
      </c>
      <c r="T92" s="24" t="inlineStr">
        <is>
          <t>soccer-poisson-dc-v1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0</v>
      </c>
      <c r="Y92" s="25" t="n"/>
      <c r="Z92" s="26" t="n">
        <v>-194</v>
      </c>
      <c r="AA92" s="28" t="n">
        <v>0.66</v>
      </c>
      <c r="AB92" s="28" t="n">
        <v>0.000136</v>
      </c>
      <c r="AC92" s="30" t="n">
        <v>-1</v>
      </c>
      <c r="AD92" s="24" t="inlineStr">
        <is>
          <t>2026-08-31T04:32:34.617118Z</t>
        </is>
      </c>
      <c r="AE92" s="31" t="inlineStr">
        <is>
          <t>Poisson-DC rates 1.46 (home) / 1.10 (away) from EWMA attack/defense strengths. Executable ask 0.6600 (atc-lco-mil-leq-2026-08-30-mil).</t>
        </is>
      </c>
      <c r="AF92" s="31" t="inlineStr">
        <is>
          <t>Research-only soccer score model; draw-aware, but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Internacional de Bogotá</t>
        </is>
      </c>
      <c r="AQ92" s="24" t="inlineStr">
        <is>
          <t>Internacional de Bogotá</t>
        </is>
      </c>
      <c r="AR92" s="24" t="inlineStr">
        <is>
          <t>Internacional de Bogotá</t>
        </is>
      </c>
      <c r="AS92" s="24" t="inlineStr">
        <is>
          <t>Millonarios</t>
        </is>
      </c>
      <c r="AT92" s="24" t="inlineStr">
        <is>
          <t>Millonarios</t>
        </is>
      </c>
      <c r="AU92" s="24" t="inlineStr">
        <is>
          <t>Millonarios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f585a7f3cb7ee04f9a319a60fa601ef15e86636fadaaa8c1380ac0f28f75c58a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f585a7f3cb7ee04f9a319a60fa601ef15e86636fadaaa8c1380ac0f28f75c58a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f585a7f3cb7ee04f9a319a60fa601ef15e86636fadaaa8c1380ac0f28f75c58a</t>
        </is>
      </c>
      <c r="BH92" s="24" t="inlineStr">
        <is>
          <t>2026-08-30T16:04:55.019325Z</t>
        </is>
      </c>
      <c r="BI92" s="24" t="inlineStr">
        <is>
          <t>["same_event","same_team_same_day","same_league_same_day"]</t>
        </is>
      </c>
      <c r="BJ92" s="25" t="n"/>
      <c r="BK92" s="26" t="n">
        <v>-194</v>
      </c>
      <c r="BL92" s="27" t="n">
        <v>1.515464</v>
      </c>
      <c r="BM92" s="28" t="n">
        <v>0.659864</v>
      </c>
      <c r="BN92" s="28" t="n"/>
      <c r="BO92" s="28" t="n"/>
      <c r="BP92" s="25" t="n"/>
      <c r="BQ92" s="27" t="n">
        <v>1.515464</v>
      </c>
      <c r="BR92" s="28" t="n">
        <v>0.66</v>
      </c>
      <c r="BS92" s="28" t="n"/>
      <c r="BT92" s="28" t="n"/>
      <c r="BU92" s="25" t="n"/>
      <c r="BV92" s="29" t="n"/>
      <c r="BW92" s="24" t="n"/>
      <c r="BX92" s="30" t="n">
        <v>1</v>
      </c>
      <c r="BY92" s="27" t="n">
        <v>-1</v>
      </c>
      <c r="BZ92" s="24" t="inlineStr">
        <is>
          <t>2026-08-31T04:32:34.617118Z</t>
        </is>
      </c>
      <c r="CA92" s="31" t="inlineStr">
        <is>
          <t>fixed one-unit hypothetical scoring; no real exposure or execution</t>
        </is>
      </c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0.659864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2285d930c070444b</t>
        </is>
      </c>
      <c r="B93" s="24" t="inlineStr">
        <is>
          <t>2026-08-30T16:06:27.993415Z</t>
        </is>
      </c>
      <c r="C93" s="24" t="inlineStr">
        <is>
          <t>2026-08-30T21:30Z</t>
        </is>
      </c>
      <c r="D93" s="24" t="inlineStr">
        <is>
          <t>401850642</t>
        </is>
      </c>
      <c r="E93" s="24" t="inlineStr">
        <is>
          <t>SOCCER</t>
        </is>
      </c>
      <c r="F93" s="24" t="inlineStr">
        <is>
          <t>Audax Italiano</t>
        </is>
      </c>
      <c r="G93" s="24" t="inlineStr">
        <is>
          <t>Colo Colo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-203</v>
      </c>
      <c r="M93" s="27" t="n">
        <v>1.492611</v>
      </c>
      <c r="N93" s="28" t="n">
        <v>0.669967</v>
      </c>
      <c r="O93" s="28" t="n">
        <v>0.500109</v>
      </c>
      <c r="P93" s="28" t="n">
        <v>0.19</v>
      </c>
      <c r="Q93" s="28" t="n">
        <v>-0.169858</v>
      </c>
      <c r="R93" s="26" t="n">
        <v>0</v>
      </c>
      <c r="S93" s="29" t="n">
        <v>1</v>
      </c>
      <c r="T93" s="24" t="inlineStr">
        <is>
          <t>soccer-poisson-dc-v1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5</v>
      </c>
      <c r="Y93" s="25" t="n"/>
      <c r="Z93" s="26" t="n">
        <v>-203</v>
      </c>
      <c r="AA93" s="28" t="n">
        <v>0.67</v>
      </c>
      <c r="AB93" s="28" t="n">
        <v>3.3e-05</v>
      </c>
      <c r="AC93" s="30" t="n">
        <v>0.4926</v>
      </c>
      <c r="AD93" s="24" t="inlineStr">
        <is>
          <t>2026-08-31T04:32:35.927117Z</t>
        </is>
      </c>
      <c r="AE93" s="31" t="inlineStr">
        <is>
          <t>Poisson-DC rates 1.66 (home) / 1.07 (away) from EWMA attack/defense strengths. Executable ask 0.6700 (atc-pdc-col-aud-2026-08-30-col).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PAPER_CALL_MODEL_UNVALIDATED</t>
        </is>
      </c>
      <c r="AP93" s="24" t="inlineStr">
        <is>
          <t>Audax Italiano</t>
        </is>
      </c>
      <c r="AQ93" s="24" t="inlineStr">
        <is>
          <t>Audax Italiano</t>
        </is>
      </c>
      <c r="AR93" s="24" t="inlineStr">
        <is>
          <t>Audax Italiano</t>
        </is>
      </c>
      <c r="AS93" s="24" t="inlineStr">
        <is>
          <t>Colo Colo</t>
        </is>
      </c>
      <c r="AT93" s="24" t="inlineStr">
        <is>
          <t>Colo Colo</t>
        </is>
      </c>
      <c r="AU93" s="24" t="inlineStr">
        <is>
          <t>Colo Colo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f585a7f3cb7ee04f9a319a60fa601ef15e86636fadaaa8c1380ac0f28f75c58a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f585a7f3cb7ee04f9a319a60fa601ef15e86636fadaaa8c1380ac0f28f75c58a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f585a7f3cb7ee04f9a319a60fa601ef15e86636fadaaa8c1380ac0f28f75c58a</t>
        </is>
      </c>
      <c r="BH93" s="24" t="inlineStr">
        <is>
          <t>2026-08-30T16:04:55.056083Z</t>
        </is>
      </c>
      <c r="BI93" s="24" t="inlineStr">
        <is>
          <t>["same_event","same_team_same_day","same_league_same_day"]</t>
        </is>
      </c>
      <c r="BJ93" s="25" t="n"/>
      <c r="BK93" s="26" t="n">
        <v>-203</v>
      </c>
      <c r="BL93" s="27" t="n">
        <v>1.492611</v>
      </c>
      <c r="BM93" s="28" t="n">
        <v>0.669967</v>
      </c>
      <c r="BN93" s="28" t="n"/>
      <c r="BO93" s="28" t="n"/>
      <c r="BP93" s="25" t="n"/>
      <c r="BQ93" s="27" t="n">
        <v>1.492611</v>
      </c>
      <c r="BR93" s="28" t="n">
        <v>0.67</v>
      </c>
      <c r="BS93" s="28" t="n"/>
      <c r="BT93" s="28" t="n"/>
      <c r="BU93" s="25" t="n"/>
      <c r="BV93" s="29" t="n"/>
      <c r="BW93" s="24" t="n"/>
      <c r="BX93" s="30" t="n">
        <v>1</v>
      </c>
      <c r="BY93" s="27" t="n">
        <v>0.492611</v>
      </c>
      <c r="BZ93" s="24" t="inlineStr">
        <is>
          <t>2026-08-31T04:32:35.927117Z</t>
        </is>
      </c>
      <c r="CA93" s="31" t="inlineStr">
        <is>
          <t>fixed one-unit hypothetical scoring; no real exposure or execution</t>
        </is>
      </c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0.669967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6bade01ad70546b9</t>
        </is>
      </c>
      <c r="B94" s="24" t="inlineStr">
        <is>
          <t>2026-08-30T16:06:27.993415Z</t>
        </is>
      </c>
      <c r="C94" s="24" t="inlineStr">
        <is>
          <t>2026-08-31T00:00Z</t>
        </is>
      </c>
      <c r="D94" s="24" t="inlineStr">
        <is>
          <t>401850641</t>
        </is>
      </c>
      <c r="E94" s="24" t="inlineStr">
        <is>
          <t>SOCCER</t>
        </is>
      </c>
      <c r="F94" s="24" t="inlineStr">
        <is>
          <t>Huachipato</t>
        </is>
      </c>
      <c r="G94" s="24" t="inlineStr">
        <is>
          <t>Coquimbo Unido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-203</v>
      </c>
      <c r="M94" s="27" t="n">
        <v>1.492611</v>
      </c>
      <c r="N94" s="28" t="n">
        <v>0.669967</v>
      </c>
      <c r="O94" s="28" t="n">
        <v>0.418807</v>
      </c>
      <c r="P94" s="28" t="n">
        <v>0.2</v>
      </c>
      <c r="Q94" s="28" t="n">
        <v>-0.25116</v>
      </c>
      <c r="R94" s="26" t="n">
        <v>0</v>
      </c>
      <c r="S94" s="29" t="n">
        <v>1</v>
      </c>
      <c r="T94" s="24" t="inlineStr">
        <is>
          <t>soccer-poisson-dc-v1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-203</v>
      </c>
      <c r="AA94" s="28" t="n">
        <v>0.67</v>
      </c>
      <c r="AB94" s="28" t="n">
        <v>3.3e-05</v>
      </c>
      <c r="AC94" s="30" t="n">
        <v>-1</v>
      </c>
      <c r="AD94" s="24" t="inlineStr">
        <is>
          <t>2026-09-17T04:30:13.533838Z</t>
        </is>
      </c>
      <c r="AE94" s="31" t="inlineStr">
        <is>
          <t>Poisson-DC rates 1.46 (home) / 1.20 (away) from EWMA attack/defense strengths. Executable ask 0.6700 (atc-pdc-coq-hua-2026-08-30-coq).</t>
        </is>
      </c>
      <c r="AF94" s="31" t="inlineStr">
        <is>
          <t>Research-only soccer score model; draw-aware, but not yet locked-holdout qualified.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Huachipato</t>
        </is>
      </c>
      <c r="AQ94" s="24" t="inlineStr">
        <is>
          <t>Huachipato</t>
        </is>
      </c>
      <c r="AR94" s="24" t="inlineStr">
        <is>
          <t>Huachipato</t>
        </is>
      </c>
      <c r="AS94" s="24" t="inlineStr">
        <is>
          <t>Coquimbo Unido</t>
        </is>
      </c>
      <c r="AT94" s="24" t="inlineStr">
        <is>
          <t>Coquimbo Unido</t>
        </is>
      </c>
      <c r="AU94" s="24" t="inlineStr">
        <is>
          <t>Coquimbo Unido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f585a7f3cb7ee04f9a319a60fa601ef15e86636fadaaa8c1380ac0f28f75c58a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f585a7f3cb7ee04f9a319a60fa601ef15e86636fadaaa8c1380ac0f28f75c58a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f585a7f3cb7ee04f9a319a60fa601ef15e86636fadaaa8c1380ac0f28f75c58a</t>
        </is>
      </c>
      <c r="BH94" s="24" t="inlineStr">
        <is>
          <t>2026-08-30T16:04:55.102019Z</t>
        </is>
      </c>
      <c r="BI94" s="24" t="inlineStr">
        <is>
          <t>["same_event","same_team_same_day","same_league_same_day"]</t>
        </is>
      </c>
      <c r="BJ94" s="25" t="n"/>
      <c r="BK94" s="26" t="n">
        <v>-203</v>
      </c>
      <c r="BL94" s="27" t="n">
        <v>1.492611</v>
      </c>
      <c r="BM94" s="28" t="n">
        <v>0.669967</v>
      </c>
      <c r="BN94" s="28" t="n"/>
      <c r="BO94" s="28" t="n"/>
      <c r="BP94" s="25" t="n"/>
      <c r="BQ94" s="27" t="n">
        <v>1.492611</v>
      </c>
      <c r="BR94" s="28" t="n">
        <v>0.67</v>
      </c>
      <c r="BS94" s="28" t="n"/>
      <c r="BT94" s="28" t="n"/>
      <c r="BU94" s="25" t="n"/>
      <c r="BV94" s="29" t="n"/>
      <c r="BW94" s="24" t="n"/>
      <c r="BX94" s="30" t="n">
        <v>1</v>
      </c>
      <c r="BY94" s="27" t="n">
        <v>-1</v>
      </c>
      <c r="BZ94" s="24" t="inlineStr">
        <is>
          <t>2026-09-17T04:30:13.533838Z</t>
        </is>
      </c>
      <c r="CA94" s="31" t="inlineStr">
        <is>
          <t>fixed one-unit hypothetical scoring; no real exposure or execution</t>
        </is>
      </c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0.669967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0d6ead09933244f5</t>
        </is>
      </c>
      <c r="B95" s="24" t="inlineStr">
        <is>
          <t>2026-08-30T16:06:27.993415Z</t>
        </is>
      </c>
      <c r="C95" s="24" t="inlineStr">
        <is>
          <t>2026-08-30T22:00Z</t>
        </is>
      </c>
      <c r="D95" s="24" t="inlineStr">
        <is>
          <t>401912468</t>
        </is>
      </c>
      <c r="E95" s="24" t="inlineStr">
        <is>
          <t>SOCCER</t>
        </is>
      </c>
      <c r="F95" s="24" t="inlineStr">
        <is>
          <t>Liverpool</t>
        </is>
      </c>
      <c r="G95" s="24" t="inlineStr">
        <is>
          <t>Cerro Largo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270</v>
      </c>
      <c r="M95" s="27" t="n">
        <v>3.7</v>
      </c>
      <c r="N95" s="28" t="n">
        <v>0.27027</v>
      </c>
      <c r="O95" s="28" t="n">
        <v>0.40517</v>
      </c>
      <c r="P95" s="28" t="n">
        <v>0.2</v>
      </c>
      <c r="Q95" s="28" t="n">
        <v>0.1349</v>
      </c>
      <c r="R95" s="26" t="n">
        <v>0</v>
      </c>
      <c r="S95" s="29" t="n">
        <v>1</v>
      </c>
      <c r="T95" s="24" t="inlineStr">
        <is>
          <t>soccer-poisson-dc-v1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1</v>
      </c>
      <c r="Y95" s="25" t="n"/>
      <c r="Z95" s="26" t="n">
        <v>270</v>
      </c>
      <c r="AA95" s="28" t="n">
        <v>0.27</v>
      </c>
      <c r="AB95" s="28" t="n">
        <v>-0.00027</v>
      </c>
      <c r="AC95" s="30" t="n">
        <v>-1</v>
      </c>
      <c r="AD95" s="24" t="inlineStr">
        <is>
          <t>2026-08-31T04:32:37.274221Z</t>
        </is>
      </c>
      <c r="AE95" s="31" t="inlineStr">
        <is>
          <t>Poisson-DC rates 1.62 (home) / 1.46 (away) from EWMA attack/defense strengths. Executable ask 0.2700 (atc-uru1-cla-liv-2026-08-30-cla).</t>
        </is>
      </c>
      <c r="AF95" s="31" t="inlineStr">
        <is>
          <t>Research-only soccer score model; draw-aware, but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PAPER_CALL_MODEL_UNVALIDATED</t>
        </is>
      </c>
      <c r="AP95" s="24" t="inlineStr">
        <is>
          <t>Liverpool</t>
        </is>
      </c>
      <c r="AQ95" s="24" t="inlineStr">
        <is>
          <t>Liverpool</t>
        </is>
      </c>
      <c r="AR95" s="24" t="inlineStr">
        <is>
          <t>Liverpool</t>
        </is>
      </c>
      <c r="AS95" s="24" t="inlineStr">
        <is>
          <t>Cerro Largo</t>
        </is>
      </c>
      <c r="AT95" s="24" t="inlineStr">
        <is>
          <t>Cerro Largo</t>
        </is>
      </c>
      <c r="AU95" s="24" t="inlineStr">
        <is>
          <t>Cerro Largo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f585a7f3cb7ee04f9a319a60fa601ef15e86636fadaaa8c1380ac0f28f75c58a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f585a7f3cb7ee04f9a319a60fa601ef15e86636fadaaa8c1380ac0f28f75c58a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f585a7f3cb7ee04f9a319a60fa601ef15e86636fadaaa8c1380ac0f28f75c58a</t>
        </is>
      </c>
      <c r="BH95" s="24" t="inlineStr">
        <is>
          <t>2026-08-30T16:04:55.100271Z</t>
        </is>
      </c>
      <c r="BI95" s="24" t="inlineStr">
        <is>
          <t>["same_event","same_team_same_day","same_league_same_day"]</t>
        </is>
      </c>
      <c r="BJ95" s="25" t="n"/>
      <c r="BK95" s="26" t="n">
        <v>270</v>
      </c>
      <c r="BL95" s="27" t="n">
        <v>3.7</v>
      </c>
      <c r="BM95" s="28" t="n">
        <v>0.27027</v>
      </c>
      <c r="BN95" s="28" t="n"/>
      <c r="BO95" s="28" t="n"/>
      <c r="BP95" s="25" t="n"/>
      <c r="BQ95" s="27" t="n">
        <v>3.7</v>
      </c>
      <c r="BR95" s="28" t="n">
        <v>0.27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inlineStr">
        <is>
          <t>2026-08-31T04:32:37.274221Z</t>
        </is>
      </c>
      <c r="CA95" s="31" t="inlineStr">
        <is>
          <t>fixed one-unit hypothetical scoring; no real exposure or execution</t>
        </is>
      </c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0.27027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33dab291facf4ae8</t>
        </is>
      </c>
      <c r="B96" s="24" t="inlineStr">
        <is>
          <t>2026-08-30T16:06:27.993415Z</t>
        </is>
      </c>
      <c r="C96" s="24" t="inlineStr">
        <is>
          <t>2026-08-30T20:30Z</t>
        </is>
      </c>
      <c r="D96" s="24" t="inlineStr">
        <is>
          <t>401859672</t>
        </is>
      </c>
      <c r="E96" s="24" t="inlineStr">
        <is>
          <t>SOCCER</t>
        </is>
      </c>
      <c r="F96" s="24" t="inlineStr">
        <is>
          <t>Macará</t>
        </is>
      </c>
      <c r="G96" s="24" t="inlineStr">
        <is>
          <t>Orense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133</v>
      </c>
      <c r="M96" s="27" t="n">
        <v>2.33</v>
      </c>
      <c r="N96" s="28" t="n">
        <v>0.429185</v>
      </c>
      <c r="O96" s="28" t="n">
        <v>0.398039</v>
      </c>
      <c r="P96" s="28" t="n">
        <v>0.2</v>
      </c>
      <c r="Q96" s="28" t="n">
        <v>-0.031146</v>
      </c>
      <c r="R96" s="26" t="n">
        <v>0</v>
      </c>
      <c r="S96" s="29" t="n">
        <v>1</v>
      </c>
      <c r="T96" s="24" t="inlineStr">
        <is>
          <t>soccer-poisson-dc-v1</t>
        </is>
      </c>
      <c r="U96" s="24" t="inlineStr">
        <is>
          <t>settled</t>
        </is>
      </c>
      <c r="V96" s="24" t="inlineStr">
        <is>
          <t>loss</t>
        </is>
      </c>
      <c r="W96" s="26" t="n">
        <v>2</v>
      </c>
      <c r="X96" s="26" t="n">
        <v>1</v>
      </c>
      <c r="Y96" s="25" t="n"/>
      <c r="Z96" s="26" t="n">
        <v>133</v>
      </c>
      <c r="AA96" s="28" t="n">
        <v>0.43</v>
      </c>
      <c r="AB96" s="28" t="n">
        <v>0.000815</v>
      </c>
      <c r="AC96" s="30" t="n">
        <v>-1</v>
      </c>
      <c r="AD96" s="24" t="inlineStr">
        <is>
          <t>2026-08-31T04:32:38.581803Z</t>
        </is>
      </c>
      <c r="AE96" s="31" t="inlineStr">
        <is>
          <t>Poisson-DC rates 1.46 (home) / 1.30 (away) from EWMA attack/defense strengths. Executable ask 0.4300 (atc-ecu1-ore-mac-2026-08-30-ore).</t>
        </is>
      </c>
      <c r="AF96" s="31" t="inlineStr">
        <is>
          <t>Research-only soccer score model; draw-aware, but not yet locked-holdout qualified.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Macará</t>
        </is>
      </c>
      <c r="AQ96" s="24" t="inlineStr">
        <is>
          <t>Macará</t>
        </is>
      </c>
      <c r="AR96" s="24" t="inlineStr">
        <is>
          <t>Macará</t>
        </is>
      </c>
      <c r="AS96" s="24" t="inlineStr">
        <is>
          <t>Orense</t>
        </is>
      </c>
      <c r="AT96" s="24" t="inlineStr">
        <is>
          <t>Orense</t>
        </is>
      </c>
      <c r="AU96" s="24" t="inlineStr">
        <is>
          <t>Orense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f585a7f3cb7ee04f9a319a60fa601ef15e86636fadaaa8c1380ac0f28f75c58a</t>
        </is>
      </c>
      <c r="BB96" s="24" t="inlineStr">
        <is>
          <t>poisson_dixon_coles</t>
        </is>
      </c>
      <c r="BC96" s="24" t="inlineStr">
        <is>
          <t>soccer-poisson-dc-v1</t>
        </is>
      </c>
      <c r="BD96" s="24" t="inlineStr">
        <is>
          <t>f585a7f3cb7ee04f9a319a60fa601ef15e86636fadaaa8c1380ac0f28f75c58a</t>
        </is>
      </c>
      <c r="BE96" s="24" t="inlineStr">
        <is>
          <t>soccer-poisson-dc-v1</t>
        </is>
      </c>
      <c r="BF96" s="24" t="inlineStr">
        <is>
          <t>1</t>
        </is>
      </c>
      <c r="BG96" s="24" t="inlineStr">
        <is>
          <t>f585a7f3cb7ee04f9a319a60fa601ef15e86636fadaaa8c1380ac0f28f75c58a</t>
        </is>
      </c>
      <c r="BH96" s="24" t="inlineStr">
        <is>
          <t>2026-08-30T16:04:55.119017Z</t>
        </is>
      </c>
      <c r="BI96" s="24" t="inlineStr">
        <is>
          <t>["same_event","same_team_same_day","same_league_same_day"]</t>
        </is>
      </c>
      <c r="BJ96" s="25" t="n"/>
      <c r="BK96" s="26" t="n">
        <v>133</v>
      </c>
      <c r="BL96" s="27" t="n">
        <v>2.33</v>
      </c>
      <c r="BM96" s="28" t="n">
        <v>0.429185</v>
      </c>
      <c r="BN96" s="28" t="n"/>
      <c r="BO96" s="28" t="n"/>
      <c r="BP96" s="25" t="n"/>
      <c r="BQ96" s="27" t="n">
        <v>2.33</v>
      </c>
      <c r="BR96" s="28" t="n">
        <v>0.43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-1</v>
      </c>
      <c r="BZ96" s="24" t="inlineStr">
        <is>
          <t>2026-08-31T04:32:38.581803Z</t>
        </is>
      </c>
      <c r="CA96" s="31" t="inlineStr">
        <is>
          <t>fixed one-unit hypothetical scoring; no real exposure or execution</t>
        </is>
      </c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0.429185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bf79185a02954c50</t>
        </is>
      </c>
      <c r="B97" s="24" t="inlineStr">
        <is>
          <t>2026-08-30T16:06:27.993415Z</t>
        </is>
      </c>
      <c r="C97" s="24" t="inlineStr">
        <is>
          <t>2026-08-30T23:00Z</t>
        </is>
      </c>
      <c r="D97" s="24" t="inlineStr">
        <is>
          <t>401859722</t>
        </is>
      </c>
      <c r="E97" s="24" t="inlineStr">
        <is>
          <t>SOCCER</t>
        </is>
      </c>
      <c r="F97" s="24" t="inlineStr">
        <is>
          <t>Leones</t>
        </is>
      </c>
      <c r="G97" s="24" t="inlineStr">
        <is>
          <t>Emelec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-117</v>
      </c>
      <c r="M97" s="27" t="n">
        <v>1.854701</v>
      </c>
      <c r="N97" s="28" t="n">
        <v>0.539171</v>
      </c>
      <c r="O97" s="28" t="n">
        <v>0.418807</v>
      </c>
      <c r="P97" s="28" t="n">
        <v>0.2</v>
      </c>
      <c r="Q97" s="28" t="n">
        <v>-0.120364</v>
      </c>
      <c r="R97" s="26" t="n">
        <v>0</v>
      </c>
      <c r="S97" s="29" t="n">
        <v>1</v>
      </c>
      <c r="T97" s="24" t="inlineStr">
        <is>
          <t>soccer-poisson-dc-v1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2</v>
      </c>
      <c r="Y97" s="25" t="n"/>
      <c r="Z97" s="26" t="n">
        <v>-117</v>
      </c>
      <c r="AA97" s="28" t="n">
        <v>0.54</v>
      </c>
      <c r="AB97" s="28" t="n">
        <v>0.000829</v>
      </c>
      <c r="AC97" s="30" t="n">
        <v>0.8547</v>
      </c>
      <c r="AD97" s="24" t="inlineStr">
        <is>
          <t>2026-08-31T04:32:39.855462Z</t>
        </is>
      </c>
      <c r="AE97" s="31" t="inlineStr">
        <is>
          <t>Poisson-DC rates 1.46 (home) / 1.20 (away) from EWMA attack/defense strengths. Executable ask 0.5400 (atc-ecu1-cse-leo-2026-08-30-cse).</t>
        </is>
      </c>
      <c r="AF97" s="31" t="inlineStr">
        <is>
          <t>Research-only soccer score model; draw-aware, but not yet locked-holdout qualified.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Leones</t>
        </is>
      </c>
      <c r="AQ97" s="24" t="inlineStr">
        <is>
          <t>Leones</t>
        </is>
      </c>
      <c r="AR97" s="24" t="inlineStr">
        <is>
          <t>Leones</t>
        </is>
      </c>
      <c r="AS97" s="24" t="inlineStr">
        <is>
          <t>Emelec</t>
        </is>
      </c>
      <c r="AT97" s="24" t="inlineStr">
        <is>
          <t>Emelec</t>
        </is>
      </c>
      <c r="AU97" s="24" t="inlineStr">
        <is>
          <t>Emelec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f585a7f3cb7ee04f9a319a60fa601ef15e86636fadaaa8c1380ac0f28f75c58a</t>
        </is>
      </c>
      <c r="BB97" s="24" t="inlineStr">
        <is>
          <t>poisson_dixon_coles</t>
        </is>
      </c>
      <c r="BC97" s="24" t="inlineStr">
        <is>
          <t>soccer-poisson-dc-v1</t>
        </is>
      </c>
      <c r="BD97" s="24" t="inlineStr">
        <is>
          <t>f585a7f3cb7ee04f9a319a60fa601ef15e86636fadaaa8c1380ac0f28f75c58a</t>
        </is>
      </c>
      <c r="BE97" s="24" t="inlineStr">
        <is>
          <t>soccer-poisson-dc-v1</t>
        </is>
      </c>
      <c r="BF97" s="24" t="inlineStr">
        <is>
          <t>1</t>
        </is>
      </c>
      <c r="BG97" s="24" t="inlineStr">
        <is>
          <t>f585a7f3cb7ee04f9a319a60fa601ef15e86636fadaaa8c1380ac0f28f75c58a</t>
        </is>
      </c>
      <c r="BH97" s="24" t="inlineStr">
        <is>
          <t>2026-08-30T16:04:55.143995Z</t>
        </is>
      </c>
      <c r="BI97" s="24" t="inlineStr">
        <is>
          <t>["same_event","same_team_same_day","same_league_same_day"]</t>
        </is>
      </c>
      <c r="BJ97" s="25" t="n"/>
      <c r="BK97" s="26" t="n">
        <v>-117</v>
      </c>
      <c r="BL97" s="27" t="n">
        <v>1.854701</v>
      </c>
      <c r="BM97" s="28" t="n">
        <v>0.539171</v>
      </c>
      <c r="BN97" s="28" t="n"/>
      <c r="BO97" s="28" t="n"/>
      <c r="BP97" s="25" t="n"/>
      <c r="BQ97" s="27" t="n">
        <v>1.854701</v>
      </c>
      <c r="BR97" s="28" t="n">
        <v>0.54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0.854699</v>
      </c>
      <c r="BZ97" s="24" t="inlineStr">
        <is>
          <t>2026-08-31T04:32:39.855462Z</t>
        </is>
      </c>
      <c r="CA97" s="31" t="inlineStr">
        <is>
          <t>fixed one-unit hypothetical scoring; no real exposure or execution</t>
        </is>
      </c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0.539171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678a32fdde974e06</t>
        </is>
      </c>
      <c r="B98" s="24" t="inlineStr">
        <is>
          <t>2026-08-31T16:04:29.564490Z</t>
        </is>
      </c>
      <c r="C98" s="24" t="inlineStr">
        <is>
          <t>2026-08-31T19:00Z</t>
        </is>
      </c>
      <c r="D98" s="24" t="inlineStr">
        <is>
          <t>401879295</t>
        </is>
      </c>
      <c r="E98" s="24" t="inlineStr">
        <is>
          <t>SOCCER</t>
        </is>
      </c>
      <c r="F98" s="24" t="inlineStr">
        <is>
          <t>Arsenal</t>
        </is>
      </c>
      <c r="G98" s="24" t="inlineStr">
        <is>
          <t>Aston Villa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-186</v>
      </c>
      <c r="M98" s="27" t="n">
        <v>1.537634</v>
      </c>
      <c r="N98" s="28" t="n">
        <v>0.65035</v>
      </c>
      <c r="O98" s="28" t="n">
        <v>0.477067</v>
      </c>
      <c r="P98" s="28" t="n">
        <v>0.04</v>
      </c>
      <c r="Q98" s="28" t="n">
        <v>-0.173283</v>
      </c>
      <c r="R98" s="26" t="n">
        <v>0</v>
      </c>
      <c r="S98" s="29" t="n">
        <v>1</v>
      </c>
      <c r="T98" s="24" t="inlineStr">
        <is>
          <t>soccer-poisson-dc-v1</t>
        </is>
      </c>
      <c r="U98" s="24" t="inlineStr">
        <is>
          <t>settled</t>
        </is>
      </c>
      <c r="V98" s="24" t="inlineStr">
        <is>
          <t>win</t>
        </is>
      </c>
      <c r="W98" s="26" t="n">
        <v>1</v>
      </c>
      <c r="X98" s="26" t="n">
        <v>0</v>
      </c>
      <c r="Y98" s="25" t="n"/>
      <c r="Z98" s="26" t="n">
        <v>178</v>
      </c>
      <c r="AA98" s="28" t="n">
        <v>0.36</v>
      </c>
      <c r="AB98" s="28" t="n">
        <v>-0.29035</v>
      </c>
      <c r="AC98" s="30" t="n">
        <v>0.5376</v>
      </c>
      <c r="AD98" s="24" t="inlineStr">
        <is>
          <t>2026-09-01T04:32:16.372353Z</t>
        </is>
      </c>
      <c r="AE98" s="31" t="inlineStr">
        <is>
          <t>Poisson-DC rates 0.89 (home) / 1.40 (away) from EWMA attack/defense strengths. Executable ask 0.6500 (atc-epl-ast-ars-2026-08-31-ars).</t>
        </is>
      </c>
      <c r="AF98" s="31" t="inlineStr">
        <is>
          <t>Research-only soccer score model; draw-aware, but not yet locked-holdout qualified.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Arsenal</t>
        </is>
      </c>
      <c r="AQ98" s="24" t="inlineStr">
        <is>
          <t>Arsenal</t>
        </is>
      </c>
      <c r="AR98" s="24" t="inlineStr">
        <is>
          <t>Arsenal</t>
        </is>
      </c>
      <c r="AS98" s="24" t="inlineStr">
        <is>
          <t>Aston Villa</t>
        </is>
      </c>
      <c r="AT98" s="24" t="inlineStr">
        <is>
          <t>Aston Villa</t>
        </is>
      </c>
      <c r="AU98" s="24" t="inlineStr">
        <is>
          <t>Aston Villa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f585a7f3cb7ee04f9a319a60fa601ef15e86636fadaaa8c1380ac0f28f75c58a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f585a7f3cb7ee04f9a319a60fa601ef15e86636fadaaa8c1380ac0f28f75c58a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f585a7f3cb7ee04f9a319a60fa601ef15e86636fadaaa8c1380ac0f28f75c58a</t>
        </is>
      </c>
      <c r="BH98" s="24" t="inlineStr">
        <is>
          <t>2026-08-31T16:02:37.224135Z</t>
        </is>
      </c>
      <c r="BI98" s="24" t="inlineStr">
        <is>
          <t>["same_event","same_team_same_day","same_league_same_day"]</t>
        </is>
      </c>
      <c r="BJ98" s="25" t="n"/>
      <c r="BK98" s="26" t="n">
        <v>-186</v>
      </c>
      <c r="BL98" s="27" t="n">
        <v>1.537634</v>
      </c>
      <c r="BM98" s="28" t="n">
        <v>0.65035</v>
      </c>
      <c r="BN98" s="28" t="n"/>
      <c r="BO98" s="28" t="n"/>
      <c r="BP98" s="25" t="n"/>
      <c r="BQ98" s="27" t="n">
        <v>2.78</v>
      </c>
      <c r="BR98" s="28" t="n">
        <v>0.36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0.5376339999999999</v>
      </c>
      <c r="BZ98" s="24" t="inlineStr">
        <is>
          <t>2026-09-01T04:32:16.372353Z</t>
        </is>
      </c>
      <c r="CA98" s="31" t="inlineStr">
        <is>
          <t>fixed one-unit hypothetical scoring; no real exposure or execution</t>
        </is>
      </c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0.65035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d4ca505b786b4ce4</t>
        </is>
      </c>
      <c r="B99" s="24" t="inlineStr">
        <is>
          <t>2026-08-31T16:04:29.564490Z</t>
        </is>
      </c>
      <c r="C99" s="24" t="inlineStr">
        <is>
          <t>2026-08-31T17:30Z</t>
        </is>
      </c>
      <c r="D99" s="24" t="inlineStr">
        <is>
          <t>401882901</t>
        </is>
      </c>
      <c r="E99" s="24" t="inlineStr">
        <is>
          <t>SOCCER</t>
        </is>
      </c>
      <c r="F99" s="24" t="inlineStr">
        <is>
          <t>Getafe</t>
        </is>
      </c>
      <c r="G99" s="24" t="inlineStr">
        <is>
          <t>Osasuna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122</v>
      </c>
      <c r="M99" s="27" t="n">
        <v>2.22</v>
      </c>
      <c r="N99" s="28" t="n">
        <v>0.45045</v>
      </c>
      <c r="O99" s="28" t="n">
        <v>0.347128</v>
      </c>
      <c r="P99" s="28" t="n">
        <v>0.04</v>
      </c>
      <c r="Q99" s="28" t="n">
        <v>-0.103322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122</v>
      </c>
      <c r="AA99" s="28" t="n">
        <v>0.45</v>
      </c>
      <c r="AB99" s="28" t="n">
        <v>-0.00045</v>
      </c>
      <c r="AC99" s="30" t="n">
        <v>1.22</v>
      </c>
      <c r="AD99" s="24" t="inlineStr">
        <is>
          <t>2026-09-01T04:32:17.696658Z</t>
        </is>
      </c>
      <c r="AE99" s="31" t="inlineStr">
        <is>
          <t>Poisson-DC rates 0.90 (home) / 0.79 (away) from EWMA attack/defense strengths. Executable ask 0.4500 (atc-lal-osa-get-2026-08-31-osa).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Getafe</t>
        </is>
      </c>
      <c r="AQ99" s="24" t="inlineStr">
        <is>
          <t>Getafe</t>
        </is>
      </c>
      <c r="AR99" s="24" t="inlineStr">
        <is>
          <t>Getafe</t>
        </is>
      </c>
      <c r="AS99" s="24" t="inlineStr">
        <is>
          <t>Osasuna</t>
        </is>
      </c>
      <c r="AT99" s="24" t="inlineStr">
        <is>
          <t>Osasuna</t>
        </is>
      </c>
      <c r="AU99" s="24" t="inlineStr">
        <is>
          <t>Osasuna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f585a7f3cb7ee04f9a319a60fa601ef15e86636fadaaa8c1380ac0f28f75c58a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f585a7f3cb7ee04f9a319a60fa601ef15e86636fadaaa8c1380ac0f28f75c58a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f585a7f3cb7ee04f9a319a60fa601ef15e86636fadaaa8c1380ac0f28f75c58a</t>
        </is>
      </c>
      <c r="BH99" s="24" t="inlineStr">
        <is>
          <t>2026-08-31T16:02:37.349212Z</t>
        </is>
      </c>
      <c r="BI99" s="24" t="inlineStr">
        <is>
          <t>["same_event","same_team_same_day","same_league_same_day"]</t>
        </is>
      </c>
      <c r="BJ99" s="25" t="n"/>
      <c r="BK99" s="26" t="n">
        <v>122</v>
      </c>
      <c r="BL99" s="27" t="n">
        <v>2.22</v>
      </c>
      <c r="BM99" s="28" t="n">
        <v>0.45045</v>
      </c>
      <c r="BN99" s="28" t="n"/>
      <c r="BO99" s="28" t="n"/>
      <c r="BP99" s="25" t="n"/>
      <c r="BQ99" s="27" t="n">
        <v>2.22</v>
      </c>
      <c r="BR99" s="28" t="n">
        <v>0.45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1.220002</v>
      </c>
      <c r="BZ99" s="24" t="inlineStr">
        <is>
          <t>2026-09-01T04:32:17.696658Z</t>
        </is>
      </c>
      <c r="CA99" s="31" t="inlineStr">
        <is>
          <t>fixed one-unit hypothetical scoring; no real exposure or execution</t>
        </is>
      </c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0.45045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2a9a6935921146f4</t>
        </is>
      </c>
      <c r="B100" s="24" t="inlineStr">
        <is>
          <t>2026-08-31T16:04:29.564490Z</t>
        </is>
      </c>
      <c r="C100" s="24" t="inlineStr">
        <is>
          <t>2026-08-31T19:30Z</t>
        </is>
      </c>
      <c r="D100" s="24" t="inlineStr">
        <is>
          <t>401882903</t>
        </is>
      </c>
      <c r="E100" s="24" t="inlineStr">
        <is>
          <t>SOCCER</t>
        </is>
      </c>
      <c r="F100" s="24" t="inlineStr">
        <is>
          <t>Rayo Vallecano</t>
        </is>
      </c>
      <c r="G100" s="24" t="inlineStr">
        <is>
          <t>Barcelona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-900</v>
      </c>
      <c r="M100" s="27" t="n">
        <v>1.111111</v>
      </c>
      <c r="N100" s="28" t="n">
        <v>0.9</v>
      </c>
      <c r="O100" s="28" t="n">
        <v>0.627951</v>
      </c>
      <c r="P100" s="28" t="n">
        <v>0.04</v>
      </c>
      <c r="Q100" s="28" t="n">
        <v>-0.272049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settled</t>
        </is>
      </c>
      <c r="V100" s="24" t="inlineStr">
        <is>
          <t>win</t>
        </is>
      </c>
      <c r="W100" s="26" t="n">
        <v>2</v>
      </c>
      <c r="X100" s="26" t="n">
        <v>5</v>
      </c>
      <c r="Y100" s="25" t="n"/>
      <c r="Z100" s="26" t="n">
        <v>-900</v>
      </c>
      <c r="AA100" s="28" t="n">
        <v>0.9</v>
      </c>
      <c r="AB100" s="28" t="n">
        <v>0</v>
      </c>
      <c r="AC100" s="30" t="n">
        <v>0.1111</v>
      </c>
      <c r="AD100" s="24" t="inlineStr">
        <is>
          <t>2026-09-01T04:32:18.956693Z</t>
        </is>
      </c>
      <c r="AE100" s="31" t="inlineStr">
        <is>
          <t>Poisson-DC rates 1.95 (home) / 0.83 (away) from EWMA attack/defense strengths. Executable ask 0.9000 (atc-lal-fcb-ray-2026-08-31-fcb).</t>
        </is>
      </c>
      <c r="AF100" s="31" t="inlineStr">
        <is>
          <t>Research-only soccer score model; draw-aware, but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Rayo Vallecano</t>
        </is>
      </c>
      <c r="AQ100" s="24" t="inlineStr">
        <is>
          <t>Rayo Vallecano</t>
        </is>
      </c>
      <c r="AR100" s="24" t="inlineStr">
        <is>
          <t>Rayo Vallecano</t>
        </is>
      </c>
      <c r="AS100" s="24" t="inlineStr">
        <is>
          <t>Barcelona</t>
        </is>
      </c>
      <c r="AT100" s="24" t="inlineStr">
        <is>
          <t>Barcelona</t>
        </is>
      </c>
      <c r="AU100" s="24" t="inlineStr">
        <is>
          <t>Barcelona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f585a7f3cb7ee04f9a319a60fa601ef15e86636fadaaa8c1380ac0f28f75c58a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f585a7f3cb7ee04f9a319a60fa601ef15e86636fadaaa8c1380ac0f28f75c58a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f585a7f3cb7ee04f9a319a60fa601ef15e86636fadaaa8c1380ac0f28f75c58a</t>
        </is>
      </c>
      <c r="BH100" s="24" t="inlineStr">
        <is>
          <t>2026-08-31T16:02:37.512552Z</t>
        </is>
      </c>
      <c r="BI100" s="24" t="inlineStr">
        <is>
          <t>["same_event","same_team_same_day","same_league_same_day"]</t>
        </is>
      </c>
      <c r="BJ100" s="25" t="n"/>
      <c r="BK100" s="26" t="n">
        <v>-900</v>
      </c>
      <c r="BL100" s="27" t="n">
        <v>1.111111</v>
      </c>
      <c r="BM100" s="28" t="n">
        <v>0.9</v>
      </c>
      <c r="BN100" s="28" t="n"/>
      <c r="BO100" s="28" t="n"/>
      <c r="BP100" s="25" t="n"/>
      <c r="BQ100" s="27" t="n">
        <v>1.111111</v>
      </c>
      <c r="BR100" s="28" t="n">
        <v>0.9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0.111111</v>
      </c>
      <c r="BZ100" s="24" t="inlineStr">
        <is>
          <t>2026-09-01T04:32:18.956693Z</t>
        </is>
      </c>
      <c r="CA100" s="31" t="inlineStr">
        <is>
          <t>fixed one-unit hypothetical scoring; no real exposure or execution</t>
        </is>
      </c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0.9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a57561db1e3748fc</t>
        </is>
      </c>
      <c r="B101" s="24" t="inlineStr">
        <is>
          <t>2026-08-31T16:04:29.564490Z</t>
        </is>
      </c>
      <c r="C101" s="24" t="inlineStr">
        <is>
          <t>2026-08-31T16:30Z</t>
        </is>
      </c>
      <c r="D101" s="24" t="inlineStr">
        <is>
          <t>401874945</t>
        </is>
      </c>
      <c r="E101" s="24" t="inlineStr">
        <is>
          <t>SOCCER</t>
        </is>
      </c>
      <c r="F101" s="24" t="inlineStr">
        <is>
          <t>AS Roma</t>
        </is>
      </c>
      <c r="G101" s="24" t="inlineStr">
        <is>
          <t>Lecce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-213</v>
      </c>
      <c r="M101" s="27" t="n">
        <v>1.469484</v>
      </c>
      <c r="N101" s="28" t="n">
        <v>0.680511</v>
      </c>
      <c r="O101" s="28" t="n">
        <v>0.54059</v>
      </c>
      <c r="P101" s="28" t="n">
        <v>0.04</v>
      </c>
      <c r="Q101" s="28" t="n">
        <v>-0.139921</v>
      </c>
      <c r="R101" s="26" t="n">
        <v>0</v>
      </c>
      <c r="S101" s="29" t="n">
        <v>1</v>
      </c>
      <c r="T101" s="24" t="inlineStr">
        <is>
          <t>soccer-poisson-dc-v1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0</v>
      </c>
      <c r="Y101" s="25" t="n"/>
      <c r="Z101" s="26" t="n">
        <v>203</v>
      </c>
      <c r="AA101" s="28" t="n">
        <v>0.33</v>
      </c>
      <c r="AB101" s="28" t="n">
        <v>-0.350511</v>
      </c>
      <c r="AC101" s="30" t="n">
        <v>0.4695</v>
      </c>
      <c r="AD101" s="24" t="inlineStr">
        <is>
          <t>2026-09-01T04:32:20.332997Z</t>
        </is>
      </c>
      <c r="AE101" s="31" t="inlineStr">
        <is>
          <t>Poisson-DC rates 0.66 (home) / 1.41 (away) from EWMA attack/defense strengths. Executable ask 0.6800 (atc-sea-lec-rom-2026-08-31-rom).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AS Roma</t>
        </is>
      </c>
      <c r="AQ101" s="24" t="inlineStr">
        <is>
          <t>AS Roma</t>
        </is>
      </c>
      <c r="AR101" s="24" t="inlineStr">
        <is>
          <t>AS Roma</t>
        </is>
      </c>
      <c r="AS101" s="24" t="inlineStr">
        <is>
          <t>Lecce</t>
        </is>
      </c>
      <c r="AT101" s="24" t="inlineStr">
        <is>
          <t>Lecce</t>
        </is>
      </c>
      <c r="AU101" s="24" t="inlineStr">
        <is>
          <t>Lecce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f585a7f3cb7ee04f9a319a60fa601ef15e86636fadaaa8c1380ac0f28f75c58a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f585a7f3cb7ee04f9a319a60fa601ef15e86636fadaaa8c1380ac0f28f75c58a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f585a7f3cb7ee04f9a319a60fa601ef15e86636fadaaa8c1380ac0f28f75c58a</t>
        </is>
      </c>
      <c r="BH101" s="24" t="inlineStr">
        <is>
          <t>2026-08-31T16:02:37.659366Z</t>
        </is>
      </c>
      <c r="BI101" s="24" t="inlineStr">
        <is>
          <t>["same_event","same_team_same_day","same_league_same_day"]</t>
        </is>
      </c>
      <c r="BJ101" s="25" t="n"/>
      <c r="BK101" s="26" t="n">
        <v>-213</v>
      </c>
      <c r="BL101" s="27" t="n">
        <v>1.469484</v>
      </c>
      <c r="BM101" s="28" t="n">
        <v>0.680511</v>
      </c>
      <c r="BN101" s="28" t="n"/>
      <c r="BO101" s="28" t="n"/>
      <c r="BP101" s="25" t="n"/>
      <c r="BQ101" s="27" t="n">
        <v>3.03</v>
      </c>
      <c r="BR101" s="28" t="n">
        <v>0.33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0.469484</v>
      </c>
      <c r="BZ101" s="24" t="inlineStr">
        <is>
          <t>2026-09-01T04:32:20.332997Z</t>
        </is>
      </c>
      <c r="CA101" s="31" t="inlineStr">
        <is>
          <t>fixed one-unit hypothetical scoring; no real exposure or execution</t>
        </is>
      </c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0.680511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9e51cb59a2784b77</t>
        </is>
      </c>
      <c r="B102" s="24" t="inlineStr">
        <is>
          <t>2026-08-31T16:04:29.564490Z</t>
        </is>
      </c>
      <c r="C102" s="24" t="inlineStr">
        <is>
          <t>2026-08-31T18:45Z</t>
        </is>
      </c>
      <c r="D102" s="24" t="inlineStr">
        <is>
          <t>401874970</t>
        </is>
      </c>
      <c r="E102" s="24" t="inlineStr">
        <is>
          <t>SOCCER</t>
        </is>
      </c>
      <c r="F102" s="24" t="inlineStr">
        <is>
          <t>Bologna</t>
        </is>
      </c>
      <c r="G102" s="24" t="inlineStr">
        <is>
          <t>Atalanta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0.445591</v>
      </c>
      <c r="P102" s="28" t="n">
        <v>0.04</v>
      </c>
      <c r="Q102" s="28" t="n">
        <v>-0.06421300000000001</v>
      </c>
      <c r="R102" s="26" t="n">
        <v>0</v>
      </c>
      <c r="S102" s="29" t="n">
        <v>1</v>
      </c>
      <c r="T102" s="24" t="inlineStr">
        <is>
          <t>soccer-poisson-dc-v1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>
        <v>-104</v>
      </c>
      <c r="AA102" s="28" t="n">
        <v>0.51</v>
      </c>
      <c r="AB102" s="28" t="n">
        <v>0.000196</v>
      </c>
      <c r="AC102" s="30" t="n">
        <v>0.9615</v>
      </c>
      <c r="AD102" s="24" t="inlineStr">
        <is>
          <t>2026-09-01T04:32:21.616957Z</t>
        </is>
      </c>
      <c r="AE102" s="31" t="inlineStr">
        <is>
          <t>Poisson-DC rates 1.41 (home) / 1.03 (away) from EWMA attack/defense strengths. Executable ask 0.5100 (atc-sea-ata-bol-2026-08-31-ata).</t>
        </is>
      </c>
      <c r="AF102" s="31" t="inlineStr">
        <is>
          <t>Research-only soccer score model; draw-aware, but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Bologna</t>
        </is>
      </c>
      <c r="AQ102" s="24" t="inlineStr">
        <is>
          <t>Bologna</t>
        </is>
      </c>
      <c r="AR102" s="24" t="inlineStr">
        <is>
          <t>Bologna</t>
        </is>
      </c>
      <c r="AS102" s="24" t="inlineStr">
        <is>
          <t>Atalanta</t>
        </is>
      </c>
      <c r="AT102" s="24" t="inlineStr">
        <is>
          <t>Atalanta</t>
        </is>
      </c>
      <c r="AU102" s="24" t="inlineStr">
        <is>
          <t>Atalanta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f585a7f3cb7ee04f9a319a60fa601ef15e86636fadaaa8c1380ac0f28f75c58a</t>
        </is>
      </c>
      <c r="BB102" s="24" t="inlineStr">
        <is>
          <t>poisson_dixon_coles</t>
        </is>
      </c>
      <c r="BC102" s="24" t="inlineStr">
        <is>
          <t>soccer-poisson-dc-v1</t>
        </is>
      </c>
      <c r="BD102" s="24" t="inlineStr">
        <is>
          <t>f585a7f3cb7ee04f9a319a60fa601ef15e86636fadaaa8c1380ac0f28f75c58a</t>
        </is>
      </c>
      <c r="BE102" s="24" t="inlineStr">
        <is>
          <t>soccer-poisson-dc-v1</t>
        </is>
      </c>
      <c r="BF102" s="24" t="inlineStr">
        <is>
          <t>1</t>
        </is>
      </c>
      <c r="BG102" s="24" t="inlineStr">
        <is>
          <t>f585a7f3cb7ee04f9a319a60fa601ef15e86636fadaaa8c1380ac0f28f75c58a</t>
        </is>
      </c>
      <c r="BH102" s="24" t="inlineStr">
        <is>
          <t>2026-08-31T16:02:37.761486Z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>
        <v>1.961538</v>
      </c>
      <c r="BR102" s="28" t="n">
        <v>0.51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0.961538</v>
      </c>
      <c r="BZ102" s="24" t="inlineStr">
        <is>
          <t>2026-09-01T04:32:21.616957Z</t>
        </is>
      </c>
      <c r="CA102" s="31" t="inlineStr">
        <is>
          <t>fixed one-unit hypothetical scoring; no real exposure or execution</t>
        </is>
      </c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0.509804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8a63a421833f4b91</t>
        </is>
      </c>
      <c r="B103" s="24" t="inlineStr">
        <is>
          <t>2026-08-31T16:04:29.564490Z</t>
        </is>
      </c>
      <c r="C103" s="24" t="inlineStr">
        <is>
          <t>2026-08-31T23:00Z</t>
        </is>
      </c>
      <c r="D103" s="24" t="inlineStr">
        <is>
          <t>401841210</t>
        </is>
      </c>
      <c r="E103" s="24" t="inlineStr">
        <is>
          <t>SOCCER</t>
        </is>
      </c>
      <c r="F103" s="24" t="inlineStr">
        <is>
          <t>Coritiba</t>
        </is>
      </c>
      <c r="G103" s="24" t="inlineStr">
        <is>
          <t>Remo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117</v>
      </c>
      <c r="M103" s="27" t="n">
        <v>2.17</v>
      </c>
      <c r="N103" s="28" t="n">
        <v>0.460829</v>
      </c>
      <c r="O103" s="28" t="n">
        <v>0.456135</v>
      </c>
      <c r="P103" s="28" t="n">
        <v>0.2</v>
      </c>
      <c r="Q103" s="28" t="n">
        <v>-0.004694</v>
      </c>
      <c r="R103" s="26" t="n">
        <v>0</v>
      </c>
      <c r="S103" s="29" t="n">
        <v>1</v>
      </c>
      <c r="T103" s="24" t="inlineStr">
        <is>
          <t>soccer-poisson-dc-v1</t>
        </is>
      </c>
      <c r="U103" s="24" t="inlineStr">
        <is>
          <t>settled</t>
        </is>
      </c>
      <c r="V103" s="24" t="inlineStr">
        <is>
          <t>loss</t>
        </is>
      </c>
      <c r="W103" s="26" t="n">
        <v>3</v>
      </c>
      <c r="X103" s="26" t="n">
        <v>2</v>
      </c>
      <c r="Y103" s="25" t="n"/>
      <c r="Z103" s="26" t="n">
        <v>117</v>
      </c>
      <c r="AA103" s="28" t="n">
        <v>0.46</v>
      </c>
      <c r="AB103" s="28" t="n">
        <v>-0.000829</v>
      </c>
      <c r="AC103" s="30" t="n">
        <v>-1</v>
      </c>
      <c r="AD103" s="24" t="inlineStr">
        <is>
          <t>2026-09-01T04:32:23.269733Z</t>
        </is>
      </c>
      <c r="AE103" s="31" t="inlineStr">
        <is>
          <t>Poisson-DC rates 1.64 (home) / 1.24 (away) from EWMA attack/defense strengths. Executable ask 0.4600 (atc-bra-cre-cor-2026-08-31-cre).</t>
        </is>
      </c>
      <c r="AF103" s="31" t="inlineStr">
        <is>
          <t>Research-only soccer score model; draw-aware, but not yet locked-holdout qualified.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PAPER_CALL_MODEL_UNVALIDATED</t>
        </is>
      </c>
      <c r="AP103" s="24" t="inlineStr">
        <is>
          <t>Coritiba</t>
        </is>
      </c>
      <c r="AQ103" s="24" t="inlineStr">
        <is>
          <t>Coritiba</t>
        </is>
      </c>
      <c r="AR103" s="24" t="inlineStr">
        <is>
          <t>Coritiba</t>
        </is>
      </c>
      <c r="AS103" s="24" t="inlineStr">
        <is>
          <t>Remo</t>
        </is>
      </c>
      <c r="AT103" s="24" t="inlineStr">
        <is>
          <t>Remo</t>
        </is>
      </c>
      <c r="AU103" s="24" t="inlineStr">
        <is>
          <t>Remo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f585a7f3cb7ee04f9a319a60fa601ef15e86636fadaaa8c1380ac0f28f75c58a</t>
        </is>
      </c>
      <c r="BB103" s="24" t="inlineStr">
        <is>
          <t>poisson_dixon_coles</t>
        </is>
      </c>
      <c r="BC103" s="24" t="inlineStr">
        <is>
          <t>soccer-poisson-dc-v1</t>
        </is>
      </c>
      <c r="BD103" s="24" t="inlineStr">
        <is>
          <t>f585a7f3cb7ee04f9a319a60fa601ef15e86636fadaaa8c1380ac0f28f75c58a</t>
        </is>
      </c>
      <c r="BE103" s="24" t="inlineStr">
        <is>
          <t>soccer-poisson-dc-v1</t>
        </is>
      </c>
      <c r="BF103" s="24" t="inlineStr">
        <is>
          <t>1</t>
        </is>
      </c>
      <c r="BG103" s="24" t="inlineStr">
        <is>
          <t>f585a7f3cb7ee04f9a319a60fa601ef15e86636fadaaa8c1380ac0f28f75c58a</t>
        </is>
      </c>
      <c r="BH103" s="24" t="inlineStr">
        <is>
          <t>2026-08-31T16:02:37.926074Z</t>
        </is>
      </c>
      <c r="BI103" s="24" t="inlineStr">
        <is>
          <t>["same_event","same_team_same_day","same_league_same_day"]</t>
        </is>
      </c>
      <c r="BJ103" s="25" t="n"/>
      <c r="BK103" s="26" t="n">
        <v>117</v>
      </c>
      <c r="BL103" s="27" t="n">
        <v>2.17</v>
      </c>
      <c r="BM103" s="28" t="n">
        <v>0.460829</v>
      </c>
      <c r="BN103" s="28" t="n"/>
      <c r="BO103" s="28" t="n"/>
      <c r="BP103" s="25" t="n"/>
      <c r="BQ103" s="27" t="n">
        <v>2.17</v>
      </c>
      <c r="BR103" s="28" t="n">
        <v>0.46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inlineStr">
        <is>
          <t>2026-09-01T04:32:23.269733Z</t>
        </is>
      </c>
      <c r="CA103" s="31" t="inlineStr">
        <is>
          <t>fixed one-unit hypothetical scoring; no real exposure or execution</t>
        </is>
      </c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0.460829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3d5c2f47939449f1</t>
        </is>
      </c>
      <c r="B104" s="24" t="inlineStr">
        <is>
          <t>2026-08-31T16:04:29.564490Z</t>
        </is>
      </c>
      <c r="C104" s="24" t="inlineStr">
        <is>
          <t>2026-08-31T22:00Z</t>
        </is>
      </c>
      <c r="D104" s="24" t="inlineStr">
        <is>
          <t>401841528</t>
        </is>
      </c>
      <c r="E104" s="24" t="inlineStr">
        <is>
          <t>SOCCER</t>
        </is>
      </c>
      <c r="F104" s="24" t="inlineStr">
        <is>
          <t>Platense</t>
        </is>
      </c>
      <c r="G104" s="24" t="inlineStr">
        <is>
          <t>Defensa y Justicia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156</v>
      </c>
      <c r="M104" s="27" t="n">
        <v>2.56</v>
      </c>
      <c r="N104" s="28" t="n">
        <v>0.390625</v>
      </c>
      <c r="O104" s="28" t="n">
        <v>0.456135</v>
      </c>
      <c r="P104" s="28" t="n">
        <v>0.2</v>
      </c>
      <c r="Q104" s="28" t="n">
        <v>0.06551</v>
      </c>
      <c r="R104" s="26" t="n">
        <v>0</v>
      </c>
      <c r="S104" s="29" t="n">
        <v>1</v>
      </c>
      <c r="T104" s="24" t="inlineStr">
        <is>
          <t>soccer-poisson-dc-v1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1</v>
      </c>
      <c r="Y104" s="25" t="n"/>
      <c r="Z104" s="26" t="n">
        <v>156</v>
      </c>
      <c r="AA104" s="28" t="n">
        <v>0.39</v>
      </c>
      <c r="AB104" s="28" t="n">
        <v>-0.000625</v>
      </c>
      <c r="AC104" s="30" t="n">
        <v>1.56</v>
      </c>
      <c r="AD104" s="24" t="inlineStr">
        <is>
          <t>2026-09-01T04:32:24.719983Z</t>
        </is>
      </c>
      <c r="AE104" s="31" t="inlineStr">
        <is>
          <t>Poisson-DC rates 1.64 (home) / 1.24 (away) from EWMA attack/defense strengths. Executable ask 0.3900 (atc-lpa-def-pla-2026-08-31-def).</t>
        </is>
      </c>
      <c r="AF104" s="31" t="inlineStr">
        <is>
          <t>Research-only soccer score model; draw-aware, but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Platense</t>
        </is>
      </c>
      <c r="AQ104" s="24" t="inlineStr">
        <is>
          <t>Platense</t>
        </is>
      </c>
      <c r="AR104" s="24" t="inlineStr">
        <is>
          <t>Platense</t>
        </is>
      </c>
      <c r="AS104" s="24" t="inlineStr">
        <is>
          <t>Defensa y Justicia</t>
        </is>
      </c>
      <c r="AT104" s="24" t="inlineStr">
        <is>
          <t>Defensa y Justicia</t>
        </is>
      </c>
      <c r="AU104" s="24" t="inlineStr">
        <is>
          <t>Defensa y Justicia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f585a7f3cb7ee04f9a319a60fa601ef15e86636fadaaa8c1380ac0f28f75c58a</t>
        </is>
      </c>
      <c r="BB104" s="24" t="inlineStr">
        <is>
          <t>poisson_dixon_coles</t>
        </is>
      </c>
      <c r="BC104" s="24" t="inlineStr">
        <is>
          <t>soccer-poisson-dc-v1</t>
        </is>
      </c>
      <c r="BD104" s="24" t="inlineStr">
        <is>
          <t>f585a7f3cb7ee04f9a319a60fa601ef15e86636fadaaa8c1380ac0f28f75c58a</t>
        </is>
      </c>
      <c r="BE104" s="24" t="inlineStr">
        <is>
          <t>soccer-poisson-dc-v1</t>
        </is>
      </c>
      <c r="BF104" s="24" t="inlineStr">
        <is>
          <t>1</t>
        </is>
      </c>
      <c r="BG104" s="24" t="inlineStr">
        <is>
          <t>f585a7f3cb7ee04f9a319a60fa601ef15e86636fadaaa8c1380ac0f28f75c58a</t>
        </is>
      </c>
      <c r="BH104" s="24" t="inlineStr">
        <is>
          <t>2026-08-31T16:02:37.950485Z</t>
        </is>
      </c>
      <c r="BI104" s="24" t="inlineStr">
        <is>
          <t>["same_event","same_team_same_day","same_league_same_day"]</t>
        </is>
      </c>
      <c r="BJ104" s="25" t="n"/>
      <c r="BK104" s="26" t="n">
        <v>156</v>
      </c>
      <c r="BL104" s="27" t="n">
        <v>2.56</v>
      </c>
      <c r="BM104" s="28" t="n">
        <v>0.390625</v>
      </c>
      <c r="BN104" s="28" t="n"/>
      <c r="BO104" s="28" t="n"/>
      <c r="BP104" s="25" t="n"/>
      <c r="BQ104" s="27" t="n">
        <v>2.56</v>
      </c>
      <c r="BR104" s="28" t="n">
        <v>0.39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1.56</v>
      </c>
      <c r="BZ104" s="24" t="inlineStr">
        <is>
          <t>2026-09-01T04:32:24.719983Z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0.390625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7b6f6948000144a7</t>
        </is>
      </c>
      <c r="B105" s="24" t="inlineStr">
        <is>
          <t>2026-08-31T16:04:29.564490Z</t>
        </is>
      </c>
      <c r="C105" s="24" t="inlineStr">
        <is>
          <t>2026-08-31T22:00Z</t>
        </is>
      </c>
      <c r="D105" s="24" t="inlineStr">
        <is>
          <t>401841530</t>
        </is>
      </c>
      <c r="E105" s="24" t="inlineStr">
        <is>
          <t>SOCCER</t>
        </is>
      </c>
      <c r="F105" s="24" t="inlineStr">
        <is>
          <t>Newell's Old Boys</t>
        </is>
      </c>
      <c r="G105" s="24" t="inlineStr">
        <is>
          <t>Estudiantes de La Plata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0.451659</v>
      </c>
      <c r="P105" s="28" t="n">
        <v>0.2</v>
      </c>
      <c r="Q105" s="28" t="n">
        <v>-0.128173</v>
      </c>
      <c r="R105" s="26" t="n">
        <v>0</v>
      </c>
      <c r="S105" s="29" t="n">
        <v>1</v>
      </c>
      <c r="T105" s="24" t="inlineStr">
        <is>
          <t>soccer-poisson-dc-v1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0</v>
      </c>
      <c r="Y105" s="25" t="n"/>
      <c r="Z105" s="26" t="n">
        <v>-138</v>
      </c>
      <c r="AA105" s="28" t="n">
        <v>0.58</v>
      </c>
      <c r="AB105" s="28" t="n">
        <v>0.000168</v>
      </c>
      <c r="AC105" s="30" t="n">
        <v>-1</v>
      </c>
      <c r="AD105" s="24" t="inlineStr">
        <is>
          <t>2026-09-01T04:32:26.044936Z</t>
        </is>
      </c>
      <c r="AE105" s="31" t="inlineStr">
        <is>
          <t>Poisson-DC rates 1.59 (home) / 1.20 (away) from EWMA attack/defense strengths. Executable ask 0.5800 (atc-lpa-est-new-2026-08-31-est).</t>
        </is>
      </c>
      <c r="AF105" s="31" t="inlineStr">
        <is>
          <t>Research-only soccer score model; draw-aware, but not yet locked-holdout qualified.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PAPER_CALL_MODEL_UNVALIDATED</t>
        </is>
      </c>
      <c r="AP105" s="24" t="inlineStr">
        <is>
          <t>Newell's Old Boys</t>
        </is>
      </c>
      <c r="AQ105" s="24" t="inlineStr">
        <is>
          <t>Newell's Old Boys</t>
        </is>
      </c>
      <c r="AR105" s="24" t="inlineStr">
        <is>
          <t>Newell's Old Boys</t>
        </is>
      </c>
      <c r="AS105" s="24" t="inlineStr">
        <is>
          <t>Estudiantes de La Plata</t>
        </is>
      </c>
      <c r="AT105" s="24" t="inlineStr">
        <is>
          <t>Estudiantes de La Plata</t>
        </is>
      </c>
      <c r="AU105" s="24" t="inlineStr">
        <is>
          <t>Estudiantes de La Plata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f585a7f3cb7ee04f9a319a60fa601ef15e86636fadaaa8c1380ac0f28f75c58a</t>
        </is>
      </c>
      <c r="BB105" s="24" t="inlineStr">
        <is>
          <t>poisson_dixon_coles</t>
        </is>
      </c>
      <c r="BC105" s="24" t="inlineStr">
        <is>
          <t>soccer-poisson-dc-v1</t>
        </is>
      </c>
      <c r="BD105" s="24" t="inlineStr">
        <is>
          <t>f585a7f3cb7ee04f9a319a60fa601ef15e86636fadaaa8c1380ac0f28f75c58a</t>
        </is>
      </c>
      <c r="BE105" s="24" t="inlineStr">
        <is>
          <t>soccer-poisson-dc-v1</t>
        </is>
      </c>
      <c r="BF105" s="24" t="inlineStr">
        <is>
          <t>1</t>
        </is>
      </c>
      <c r="BG105" s="24" t="inlineStr">
        <is>
          <t>f585a7f3cb7ee04f9a319a60fa601ef15e86636fadaaa8c1380ac0f28f75c58a</t>
        </is>
      </c>
      <c r="BH105" s="24" t="inlineStr">
        <is>
          <t>2026-08-31T16:02:38.192957Z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>
        <v>1.724638</v>
      </c>
      <c r="BR105" s="28" t="n">
        <v>0.58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2026-09-01T04:32:26.044936Z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0.579832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30ad492713ff4d8b</t>
        </is>
      </c>
      <c r="B106" s="24" t="inlineStr">
        <is>
          <t>2026-08-31T16:04:29.564490Z</t>
        </is>
      </c>
      <c r="C106" s="24" t="inlineStr">
        <is>
          <t>2026-09-01T00:15Z</t>
        </is>
      </c>
      <c r="D106" s="24" t="inlineStr">
        <is>
          <t>401841537</t>
        </is>
      </c>
      <c r="E106" s="24" t="inlineStr">
        <is>
          <t>SOCCER</t>
        </is>
      </c>
      <c r="F106" s="24" t="inlineStr">
        <is>
          <t>Barracas Central</t>
        </is>
      </c>
      <c r="G106" s="24" t="inlineStr">
        <is>
          <t>Tigre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0.5359159999999999</v>
      </c>
      <c r="P106" s="28" t="n">
        <v>0.2</v>
      </c>
      <c r="Q106" s="28" t="n">
        <v>0.016685</v>
      </c>
      <c r="R106" s="26" t="n">
        <v>0</v>
      </c>
      <c r="S106" s="29" t="n">
        <v>1</v>
      </c>
      <c r="T106" s="24" t="inlineStr">
        <is>
          <t>soccer-poisson-dc-v1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0</v>
      </c>
      <c r="Y106" s="25" t="n"/>
      <c r="Z106" s="26" t="n">
        <v>-108</v>
      </c>
      <c r="AA106" s="28" t="n">
        <v>0.52</v>
      </c>
      <c r="AB106" s="28" t="n">
        <v>0.000769</v>
      </c>
      <c r="AC106" s="30" t="n">
        <v>-1</v>
      </c>
      <c r="AD106" s="24" t="inlineStr">
        <is>
          <t>2026-09-01T04:32:27.351447Z</t>
        </is>
      </c>
      <c r="AE106" s="31" t="inlineStr">
        <is>
          <t>Poisson-DC rates 1.84 (home) / 1.10 (away) from EWMA attack/defense strengths. Executable ask 0.5200 (atc-lpa-tig-bar-2026-08-31-tig).</t>
        </is>
      </c>
      <c r="AF106" s="31" t="inlineStr">
        <is>
          <t>Research-only soccer score model; draw-aware, but not yet locked-holdout qualified.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PAPER_CALL_MODEL_UNVALIDATED</t>
        </is>
      </c>
      <c r="AP106" s="24" t="inlineStr">
        <is>
          <t>Barracas Central</t>
        </is>
      </c>
      <c r="AQ106" s="24" t="inlineStr">
        <is>
          <t>Barracas Central</t>
        </is>
      </c>
      <c r="AR106" s="24" t="inlineStr">
        <is>
          <t>Barracas Central</t>
        </is>
      </c>
      <c r="AS106" s="24" t="inlineStr">
        <is>
          <t>Tigre</t>
        </is>
      </c>
      <c r="AT106" s="24" t="inlineStr">
        <is>
          <t>Tigre</t>
        </is>
      </c>
      <c r="AU106" s="24" t="inlineStr">
        <is>
          <t>Tigre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f585a7f3cb7ee04f9a319a60fa601ef15e86636fadaaa8c1380ac0f28f75c58a</t>
        </is>
      </c>
      <c r="BB106" s="24" t="inlineStr">
        <is>
          <t>poisson_dixon_coles</t>
        </is>
      </c>
      <c r="BC106" s="24" t="inlineStr">
        <is>
          <t>soccer-poisson-dc-v1</t>
        </is>
      </c>
      <c r="BD106" s="24" t="inlineStr">
        <is>
          <t>f585a7f3cb7ee04f9a319a60fa601ef15e86636fadaaa8c1380ac0f28f75c58a</t>
        </is>
      </c>
      <c r="BE106" s="24" t="inlineStr">
        <is>
          <t>soccer-poisson-dc-v1</t>
        </is>
      </c>
      <c r="BF106" s="24" t="inlineStr">
        <is>
          <t>1</t>
        </is>
      </c>
      <c r="BG106" s="24" t="inlineStr">
        <is>
          <t>f585a7f3cb7ee04f9a319a60fa601ef15e86636fadaaa8c1380ac0f28f75c58a</t>
        </is>
      </c>
      <c r="BH106" s="24" t="inlineStr">
        <is>
          <t>2026-08-31T16:02:38.030794Z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>
        <v>1.925926</v>
      </c>
      <c r="BR106" s="28" t="n">
        <v>0.52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-1</v>
      </c>
      <c r="BZ106" s="24" t="inlineStr">
        <is>
          <t>2026-09-01T04:32:27.351447Z</t>
        </is>
      </c>
      <c r="CA106" s="31" t="inlineStr">
        <is>
          <t>fixed one-unit hypothetical scoring; no real exposure or execution</t>
        </is>
      </c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efb4ed5a2ba441de</t>
        </is>
      </c>
      <c r="B107" s="24" t="inlineStr">
        <is>
          <t>2026-08-31T16:04:29.564490Z</t>
        </is>
      </c>
      <c r="C107" s="24" t="inlineStr">
        <is>
          <t>2026-08-31T22:00Z</t>
        </is>
      </c>
      <c r="D107" s="24" t="inlineStr">
        <is>
          <t>401844095</t>
        </is>
      </c>
      <c r="E107" s="24" t="inlineStr">
        <is>
          <t>SOCCER</t>
        </is>
      </c>
      <c r="F107" s="24" t="inlineStr">
        <is>
          <t>Acassuso</t>
        </is>
      </c>
      <c r="G107" s="24" t="inlineStr">
        <is>
          <t>Los Andes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100</v>
      </c>
      <c r="M107" s="27" t="n">
        <v>2</v>
      </c>
      <c r="N107" s="28" t="n">
        <v>0.5</v>
      </c>
      <c r="O107" s="28" t="n">
        <v>0.456135</v>
      </c>
      <c r="P107" s="28" t="n">
        <v>0.2</v>
      </c>
      <c r="Q107" s="28" t="n">
        <v>-0.043865</v>
      </c>
      <c r="R107" s="26" t="n">
        <v>0</v>
      </c>
      <c r="S107" s="29" t="n">
        <v>1</v>
      </c>
      <c r="T107" s="24" t="inlineStr">
        <is>
          <t>soccer-poisson-dc-v1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0</v>
      </c>
      <c r="Y107" s="25" t="n"/>
      <c r="Z107" s="26" t="n">
        <v>100</v>
      </c>
      <c r="AA107" s="28" t="n">
        <v>0.5</v>
      </c>
      <c r="AB107" s="28" t="n">
        <v>0</v>
      </c>
      <c r="AC107" s="30" t="n">
        <v>-1</v>
      </c>
      <c r="AD107" s="24" t="inlineStr">
        <is>
          <t>2026-09-01T04:32:28.703950Z</t>
        </is>
      </c>
      <c r="AE107" s="31" t="inlineStr">
        <is>
          <t>Poisson-DC rates 1.64 (home) / 1.24 (away) from EWMA attack/defense strengths. Executable ask 0.5000 (atc-arg2-ala-aca-2026-08-29-ala).</t>
        </is>
      </c>
      <c r="AF107" s="31" t="inlineStr">
        <is>
          <t>Research-only soccer score model; draw-aware, but not yet locked-holdout qualified.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PAPER_CALL_MODEL_UNVALIDATED</t>
        </is>
      </c>
      <c r="AP107" s="24" t="inlineStr">
        <is>
          <t>Acassuso</t>
        </is>
      </c>
      <c r="AQ107" s="24" t="inlineStr">
        <is>
          <t>Acassuso</t>
        </is>
      </c>
      <c r="AR107" s="24" t="inlineStr">
        <is>
          <t>Acassuso</t>
        </is>
      </c>
      <c r="AS107" s="24" t="inlineStr">
        <is>
          <t>Los Andes</t>
        </is>
      </c>
      <c r="AT107" s="24" t="inlineStr">
        <is>
          <t>Los Andes</t>
        </is>
      </c>
      <c r="AU107" s="24" t="inlineStr">
        <is>
          <t>Los Andes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f585a7f3cb7ee04f9a319a60fa601ef15e86636fadaaa8c1380ac0f28f75c58a</t>
        </is>
      </c>
      <c r="BB107" s="24" t="inlineStr">
        <is>
          <t>poisson_dixon_coles</t>
        </is>
      </c>
      <c r="BC107" s="24" t="inlineStr">
        <is>
          <t>soccer-poisson-dc-v1</t>
        </is>
      </c>
      <c r="BD107" s="24" t="inlineStr">
        <is>
          <t>f585a7f3cb7ee04f9a319a60fa601ef15e86636fadaaa8c1380ac0f28f75c58a</t>
        </is>
      </c>
      <c r="BE107" s="24" t="inlineStr">
        <is>
          <t>soccer-poisson-dc-v1</t>
        </is>
      </c>
      <c r="BF107" s="24" t="inlineStr">
        <is>
          <t>1</t>
        </is>
      </c>
      <c r="BG107" s="24" t="inlineStr">
        <is>
          <t>f585a7f3cb7ee04f9a319a60fa601ef15e86636fadaaa8c1380ac0f28f75c58a</t>
        </is>
      </c>
      <c r="BH107" s="24" t="inlineStr">
        <is>
          <t>2026-08-31T16:02:38.025071Z</t>
        </is>
      </c>
      <c r="BI107" s="24" t="inlineStr">
        <is>
          <t>["same_event","same_team_same_day","same_league_same_day"]</t>
        </is>
      </c>
      <c r="BJ107" s="25" t="n"/>
      <c r="BK107" s="26" t="n">
        <v>100</v>
      </c>
      <c r="BL107" s="27" t="n">
        <v>2</v>
      </c>
      <c r="BM107" s="28" t="n">
        <v>0.5</v>
      </c>
      <c r="BN107" s="28" t="n"/>
      <c r="BO107" s="28" t="n"/>
      <c r="BP107" s="25" t="n"/>
      <c r="BQ107" s="27" t="n">
        <v>2</v>
      </c>
      <c r="BR107" s="28" t="n">
        <v>0.5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inlineStr">
        <is>
          <t>2026-09-01T04:32:28.703950Z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65007c245c7b4aa4</t>
        </is>
      </c>
      <c r="B108" s="24" t="inlineStr">
        <is>
          <t>2026-08-31T16:04:29.564490Z</t>
        </is>
      </c>
      <c r="C108" s="24" t="inlineStr">
        <is>
          <t>2026-09-01T00:00Z</t>
        </is>
      </c>
      <c r="D108" s="24" t="inlineStr">
        <is>
          <t>401844098</t>
        </is>
      </c>
      <c r="E108" s="24" t="inlineStr">
        <is>
          <t>SOCCER</t>
        </is>
      </c>
      <c r="F108" s="24" t="inlineStr">
        <is>
          <t>Agropecuario</t>
        </is>
      </c>
      <c r="G108" s="24" t="inlineStr">
        <is>
          <t>Gimnasia y Esgrima (Jujuy)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100</v>
      </c>
      <c r="M108" s="27" t="n">
        <v>2</v>
      </c>
      <c r="N108" s="28" t="n">
        <v>0.5</v>
      </c>
      <c r="O108" s="28" t="n">
        <v>0.456135</v>
      </c>
      <c r="P108" s="28" t="n">
        <v>0.2</v>
      </c>
      <c r="Q108" s="28" t="n">
        <v>-0.043865</v>
      </c>
      <c r="R108" s="26" t="n">
        <v>0</v>
      </c>
      <c r="S108" s="29" t="n">
        <v>1</v>
      </c>
      <c r="T108" s="24" t="inlineStr">
        <is>
          <t>soccer-poisson-dc-v1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1</v>
      </c>
      <c r="Y108" s="25" t="n"/>
      <c r="Z108" s="26" t="n">
        <v>100</v>
      </c>
      <c r="AA108" s="28" t="n">
        <v>0.5</v>
      </c>
      <c r="AB108" s="28" t="n">
        <v>0</v>
      </c>
      <c r="AC108" s="30" t="n">
        <v>-1</v>
      </c>
      <c r="AD108" s="24" t="inlineStr">
        <is>
          <t>2026-09-01T04:32:30.011013Z</t>
        </is>
      </c>
      <c r="AE108" s="31" t="inlineStr">
        <is>
          <t>Poisson-DC rates 1.64 (home) / 1.24 (away) from EWMA attack/defense strengths. Executable ask 0.5000 (atc-arg2-ge-caa-2026-08-31-ge).</t>
        </is>
      </c>
      <c r="AF108" s="31" t="inlineStr">
        <is>
          <t>Research-only soccer score model; draw-aware, but not yet locked-holdout qualified.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PAPER_CALL_MODEL_UNVALIDATED</t>
        </is>
      </c>
      <c r="AP108" s="24" t="inlineStr">
        <is>
          <t>Agropecuario</t>
        </is>
      </c>
      <c r="AQ108" s="24" t="inlineStr">
        <is>
          <t>Agropecuario</t>
        </is>
      </c>
      <c r="AR108" s="24" t="inlineStr">
        <is>
          <t>Agropecuario</t>
        </is>
      </c>
      <c r="AS108" s="24" t="inlineStr">
        <is>
          <t>Gimnasia y Esgrima (Jujuy)</t>
        </is>
      </c>
      <c r="AT108" s="24" t="inlineStr">
        <is>
          <t>Gimnasia y Esgrima (Jujuy)</t>
        </is>
      </c>
      <c r="AU108" s="24" t="inlineStr">
        <is>
          <t>Gimnasia y Esgrima (Jujuy)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f585a7f3cb7ee04f9a319a60fa601ef15e86636fadaaa8c1380ac0f28f75c58a</t>
        </is>
      </c>
      <c r="BB108" s="24" t="inlineStr">
        <is>
          <t>poisson_dixon_coles</t>
        </is>
      </c>
      <c r="BC108" s="24" t="inlineStr">
        <is>
          <t>soccer-poisson-dc-v1</t>
        </is>
      </c>
      <c r="BD108" s="24" t="inlineStr">
        <is>
          <t>f585a7f3cb7ee04f9a319a60fa601ef15e86636fadaaa8c1380ac0f28f75c58a</t>
        </is>
      </c>
      <c r="BE108" s="24" t="inlineStr">
        <is>
          <t>soccer-poisson-dc-v1</t>
        </is>
      </c>
      <c r="BF108" s="24" t="inlineStr">
        <is>
          <t>1</t>
        </is>
      </c>
      <c r="BG108" s="24" t="inlineStr">
        <is>
          <t>f585a7f3cb7ee04f9a319a60fa601ef15e86636fadaaa8c1380ac0f28f75c58a</t>
        </is>
      </c>
      <c r="BH108" s="24" t="inlineStr">
        <is>
          <t>2026-08-31T16:02:38.034522Z</t>
        </is>
      </c>
      <c r="BI108" s="24" t="inlineStr">
        <is>
          <t>["same_event","same_team_same_day","same_league_same_day"]</t>
        </is>
      </c>
      <c r="BJ108" s="25" t="n"/>
      <c r="BK108" s="26" t="n">
        <v>100</v>
      </c>
      <c r="BL108" s="27" t="n">
        <v>2</v>
      </c>
      <c r="BM108" s="28" t="n">
        <v>0.5</v>
      </c>
      <c r="BN108" s="28" t="n"/>
      <c r="BO108" s="28" t="n"/>
      <c r="BP108" s="25" t="n"/>
      <c r="BQ108" s="27" t="n">
        <v>2</v>
      </c>
      <c r="BR108" s="28" t="n">
        <v>0.5</v>
      </c>
      <c r="BS108" s="28" t="n"/>
      <c r="BT108" s="28" t="n"/>
      <c r="BU108" s="25" t="n"/>
      <c r="BV108" s="29" t="n"/>
      <c r="BW108" s="24" t="n"/>
      <c r="BX108" s="30" t="n">
        <v>1</v>
      </c>
      <c r="BY108" s="27" t="n">
        <v>-1</v>
      </c>
      <c r="BZ108" s="24" t="inlineStr">
        <is>
          <t>2026-09-01T04:32:30.011013Z</t>
        </is>
      </c>
      <c r="CA108" s="31" t="inlineStr">
        <is>
          <t>fixed one-unit hypothetical scoring; no real exposure or execution</t>
        </is>
      </c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64957d42143d4b20</t>
        </is>
      </c>
      <c r="B109" s="24" t="inlineStr">
        <is>
          <t>2026-09-01T16:06:15.379284Z</t>
        </is>
      </c>
      <c r="C109" s="24" t="inlineStr">
        <is>
          <t>2026-09-01T22:30Z</t>
        </is>
      </c>
      <c r="D109" s="24" t="inlineStr">
        <is>
          <t>401860308</t>
        </is>
      </c>
      <c r="E109" s="24" t="inlineStr">
        <is>
          <t>SOCCER</t>
        </is>
      </c>
      <c r="F109" s="24" t="inlineStr">
        <is>
          <t>Juventude</t>
        </is>
      </c>
      <c r="G109" s="24" t="inlineStr">
        <is>
          <t>Londrina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233</v>
      </c>
      <c r="M109" s="27" t="n">
        <v>3.33</v>
      </c>
      <c r="N109" s="28" t="n">
        <v>0.3003</v>
      </c>
      <c r="O109" s="28" t="n">
        <v>0.456135</v>
      </c>
      <c r="P109" s="28" t="n">
        <v>0.2</v>
      </c>
      <c r="Q109" s="28" t="n">
        <v>0.155835</v>
      </c>
      <c r="R109" s="26" t="n">
        <v>8</v>
      </c>
      <c r="S109" s="29" t="n">
        <v>1</v>
      </c>
      <c r="T109" s="24" t="inlineStr">
        <is>
          <t>soccer-poisson-dc-v1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0</v>
      </c>
      <c r="Y109" s="25" t="n"/>
      <c r="Z109" s="26" t="n">
        <v>233</v>
      </c>
      <c r="AA109" s="28" t="n">
        <v>0.3</v>
      </c>
      <c r="AB109" s="28" t="n">
        <v>-0.0003</v>
      </c>
      <c r="AC109" s="30" t="n">
        <v>-1</v>
      </c>
      <c r="AD109" s="24" t="inlineStr">
        <is>
          <t>2026-09-02T04:31:55.630313Z</t>
        </is>
      </c>
      <c r="AE109" s="31" t="inlineStr">
        <is>
          <t>Poisson-DC rates 1.64 (home) / 1.24 (away) from EWMA attack/defense strengths. Executable ask 0.3000 (atc-brb-lon-juv-2026-09-01-lon).</t>
        </is>
      </c>
      <c r="AF109" s="31" t="inlineStr">
        <is>
          <t>Research-only soccer score model; draw-aware, but not yet locked-holdout qualified.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Juventude</t>
        </is>
      </c>
      <c r="AQ109" s="24" t="inlineStr">
        <is>
          <t>Juventude</t>
        </is>
      </c>
      <c r="AR109" s="24" t="inlineStr">
        <is>
          <t>Juventude</t>
        </is>
      </c>
      <c r="AS109" s="24" t="inlineStr">
        <is>
          <t>Londrina</t>
        </is>
      </c>
      <c r="AT109" s="24" t="inlineStr">
        <is>
          <t>Londrina</t>
        </is>
      </c>
      <c r="AU109" s="24" t="inlineStr">
        <is>
          <t>Londrina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f585a7f3cb7ee04f9a319a60fa601ef15e86636fadaaa8c1380ac0f28f75c58a</t>
        </is>
      </c>
      <c r="BB109" s="24" t="inlineStr">
        <is>
          <t>poisson_dixon_coles</t>
        </is>
      </c>
      <c r="BC109" s="24" t="inlineStr">
        <is>
          <t>soccer-poisson-dc-v1</t>
        </is>
      </c>
      <c r="BD109" s="24" t="inlineStr">
        <is>
          <t>f585a7f3cb7ee04f9a319a60fa601ef15e86636fadaaa8c1380ac0f28f75c58a</t>
        </is>
      </c>
      <c r="BE109" s="24" t="inlineStr">
        <is>
          <t>soccer-poisson-dc-v1</t>
        </is>
      </c>
      <c r="BF109" s="24" t="inlineStr">
        <is>
          <t>1</t>
        </is>
      </c>
      <c r="BG109" s="24" t="inlineStr">
        <is>
          <t>f585a7f3cb7ee04f9a319a60fa601ef15e86636fadaaa8c1380ac0f28f75c58a</t>
        </is>
      </c>
      <c r="BH109" s="24" t="inlineStr">
        <is>
          <t>2026-09-01T16:03:58.496581Z</t>
        </is>
      </c>
      <c r="BI109" s="24" t="inlineStr">
        <is>
          <t>["same_event","same_team_same_day","same_league_same_day"]</t>
        </is>
      </c>
      <c r="BJ109" s="25" t="n"/>
      <c r="BK109" s="26" t="n">
        <v>233</v>
      </c>
      <c r="BL109" s="27" t="n">
        <v>3.33</v>
      </c>
      <c r="BM109" s="28" t="n">
        <v>0.3003</v>
      </c>
      <c r="BN109" s="28" t="n"/>
      <c r="BO109" s="28" t="n"/>
      <c r="BP109" s="25" t="n"/>
      <c r="BQ109" s="27" t="n">
        <v>3.33</v>
      </c>
      <c r="BR109" s="28" t="n">
        <v>0.3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-1</v>
      </c>
      <c r="BZ109" s="24" t="inlineStr">
        <is>
          <t>2026-09-02T04:31:55.630313Z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0.3003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b3a0c906003d404f</t>
        </is>
      </c>
      <c r="B110" s="24" t="inlineStr">
        <is>
          <t>2026-09-02T16:08:27.241549Z</t>
        </is>
      </c>
      <c r="C110" s="24" t="inlineStr">
        <is>
          <t>2026-09-02T22:30Z</t>
        </is>
      </c>
      <c r="D110" s="24" t="inlineStr">
        <is>
          <t>401913077</t>
        </is>
      </c>
      <c r="E110" s="24" t="inlineStr">
        <is>
          <t>SOCCER</t>
        </is>
      </c>
      <c r="F110" s="24" t="inlineStr">
        <is>
          <t>Mirassol</t>
        </is>
      </c>
      <c r="G110" s="24" t="inlineStr">
        <is>
          <t>Flamengo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-488</v>
      </c>
      <c r="M110" s="27" t="n">
        <v>1.204918</v>
      </c>
      <c r="N110" s="28" t="n">
        <v>0.829932</v>
      </c>
      <c r="O110" s="28" t="n">
        <v>0.440521</v>
      </c>
      <c r="P110" s="28" t="n">
        <v>0.2</v>
      </c>
      <c r="Q110" s="28" t="n">
        <v>-0.389411</v>
      </c>
      <c r="R110" s="26" t="n">
        <v>0</v>
      </c>
      <c r="S110" s="29" t="n">
        <v>1</v>
      </c>
      <c r="T110" s="24" t="inlineStr">
        <is>
          <t>soccer-poisson-dc-v1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2</v>
      </c>
      <c r="Y110" s="25" t="n"/>
      <c r="Z110" s="26" t="n">
        <v>-488</v>
      </c>
      <c r="AA110" s="28" t="n">
        <v>0.83</v>
      </c>
      <c r="AB110" s="28" t="n">
        <v>6.8e-05</v>
      </c>
      <c r="AC110" s="30" t="n">
        <v>0.2049</v>
      </c>
      <c r="AD110" s="24" t="inlineStr">
        <is>
          <t>2026-09-03T04:31:07.646270Z</t>
        </is>
      </c>
      <c r="AE110" s="31" t="inlineStr">
        <is>
          <t>Poisson-DC rates 1.46 (home) / 1.10 (away) from EWMA attack/defense strengths. Executable ask 0.8300 (atc-bra-fla-mir-2026-09-02-fla).</t>
        </is>
      </c>
      <c r="AF110" s="31" t="inlineStr">
        <is>
          <t>Research-only soccer score model; draw-aware, but not yet locked-holdout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PAPER_CALL_MODEL_UNVALIDATED</t>
        </is>
      </c>
      <c r="AP110" s="24" t="inlineStr">
        <is>
          <t>Mirassol</t>
        </is>
      </c>
      <c r="AQ110" s="24" t="inlineStr">
        <is>
          <t>Mirassol</t>
        </is>
      </c>
      <c r="AR110" s="24" t="inlineStr">
        <is>
          <t>Mirassol</t>
        </is>
      </c>
      <c r="AS110" s="24" t="inlineStr">
        <is>
          <t>Flamengo</t>
        </is>
      </c>
      <c r="AT110" s="24" t="inlineStr">
        <is>
          <t>Flamengo</t>
        </is>
      </c>
      <c r="AU110" s="24" t="inlineStr">
        <is>
          <t>Flamengo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f585a7f3cb7ee04f9a319a60fa601ef15e86636fadaaa8c1380ac0f28f75c58a</t>
        </is>
      </c>
      <c r="BB110" s="24" t="inlineStr">
        <is>
          <t>poisson_dixon_coles</t>
        </is>
      </c>
      <c r="BC110" s="24" t="inlineStr">
        <is>
          <t>soccer-poisson-dc-v1</t>
        </is>
      </c>
      <c r="BD110" s="24" t="inlineStr">
        <is>
          <t>f585a7f3cb7ee04f9a319a60fa601ef15e86636fadaaa8c1380ac0f28f75c58a</t>
        </is>
      </c>
      <c r="BE110" s="24" t="inlineStr">
        <is>
          <t>soccer-poisson-dc-v1</t>
        </is>
      </c>
      <c r="BF110" s="24" t="inlineStr">
        <is>
          <t>1</t>
        </is>
      </c>
      <c r="BG110" s="24" t="inlineStr">
        <is>
          <t>f585a7f3cb7ee04f9a319a60fa601ef15e86636fadaaa8c1380ac0f28f75c58a</t>
        </is>
      </c>
      <c r="BH110" s="24" t="inlineStr">
        <is>
          <t>2026-09-02T16:07:10.641783Z</t>
        </is>
      </c>
      <c r="BI110" s="24" t="inlineStr">
        <is>
          <t>["same_event","same_team_same_day","same_league_same_day"]</t>
        </is>
      </c>
      <c r="BJ110" s="25" t="n"/>
      <c r="BK110" s="26" t="n">
        <v>-488</v>
      </c>
      <c r="BL110" s="27" t="n">
        <v>1.204918</v>
      </c>
      <c r="BM110" s="28" t="n">
        <v>0.829932</v>
      </c>
      <c r="BN110" s="28" t="n"/>
      <c r="BO110" s="28" t="n"/>
      <c r="BP110" s="25" t="n"/>
      <c r="BQ110" s="27" t="n">
        <v>1.204918</v>
      </c>
      <c r="BR110" s="28" t="n">
        <v>0.83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0.204918</v>
      </c>
      <c r="BZ110" s="24" t="inlineStr">
        <is>
          <t>2026-09-03T04:31:07.646270Z</t>
        </is>
      </c>
      <c r="CA110" s="31" t="inlineStr">
        <is>
          <t>fixed one-unit hypothetical scoring; no real exposure or execution</t>
        </is>
      </c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0.829932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026f8082962c421c</t>
        </is>
      </c>
      <c r="B111" s="24" t="inlineStr">
        <is>
          <t>2026-09-02T16:08:27.241549Z</t>
        </is>
      </c>
      <c r="C111" s="24" t="inlineStr">
        <is>
          <t>2026-09-02T23:00Z</t>
        </is>
      </c>
      <c r="D111" s="24" t="inlineStr">
        <is>
          <t>401843975</t>
        </is>
      </c>
      <c r="E111" s="24" t="inlineStr">
        <is>
          <t>SOCCER</t>
        </is>
      </c>
      <c r="F111" s="24" t="inlineStr">
        <is>
          <t>Midland</t>
        </is>
      </c>
      <c r="G111" s="24" t="inlineStr">
        <is>
          <t>Colegiales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194</v>
      </c>
      <c r="M111" s="27" t="n">
        <v>2.94</v>
      </c>
      <c r="N111" s="28" t="n">
        <v>0.340136</v>
      </c>
      <c r="O111" s="28" t="n">
        <v>0.456135</v>
      </c>
      <c r="P111" s="28" t="n">
        <v>0.2</v>
      </c>
      <c r="Q111" s="28" t="n">
        <v>0.115999</v>
      </c>
      <c r="R111" s="26" t="n">
        <v>0</v>
      </c>
      <c r="S111" s="29" t="n">
        <v>1</v>
      </c>
      <c r="T111" s="24" t="inlineStr">
        <is>
          <t>soccer-poisson-dc-v1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3</v>
      </c>
      <c r="Y111" s="25" t="n"/>
      <c r="Z111" s="26" t="n">
        <v>194</v>
      </c>
      <c r="AA111" s="28" t="n">
        <v>0.34</v>
      </c>
      <c r="AB111" s="28" t="n">
        <v>-0.000136</v>
      </c>
      <c r="AC111" s="30" t="n">
        <v>1.94</v>
      </c>
      <c r="AD111" s="24" t="inlineStr">
        <is>
          <t>2026-09-03T04:31:08.758927Z</t>
        </is>
      </c>
      <c r="AE111" s="31" t="inlineStr">
        <is>
          <t>Poisson-DC rates 1.64 (home) / 1.24 (away) from EWMA attack/defense strengths. Executable ask 0.3400 (atc-arg2-cac-afm-2026-09-02-cac).</t>
        </is>
      </c>
      <c r="AF111" s="31" t="inlineStr">
        <is>
          <t>Research-only soccer score model; draw-aware, but not yet locked-holdout qualified.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PAPER_CALL_MODEL_UNVALIDATED</t>
        </is>
      </c>
      <c r="AP111" s="24" t="inlineStr">
        <is>
          <t>Midland</t>
        </is>
      </c>
      <c r="AQ111" s="24" t="inlineStr">
        <is>
          <t>Midland</t>
        </is>
      </c>
      <c r="AR111" s="24" t="inlineStr">
        <is>
          <t>Midland</t>
        </is>
      </c>
      <c r="AS111" s="24" t="inlineStr">
        <is>
          <t>Colegiales</t>
        </is>
      </c>
      <c r="AT111" s="24" t="inlineStr">
        <is>
          <t>Colegiales</t>
        </is>
      </c>
      <c r="AU111" s="24" t="inlineStr">
        <is>
          <t>Colegiales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f585a7f3cb7ee04f9a319a60fa601ef15e86636fadaaa8c1380ac0f28f75c58a</t>
        </is>
      </c>
      <c r="BB111" s="24" t="inlineStr">
        <is>
          <t>poisson_dixon_coles</t>
        </is>
      </c>
      <c r="BC111" s="24" t="inlineStr">
        <is>
          <t>soccer-poisson-dc-v1</t>
        </is>
      </c>
      <c r="BD111" s="24" t="inlineStr">
        <is>
          <t>f585a7f3cb7ee04f9a319a60fa601ef15e86636fadaaa8c1380ac0f28f75c58a</t>
        </is>
      </c>
      <c r="BE111" s="24" t="inlineStr">
        <is>
          <t>soccer-poisson-dc-v1</t>
        </is>
      </c>
      <c r="BF111" s="24" t="inlineStr">
        <is>
          <t>1</t>
        </is>
      </c>
      <c r="BG111" s="24" t="inlineStr">
        <is>
          <t>f585a7f3cb7ee04f9a319a60fa601ef15e86636fadaaa8c1380ac0f28f75c58a</t>
        </is>
      </c>
      <c r="BH111" s="24" t="inlineStr">
        <is>
          <t>2026-09-02T16:07:10.647811Z</t>
        </is>
      </c>
      <c r="BI111" s="24" t="inlineStr">
        <is>
          <t>["same_event","same_team_same_day","same_league_same_day"]</t>
        </is>
      </c>
      <c r="BJ111" s="25" t="n"/>
      <c r="BK111" s="26" t="n">
        <v>194</v>
      </c>
      <c r="BL111" s="27" t="n">
        <v>2.94</v>
      </c>
      <c r="BM111" s="28" t="n">
        <v>0.340136</v>
      </c>
      <c r="BN111" s="28" t="n"/>
      <c r="BO111" s="28" t="n"/>
      <c r="BP111" s="25" t="n"/>
      <c r="BQ111" s="27" t="n">
        <v>2.94</v>
      </c>
      <c r="BR111" s="28" t="n">
        <v>0.34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1.94</v>
      </c>
      <c r="BZ111" s="24" t="inlineStr">
        <is>
          <t>2026-09-03T04:31:08.758927Z</t>
        </is>
      </c>
      <c r="CA111" s="31" t="inlineStr">
        <is>
          <t>fixed one-unit hypothetical scoring; no real exposure or execution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0.340136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2a2235f5a8a84fd1</t>
        </is>
      </c>
      <c r="B112" s="24" t="inlineStr">
        <is>
          <t>2026-09-02T16:08:27.241549Z</t>
        </is>
      </c>
      <c r="C112" s="24" t="inlineStr">
        <is>
          <t>2026-09-03T01:25Z</t>
        </is>
      </c>
      <c r="D112" s="24" t="inlineStr">
        <is>
          <t>401877839</t>
        </is>
      </c>
      <c r="E112" s="24" t="inlineStr">
        <is>
          <t>SOCCER</t>
        </is>
      </c>
      <c r="F112" s="24" t="inlineStr">
        <is>
          <t>Millonarios</t>
        </is>
      </c>
      <c r="G112" s="24" t="inlineStr">
        <is>
          <t>Independiente Santa Fe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223</v>
      </c>
      <c r="M112" s="27" t="n">
        <v>3.23</v>
      </c>
      <c r="N112" s="28" t="n">
        <v>0.309598</v>
      </c>
      <c r="O112" s="28" t="n">
        <v>0.440521</v>
      </c>
      <c r="P112" s="28" t="n">
        <v>0.2</v>
      </c>
      <c r="Q112" s="28" t="n">
        <v>0.130923</v>
      </c>
      <c r="R112" s="26" t="n">
        <v>0</v>
      </c>
      <c r="S112" s="29" t="n">
        <v>1</v>
      </c>
      <c r="T112" s="24" t="inlineStr">
        <is>
          <t>soccer-poisson-dc-v1</t>
        </is>
      </c>
      <c r="U112" s="24" t="inlineStr">
        <is>
          <t>settled</t>
        </is>
      </c>
      <c r="V112" s="24" t="inlineStr">
        <is>
          <t>win</t>
        </is>
      </c>
      <c r="W112" s="26" t="n">
        <v>2</v>
      </c>
      <c r="X112" s="26" t="n">
        <v>3</v>
      </c>
      <c r="Y112" s="25" t="n"/>
      <c r="Z112" s="26" t="n">
        <v>223</v>
      </c>
      <c r="AA112" s="28" t="n">
        <v>0.31</v>
      </c>
      <c r="AB112" s="28" t="n">
        <v>0.000402</v>
      </c>
      <c r="AC112" s="30" t="n">
        <v>2.23</v>
      </c>
      <c r="AD112" s="24" t="inlineStr">
        <is>
          <t>2026-09-03T04:31:09.816275Z</t>
        </is>
      </c>
      <c r="AE112" s="31" t="inlineStr">
        <is>
          <t>Poisson-DC rates 1.46 (home) / 1.10 (away) from EWMA attack/defense strengths. Executable ask 0.3100 (atc-lco-san-mil-2026-09-02-san).</t>
        </is>
      </c>
      <c r="AF112" s="31" t="inlineStr">
        <is>
          <t>Research-only soccer score model; draw-aware, but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PAPER_CALL_MODEL_UNVALIDATED</t>
        </is>
      </c>
      <c r="AP112" s="24" t="inlineStr">
        <is>
          <t>Millonarios</t>
        </is>
      </c>
      <c r="AQ112" s="24" t="inlineStr">
        <is>
          <t>Millonarios</t>
        </is>
      </c>
      <c r="AR112" s="24" t="inlineStr">
        <is>
          <t>Millonarios</t>
        </is>
      </c>
      <c r="AS112" s="24" t="inlineStr">
        <is>
          <t>Independiente Santa Fe</t>
        </is>
      </c>
      <c r="AT112" s="24" t="inlineStr">
        <is>
          <t>Independiente Santa Fe</t>
        </is>
      </c>
      <c r="AU112" s="24" t="inlineStr">
        <is>
          <t>Independiente Santa Fe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f585a7f3cb7ee04f9a319a60fa601ef15e86636fadaaa8c1380ac0f28f75c58a</t>
        </is>
      </c>
      <c r="BB112" s="24" t="inlineStr">
        <is>
          <t>poisson_dixon_coles</t>
        </is>
      </c>
      <c r="BC112" s="24" t="inlineStr">
        <is>
          <t>soccer-poisson-dc-v1</t>
        </is>
      </c>
      <c r="BD112" s="24" t="inlineStr">
        <is>
          <t>f585a7f3cb7ee04f9a319a60fa601ef15e86636fadaaa8c1380ac0f28f75c58a</t>
        </is>
      </c>
      <c r="BE112" s="24" t="inlineStr">
        <is>
          <t>soccer-poisson-dc-v1</t>
        </is>
      </c>
      <c r="BF112" s="24" t="inlineStr">
        <is>
          <t>1</t>
        </is>
      </c>
      <c r="BG112" s="24" t="inlineStr">
        <is>
          <t>f585a7f3cb7ee04f9a319a60fa601ef15e86636fadaaa8c1380ac0f28f75c58a</t>
        </is>
      </c>
      <c r="BH112" s="24" t="inlineStr">
        <is>
          <t>2026-09-02T16:07:10.674780Z</t>
        </is>
      </c>
      <c r="BI112" s="24" t="inlineStr">
        <is>
          <t>["same_event","same_team_same_day","same_league_same_day"]</t>
        </is>
      </c>
      <c r="BJ112" s="25" t="n"/>
      <c r="BK112" s="26" t="n">
        <v>223</v>
      </c>
      <c r="BL112" s="27" t="n">
        <v>3.23</v>
      </c>
      <c r="BM112" s="28" t="n">
        <v>0.309598</v>
      </c>
      <c r="BN112" s="28" t="n"/>
      <c r="BO112" s="28" t="n"/>
      <c r="BP112" s="25" t="n"/>
      <c r="BQ112" s="27" t="n">
        <v>3.23</v>
      </c>
      <c r="BR112" s="28" t="n">
        <v>0.31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2.229995</v>
      </c>
      <c r="BZ112" s="24" t="inlineStr">
        <is>
          <t>2026-09-03T04:31:09.816275Z</t>
        </is>
      </c>
      <c r="CA112" s="31" t="inlineStr">
        <is>
          <t>fixed one-unit hypothetical scoring; no real exposure or execution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0.309598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d314306b58ea451a</t>
        </is>
      </c>
      <c r="B113" s="24" t="inlineStr">
        <is>
          <t>2026-09-02T16:08:27.241549Z</t>
        </is>
      </c>
      <c r="C113" s="24" t="inlineStr">
        <is>
          <t>2026-09-02T19:00Z</t>
        </is>
      </c>
      <c r="D113" s="24" t="inlineStr">
        <is>
          <t>401859680</t>
        </is>
      </c>
      <c r="E113" s="24" t="inlineStr">
        <is>
          <t>SOCCER</t>
        </is>
      </c>
      <c r="F113" s="24" t="inlineStr">
        <is>
          <t>Manta F.C.</t>
        </is>
      </c>
      <c r="G113" s="24" t="inlineStr">
        <is>
          <t>Macará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-194</v>
      </c>
      <c r="M113" s="27" t="n">
        <v>1.515464</v>
      </c>
      <c r="N113" s="28" t="n">
        <v>0.659864</v>
      </c>
      <c r="O113" s="28" t="n">
        <v>0.456135</v>
      </c>
      <c r="P113" s="28" t="n">
        <v>0.2</v>
      </c>
      <c r="Q113" s="28" t="n">
        <v>-0.203729</v>
      </c>
      <c r="R113" s="26" t="n">
        <v>0</v>
      </c>
      <c r="S113" s="29" t="n">
        <v>1</v>
      </c>
      <c r="T113" s="24" t="inlineStr">
        <is>
          <t>soccer-poisson-dc-v1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4</v>
      </c>
      <c r="Y113" s="25" t="n"/>
      <c r="Z113" s="26" t="n">
        <v>-194</v>
      </c>
      <c r="AA113" s="28" t="n">
        <v>0.66</v>
      </c>
      <c r="AB113" s="28" t="n">
        <v>0.000136</v>
      </c>
      <c r="AC113" s="30" t="n">
        <v>0.5155</v>
      </c>
      <c r="AD113" s="24" t="inlineStr">
        <is>
          <t>2026-09-03T04:31:10.964869Z</t>
        </is>
      </c>
      <c r="AE113" s="31" t="inlineStr">
        <is>
          <t>Poisson-DC rates 1.64 (home) / 1.24 (away) from EWMA attack/defense strengths. Executable ask 0.6600 (atc-ecu1-mac-man-2026-09-02-mac).</t>
        </is>
      </c>
      <c r="AF113" s="31" t="inlineStr">
        <is>
          <t>Research-only soccer score model; draw-aware, but not yet locked-holdout qualified.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PAPER_CALL_MODEL_UNVALIDATED</t>
        </is>
      </c>
      <c r="AP113" s="24" t="inlineStr">
        <is>
          <t>Manta F.C.</t>
        </is>
      </c>
      <c r="AQ113" s="24" t="inlineStr">
        <is>
          <t>Manta F.C.</t>
        </is>
      </c>
      <c r="AR113" s="24" t="inlineStr">
        <is>
          <t>Manta F.C.</t>
        </is>
      </c>
      <c r="AS113" s="24" t="inlineStr">
        <is>
          <t>Macará</t>
        </is>
      </c>
      <c r="AT113" s="24" t="inlineStr">
        <is>
          <t>Macará</t>
        </is>
      </c>
      <c r="AU113" s="24" t="inlineStr">
        <is>
          <t>Macará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f585a7f3cb7ee04f9a319a60fa601ef15e86636fadaaa8c1380ac0f28f75c58a</t>
        </is>
      </c>
      <c r="BB113" s="24" t="inlineStr">
        <is>
          <t>poisson_dixon_coles</t>
        </is>
      </c>
      <c r="BC113" s="24" t="inlineStr">
        <is>
          <t>soccer-poisson-dc-v1</t>
        </is>
      </c>
      <c r="BD113" s="24" t="inlineStr">
        <is>
          <t>f585a7f3cb7ee04f9a319a60fa601ef15e86636fadaaa8c1380ac0f28f75c58a</t>
        </is>
      </c>
      <c r="BE113" s="24" t="inlineStr">
        <is>
          <t>soccer-poisson-dc-v1</t>
        </is>
      </c>
      <c r="BF113" s="24" t="inlineStr">
        <is>
          <t>1</t>
        </is>
      </c>
      <c r="BG113" s="24" t="inlineStr">
        <is>
          <t>f585a7f3cb7ee04f9a319a60fa601ef15e86636fadaaa8c1380ac0f28f75c58a</t>
        </is>
      </c>
      <c r="BH113" s="24" t="inlineStr">
        <is>
          <t>2026-09-02T16:07:10.695357Z</t>
        </is>
      </c>
      <c r="BI113" s="24" t="inlineStr">
        <is>
          <t>["same_event","same_team_same_day","same_league_same_day"]</t>
        </is>
      </c>
      <c r="BJ113" s="25" t="n"/>
      <c r="BK113" s="26" t="n">
        <v>-194</v>
      </c>
      <c r="BL113" s="27" t="n">
        <v>1.515464</v>
      </c>
      <c r="BM113" s="28" t="n">
        <v>0.659864</v>
      </c>
      <c r="BN113" s="28" t="n"/>
      <c r="BO113" s="28" t="n"/>
      <c r="BP113" s="25" t="n"/>
      <c r="BQ113" s="27" t="n">
        <v>1.515464</v>
      </c>
      <c r="BR113" s="28" t="n">
        <v>0.66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0.515464</v>
      </c>
      <c r="BZ113" s="24" t="inlineStr">
        <is>
          <t>2026-09-03T04:31:10.964869Z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0.659864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cddf5d0bff0d4c4a</t>
        </is>
      </c>
      <c r="B114" s="24" t="inlineStr">
        <is>
          <t>2026-09-02T16:08:27.241549Z</t>
        </is>
      </c>
      <c r="C114" s="24" t="inlineStr">
        <is>
          <t>2026-09-03T00:00Z</t>
        </is>
      </c>
      <c r="D114" s="24" t="inlineStr">
        <is>
          <t>401859677</t>
        </is>
      </c>
      <c r="E114" s="24" t="inlineStr">
        <is>
          <t>SOCCER</t>
        </is>
      </c>
      <c r="F114" s="24" t="inlineStr">
        <is>
          <t>Independiente del Valle</t>
        </is>
      </c>
      <c r="G114" s="24" t="inlineStr">
        <is>
          <t>Barcelona SC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270</v>
      </c>
      <c r="M114" s="27" t="n">
        <v>3.7</v>
      </c>
      <c r="N114" s="28" t="n">
        <v>0.27027</v>
      </c>
      <c r="O114" s="28" t="n">
        <v>0.643159</v>
      </c>
      <c r="P114" s="28" t="n">
        <v>0.2</v>
      </c>
      <c r="Q114" s="28" t="n">
        <v>0.372889</v>
      </c>
      <c r="R114" s="26" t="n">
        <v>100</v>
      </c>
      <c r="S114" s="29" t="n">
        <v>2</v>
      </c>
      <c r="T114" s="24" t="inlineStr">
        <is>
          <t>soccer-poisson-dc-v1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2</v>
      </c>
      <c r="Y114" s="25" t="n"/>
      <c r="Z114" s="26" t="n">
        <v>270</v>
      </c>
      <c r="AA114" s="28" t="n">
        <v>0.27</v>
      </c>
      <c r="AB114" s="28" t="n">
        <v>-0.00027</v>
      </c>
      <c r="AC114" s="30" t="n">
        <v>5.4</v>
      </c>
      <c r="AD114" s="24" t="inlineStr">
        <is>
          <t>2026-09-03T04:31:11.918753Z</t>
        </is>
      </c>
      <c r="AE114" s="31" t="inlineStr">
        <is>
          <t>Poisson-DC rates 2.32 (home) / 1.08 (away) from EWMA attack/defense strengths. Executable ask 0.2700 (atc-ecu1-bsc-ind-2026-09-02-bsc).</t>
        </is>
      </c>
      <c r="AF114" s="31" t="inlineStr">
        <is>
          <t>Research-only soccer score model; draw-aware, but not yet locked-holdout qualified.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PAPER_CALL_MODEL_UNVALIDATED</t>
        </is>
      </c>
      <c r="AP114" s="24" t="inlineStr">
        <is>
          <t>Independiente del Valle</t>
        </is>
      </c>
      <c r="AQ114" s="24" t="inlineStr">
        <is>
          <t>Independiente del Valle</t>
        </is>
      </c>
      <c r="AR114" s="24" t="inlineStr">
        <is>
          <t>Independiente del Valle</t>
        </is>
      </c>
      <c r="AS114" s="24" t="inlineStr">
        <is>
          <t>Barcelona SC</t>
        </is>
      </c>
      <c r="AT114" s="24" t="inlineStr">
        <is>
          <t>Barcelona SC</t>
        </is>
      </c>
      <c r="AU114" s="24" t="inlineStr">
        <is>
          <t>Barcelona SC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f585a7f3cb7ee04f9a319a60fa601ef15e86636fadaaa8c1380ac0f28f75c58a</t>
        </is>
      </c>
      <c r="BB114" s="24" t="inlineStr">
        <is>
          <t>poisson_dixon_coles</t>
        </is>
      </c>
      <c r="BC114" s="24" t="inlineStr">
        <is>
          <t>soccer-poisson-dc-v1</t>
        </is>
      </c>
      <c r="BD114" s="24" t="inlineStr">
        <is>
          <t>f585a7f3cb7ee04f9a319a60fa601ef15e86636fadaaa8c1380ac0f28f75c58a</t>
        </is>
      </c>
      <c r="BE114" s="24" t="inlineStr">
        <is>
          <t>soccer-poisson-dc-v1</t>
        </is>
      </c>
      <c r="BF114" s="24" t="inlineStr">
        <is>
          <t>1</t>
        </is>
      </c>
      <c r="BG114" s="24" t="inlineStr">
        <is>
          <t>f585a7f3cb7ee04f9a319a60fa601ef15e86636fadaaa8c1380ac0f28f75c58a</t>
        </is>
      </c>
      <c r="BH114" s="24" t="inlineStr">
        <is>
          <t>2026-09-02T16:07:10.734199Z</t>
        </is>
      </c>
      <c r="BI114" s="24" t="inlineStr">
        <is>
          <t>["same_event","same_team_same_day","same_league_same_day"]</t>
        </is>
      </c>
      <c r="BJ114" s="25" t="n"/>
      <c r="BK114" s="26" t="n">
        <v>270</v>
      </c>
      <c r="BL114" s="27" t="n">
        <v>3.7</v>
      </c>
      <c r="BM114" s="28" t="n">
        <v>0.27027</v>
      </c>
      <c r="BN114" s="28" t="n"/>
      <c r="BO114" s="28" t="n"/>
      <c r="BP114" s="25" t="n"/>
      <c r="BQ114" s="27" t="n">
        <v>3.7</v>
      </c>
      <c r="BR114" s="28" t="n">
        <v>0.27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2.700004</v>
      </c>
      <c r="BZ114" s="24" t="inlineStr">
        <is>
          <t>2026-09-03T04:31:11.918753Z</t>
        </is>
      </c>
      <c r="CA114" s="31" t="inlineStr">
        <is>
          <t>fixed one-unit hypothetical scoring; no real exposure or execution</t>
        </is>
      </c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0.27027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f42282aae93d490e</t>
        </is>
      </c>
      <c r="B115" s="24" t="inlineStr">
        <is>
          <t>2026-09-03T16:11:14.992111Z</t>
        </is>
      </c>
      <c r="C115" s="24" t="inlineStr">
        <is>
          <t>2026-09-03T19:00Z</t>
        </is>
      </c>
      <c r="D115" s="24" t="inlineStr">
        <is>
          <t>401882867</t>
        </is>
      </c>
      <c r="E115" s="24" t="inlineStr">
        <is>
          <t>SOCCER</t>
        </is>
      </c>
      <c r="F115" s="24" t="inlineStr">
        <is>
          <t>Celta Vigo</t>
        </is>
      </c>
      <c r="G115" s="24" t="inlineStr">
        <is>
          <t>Real Sociedad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0.424007</v>
      </c>
      <c r="P115" s="28" t="n">
        <v>0.04</v>
      </c>
      <c r="Q115" s="28" t="n">
        <v>-0.115164</v>
      </c>
      <c r="R115" s="26" t="n">
        <v>0</v>
      </c>
      <c r="S115" s="29" t="n">
        <v>1</v>
      </c>
      <c r="T115" s="24" t="inlineStr">
        <is>
          <t>soccer-poisson-dc-v1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0</v>
      </c>
      <c r="Y115" s="25" t="n"/>
      <c r="Z115" s="26" t="n">
        <v>-117</v>
      </c>
      <c r="AA115" s="28" t="n">
        <v>0.54</v>
      </c>
      <c r="AB115" s="28" t="n">
        <v>0.000829</v>
      </c>
      <c r="AC115" s="30" t="n">
        <v>-1</v>
      </c>
      <c r="AD115" s="24" t="inlineStr">
        <is>
          <t>2026-09-04T04:31:12.394021Z</t>
        </is>
      </c>
      <c r="AE115" s="31" t="inlineStr">
        <is>
          <t>Poisson-DC rates 1.74 (home) / 1.50 (away) from EWMA attack/defense strengths. Executable ask 0.5400 (atc-lal-rso-cel-2026-09-03-rso).</t>
        </is>
      </c>
      <c r="AF115" s="31" t="inlineStr">
        <is>
          <t>Research-only soccer score model; draw-aware, but not yet locked-holdout qualified.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Celta Vigo</t>
        </is>
      </c>
      <c r="AQ115" s="24" t="inlineStr">
        <is>
          <t>Celta Vigo</t>
        </is>
      </c>
      <c r="AR115" s="24" t="inlineStr">
        <is>
          <t>Celta Vigo</t>
        </is>
      </c>
      <c r="AS115" s="24" t="inlineStr">
        <is>
          <t>Real Sociedad</t>
        </is>
      </c>
      <c r="AT115" s="24" t="inlineStr">
        <is>
          <t>Real Sociedad</t>
        </is>
      </c>
      <c r="AU115" s="24" t="inlineStr">
        <is>
          <t>Real Sociedad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f585a7f3cb7ee04f9a319a60fa601ef15e86636fadaaa8c1380ac0f28f75c58a</t>
        </is>
      </c>
      <c r="BB115" s="24" t="inlineStr">
        <is>
          <t>poisson_dixon_coles</t>
        </is>
      </c>
      <c r="BC115" s="24" t="inlineStr">
        <is>
          <t>soccer-poisson-dc-v1</t>
        </is>
      </c>
      <c r="BD115" s="24" t="inlineStr">
        <is>
          <t>f585a7f3cb7ee04f9a319a60fa601ef15e86636fadaaa8c1380ac0f28f75c58a</t>
        </is>
      </c>
      <c r="BE115" s="24" t="inlineStr">
        <is>
          <t>soccer-poisson-dc-v1</t>
        </is>
      </c>
      <c r="BF115" s="24" t="inlineStr">
        <is>
          <t>1</t>
        </is>
      </c>
      <c r="BG115" s="24" t="inlineStr">
        <is>
          <t>f585a7f3cb7ee04f9a319a60fa601ef15e86636fadaaa8c1380ac0f28f75c58a</t>
        </is>
      </c>
      <c r="BH115" s="24" t="inlineStr">
        <is>
          <t>2026-09-03T16:10:19.563906Z</t>
        </is>
      </c>
      <c r="BI115" s="24" t="inlineStr">
        <is>
          <t>["same_event","same_team_same_day","same_league_same_day"]</t>
        </is>
      </c>
      <c r="BJ115" s="25" t="n"/>
      <c r="BK115" s="26" t="n">
        <v>-117</v>
      </c>
      <c r="BL115" s="27" t="n">
        <v>1.854701</v>
      </c>
      <c r="BM115" s="28" t="n">
        <v>0.539171</v>
      </c>
      <c r="BN115" s="28" t="n"/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2026-09-04T04:31:12.394021Z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0.539171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4fca4ce504e1485a</t>
        </is>
      </c>
      <c r="B116" s="24" t="inlineStr">
        <is>
          <t>2026-09-03T16:11:14.992111Z</t>
        </is>
      </c>
      <c r="C116" s="24" t="inlineStr">
        <is>
          <t>2026-09-03T21:30Z</t>
        </is>
      </c>
      <c r="D116" s="24" t="inlineStr">
        <is>
          <t>401859723</t>
        </is>
      </c>
      <c r="E116" s="24" t="inlineStr">
        <is>
          <t>SOCCER</t>
        </is>
      </c>
      <c r="F116" s="24" t="inlineStr">
        <is>
          <t>Orense</t>
        </is>
      </c>
      <c r="G116" s="24" t="inlineStr">
        <is>
          <t>Leones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104</v>
      </c>
      <c r="M116" s="27" t="n">
        <v>2.04</v>
      </c>
      <c r="N116" s="28" t="n">
        <v>0.490196</v>
      </c>
      <c r="O116" s="28" t="n">
        <v>0.520801</v>
      </c>
      <c r="P116" s="28" t="n">
        <v>0.19</v>
      </c>
      <c r="Q116" s="28" t="n">
        <v>0.030605</v>
      </c>
      <c r="R116" s="26" t="n">
        <v>0</v>
      </c>
      <c r="S116" s="29" t="n">
        <v>1</v>
      </c>
      <c r="T116" s="24" t="inlineStr">
        <is>
          <t>soccer-poisson-dc-v1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>
        <v>104</v>
      </c>
      <c r="AA116" s="28" t="n">
        <v>0.49</v>
      </c>
      <c r="AB116" s="28" t="n">
        <v>-0.000196</v>
      </c>
      <c r="AC116" s="30" t="n">
        <v>1.04</v>
      </c>
      <c r="AD116" s="24" t="inlineStr">
        <is>
          <t>2026-09-04T04:31:15.233824Z</t>
        </is>
      </c>
      <c r="AE116" s="31" t="inlineStr">
        <is>
          <t>Poisson-DC rates 1.66 (home) / 0.98 (away) from EWMA attack/defense strengths. Executable ask 0.4900 (atc-ecu1-leo-ore-2026-09-03-leo).</t>
        </is>
      </c>
      <c r="AF116" s="31" t="inlineStr">
        <is>
          <t>Research-only soccer score model; draw-aware, but not yet locked-holdout qualified.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PAPER_CALL_MODEL_UNVALIDATED</t>
        </is>
      </c>
      <c r="AP116" s="24" t="inlineStr">
        <is>
          <t>Orense</t>
        </is>
      </c>
      <c r="AQ116" s="24" t="inlineStr">
        <is>
          <t>Orense</t>
        </is>
      </c>
      <c r="AR116" s="24" t="inlineStr">
        <is>
          <t>Orense</t>
        </is>
      </c>
      <c r="AS116" s="24" t="inlineStr">
        <is>
          <t>Leones</t>
        </is>
      </c>
      <c r="AT116" s="24" t="inlineStr">
        <is>
          <t>Leones</t>
        </is>
      </c>
      <c r="AU116" s="24" t="inlineStr">
        <is>
          <t>Leones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f585a7f3cb7ee04f9a319a60fa601ef15e86636fadaaa8c1380ac0f28f75c58a</t>
        </is>
      </c>
      <c r="BB116" s="24" t="inlineStr">
        <is>
          <t>poisson_dixon_coles</t>
        </is>
      </c>
      <c r="BC116" s="24" t="inlineStr">
        <is>
          <t>soccer-poisson-dc-v1</t>
        </is>
      </c>
      <c r="BD116" s="24" t="inlineStr">
        <is>
          <t>f585a7f3cb7ee04f9a319a60fa601ef15e86636fadaaa8c1380ac0f28f75c58a</t>
        </is>
      </c>
      <c r="BE116" s="24" t="inlineStr">
        <is>
          <t>soccer-poisson-dc-v1</t>
        </is>
      </c>
      <c r="BF116" s="24" t="inlineStr">
        <is>
          <t>1</t>
        </is>
      </c>
      <c r="BG116" s="24" t="inlineStr">
        <is>
          <t>f585a7f3cb7ee04f9a319a60fa601ef15e86636fadaaa8c1380ac0f28f75c58a</t>
        </is>
      </c>
      <c r="BH116" s="24" t="inlineStr">
        <is>
          <t>2026-09-03T16:10:19.768636Z</t>
        </is>
      </c>
      <c r="BI116" s="24" t="inlineStr">
        <is>
          <t>["same_event","same_team_same_day","same_league_same_day"]</t>
        </is>
      </c>
      <c r="BJ116" s="25" t="n"/>
      <c r="BK116" s="26" t="n">
        <v>104</v>
      </c>
      <c r="BL116" s="27" t="n">
        <v>2.04</v>
      </c>
      <c r="BM116" s="28" t="n">
        <v>0.490196</v>
      </c>
      <c r="BN116" s="28" t="n"/>
      <c r="BO116" s="28" t="n"/>
      <c r="BP116" s="25" t="n"/>
      <c r="BQ116" s="27" t="n">
        <v>2.04</v>
      </c>
      <c r="BR116" s="28" t="n">
        <v>0.49</v>
      </c>
      <c r="BS116" s="28" t="n"/>
      <c r="BT116" s="28" t="n"/>
      <c r="BU116" s="25" t="n"/>
      <c r="BV116" s="29" t="n"/>
      <c r="BW116" s="24" t="n"/>
      <c r="BX116" s="30" t="n">
        <v>1</v>
      </c>
      <c r="BY116" s="27" t="n">
        <v>1.04</v>
      </c>
      <c r="BZ116" s="24" t="inlineStr">
        <is>
          <t>2026-09-04T04:31:15.233824Z</t>
        </is>
      </c>
      <c r="CA116" s="31" t="inlineStr">
        <is>
          <t>fixed one-unit hypothetical scoring; no real exposure or execution</t>
        </is>
      </c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0.490196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88a84bc5067a4549</t>
        </is>
      </c>
      <c r="B117" s="24" t="inlineStr">
        <is>
          <t>2026-09-04T16:12:51.559787Z</t>
        </is>
      </c>
      <c r="C117" s="24" t="inlineStr">
        <is>
          <t>2026-09-04T19:00Z</t>
        </is>
      </c>
      <c r="D117" s="24" t="inlineStr">
        <is>
          <t>401879288</t>
        </is>
      </c>
      <c r="E117" s="24" t="inlineStr">
        <is>
          <t>SOCCER</t>
        </is>
      </c>
      <c r="F117" s="24" t="inlineStr">
        <is>
          <t>Liverpool</t>
        </is>
      </c>
      <c r="G117" s="24" t="inlineStr">
        <is>
          <t>Ipswich Town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525</v>
      </c>
      <c r="M117" s="27" t="n">
        <v>6.25</v>
      </c>
      <c r="N117" s="28" t="n">
        <v>0.16</v>
      </c>
      <c r="O117" s="28" t="n">
        <v>0.551409</v>
      </c>
      <c r="P117" s="28" t="n">
        <v>0.04</v>
      </c>
      <c r="Q117" s="28" t="n">
        <v>0.391409</v>
      </c>
      <c r="R117" s="26" t="n">
        <v>100</v>
      </c>
      <c r="S117" s="29" t="n">
        <v>2</v>
      </c>
      <c r="T117" s="24" t="inlineStr">
        <is>
          <t>soccer-poisson-dc-v1</t>
        </is>
      </c>
      <c r="U117" s="24" t="inlineStr">
        <is>
          <t>settled</t>
        </is>
      </c>
      <c r="V117" s="24" t="inlineStr">
        <is>
          <t>loss</t>
        </is>
      </c>
      <c r="W117" s="26" t="n">
        <v>2</v>
      </c>
      <c r="X117" s="26" t="n">
        <v>0</v>
      </c>
      <c r="Y117" s="25" t="n"/>
      <c r="Z117" s="26" t="n">
        <v>525</v>
      </c>
      <c r="AA117" s="28" t="n">
        <v>0.16</v>
      </c>
      <c r="AB117" s="28" t="n">
        <v>0</v>
      </c>
      <c r="AC117" s="30" t="n">
        <v>-2</v>
      </c>
      <c r="AD117" s="24" t="inlineStr">
        <is>
          <t>2026-09-04T22:00:21.432055Z</t>
        </is>
      </c>
      <c r="AE117" s="31" t="inlineStr">
        <is>
          <t>Poisson-DC rates 1.93 (home) / 1.12 (away) from EWMA attack/defense strengths. Executable ask 0.1600 (atc-epl-ips-liv-2026-09-04-ips).</t>
        </is>
      </c>
      <c r="AF117" s="31" t="inlineStr">
        <is>
          <t>Research-only soccer score model; draw-aware, but not yet locked-holdout qualified.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Liverpool</t>
        </is>
      </c>
      <c r="AQ117" s="24" t="inlineStr">
        <is>
          <t>Liverpool</t>
        </is>
      </c>
      <c r="AR117" s="24" t="inlineStr">
        <is>
          <t>Liverpool</t>
        </is>
      </c>
      <c r="AS117" s="24" t="inlineStr">
        <is>
          <t>Ipswich Town</t>
        </is>
      </c>
      <c r="AT117" s="24" t="inlineStr">
        <is>
          <t>Ipswich Town</t>
        </is>
      </c>
      <c r="AU117" s="24" t="inlineStr">
        <is>
          <t>Ipswich Town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f585a7f3cb7ee04f9a319a60fa601ef15e86636fadaaa8c1380ac0f28f75c58a</t>
        </is>
      </c>
      <c r="BB117" s="24" t="inlineStr">
        <is>
          <t>poisson_dixon_coles</t>
        </is>
      </c>
      <c r="BC117" s="24" t="inlineStr">
        <is>
          <t>soccer-poisson-dc-v1</t>
        </is>
      </c>
      <c r="BD117" s="24" t="inlineStr">
        <is>
          <t>f585a7f3cb7ee04f9a319a60fa601ef15e86636fadaaa8c1380ac0f28f75c58a</t>
        </is>
      </c>
      <c r="BE117" s="24" t="inlineStr">
        <is>
          <t>soccer-poisson-dc-v1</t>
        </is>
      </c>
      <c r="BF117" s="24" t="inlineStr">
        <is>
          <t>1</t>
        </is>
      </c>
      <c r="BG117" s="24" t="inlineStr">
        <is>
          <t>f585a7f3cb7ee04f9a319a60fa601ef15e86636fadaaa8c1380ac0f28f75c58a</t>
        </is>
      </c>
      <c r="BH117" s="24" t="inlineStr">
        <is>
          <t>2026-09-04T16:11:54.923948Z</t>
        </is>
      </c>
      <c r="BI117" s="24" t="inlineStr">
        <is>
          <t>["same_event","same_team_same_day","same_league_same_day"]</t>
        </is>
      </c>
      <c r="BJ117" s="25" t="n"/>
      <c r="BK117" s="26" t="n">
        <v>525</v>
      </c>
      <c r="BL117" s="27" t="n">
        <v>6.25</v>
      </c>
      <c r="BM117" s="28" t="n">
        <v>0.16</v>
      </c>
      <c r="BN117" s="28" t="n"/>
      <c r="BO117" s="28" t="n"/>
      <c r="BP117" s="25" t="n"/>
      <c r="BQ117" s="27" t="n">
        <v>6.25</v>
      </c>
      <c r="BR117" s="28" t="n">
        <v>0.16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-1</v>
      </c>
      <c r="BZ117" s="24" t="inlineStr">
        <is>
          <t>2026-09-04T22:00:21.432055Z</t>
        </is>
      </c>
      <c r="CA117" s="31" t="inlineStr">
        <is>
          <t>fixed one-unit hypothetical scoring; no real exposure or execution</t>
        </is>
      </c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0.16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0fcdf48d2c6e4dba</t>
        </is>
      </c>
      <c r="B118" s="24" t="inlineStr">
        <is>
          <t>2026-09-04T16:12:51.559787Z</t>
        </is>
      </c>
      <c r="C118" s="24" t="inlineStr">
        <is>
          <t>2026-09-04T19:00Z</t>
        </is>
      </c>
      <c r="D118" s="24" t="inlineStr">
        <is>
          <t>401882894</t>
        </is>
      </c>
      <c r="E118" s="24" t="inlineStr">
        <is>
          <t>SOCCER</t>
        </is>
      </c>
      <c r="F118" s="24" t="inlineStr">
        <is>
          <t>Real Madrid</t>
        </is>
      </c>
      <c r="G118" s="24" t="inlineStr">
        <is>
          <t>Real Betis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0.391143</v>
      </c>
      <c r="P118" s="28" t="n">
        <v>0.04</v>
      </c>
      <c r="Q118" s="28" t="n">
        <v>-0.299259</v>
      </c>
      <c r="R118" s="26" t="n">
        <v>0</v>
      </c>
      <c r="S118" s="29" t="n">
        <v>1</v>
      </c>
      <c r="T118" s="24" t="inlineStr">
        <is>
          <t>soccer-poisson-dc-v1</t>
        </is>
      </c>
      <c r="U118" s="24" t="inlineStr">
        <is>
          <t>settled</t>
        </is>
      </c>
      <c r="V118" s="24" t="inlineStr">
        <is>
          <t>loss</t>
        </is>
      </c>
      <c r="W118" s="26" t="n">
        <v>0</v>
      </c>
      <c r="X118" s="26" t="n">
        <v>1</v>
      </c>
      <c r="Y118" s="25" t="n"/>
      <c r="Z118" s="26" t="n">
        <v>212</v>
      </c>
      <c r="AA118" s="28" t="n">
        <v>0.32</v>
      </c>
      <c r="AB118" s="28" t="n">
        <v>-0.370402</v>
      </c>
      <c r="AC118" s="30" t="n">
        <v>-1</v>
      </c>
      <c r="AD118" s="24" t="inlineStr">
        <is>
          <t>2026-09-04T22:00:22.412155Z</t>
        </is>
      </c>
      <c r="AE118" s="31" t="inlineStr">
        <is>
          <t>Poisson-DC rates 1.48 (home) / 1.58 (away) from EWMA attack/defense strengths. Executable ask 0.6900 (atc-lal-bet-rma-2026-09-04-rma).</t>
        </is>
      </c>
      <c r="AF118" s="31" t="inlineStr">
        <is>
          <t>Research-only soccer score model; draw-aware, but not yet locked-holdout qualified.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Real Madrid</t>
        </is>
      </c>
      <c r="AQ118" s="24" t="inlineStr">
        <is>
          <t>Real Madrid</t>
        </is>
      </c>
      <c r="AR118" s="24" t="inlineStr">
        <is>
          <t>Real Madrid</t>
        </is>
      </c>
      <c r="AS118" s="24" t="inlineStr">
        <is>
          <t>Real Betis</t>
        </is>
      </c>
      <c r="AT118" s="24" t="inlineStr">
        <is>
          <t>Real Betis</t>
        </is>
      </c>
      <c r="AU118" s="24" t="inlineStr">
        <is>
          <t>Real Betis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f585a7f3cb7ee04f9a319a60fa601ef15e86636fadaaa8c1380ac0f28f75c58a</t>
        </is>
      </c>
      <c r="BB118" s="24" t="inlineStr">
        <is>
          <t>poisson_dixon_coles</t>
        </is>
      </c>
      <c r="BC118" s="24" t="inlineStr">
        <is>
          <t>soccer-poisson-dc-v1</t>
        </is>
      </c>
      <c r="BD118" s="24" t="inlineStr">
        <is>
          <t>f585a7f3cb7ee04f9a319a60fa601ef15e86636fadaaa8c1380ac0f28f75c58a</t>
        </is>
      </c>
      <c r="BE118" s="24" t="inlineStr">
        <is>
          <t>soccer-poisson-dc-v1</t>
        </is>
      </c>
      <c r="BF118" s="24" t="inlineStr">
        <is>
          <t>1</t>
        </is>
      </c>
      <c r="BG118" s="24" t="inlineStr">
        <is>
          <t>f585a7f3cb7ee04f9a319a60fa601ef15e86636fadaaa8c1380ac0f28f75c58a</t>
        </is>
      </c>
      <c r="BH118" s="24" t="inlineStr">
        <is>
          <t>2026-09-04T16:11:55.192349Z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>
        <v>3.12</v>
      </c>
      <c r="BR118" s="28" t="n">
        <v>0.32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-1</v>
      </c>
      <c r="BZ118" s="24" t="inlineStr">
        <is>
          <t>2026-09-04T22:00:22.412155Z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bd80fca88f654444</t>
        </is>
      </c>
      <c r="B119" s="24" t="inlineStr">
        <is>
          <t>2026-09-04T16:12:51.559787Z</t>
        </is>
      </c>
      <c r="C119" s="24" t="inlineStr">
        <is>
          <t>2026-09-04T18:45Z</t>
        </is>
      </c>
      <c r="D119" s="24" t="inlineStr">
        <is>
          <t>401874744</t>
        </is>
      </c>
      <c r="E119" s="24" t="inlineStr">
        <is>
          <t>SOCCER</t>
        </is>
      </c>
      <c r="F119" s="24" t="inlineStr">
        <is>
          <t>Como</t>
        </is>
      </c>
      <c r="G119" s="24" t="inlineStr">
        <is>
          <t>Genoa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-133</v>
      </c>
      <c r="M119" s="27" t="n">
        <v>1.75188</v>
      </c>
      <c r="N119" s="28" t="n">
        <v>0.570815</v>
      </c>
      <c r="O119" s="28" t="n">
        <v>0.510253</v>
      </c>
      <c r="P119" s="28" t="n">
        <v>0.04</v>
      </c>
      <c r="Q119" s="28" t="n">
        <v>-0.060562</v>
      </c>
      <c r="R119" s="26" t="n">
        <v>0</v>
      </c>
      <c r="S119" s="29" t="n">
        <v>1</v>
      </c>
      <c r="T119" s="24" t="inlineStr">
        <is>
          <t>soccer-poisson-dc-v1</t>
        </is>
      </c>
      <c r="U119" s="24" t="inlineStr">
        <is>
          <t>settled</t>
        </is>
      </c>
      <c r="V119" s="24" t="inlineStr">
        <is>
          <t>win</t>
        </is>
      </c>
      <c r="W119" s="26" t="n">
        <v>4</v>
      </c>
      <c r="X119" s="26" t="n">
        <v>1</v>
      </c>
      <c r="Y119" s="25" t="n"/>
      <c r="Z119" s="26" t="n">
        <v>127</v>
      </c>
      <c r="AA119" s="28" t="n">
        <v>0.44</v>
      </c>
      <c r="AB119" s="28" t="n">
        <v>-0.130815</v>
      </c>
      <c r="AC119" s="30" t="n">
        <v>0.7519</v>
      </c>
      <c r="AD119" s="24" t="inlineStr">
        <is>
          <t>2026-09-04T22:00:23.471215Z</t>
        </is>
      </c>
      <c r="AE119" s="31" t="inlineStr">
        <is>
          <t>Poisson-DC rates 0.70 (home) / 1.34 (away) from EWMA attack/defense strengths. Executable ask 0.5700 (atc-sea-gen-com-2026-09-04-com).</t>
        </is>
      </c>
      <c r="AF119" s="31" t="inlineStr">
        <is>
          <t>Research-only soccer score model; draw-aware, but not yet locked-holdout qualified.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Como</t>
        </is>
      </c>
      <c r="AQ119" s="24" t="inlineStr">
        <is>
          <t>Como</t>
        </is>
      </c>
      <c r="AR119" s="24" t="inlineStr">
        <is>
          <t>Como</t>
        </is>
      </c>
      <c r="AS119" s="24" t="inlineStr">
        <is>
          <t>Genoa</t>
        </is>
      </c>
      <c r="AT119" s="24" t="inlineStr">
        <is>
          <t>Genoa</t>
        </is>
      </c>
      <c r="AU119" s="24" t="inlineStr">
        <is>
          <t>Genoa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f585a7f3cb7ee04f9a319a60fa601ef15e86636fadaaa8c1380ac0f28f75c58a</t>
        </is>
      </c>
      <c r="BB119" s="24" t="inlineStr">
        <is>
          <t>poisson_dixon_coles</t>
        </is>
      </c>
      <c r="BC119" s="24" t="inlineStr">
        <is>
          <t>soccer-poisson-dc-v1</t>
        </is>
      </c>
      <c r="BD119" s="24" t="inlineStr">
        <is>
          <t>f585a7f3cb7ee04f9a319a60fa601ef15e86636fadaaa8c1380ac0f28f75c58a</t>
        </is>
      </c>
      <c r="BE119" s="24" t="inlineStr">
        <is>
          <t>soccer-poisson-dc-v1</t>
        </is>
      </c>
      <c r="BF119" s="24" t="inlineStr">
        <is>
          <t>1</t>
        </is>
      </c>
      <c r="BG119" s="24" t="inlineStr">
        <is>
          <t>f585a7f3cb7ee04f9a319a60fa601ef15e86636fadaaa8c1380ac0f28f75c58a</t>
        </is>
      </c>
      <c r="BH119" s="24" t="inlineStr">
        <is>
          <t>2026-09-04T16:11:55.823729Z</t>
        </is>
      </c>
      <c r="BI119" s="24" t="inlineStr">
        <is>
          <t>["same_event","same_team_same_day","same_league_same_day"]</t>
        </is>
      </c>
      <c r="BJ119" s="25" t="n"/>
      <c r="BK119" s="26" t="n">
        <v>-133</v>
      </c>
      <c r="BL119" s="27" t="n">
        <v>1.75188</v>
      </c>
      <c r="BM119" s="28" t="n">
        <v>0.570815</v>
      </c>
      <c r="BN119" s="28" t="n"/>
      <c r="BO119" s="28" t="n"/>
      <c r="BP119" s="25" t="n"/>
      <c r="BQ119" s="27" t="n">
        <v>2.27</v>
      </c>
      <c r="BR119" s="28" t="n">
        <v>0.44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0.751881</v>
      </c>
      <c r="BZ119" s="24" t="inlineStr">
        <is>
          <t>2026-09-04T22:00:23.471215Z</t>
        </is>
      </c>
      <c r="CA119" s="31" t="inlineStr">
        <is>
          <t>fixed one-unit hypothetical scoring; no real exposure or execution</t>
        </is>
      </c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0.570815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304095eca3a54fc1</t>
        </is>
      </c>
      <c r="B120" s="24" t="inlineStr">
        <is>
          <t>2026-09-04T16:12:51.559787Z</t>
        </is>
      </c>
      <c r="C120" s="24" t="inlineStr">
        <is>
          <t>2026-09-04T22:00Z</t>
        </is>
      </c>
      <c r="D120" s="24" t="inlineStr">
        <is>
          <t>401914272</t>
        </is>
      </c>
      <c r="E120" s="24" t="inlineStr">
        <is>
          <t>SOCCER</t>
        </is>
      </c>
      <c r="F120" s="24" t="inlineStr">
        <is>
          <t>Cerro Largo</t>
        </is>
      </c>
      <c r="G120" s="24" t="inlineStr">
        <is>
          <t>Montevideo City Torque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-186</v>
      </c>
      <c r="M120" s="27" t="n">
        <v>1.537634</v>
      </c>
      <c r="N120" s="28" t="n">
        <v>0.65035</v>
      </c>
      <c r="O120" s="28" t="n">
        <v>0.456135</v>
      </c>
      <c r="P120" s="28" t="n">
        <v>0.2</v>
      </c>
      <c r="Q120" s="28" t="n">
        <v>-0.194215</v>
      </c>
      <c r="R120" s="26" t="n">
        <v>0</v>
      </c>
      <c r="S120" s="29" t="n">
        <v>1</v>
      </c>
      <c r="T120" s="24" t="inlineStr">
        <is>
          <t>soccer-poisson-dc-v1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2</v>
      </c>
      <c r="Y120" s="25" t="n"/>
      <c r="Z120" s="26" t="n">
        <v>-186</v>
      </c>
      <c r="AA120" s="28" t="n">
        <v>0.65</v>
      </c>
      <c r="AB120" s="28" t="n">
        <v>-0.00035</v>
      </c>
      <c r="AC120" s="30" t="n">
        <v>0.5376</v>
      </c>
      <c r="AD120" s="24" t="inlineStr">
        <is>
          <t>2026-09-05T04:37:15.274451Z</t>
        </is>
      </c>
      <c r="AE120" s="31" t="inlineStr">
        <is>
          <t>Poisson-DC rates 1.64 (home) / 1.24 (away) from EWMA attack/defense strengths. Executable ask 0.6500 (atc-uru1-tor-cla-2026-09-04-tor).</t>
        </is>
      </c>
      <c r="AF120" s="31" t="inlineStr">
        <is>
          <t>Research-only soccer score model; draw-aware, but not yet locked-holdout qualified.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PAPER_CALL_MODEL_UNVALIDATED</t>
        </is>
      </c>
      <c r="AP120" s="24" t="inlineStr">
        <is>
          <t>Cerro Largo</t>
        </is>
      </c>
      <c r="AQ120" s="24" t="inlineStr">
        <is>
          <t>Cerro Largo</t>
        </is>
      </c>
      <c r="AR120" s="24" t="inlineStr">
        <is>
          <t>Cerro Largo</t>
        </is>
      </c>
      <c r="AS120" s="24" t="inlineStr">
        <is>
          <t>Montevideo City Torque</t>
        </is>
      </c>
      <c r="AT120" s="24" t="inlineStr">
        <is>
          <t>Montevideo City Torque</t>
        </is>
      </c>
      <c r="AU120" s="24" t="inlineStr">
        <is>
          <t>Montevideo City Torque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f585a7f3cb7ee04f9a319a60fa601ef15e86636fadaaa8c1380ac0f28f75c58a</t>
        </is>
      </c>
      <c r="BB120" s="24" t="inlineStr">
        <is>
          <t>poisson_dixon_coles</t>
        </is>
      </c>
      <c r="BC120" s="24" t="inlineStr">
        <is>
          <t>soccer-poisson-dc-v1</t>
        </is>
      </c>
      <c r="BD120" s="24" t="inlineStr">
        <is>
          <t>f585a7f3cb7ee04f9a319a60fa601ef15e86636fadaaa8c1380ac0f28f75c58a</t>
        </is>
      </c>
      <c r="BE120" s="24" t="inlineStr">
        <is>
          <t>soccer-poisson-dc-v1</t>
        </is>
      </c>
      <c r="BF120" s="24" t="inlineStr">
        <is>
          <t>1</t>
        </is>
      </c>
      <c r="BG120" s="24" t="inlineStr">
        <is>
          <t>f585a7f3cb7ee04f9a319a60fa601ef15e86636fadaaa8c1380ac0f28f75c58a</t>
        </is>
      </c>
      <c r="BH120" s="24" t="inlineStr">
        <is>
          <t>2026-09-04T16:11:57.577114Z</t>
        </is>
      </c>
      <c r="BI120" s="24" t="inlineStr">
        <is>
          <t>["same_event","same_team_same_day","same_league_same_day"]</t>
        </is>
      </c>
      <c r="BJ120" s="25" t="n"/>
      <c r="BK120" s="26" t="n">
        <v>-186</v>
      </c>
      <c r="BL120" s="27" t="n">
        <v>1.537634</v>
      </c>
      <c r="BM120" s="28" t="n">
        <v>0.65035</v>
      </c>
      <c r="BN120" s="28" t="n"/>
      <c r="BO120" s="28" t="n"/>
      <c r="BP120" s="25" t="n"/>
      <c r="BQ120" s="27" t="n">
        <v>1.537634</v>
      </c>
      <c r="BR120" s="28" t="n">
        <v>0.65</v>
      </c>
      <c r="BS120" s="28" t="n"/>
      <c r="BT120" s="28" t="n"/>
      <c r="BU120" s="25" t="n"/>
      <c r="BV120" s="29" t="n"/>
      <c r="BW120" s="24" t="n"/>
      <c r="BX120" s="30" t="n">
        <v>1</v>
      </c>
      <c r="BY120" s="27" t="n">
        <v>0.5376339999999999</v>
      </c>
      <c r="BZ120" s="24" t="inlineStr">
        <is>
          <t>2026-09-05T04:37:15.274451Z</t>
        </is>
      </c>
      <c r="CA120" s="31" t="inlineStr">
        <is>
          <t>fixed one-unit hypothetical scoring; no real exposure or execution</t>
        </is>
      </c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0.65035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cf06fa04826a485d</t>
        </is>
      </c>
      <c r="B121" s="24" t="inlineStr">
        <is>
          <t>2026-09-04T22:03:41.003835Z</t>
        </is>
      </c>
      <c r="C121" s="24" t="inlineStr">
        <is>
          <t>2026-09-04T23:30Z</t>
        </is>
      </c>
      <c r="D121" s="24" t="inlineStr">
        <is>
          <t>761770</t>
        </is>
      </c>
      <c r="E121" s="24" t="inlineStr">
        <is>
          <t>SOCCER</t>
        </is>
      </c>
      <c r="F121" s="24" t="inlineStr">
        <is>
          <t>Nashville SC</t>
        </is>
      </c>
      <c r="G121" s="24" t="inlineStr">
        <is>
          <t>New York City FC</t>
        </is>
      </c>
      <c r="H121" s="24" t="inlineStr">
        <is>
          <t>total</t>
        </is>
      </c>
      <c r="I121" s="24" t="inlineStr">
        <is>
          <t>over</t>
        </is>
      </c>
      <c r="J121" s="25" t="n">
        <v>2.5</v>
      </c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0.525845</v>
      </c>
      <c r="P121" s="28" t="n">
        <v>0.04</v>
      </c>
      <c r="Q121" s="28" t="n">
        <v>-0.033626</v>
      </c>
      <c r="R121" s="26" t="n">
        <v>9</v>
      </c>
      <c r="S121" s="29" t="n">
        <v>1</v>
      </c>
      <c r="T121" s="24" t="inlineStr">
        <is>
          <t>soccer-poisson-dc-v1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0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-1</v>
      </c>
      <c r="AD121" s="24" t="inlineStr">
        <is>
          <t>2026-09-05T04:38:06.986137Z</t>
        </is>
      </c>
      <c r="AE121" s="31" t="inlineStr">
        <is>
          <t>Poisson-DC rates 1.30 (home) / 1.48 (away) from EWMA attack/defense strengths. Executable ask 0.5600 (tsc-mls-nyc-nas-2026-09-04-2pt5).</t>
        </is>
      </c>
      <c r="AF121" s="31" t="inlineStr">
        <is>
          <t>Research-only soccer score model; draw-aware, but not yet locked-holdout qualified.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Nashville SC</t>
        </is>
      </c>
      <c r="AQ121" s="24" t="inlineStr">
        <is>
          <t>Nashville SC</t>
        </is>
      </c>
      <c r="AR121" s="24" t="inlineStr">
        <is>
          <t>Nashville SC</t>
        </is>
      </c>
      <c r="AS121" s="24" t="inlineStr">
        <is>
          <t>New York City FC</t>
        </is>
      </c>
      <c r="AT121" s="24" t="inlineStr">
        <is>
          <t>New York City FC</t>
        </is>
      </c>
      <c r="AU121" s="24" t="inlineStr">
        <is>
          <t>New York City FC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e64f166eb03d5e657185abb04e25fff4830a8801f3dfa7f84e7c01a3f339baa9</t>
        </is>
      </c>
      <c r="BB121" s="24" t="inlineStr">
        <is>
          <t>poisson_dixon_coles</t>
        </is>
      </c>
      <c r="BC121" s="24" t="inlineStr">
        <is>
          <t>soccer-poisson-dc-v1</t>
        </is>
      </c>
      <c r="BD121" s="24" t="inlineStr">
        <is>
          <t>e64f166eb03d5e657185abb04e25fff4830a8801f3dfa7f84e7c01a3f339baa9</t>
        </is>
      </c>
      <c r="BE121" s="24" t="inlineStr">
        <is>
          <t>soccer-poisson-dc-v1</t>
        </is>
      </c>
      <c r="BF121" s="24" t="inlineStr">
        <is>
          <t>1</t>
        </is>
      </c>
      <c r="BG121" s="24" t="inlineStr">
        <is>
          <t>e64f166eb03d5e657185abb04e25fff4830a8801f3dfa7f84e7c01a3f339baa9</t>
        </is>
      </c>
      <c r="BH121" s="24" t="inlineStr">
        <is>
          <t>2026-09-04T22:02:55.275180Z</t>
        </is>
      </c>
      <c r="BI121" s="24" t="inlineStr">
        <is>
          <t>["same_event","same_team_same_day","same_league_same_day"]</t>
        </is>
      </c>
      <c r="BJ121" s="25" t="n">
        <v>2.5</v>
      </c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>
        <v>1</v>
      </c>
      <c r="BY121" s="27" t="n">
        <v>-1</v>
      </c>
      <c r="BZ121" s="24" t="inlineStr">
        <is>
          <t>2026-09-05T04:38:06.986137Z</t>
        </is>
      </c>
      <c r="CA121" s="31" t="inlineStr">
        <is>
          <t>fixed one-unit hypothetical scoring; no real exposure or execution</t>
        </is>
      </c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db9530e086d0470c</t>
        </is>
      </c>
      <c r="B122" s="24" t="inlineStr">
        <is>
          <t>2026-09-04T22:03:41.003835Z</t>
        </is>
      </c>
      <c r="C122" s="24" t="inlineStr">
        <is>
          <t>2026-09-04T23:30Z</t>
        </is>
      </c>
      <c r="D122" s="24" t="inlineStr">
        <is>
          <t>761770</t>
        </is>
      </c>
      <c r="E122" s="24" t="inlineStr">
        <is>
          <t>SOCCER</t>
        </is>
      </c>
      <c r="F122" s="24" t="inlineStr">
        <is>
          <t>Nashville SC</t>
        </is>
      </c>
      <c r="G122" s="24" t="inlineStr">
        <is>
          <t>New York City FC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122</v>
      </c>
      <c r="M122" s="27" t="n">
        <v>2.22</v>
      </c>
      <c r="N122" s="28" t="n">
        <v>0.45045</v>
      </c>
      <c r="O122" s="28" t="n">
        <v>0.401479</v>
      </c>
      <c r="P122" s="28" t="n">
        <v>0.04</v>
      </c>
      <c r="Q122" s="28" t="n">
        <v>-0.048971</v>
      </c>
      <c r="R122" s="26" t="n">
        <v>2</v>
      </c>
      <c r="S122" s="29" t="n">
        <v>1</v>
      </c>
      <c r="T122" s="24" t="inlineStr">
        <is>
          <t>soccer-poisson-dc-v1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0</v>
      </c>
      <c r="Y122" s="25" t="n"/>
      <c r="Z122" s="26" t="n">
        <v>-127</v>
      </c>
      <c r="AA122" s="28" t="n">
        <v>0.5600000000000001</v>
      </c>
      <c r="AB122" s="28" t="n">
        <v>0.10955</v>
      </c>
      <c r="AC122" s="30" t="n">
        <v>-1</v>
      </c>
      <c r="AD122" s="24" t="inlineStr">
        <is>
          <t>2026-09-05T04:38:07.981570Z</t>
        </is>
      </c>
      <c r="AE122" s="31" t="inlineStr">
        <is>
          <t>Poisson-DC rates 1.30 (home) / 1.48 (away) from EWMA attack/defense strengths. Executable ask 0.4500 (atc-mls-nyc-nas-2026-09-04-nas).</t>
        </is>
      </c>
      <c r="AF122" s="31" t="inlineStr">
        <is>
          <t>Research-only soccer score model; draw-aware, but not yet locked-holdout qualified.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Nashville SC</t>
        </is>
      </c>
      <c r="AQ122" s="24" t="inlineStr">
        <is>
          <t>Nashville SC</t>
        </is>
      </c>
      <c r="AR122" s="24" t="inlineStr">
        <is>
          <t>Nashville SC</t>
        </is>
      </c>
      <c r="AS122" s="24" t="inlineStr">
        <is>
          <t>New York City FC</t>
        </is>
      </c>
      <c r="AT122" s="24" t="inlineStr">
        <is>
          <t>New York City FC</t>
        </is>
      </c>
      <c r="AU122" s="24" t="inlineStr">
        <is>
          <t>New York City FC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e64f166eb03d5e657185abb04e25fff4830a8801f3dfa7f84e7c01a3f339baa9</t>
        </is>
      </c>
      <c r="BB122" s="24" t="inlineStr">
        <is>
          <t>poisson_dixon_coles</t>
        </is>
      </c>
      <c r="BC122" s="24" t="inlineStr">
        <is>
          <t>soccer-poisson-dc-v1</t>
        </is>
      </c>
      <c r="BD122" s="24" t="inlineStr">
        <is>
          <t>e64f166eb03d5e657185abb04e25fff4830a8801f3dfa7f84e7c01a3f339baa9</t>
        </is>
      </c>
      <c r="BE122" s="24" t="inlineStr">
        <is>
          <t>soccer-poisson-dc-v1</t>
        </is>
      </c>
      <c r="BF122" s="24" t="inlineStr">
        <is>
          <t>1</t>
        </is>
      </c>
      <c r="BG122" s="24" t="inlineStr">
        <is>
          <t>e64f166eb03d5e657185abb04e25fff4830a8801f3dfa7f84e7c01a3f339baa9</t>
        </is>
      </c>
      <c r="BH122" s="24" t="inlineStr">
        <is>
          <t>2026-09-04T22:02:55.230601Z</t>
        </is>
      </c>
      <c r="BI122" s="24" t="inlineStr">
        <is>
          <t>["same_event","same_team_same_day","same_league_same_day"]</t>
        </is>
      </c>
      <c r="BJ122" s="25" t="n"/>
      <c r="BK122" s="26" t="n">
        <v>122</v>
      </c>
      <c r="BL122" s="27" t="n">
        <v>2.22</v>
      </c>
      <c r="BM122" s="28" t="n">
        <v>0.45045</v>
      </c>
      <c r="BN122" s="28" t="n"/>
      <c r="BO122" s="28" t="n"/>
      <c r="BP122" s="25" t="n"/>
      <c r="BQ122" s="27" t="n">
        <v>1.787402</v>
      </c>
      <c r="BR122" s="28" t="n">
        <v>0.5600000000000001</v>
      </c>
      <c r="BS122" s="28" t="n"/>
      <c r="BT122" s="28" t="n"/>
      <c r="BU122" s="25" t="n"/>
      <c r="BV122" s="29" t="n"/>
      <c r="BW122" s="24" t="n"/>
      <c r="BX122" s="30" t="n">
        <v>1</v>
      </c>
      <c r="BY122" s="27" t="n">
        <v>-1</v>
      </c>
      <c r="BZ122" s="24" t="inlineStr">
        <is>
          <t>2026-09-05T04:38:07.981570Z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0.45045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0d1c485f87f24844</t>
        </is>
      </c>
      <c r="B123" s="24" t="inlineStr">
        <is>
          <t>2026-09-04T22:03:41.003835Z</t>
        </is>
      </c>
      <c r="C123" s="24" t="inlineStr">
        <is>
          <t>2026-09-04T23:30Z</t>
        </is>
      </c>
      <c r="D123" s="24" t="inlineStr">
        <is>
          <t>401860320</t>
        </is>
      </c>
      <c r="E123" s="24" t="inlineStr">
        <is>
          <t>SOCCER</t>
        </is>
      </c>
      <c r="F123" s="24" t="inlineStr">
        <is>
          <t>Vila Nova</t>
        </is>
      </c>
      <c r="G123" s="24" t="inlineStr">
        <is>
          <t>Athletic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186</v>
      </c>
      <c r="M123" s="27" t="n">
        <v>2.86</v>
      </c>
      <c r="N123" s="28" t="n">
        <v>0.34965</v>
      </c>
      <c r="O123" s="28" t="n">
        <v>0.486715</v>
      </c>
      <c r="P123" s="28" t="n">
        <v>0.19</v>
      </c>
      <c r="Q123" s="28" t="n">
        <v>0.137065</v>
      </c>
      <c r="R123" s="26" t="n">
        <v>5</v>
      </c>
      <c r="S123" s="29" t="n">
        <v>1</v>
      </c>
      <c r="T123" s="24" t="inlineStr">
        <is>
          <t>soccer-poisson-dc-v1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5</v>
      </c>
      <c r="Y123" s="25" t="n"/>
      <c r="Z123" s="26" t="n">
        <v>186</v>
      </c>
      <c r="AA123" s="28" t="n">
        <v>0.35</v>
      </c>
      <c r="AB123" s="28" t="n">
        <v>0.00035</v>
      </c>
      <c r="AC123" s="30" t="n">
        <v>1.86</v>
      </c>
      <c r="AD123" s="24" t="inlineStr">
        <is>
          <t>2026-09-05T04:38:08.984978Z</t>
        </is>
      </c>
      <c r="AE123" s="31" t="inlineStr">
        <is>
          <t>Poisson-DC rates 1.52 (home) / 0.98 (away) from EWMA attack/defense strengths. Executable ask 0.3500 (atc-brb-ath-vln-2026-09-04-ath).</t>
        </is>
      </c>
      <c r="AF123" s="31" t="inlineStr">
        <is>
          <t>Research-only soccer score model; draw-aware, but not yet locked-holdout qualified.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PAPER_CALL_MODEL_UNVALIDATED</t>
        </is>
      </c>
      <c r="AP123" s="24" t="inlineStr">
        <is>
          <t>Vila Nova</t>
        </is>
      </c>
      <c r="AQ123" s="24" t="inlineStr">
        <is>
          <t>Vila Nova</t>
        </is>
      </c>
      <c r="AR123" s="24" t="inlineStr">
        <is>
          <t>Vila Nova</t>
        </is>
      </c>
      <c r="AS123" s="24" t="inlineStr">
        <is>
          <t>Athletic</t>
        </is>
      </c>
      <c r="AT123" s="24" t="inlineStr">
        <is>
          <t>Athletic</t>
        </is>
      </c>
      <c r="AU123" s="24" t="inlineStr">
        <is>
          <t>Athletic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e64f166eb03d5e657185abb04e25fff4830a8801f3dfa7f84e7c01a3f339baa9</t>
        </is>
      </c>
      <c r="BB123" s="24" t="inlineStr">
        <is>
          <t>poisson_dixon_coles</t>
        </is>
      </c>
      <c r="BC123" s="24" t="inlineStr">
        <is>
          <t>soccer-poisson-dc-v1</t>
        </is>
      </c>
      <c r="BD123" s="24" t="inlineStr">
        <is>
          <t>e64f166eb03d5e657185abb04e25fff4830a8801f3dfa7f84e7c01a3f339baa9</t>
        </is>
      </c>
      <c r="BE123" s="24" t="inlineStr">
        <is>
          <t>soccer-poisson-dc-v1</t>
        </is>
      </c>
      <c r="BF123" s="24" t="inlineStr">
        <is>
          <t>1</t>
        </is>
      </c>
      <c r="BG123" s="24" t="inlineStr">
        <is>
          <t>e64f166eb03d5e657185abb04e25fff4830a8801f3dfa7f84e7c01a3f339baa9</t>
        </is>
      </c>
      <c r="BH123" s="24" t="inlineStr">
        <is>
          <t>2026-09-04T22:02:55.290910Z</t>
        </is>
      </c>
      <c r="BI123" s="24" t="inlineStr">
        <is>
          <t>["same_event","same_team_same_day","same_league_same_day"]</t>
        </is>
      </c>
      <c r="BJ123" s="25" t="n"/>
      <c r="BK123" s="26" t="n">
        <v>186</v>
      </c>
      <c r="BL123" s="27" t="n">
        <v>2.86</v>
      </c>
      <c r="BM123" s="28" t="n">
        <v>0.34965</v>
      </c>
      <c r="BN123" s="28" t="n"/>
      <c r="BO123" s="28" t="n"/>
      <c r="BP123" s="25" t="n"/>
      <c r="BQ123" s="27" t="n">
        <v>2.86</v>
      </c>
      <c r="BR123" s="28" t="n">
        <v>0.35</v>
      </c>
      <c r="BS123" s="28" t="n"/>
      <c r="BT123" s="28" t="n"/>
      <c r="BU123" s="25" t="n"/>
      <c r="BV123" s="29" t="n"/>
      <c r="BW123" s="24" t="n"/>
      <c r="BX123" s="30" t="n">
        <v>1</v>
      </c>
      <c r="BY123" s="27" t="n">
        <v>1.860003</v>
      </c>
      <c r="BZ123" s="24" t="inlineStr">
        <is>
          <t>2026-09-05T04:38:08.984978Z</t>
        </is>
      </c>
      <c r="CA123" s="31" t="inlineStr">
        <is>
          <t>fixed one-unit hypothetical scoring; no real exposure or execution</t>
        </is>
      </c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0.34965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ef3824095ff145f8</t>
        </is>
      </c>
      <c r="B124" s="24" t="inlineStr">
        <is>
          <t>2026-09-04T22:03:41.003835Z</t>
        </is>
      </c>
      <c r="C124" s="24" t="inlineStr">
        <is>
          <t>2026-09-04T23:00Z</t>
        </is>
      </c>
      <c r="D124" s="24" t="inlineStr">
        <is>
          <t>401844101</t>
        </is>
      </c>
      <c r="E124" s="24" t="inlineStr">
        <is>
          <t>SOCCER</t>
        </is>
      </c>
      <c r="F124" s="24" t="inlineStr">
        <is>
          <t>Mitre (Santiago del Estero)</t>
        </is>
      </c>
      <c r="G124" s="24" t="inlineStr">
        <is>
          <t>Ferro Carril Oeste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-163</v>
      </c>
      <c r="M124" s="27" t="n">
        <v>1.613497</v>
      </c>
      <c r="N124" s="28" t="n">
        <v>0.619772</v>
      </c>
      <c r="O124" s="28" t="n">
        <v>0.456135</v>
      </c>
      <c r="P124" s="28" t="n">
        <v>0.2</v>
      </c>
      <c r="Q124" s="28" t="n">
        <v>-0.163637</v>
      </c>
      <c r="R124" s="26" t="n">
        <v>0</v>
      </c>
      <c r="S124" s="29" t="n">
        <v>1</v>
      </c>
      <c r="T124" s="24" t="inlineStr">
        <is>
          <t>soccer-poisson-dc-v1</t>
        </is>
      </c>
      <c r="U124" s="24" t="inlineStr">
        <is>
          <t>settled</t>
        </is>
      </c>
      <c r="V124" s="24" t="inlineStr">
        <is>
          <t>loss</t>
        </is>
      </c>
      <c r="W124" s="26" t="n">
        <v>0</v>
      </c>
      <c r="X124" s="26" t="n">
        <v>0</v>
      </c>
      <c r="Y124" s="25" t="n"/>
      <c r="Z124" s="26" t="n">
        <v>-163</v>
      </c>
      <c r="AA124" s="28" t="n">
        <v>0.62</v>
      </c>
      <c r="AB124" s="28" t="n">
        <v>0.000228</v>
      </c>
      <c r="AC124" s="30" t="n">
        <v>-1</v>
      </c>
      <c r="AD124" s="24" t="inlineStr">
        <is>
          <t>2026-09-05T04:38:10.118144Z</t>
        </is>
      </c>
      <c r="AE124" s="31" t="inlineStr">
        <is>
          <t>Poisson-DC rates 1.64 (home) / 1.24 (away) from EWMA attack/defense strengths. Executable ask 0.6200 (atc-arg2-fco-cam-2026-09-05-fco).</t>
        </is>
      </c>
      <c r="AF124" s="31" t="inlineStr">
        <is>
          <t>Research-only soccer score model; draw-aware, but not yet locked-holdout qualified.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PAPER_CALL_MODEL_UNVALIDATED</t>
        </is>
      </c>
      <c r="AP124" s="24" t="inlineStr">
        <is>
          <t>Mitre (Santiago del Estero)</t>
        </is>
      </c>
      <c r="AQ124" s="24" t="inlineStr">
        <is>
          <t>Mitre (Santiago del Estero)</t>
        </is>
      </c>
      <c r="AR124" s="24" t="inlineStr">
        <is>
          <t>Mitre (Santiago del Estero)</t>
        </is>
      </c>
      <c r="AS124" s="24" t="inlineStr">
        <is>
          <t>Ferro Carril Oeste</t>
        </is>
      </c>
      <c r="AT124" s="24" t="inlineStr">
        <is>
          <t>Ferro Carril Oeste</t>
        </is>
      </c>
      <c r="AU124" s="24" t="inlineStr">
        <is>
          <t>Ferro Carril Oeste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e64f166eb03d5e657185abb04e25fff4830a8801f3dfa7f84e7c01a3f339baa9</t>
        </is>
      </c>
      <c r="BB124" s="24" t="inlineStr">
        <is>
          <t>poisson_dixon_coles</t>
        </is>
      </c>
      <c r="BC124" s="24" t="inlineStr">
        <is>
          <t>soccer-poisson-dc-v1</t>
        </is>
      </c>
      <c r="BD124" s="24" t="inlineStr">
        <is>
          <t>e64f166eb03d5e657185abb04e25fff4830a8801f3dfa7f84e7c01a3f339baa9</t>
        </is>
      </c>
      <c r="BE124" s="24" t="inlineStr">
        <is>
          <t>soccer-poisson-dc-v1</t>
        </is>
      </c>
      <c r="BF124" s="24" t="inlineStr">
        <is>
          <t>1</t>
        </is>
      </c>
      <c r="BG124" s="24" t="inlineStr">
        <is>
          <t>e64f166eb03d5e657185abb04e25fff4830a8801f3dfa7f84e7c01a3f339baa9</t>
        </is>
      </c>
      <c r="BH124" s="24" t="inlineStr">
        <is>
          <t>2026-09-04T22:02:55.419445Z</t>
        </is>
      </c>
      <c r="BI124" s="24" t="inlineStr">
        <is>
          <t>["same_event","same_team_same_day","same_league_same_day"]</t>
        </is>
      </c>
      <c r="BJ124" s="25" t="n"/>
      <c r="BK124" s="26" t="n">
        <v>-163</v>
      </c>
      <c r="BL124" s="27" t="n">
        <v>1.613497</v>
      </c>
      <c r="BM124" s="28" t="n">
        <v>0.619772</v>
      </c>
      <c r="BN124" s="28" t="n"/>
      <c r="BO124" s="28" t="n"/>
      <c r="BP124" s="25" t="n"/>
      <c r="BQ124" s="27" t="n">
        <v>1.613497</v>
      </c>
      <c r="BR124" s="28" t="n">
        <v>0.62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inlineStr">
        <is>
          <t>2026-09-05T04:38:10.118144Z</t>
        </is>
      </c>
      <c r="CA124" s="31" t="inlineStr">
        <is>
          <t>fixed one-unit hypothetical scoring; no real exposure or execution</t>
        </is>
      </c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0.619772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d6ef70093e074263</t>
        </is>
      </c>
      <c r="B125" s="24" t="inlineStr">
        <is>
          <t>2026-09-05T10:05:13.585890Z</t>
        </is>
      </c>
      <c r="C125" s="24" t="inlineStr">
        <is>
          <t>2026-09-05T11:30Z</t>
        </is>
      </c>
      <c r="D125" s="24" t="inlineStr">
        <is>
          <t>401879286</t>
        </is>
      </c>
      <c r="E125" s="24" t="inlineStr">
        <is>
          <t>SOCCER</t>
        </is>
      </c>
      <c r="F125" s="24" t="inlineStr">
        <is>
          <t>AFC Bournemouth</t>
        </is>
      </c>
      <c r="G125" s="24" t="inlineStr">
        <is>
          <t>Newcastle United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113</v>
      </c>
      <c r="M125" s="27" t="n">
        <v>2.13</v>
      </c>
      <c r="N125" s="28" t="n">
        <v>0.469484</v>
      </c>
      <c r="O125" s="28" t="n">
        <v>0.35784</v>
      </c>
      <c r="P125" s="28" t="n">
        <v>0.04</v>
      </c>
      <c r="Q125" s="28" t="n">
        <v>-0.111644</v>
      </c>
      <c r="R125" s="26" t="n">
        <v>0</v>
      </c>
      <c r="S125" s="29" t="n">
        <v>1</v>
      </c>
      <c r="T125" s="24" t="inlineStr">
        <is>
          <t>soccer-poisson-dc-v1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2</v>
      </c>
      <c r="Y125" s="25" t="n"/>
      <c r="Z125" s="26" t="n">
        <v>113</v>
      </c>
      <c r="AA125" s="28" t="n">
        <v>0.47</v>
      </c>
      <c r="AB125" s="28" t="n">
        <v>0.000516</v>
      </c>
      <c r="AC125" s="30" t="n">
        <v>-1</v>
      </c>
      <c r="AD125" s="24" t="inlineStr">
        <is>
          <t>2026-09-05T16:00:12.192589Z</t>
        </is>
      </c>
      <c r="AE125" s="31" t="inlineStr">
        <is>
          <t>Poisson-DC rates 1.31 (home) / 1.30 (away) from EWMA attack/defense strengths. Executable ask 0.4700 (atc-epl-new-bor-2026-09-05-new).</t>
        </is>
      </c>
      <c r="AF125" s="31" t="inlineStr">
        <is>
          <t>Research-only soccer score model; draw-aware, but not yet locked-holdout qualified.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AFC Bournemouth</t>
        </is>
      </c>
      <c r="AQ125" s="24" t="inlineStr">
        <is>
          <t>AFC Bournemouth</t>
        </is>
      </c>
      <c r="AR125" s="24" t="inlineStr">
        <is>
          <t>AFC Bournemouth</t>
        </is>
      </c>
      <c r="AS125" s="24" t="inlineStr">
        <is>
          <t>Newcastle United</t>
        </is>
      </c>
      <c r="AT125" s="24" t="inlineStr">
        <is>
          <t>Newcastle United</t>
        </is>
      </c>
      <c r="AU125" s="24" t="inlineStr">
        <is>
          <t>Newcastle United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e64f166eb03d5e657185abb04e25fff4830a8801f3dfa7f84e7c01a3f339baa9</t>
        </is>
      </c>
      <c r="BB125" s="24" t="inlineStr">
        <is>
          <t>poisson_dixon_coles</t>
        </is>
      </c>
      <c r="BC125" s="24" t="inlineStr">
        <is>
          <t>soccer-poisson-dc-v1</t>
        </is>
      </c>
      <c r="BD125" s="24" t="inlineStr">
        <is>
          <t>e64f166eb03d5e657185abb04e25fff4830a8801f3dfa7f84e7c01a3f339baa9</t>
        </is>
      </c>
      <c r="BE125" s="24" t="inlineStr">
        <is>
          <t>soccer-poisson-dc-v1</t>
        </is>
      </c>
      <c r="BF125" s="24" t="inlineStr">
        <is>
          <t>1</t>
        </is>
      </c>
      <c r="BG125" s="24" t="inlineStr">
        <is>
          <t>e64f166eb03d5e657185abb04e25fff4830a8801f3dfa7f84e7c01a3f339baa9</t>
        </is>
      </c>
      <c r="BH125" s="24" t="inlineStr">
        <is>
          <t>2026-09-05T10:04:13.602057Z</t>
        </is>
      </c>
      <c r="BI125" s="24" t="inlineStr">
        <is>
          <t>["same_event","same_team_same_day","same_league_same_day"]</t>
        </is>
      </c>
      <c r="BJ125" s="25" t="n"/>
      <c r="BK125" s="26" t="n">
        <v>113</v>
      </c>
      <c r="BL125" s="27" t="n">
        <v>2.13</v>
      </c>
      <c r="BM125" s="28" t="n">
        <v>0.469484</v>
      </c>
      <c r="BN125" s="28" t="n"/>
      <c r="BO125" s="28" t="n"/>
      <c r="BP125" s="25" t="n"/>
      <c r="BQ125" s="27" t="n">
        <v>2.13</v>
      </c>
      <c r="BR125" s="28" t="n">
        <v>0.47</v>
      </c>
      <c r="BS125" s="28" t="n"/>
      <c r="BT125" s="28" t="n"/>
      <c r="BU125" s="25" t="n"/>
      <c r="BV125" s="29" t="n"/>
      <c r="BW125" s="24" t="n"/>
      <c r="BX125" s="30" t="n">
        <v>1</v>
      </c>
      <c r="BY125" s="27" t="n">
        <v>-1</v>
      </c>
      <c r="BZ125" s="24" t="inlineStr">
        <is>
          <t>2026-09-05T16:00:12.192589Z</t>
        </is>
      </c>
      <c r="CA125" s="31" t="inlineStr">
        <is>
          <t>fixed one-unit hypothetical scoring; no real exposure or execution</t>
        </is>
      </c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0.469484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5b0fdf98ee9b4568</t>
        </is>
      </c>
      <c r="B126" s="24" t="inlineStr">
        <is>
          <t>2026-09-05T10:05:13.585890Z</t>
        </is>
      </c>
      <c r="C126" s="24" t="inlineStr">
        <is>
          <t>2026-09-05T14:00Z</t>
        </is>
      </c>
      <c r="D126" s="24" t="inlineStr">
        <is>
          <t>401879311</t>
        </is>
      </c>
      <c r="E126" s="24" t="inlineStr">
        <is>
          <t>SOCCER</t>
        </is>
      </c>
      <c r="F126" s="24" t="inlineStr">
        <is>
          <t>Sunderland</t>
        </is>
      </c>
      <c r="G126" s="24" t="inlineStr">
        <is>
          <t>Brentford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-133</v>
      </c>
      <c r="M126" s="27" t="n">
        <v>1.75188</v>
      </c>
      <c r="N126" s="28" t="n">
        <v>0.570815</v>
      </c>
      <c r="O126" s="28" t="n">
        <v>0.490559</v>
      </c>
      <c r="P126" s="28" t="n">
        <v>0.04</v>
      </c>
      <c r="Q126" s="28" t="n">
        <v>-0.08025599999999999</v>
      </c>
      <c r="R126" s="26" t="n">
        <v>0</v>
      </c>
      <c r="S126" s="29" t="n">
        <v>1</v>
      </c>
      <c r="T126" s="24" t="inlineStr">
        <is>
          <t>soccer-poisson-dc-v1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1</v>
      </c>
      <c r="Y126" s="25" t="n"/>
      <c r="Z126" s="26" t="n">
        <v>-133</v>
      </c>
      <c r="AA126" s="28" t="n">
        <v>0.57</v>
      </c>
      <c r="AB126" s="28" t="n">
        <v>-0.000815</v>
      </c>
      <c r="AC126" s="30" t="n">
        <v>-1</v>
      </c>
      <c r="AD126" s="24" t="inlineStr">
        <is>
          <t>2026-09-05T22:00:13.088127Z</t>
        </is>
      </c>
      <c r="AE126" s="31" t="inlineStr">
        <is>
          <t>Poisson-DC rates 1.54 (home) / 0.98 (away) from EWMA attack/defense strengths. Executable ask 0.5700 (atc-epl-bre-sun-2026-09-05-bre).</t>
        </is>
      </c>
      <c r="AF126" s="31" t="inlineStr">
        <is>
          <t>Research-only soccer score model; draw-aware, but not yet locked-holdout qualified.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Sunderland</t>
        </is>
      </c>
      <c r="AQ126" s="24" t="inlineStr">
        <is>
          <t>Sunderland</t>
        </is>
      </c>
      <c r="AR126" s="24" t="inlineStr">
        <is>
          <t>Sunderland</t>
        </is>
      </c>
      <c r="AS126" s="24" t="inlineStr">
        <is>
          <t>Brentford</t>
        </is>
      </c>
      <c r="AT126" s="24" t="inlineStr">
        <is>
          <t>Brentford</t>
        </is>
      </c>
      <c r="AU126" s="24" t="inlineStr">
        <is>
          <t>Brentford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e64f166eb03d5e657185abb04e25fff4830a8801f3dfa7f84e7c01a3f339baa9</t>
        </is>
      </c>
      <c r="BB126" s="24" t="inlineStr">
        <is>
          <t>poisson_dixon_coles</t>
        </is>
      </c>
      <c r="BC126" s="24" t="inlineStr">
        <is>
          <t>soccer-poisson-dc-v1</t>
        </is>
      </c>
      <c r="BD126" s="24" t="inlineStr">
        <is>
          <t>e64f166eb03d5e657185abb04e25fff4830a8801f3dfa7f84e7c01a3f339baa9</t>
        </is>
      </c>
      <c r="BE126" s="24" t="inlineStr">
        <is>
          <t>soccer-poisson-dc-v1</t>
        </is>
      </c>
      <c r="BF126" s="24" t="inlineStr">
        <is>
          <t>1</t>
        </is>
      </c>
      <c r="BG126" s="24" t="inlineStr">
        <is>
          <t>e64f166eb03d5e657185abb04e25fff4830a8801f3dfa7f84e7c01a3f339baa9</t>
        </is>
      </c>
      <c r="BH126" s="24" t="inlineStr">
        <is>
          <t>2026-09-05T10:04:13.717296Z</t>
        </is>
      </c>
      <c r="BI126" s="24" t="inlineStr">
        <is>
          <t>["same_event","same_team_same_day","same_league_same_day"]</t>
        </is>
      </c>
      <c r="BJ126" s="25" t="n"/>
      <c r="BK126" s="26" t="n">
        <v>-133</v>
      </c>
      <c r="BL126" s="27" t="n">
        <v>1.75188</v>
      </c>
      <c r="BM126" s="28" t="n">
        <v>0.570815</v>
      </c>
      <c r="BN126" s="28" t="n"/>
      <c r="BO126" s="28" t="n"/>
      <c r="BP126" s="25" t="n"/>
      <c r="BQ126" s="27" t="n">
        <v>1.75188</v>
      </c>
      <c r="BR126" s="28" t="n">
        <v>0.57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-1</v>
      </c>
      <c r="BZ126" s="24" t="inlineStr">
        <is>
          <t>2026-09-05T22:00:13.088127Z</t>
        </is>
      </c>
      <c r="CA126" s="31" t="inlineStr">
        <is>
          <t>fixed one-unit hypothetical scoring; no real exposure or execution</t>
        </is>
      </c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0.570815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9578e153ef244383</t>
        </is>
      </c>
      <c r="B127" s="24" t="inlineStr">
        <is>
          <t>2026-09-05T10:05:13.585890Z</t>
        </is>
      </c>
      <c r="C127" s="24" t="inlineStr">
        <is>
          <t>2026-09-05T14:00Z</t>
        </is>
      </c>
      <c r="D127" s="24" t="inlineStr">
        <is>
          <t>401879290</t>
        </is>
      </c>
      <c r="E127" s="24" t="inlineStr">
        <is>
          <t>SOCCER</t>
        </is>
      </c>
      <c r="F127" s="24" t="inlineStr">
        <is>
          <t>Leeds United</t>
        </is>
      </c>
      <c r="G127" s="24" t="inlineStr">
        <is>
          <t>Brighton &amp; Hove Albion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0.460061</v>
      </c>
      <c r="P127" s="28" t="n">
        <v>0.04</v>
      </c>
      <c r="Q127" s="28" t="n">
        <v>-0.020708</v>
      </c>
      <c r="R127" s="26" t="n">
        <v>16</v>
      </c>
      <c r="S127" s="29" t="n">
        <v>1</v>
      </c>
      <c r="T127" s="24" t="inlineStr">
        <is>
          <t>soccer-poisson-dc-v1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1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-1</v>
      </c>
      <c r="AD127" s="24" t="inlineStr">
        <is>
          <t>2026-09-05T16:00:13.196532Z</t>
        </is>
      </c>
      <c r="AE127" s="31" t="inlineStr">
        <is>
          <t>Poisson-DC rates 1.40 (home) / 0.95 (away) from EWMA attack/defense strengths. Executable ask 0.4800 (atc-epl-bha-lee-2026-09-05-bha).</t>
        </is>
      </c>
      <c r="AF127" s="31" t="inlineStr">
        <is>
          <t>Research-only soccer score model; draw-aware, but not yet locked-holdout qualified.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Leeds United</t>
        </is>
      </c>
      <c r="AQ127" s="24" t="inlineStr">
        <is>
          <t>Leeds United</t>
        </is>
      </c>
      <c r="AR127" s="24" t="inlineStr">
        <is>
          <t>Leeds United</t>
        </is>
      </c>
      <c r="AS127" s="24" t="inlineStr">
        <is>
          <t>Brighton &amp; Hove Albion</t>
        </is>
      </c>
      <c r="AT127" s="24" t="inlineStr">
        <is>
          <t>Brighton &amp; Hove Albion</t>
        </is>
      </c>
      <c r="AU127" s="24" t="inlineStr">
        <is>
          <t>Brighton &amp; Hove Albion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e64f166eb03d5e657185abb04e25fff4830a8801f3dfa7f84e7c01a3f339baa9</t>
        </is>
      </c>
      <c r="BB127" s="24" t="inlineStr">
        <is>
          <t>poisson_dixon_coles</t>
        </is>
      </c>
      <c r="BC127" s="24" t="inlineStr">
        <is>
          <t>soccer-poisson-dc-v1</t>
        </is>
      </c>
      <c r="BD127" s="24" t="inlineStr">
        <is>
          <t>e64f166eb03d5e657185abb04e25fff4830a8801f3dfa7f84e7c01a3f339baa9</t>
        </is>
      </c>
      <c r="BE127" s="24" t="inlineStr">
        <is>
          <t>soccer-poisson-dc-v1</t>
        </is>
      </c>
      <c r="BF127" s="24" t="inlineStr">
        <is>
          <t>1</t>
        </is>
      </c>
      <c r="BG127" s="24" t="inlineStr">
        <is>
          <t>e64f166eb03d5e657185abb04e25fff4830a8801f3dfa7f84e7c01a3f339baa9</t>
        </is>
      </c>
      <c r="BH127" s="24" t="inlineStr">
        <is>
          <t>2026-09-05T10:04:13.822652Z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>
        <v>1</v>
      </c>
      <c r="BY127" s="27" t="n">
        <v>-1</v>
      </c>
      <c r="BZ127" s="24" t="inlineStr">
        <is>
          <t>2026-09-05T16:00:13.196532Z</t>
        </is>
      </c>
      <c r="CA127" s="31" t="inlineStr">
        <is>
          <t>fixed one-unit hypothetical scoring; no real exposure or execution</t>
        </is>
      </c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0.480769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f789b46219d94256</t>
        </is>
      </c>
      <c r="B128" s="24" t="inlineStr">
        <is>
          <t>2026-09-05T10:05:13.585890Z</t>
        </is>
      </c>
      <c r="C128" s="24" t="inlineStr">
        <is>
          <t>2026-09-05T14:00Z</t>
        </is>
      </c>
      <c r="D128" s="24" t="inlineStr">
        <is>
          <t>401879289</t>
        </is>
      </c>
      <c r="E128" s="24" t="inlineStr">
        <is>
          <t>SOCCER</t>
        </is>
      </c>
      <c r="F128" s="24" t="inlineStr">
        <is>
          <t>Crystal Palace</t>
        </is>
      </c>
      <c r="G128" s="24" t="inlineStr">
        <is>
          <t>Fulham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117</v>
      </c>
      <c r="M128" s="27" t="n">
        <v>2.17</v>
      </c>
      <c r="N128" s="28" t="n">
        <v>0.460829</v>
      </c>
      <c r="O128" s="28" t="n">
        <v>0.49889</v>
      </c>
      <c r="P128" s="28" t="n">
        <v>0.04</v>
      </c>
      <c r="Q128" s="28" t="n">
        <v>0.038061</v>
      </c>
      <c r="R128" s="26" t="n">
        <v>45</v>
      </c>
      <c r="S128" s="29" t="n">
        <v>1</v>
      </c>
      <c r="T128" s="24" t="inlineStr">
        <is>
          <t>soccer-poisson-dc-v1</t>
        </is>
      </c>
      <c r="U128" s="24" t="inlineStr">
        <is>
          <t>settled</t>
        </is>
      </c>
      <c r="V128" s="24" t="inlineStr">
        <is>
          <t>loss</t>
        </is>
      </c>
      <c r="W128" s="26" t="n">
        <v>3</v>
      </c>
      <c r="X128" s="26" t="n">
        <v>2</v>
      </c>
      <c r="Y128" s="25" t="n"/>
      <c r="Z128" s="26" t="n">
        <v>117</v>
      </c>
      <c r="AA128" s="28" t="n">
        <v>0.46</v>
      </c>
      <c r="AB128" s="28" t="n">
        <v>-0.000829</v>
      </c>
      <c r="AC128" s="30" t="n">
        <v>-1</v>
      </c>
      <c r="AD128" s="24" t="inlineStr">
        <is>
          <t>2026-09-05T16:00:14.135422Z</t>
        </is>
      </c>
      <c r="AE128" s="31" t="inlineStr">
        <is>
          <t>Poisson-DC rates 1.41 (home) / 0.81 (away) from EWMA attack/defense strengths. Executable ask 0.4600 (atc-epl-ful-cry-2026-09-05-ful).</t>
        </is>
      </c>
      <c r="AF128" s="31" t="inlineStr">
        <is>
          <t>Research-only soccer score model; draw-aware, but not yet locked-holdout qualified.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4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Crystal Palace</t>
        </is>
      </c>
      <c r="AQ128" s="24" t="inlineStr">
        <is>
          <t>Crystal Palace</t>
        </is>
      </c>
      <c r="AR128" s="24" t="inlineStr">
        <is>
          <t>Crystal Palace</t>
        </is>
      </c>
      <c r="AS128" s="24" t="inlineStr">
        <is>
          <t>Fulham</t>
        </is>
      </c>
      <c r="AT128" s="24" t="inlineStr">
        <is>
          <t>Fulham</t>
        </is>
      </c>
      <c r="AU128" s="24" t="inlineStr">
        <is>
          <t>Fulham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e64f166eb03d5e657185abb04e25fff4830a8801f3dfa7f84e7c01a3f339baa9</t>
        </is>
      </c>
      <c r="BB128" s="24" t="inlineStr">
        <is>
          <t>poisson_dixon_coles</t>
        </is>
      </c>
      <c r="BC128" s="24" t="inlineStr">
        <is>
          <t>soccer-poisson-dc-v1</t>
        </is>
      </c>
      <c r="BD128" s="24" t="inlineStr">
        <is>
          <t>e64f166eb03d5e657185abb04e25fff4830a8801f3dfa7f84e7c01a3f339baa9</t>
        </is>
      </c>
      <c r="BE128" s="24" t="inlineStr">
        <is>
          <t>soccer-poisson-dc-v1</t>
        </is>
      </c>
      <c r="BF128" s="24" t="inlineStr">
        <is>
          <t>1</t>
        </is>
      </c>
      <c r="BG128" s="24" t="inlineStr">
        <is>
          <t>e64f166eb03d5e657185abb04e25fff4830a8801f3dfa7f84e7c01a3f339baa9</t>
        </is>
      </c>
      <c r="BH128" s="24" t="inlineStr">
        <is>
          <t>2026-09-05T10:04:14.043464Z</t>
        </is>
      </c>
      <c r="BI128" s="24" t="inlineStr">
        <is>
          <t>["same_event","same_team_same_day","same_league_same_day"]</t>
        </is>
      </c>
      <c r="BJ128" s="25" t="n"/>
      <c r="BK128" s="26" t="n">
        <v>117</v>
      </c>
      <c r="BL128" s="27" t="n">
        <v>2.17</v>
      </c>
      <c r="BM128" s="28" t="n">
        <v>0.460829</v>
      </c>
      <c r="BN128" s="28" t="n"/>
      <c r="BO128" s="28" t="n"/>
      <c r="BP128" s="25" t="n"/>
      <c r="BQ128" s="27" t="n">
        <v>2.17</v>
      </c>
      <c r="BR128" s="28" t="n">
        <v>0.46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0.460829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dc4a937059274c93</t>
        </is>
      </c>
      <c r="B129" s="24" t="inlineStr">
        <is>
          <t>2026-09-05T10:05:13.585890Z</t>
        </is>
      </c>
      <c r="C129" s="24" t="inlineStr">
        <is>
          <t>2026-09-05T14:00Z</t>
        </is>
      </c>
      <c r="D129" s="24" t="inlineStr">
        <is>
          <t>401879287</t>
        </is>
      </c>
      <c r="E129" s="24" t="inlineStr">
        <is>
          <t>SOCCER</t>
        </is>
      </c>
      <c r="F129" s="24" t="inlineStr">
        <is>
          <t>Coventry City</t>
        </is>
      </c>
      <c r="G129" s="24" t="inlineStr">
        <is>
          <t>Manchester City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-525</v>
      </c>
      <c r="M129" s="27" t="n">
        <v>1.190476</v>
      </c>
      <c r="N129" s="28" t="n">
        <v>0.84</v>
      </c>
      <c r="O129" s="28" t="n">
        <v>0.6738459999999999</v>
      </c>
      <c r="P129" s="28" t="n">
        <v>0.2</v>
      </c>
      <c r="Q129" s="28" t="n">
        <v>-0.166154</v>
      </c>
      <c r="R129" s="26" t="n">
        <v>0</v>
      </c>
      <c r="S129" s="29" t="n">
        <v>1</v>
      </c>
      <c r="T129" s="24" t="inlineStr">
        <is>
          <t>soccer-poisson-dc-v1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>
        <v>-525</v>
      </c>
      <c r="AA129" s="28" t="n">
        <v>0.84</v>
      </c>
      <c r="AB129" s="28" t="n">
        <v>0</v>
      </c>
      <c r="AC129" s="30" t="n">
        <v>0.1905</v>
      </c>
      <c r="AD129" s="24" t="inlineStr">
        <is>
          <t>2026-09-05T16:00:15.031764Z</t>
        </is>
      </c>
      <c r="AE129" s="31" t="inlineStr">
        <is>
          <t>Poisson-DC rates 2.20 (home) / 0.85 (away) from EWMA attack/defense strengths. Executable ask 0.8400 (atc-epl-mnc-cov-2026-09-05-mnc).</t>
        </is>
      </c>
      <c r="AF129" s="31" t="inlineStr">
        <is>
          <t>Research-only soccer score model; draw-aware, but not yet locked-holdout qualified.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Coventry City</t>
        </is>
      </c>
      <c r="AQ129" s="24" t="inlineStr">
        <is>
          <t>Coventry City</t>
        </is>
      </c>
      <c r="AR129" s="24" t="inlineStr">
        <is>
          <t>Coventry City</t>
        </is>
      </c>
      <c r="AS129" s="24" t="inlineStr">
        <is>
          <t>Manchester City</t>
        </is>
      </c>
      <c r="AT129" s="24" t="inlineStr">
        <is>
          <t>Manchester City</t>
        </is>
      </c>
      <c r="AU129" s="24" t="inlineStr">
        <is>
          <t>Manchester City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e64f166eb03d5e657185abb04e25fff4830a8801f3dfa7f84e7c01a3f339baa9</t>
        </is>
      </c>
      <c r="BB129" s="24" t="inlineStr">
        <is>
          <t>poisson_dixon_coles</t>
        </is>
      </c>
      <c r="BC129" s="24" t="inlineStr">
        <is>
          <t>soccer-poisson-dc-v1</t>
        </is>
      </c>
      <c r="BD129" s="24" t="inlineStr">
        <is>
          <t>e64f166eb03d5e657185abb04e25fff4830a8801f3dfa7f84e7c01a3f339baa9</t>
        </is>
      </c>
      <c r="BE129" s="24" t="inlineStr">
        <is>
          <t>soccer-poisson-dc-v1</t>
        </is>
      </c>
      <c r="BF129" s="24" t="inlineStr">
        <is>
          <t>1</t>
        </is>
      </c>
      <c r="BG129" s="24" t="inlineStr">
        <is>
          <t>e64f166eb03d5e657185abb04e25fff4830a8801f3dfa7f84e7c01a3f339baa9</t>
        </is>
      </c>
      <c r="BH129" s="24" t="inlineStr">
        <is>
          <t>2026-09-05T10:04:14.431272Z</t>
        </is>
      </c>
      <c r="BI129" s="24" t="inlineStr">
        <is>
          <t>["same_event","same_team_same_day","same_league_same_day"]</t>
        </is>
      </c>
      <c r="BJ129" s="25" t="n"/>
      <c r="BK129" s="26" t="n">
        <v>-525</v>
      </c>
      <c r="BL129" s="27" t="n">
        <v>1.190476</v>
      </c>
      <c r="BM129" s="28" t="n">
        <v>0.84</v>
      </c>
      <c r="BN129" s="28" t="n"/>
      <c r="BO129" s="28" t="n"/>
      <c r="BP129" s="25" t="n"/>
      <c r="BQ129" s="27" t="n">
        <v>1.190476</v>
      </c>
      <c r="BR129" s="28" t="n">
        <v>0.84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0.190476</v>
      </c>
      <c r="BZ129" s="24" t="inlineStr">
        <is>
          <t>2026-09-05T16:00:15.031764Z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0.84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7e64939588ea44aa</t>
        </is>
      </c>
      <c r="B130" s="24" t="inlineStr">
        <is>
          <t>2026-09-05T10:05:13.585890Z</t>
        </is>
      </c>
      <c r="C130" s="24" t="inlineStr">
        <is>
          <t>2026-09-05T14:00Z</t>
        </is>
      </c>
      <c r="D130" s="24" t="inlineStr">
        <is>
          <t>401878780</t>
        </is>
      </c>
      <c r="E130" s="24" t="inlineStr">
        <is>
          <t>SOCCER</t>
        </is>
      </c>
      <c r="F130" s="24" t="inlineStr">
        <is>
          <t>Tottenham Hotspur</t>
        </is>
      </c>
      <c r="G130" s="24" t="inlineStr">
        <is>
          <t>Nottingham Forest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150</v>
      </c>
      <c r="M130" s="27" t="n">
        <v>2.5</v>
      </c>
      <c r="N130" s="28" t="n">
        <v>0.4</v>
      </c>
      <c r="O130" s="28" t="n">
        <v>0.615388</v>
      </c>
      <c r="P130" s="28" t="n">
        <v>0.04</v>
      </c>
      <c r="Q130" s="28" t="n">
        <v>0.215388</v>
      </c>
      <c r="R130" s="26" t="n">
        <v>100</v>
      </c>
      <c r="S130" s="29" t="n">
        <v>2</v>
      </c>
      <c r="T130" s="24" t="inlineStr">
        <is>
          <t>soccer-poisson-dc-v1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0</v>
      </c>
      <c r="Y130" s="25" t="n"/>
      <c r="Z130" s="26" t="n">
        <v>150</v>
      </c>
      <c r="AA130" s="28" t="n">
        <v>0.4</v>
      </c>
      <c r="AB130" s="28" t="n">
        <v>0</v>
      </c>
      <c r="AC130" s="30" t="n">
        <v>-2</v>
      </c>
      <c r="AD130" s="24" t="inlineStr">
        <is>
          <t>2026-09-05T16:00:15.975735Z</t>
        </is>
      </c>
      <c r="AE130" s="31" t="inlineStr">
        <is>
          <t>Poisson-DC rates 1.91 (home) / 0.84 (away) from EWMA attack/defense strengths. Executable ask 0.4000 (atc-epl-not-tot-2026-09-05-not).</t>
        </is>
      </c>
      <c r="AF130" s="31" t="inlineStr">
        <is>
          <t>Research-only soccer score model; draw-aware, but not yet locked-holdout qualified.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Tottenham Hotspur</t>
        </is>
      </c>
      <c r="AQ130" s="24" t="inlineStr">
        <is>
          <t>Tottenham Hotspur</t>
        </is>
      </c>
      <c r="AR130" s="24" t="inlineStr">
        <is>
          <t>Tottenham Hotspur</t>
        </is>
      </c>
      <c r="AS130" s="24" t="inlineStr">
        <is>
          <t>Nottingham Forest</t>
        </is>
      </c>
      <c r="AT130" s="24" t="inlineStr">
        <is>
          <t>Nottingham Forest</t>
        </is>
      </c>
      <c r="AU130" s="24" t="inlineStr">
        <is>
          <t>Nottingham Forest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e64f166eb03d5e657185abb04e25fff4830a8801f3dfa7f84e7c01a3f339baa9</t>
        </is>
      </c>
      <c r="BB130" s="24" t="inlineStr">
        <is>
          <t>poisson_dixon_coles</t>
        </is>
      </c>
      <c r="BC130" s="24" t="inlineStr">
        <is>
          <t>soccer-poisson-dc-v1</t>
        </is>
      </c>
      <c r="BD130" s="24" t="inlineStr">
        <is>
          <t>e64f166eb03d5e657185abb04e25fff4830a8801f3dfa7f84e7c01a3f339baa9</t>
        </is>
      </c>
      <c r="BE130" s="24" t="inlineStr">
        <is>
          <t>soccer-poisson-dc-v1</t>
        </is>
      </c>
      <c r="BF130" s="24" t="inlineStr">
        <is>
          <t>1</t>
        </is>
      </c>
      <c r="BG130" s="24" t="inlineStr">
        <is>
          <t>e64f166eb03d5e657185abb04e25fff4830a8801f3dfa7f84e7c01a3f339baa9</t>
        </is>
      </c>
      <c r="BH130" s="24" t="inlineStr">
        <is>
          <t>2026-09-05T10:04:14.707937Z</t>
        </is>
      </c>
      <c r="BI130" s="24" t="inlineStr">
        <is>
          <t>["same_event","same_team_same_day","same_league_same_day"]</t>
        </is>
      </c>
      <c r="BJ130" s="25" t="n"/>
      <c r="BK130" s="26" t="n">
        <v>150</v>
      </c>
      <c r="BL130" s="27" t="n">
        <v>2.5</v>
      </c>
      <c r="BM130" s="28" t="n">
        <v>0.4</v>
      </c>
      <c r="BN130" s="28" t="n"/>
      <c r="BO130" s="28" t="n"/>
      <c r="BP130" s="25" t="n"/>
      <c r="BQ130" s="27" t="n">
        <v>2.5</v>
      </c>
      <c r="BR130" s="28" t="n">
        <v>0.4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0.4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06d0dc86043c4e76</t>
        </is>
      </c>
      <c r="B131" s="24" t="inlineStr">
        <is>
          <t>2026-09-05T10:05:13.585890Z</t>
        </is>
      </c>
      <c r="C131" s="24" t="inlineStr">
        <is>
          <t>2026-09-05T13:30Z</t>
        </is>
      </c>
      <c r="D131" s="24" t="inlineStr">
        <is>
          <t>401884806</t>
        </is>
      </c>
      <c r="E131" s="24" t="inlineStr">
        <is>
          <t>SOCCER</t>
        </is>
      </c>
      <c r="F131" s="24" t="inlineStr">
        <is>
          <t>1. FC Union Berlin</t>
        </is>
      </c>
      <c r="G131" s="24" t="inlineStr">
        <is>
          <t>Bayer Leverkusen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0.651031</v>
      </c>
      <c r="P131" s="28" t="n">
        <v>0.04</v>
      </c>
      <c r="Q131" s="28" t="n">
        <v>-0.048669</v>
      </c>
      <c r="R131" s="26" t="n">
        <v>2</v>
      </c>
      <c r="S131" s="29" t="n">
        <v>1</v>
      </c>
      <c r="T131" s="24" t="inlineStr">
        <is>
          <t>soccer-poisson-dc-v1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4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0.4292</v>
      </c>
      <c r="AD131" s="24" t="inlineStr">
        <is>
          <t>2026-09-05T16:00:17.013762Z</t>
        </is>
      </c>
      <c r="AE131" s="31" t="inlineStr">
        <is>
          <t>Poisson-DC rates 2.41 (home) / 1.12 (away) from EWMA attack/defense strengths. Executable ask 0.7000 (atc-bun-lev-unb-2026-09-05-lev).</t>
        </is>
      </c>
      <c r="AF131" s="31" t="inlineStr">
        <is>
          <t>Research-only soccer score model; draw-aware, but not yet locked-holdout qualified.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1. FC Union Berlin</t>
        </is>
      </c>
      <c r="AQ131" s="24" t="inlineStr">
        <is>
          <t>1. FC Union Berlin</t>
        </is>
      </c>
      <c r="AR131" s="24" t="inlineStr">
        <is>
          <t>1. FC Union Berlin</t>
        </is>
      </c>
      <c r="AS131" s="24" t="inlineStr">
        <is>
          <t>Bayer Leverkusen</t>
        </is>
      </c>
      <c r="AT131" s="24" t="inlineStr">
        <is>
          <t>Bayer Leverkusen</t>
        </is>
      </c>
      <c r="AU131" s="24" t="inlineStr">
        <is>
          <t>Bayer Leverkusen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e64f166eb03d5e657185abb04e25fff4830a8801f3dfa7f84e7c01a3f339baa9</t>
        </is>
      </c>
      <c r="BB131" s="24" t="inlineStr">
        <is>
          <t>poisson_dixon_coles</t>
        </is>
      </c>
      <c r="BC131" s="24" t="inlineStr">
        <is>
          <t>soccer-poisson-dc-v1</t>
        </is>
      </c>
      <c r="BD131" s="24" t="inlineStr">
        <is>
          <t>e64f166eb03d5e657185abb04e25fff4830a8801f3dfa7f84e7c01a3f339baa9</t>
        </is>
      </c>
      <c r="BE131" s="24" t="inlineStr">
        <is>
          <t>soccer-poisson-dc-v1</t>
        </is>
      </c>
      <c r="BF131" s="24" t="inlineStr">
        <is>
          <t>1</t>
        </is>
      </c>
      <c r="BG131" s="24" t="inlineStr">
        <is>
          <t>e64f166eb03d5e657185abb04e25fff4830a8801f3dfa7f84e7c01a3f339baa9</t>
        </is>
      </c>
      <c r="BH131" s="24" t="inlineStr">
        <is>
          <t>2026-09-05T10:04:16.878196Z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0.429184</v>
      </c>
      <c r="BZ131" s="24" t="inlineStr">
        <is>
          <t>2026-09-05T16:00:17.013762Z</t>
        </is>
      </c>
      <c r="CA131" s="31" t="inlineStr">
        <is>
          <t>fixed one-unit hypothetical scoring; no real exposure or execution</t>
        </is>
      </c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a621eee430224a08</t>
        </is>
      </c>
      <c r="B132" s="24" t="inlineStr">
        <is>
          <t>2026-09-05T10:05:13.585890Z</t>
        </is>
      </c>
      <c r="C132" s="24" t="inlineStr">
        <is>
          <t>2026-09-05T13:30Z</t>
        </is>
      </c>
      <c r="D132" s="24" t="inlineStr">
        <is>
          <t>401884800</t>
        </is>
      </c>
      <c r="E132" s="24" t="inlineStr">
        <is>
          <t>SOCCER</t>
        </is>
      </c>
      <c r="F132" s="24" t="inlineStr">
        <is>
          <t>SC Freiburg</t>
        </is>
      </c>
      <c r="G132" s="24" t="inlineStr">
        <is>
          <t>SC Paderborn 07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285</v>
      </c>
      <c r="M132" s="27" t="n">
        <v>3.85</v>
      </c>
      <c r="N132" s="28" t="n">
        <v>0.25974</v>
      </c>
      <c r="O132" s="28" t="n">
        <v>0.503275</v>
      </c>
      <c r="P132" s="28" t="n">
        <v>0.2</v>
      </c>
      <c r="Q132" s="28" t="n">
        <v>0.243535</v>
      </c>
      <c r="R132" s="26" t="n">
        <v>52</v>
      </c>
      <c r="S132" s="29" t="n">
        <v>1.25</v>
      </c>
      <c r="T132" s="24" t="inlineStr">
        <is>
          <t>soccer-poisson-dc-v1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285</v>
      </c>
      <c r="AA132" s="28" t="n">
        <v>0.26</v>
      </c>
      <c r="AB132" s="28" t="n">
        <v>0.00026</v>
      </c>
      <c r="AC132" s="30" t="n">
        <v>-1.25</v>
      </c>
      <c r="AD132" s="24" t="inlineStr">
        <is>
          <t>2026-09-05T16:00:17.953672Z</t>
        </is>
      </c>
      <c r="AE132" s="31" t="inlineStr">
        <is>
          <t>Poisson-DC rates 1.94 (home) / 1.35 (away) from EWMA attack/defense strengths. Executable ask 0.2600 (atc-bun-scp-scf-2026-09-05-scp).</t>
        </is>
      </c>
      <c r="AF132" s="31" t="inlineStr">
        <is>
          <t>Research-only soccer score model; draw-aware, but not yet locked-holdout qualified.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PAPER_CALL_MODEL_UNVALIDATED</t>
        </is>
      </c>
      <c r="AP132" s="24" t="inlineStr">
        <is>
          <t>SC Freiburg</t>
        </is>
      </c>
      <c r="AQ132" s="24" t="inlineStr">
        <is>
          <t>SC Freiburg</t>
        </is>
      </c>
      <c r="AR132" s="24" t="inlineStr">
        <is>
          <t>SC Freiburg</t>
        </is>
      </c>
      <c r="AS132" s="24" t="inlineStr">
        <is>
          <t>SC Paderborn 07</t>
        </is>
      </c>
      <c r="AT132" s="24" t="inlineStr">
        <is>
          <t>SC Paderborn 07</t>
        </is>
      </c>
      <c r="AU132" s="24" t="inlineStr">
        <is>
          <t>SC Paderborn 07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e64f166eb03d5e657185abb04e25fff4830a8801f3dfa7f84e7c01a3f339baa9</t>
        </is>
      </c>
      <c r="BB132" s="24" t="inlineStr">
        <is>
          <t>poisson_dixon_coles</t>
        </is>
      </c>
      <c r="BC132" s="24" t="inlineStr">
        <is>
          <t>soccer-poisson-dc-v1</t>
        </is>
      </c>
      <c r="BD132" s="24" t="inlineStr">
        <is>
          <t>e64f166eb03d5e657185abb04e25fff4830a8801f3dfa7f84e7c01a3f339baa9</t>
        </is>
      </c>
      <c r="BE132" s="24" t="inlineStr">
        <is>
          <t>soccer-poisson-dc-v1</t>
        </is>
      </c>
      <c r="BF132" s="24" t="inlineStr">
        <is>
          <t>1</t>
        </is>
      </c>
      <c r="BG132" s="24" t="inlineStr">
        <is>
          <t>e64f166eb03d5e657185abb04e25fff4830a8801f3dfa7f84e7c01a3f339baa9</t>
        </is>
      </c>
      <c r="BH132" s="24" t="inlineStr">
        <is>
          <t>2026-09-05T10:04:17.650365Z</t>
        </is>
      </c>
      <c r="BI132" s="24" t="inlineStr">
        <is>
          <t>["same_event","same_team_same_day","same_league_same_day"]</t>
        </is>
      </c>
      <c r="BJ132" s="25" t="n"/>
      <c r="BK132" s="26" t="n">
        <v>285</v>
      </c>
      <c r="BL132" s="27" t="n">
        <v>3.85</v>
      </c>
      <c r="BM132" s="28" t="n">
        <v>0.25974</v>
      </c>
      <c r="BN132" s="28" t="n"/>
      <c r="BO132" s="28" t="n"/>
      <c r="BP132" s="25" t="n"/>
      <c r="BQ132" s="27" t="n">
        <v>3.85</v>
      </c>
      <c r="BR132" s="28" t="n">
        <v>0.26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-1</v>
      </c>
      <c r="BZ132" s="24" t="inlineStr">
        <is>
          <t>2026-09-05T16:00:17.953672Z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0.25974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7cafd2c120394ab7</t>
        </is>
      </c>
      <c r="B133" s="24" t="inlineStr">
        <is>
          <t>2026-09-05T10:05:13.585890Z</t>
        </is>
      </c>
      <c r="C133" s="24" t="inlineStr">
        <is>
          <t>2026-09-05T13:30Z</t>
        </is>
      </c>
      <c r="D133" s="24" t="inlineStr">
        <is>
          <t>401884807</t>
        </is>
      </c>
      <c r="E133" s="24" t="inlineStr">
        <is>
          <t>SOCCER</t>
        </is>
      </c>
      <c r="F133" s="24" t="inlineStr">
        <is>
          <t>Borussia Dortmund</t>
        </is>
      </c>
      <c r="G133" s="24" t="inlineStr">
        <is>
          <t>TSG Hoffenheim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150</v>
      </c>
      <c r="M133" s="27" t="n">
        <v>2.5</v>
      </c>
      <c r="N133" s="28" t="n">
        <v>0.4</v>
      </c>
      <c r="O133" s="28" t="n">
        <v>0.503765</v>
      </c>
      <c r="P133" s="28" t="n">
        <v>0.04</v>
      </c>
      <c r="Q133" s="28" t="n">
        <v>0.103765</v>
      </c>
      <c r="R133" s="26" t="n">
        <v>78</v>
      </c>
      <c r="S133" s="29" t="n">
        <v>1.5</v>
      </c>
      <c r="T133" s="24" t="inlineStr">
        <is>
          <t>soccer-poisson-dc-v1</t>
        </is>
      </c>
      <c r="U133" s="24" t="inlineStr">
        <is>
          <t>settled</t>
        </is>
      </c>
      <c r="V133" s="24" t="inlineStr">
        <is>
          <t>win</t>
        </is>
      </c>
      <c r="W133" s="26" t="n">
        <v>3</v>
      </c>
      <c r="X133" s="26" t="n">
        <v>2</v>
      </c>
      <c r="Y133" s="25" t="n"/>
      <c r="Z133" s="26" t="n">
        <v>-156</v>
      </c>
      <c r="AA133" s="28" t="n">
        <v>0.61</v>
      </c>
      <c r="AB133" s="28" t="n">
        <v>0.21</v>
      </c>
      <c r="AC133" s="30" t="n">
        <v>2.25</v>
      </c>
      <c r="AD133" s="24" t="inlineStr">
        <is>
          <t>2026-09-05T16:00:18.893380Z</t>
        </is>
      </c>
      <c r="AE133" s="31" t="inlineStr">
        <is>
          <t>Poisson-DC rates 1.37 (home) / 1.96 (away) from EWMA attack/defense strengths. Executable ask 0.4000 (atc-bun-hof-bvb-2026-09-05-bvb).</t>
        </is>
      </c>
      <c r="AF133" s="31" t="inlineStr">
        <is>
          <t>Research-only soccer score model; draw-aware, but not yet locked-holdout qualified.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Borussia Dortmund</t>
        </is>
      </c>
      <c r="AQ133" s="24" t="inlineStr">
        <is>
          <t>Borussia Dortmund</t>
        </is>
      </c>
      <c r="AR133" s="24" t="inlineStr">
        <is>
          <t>Borussia Dortmund</t>
        </is>
      </c>
      <c r="AS133" s="24" t="inlineStr">
        <is>
          <t>TSG Hoffenheim</t>
        </is>
      </c>
      <c r="AT133" s="24" t="inlineStr">
        <is>
          <t>TSG Hoffenheim</t>
        </is>
      </c>
      <c r="AU133" s="24" t="inlineStr">
        <is>
          <t>TSG Hoffenheim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e64f166eb03d5e657185abb04e25fff4830a8801f3dfa7f84e7c01a3f339baa9</t>
        </is>
      </c>
      <c r="BB133" s="24" t="inlineStr">
        <is>
          <t>poisson_dixon_coles</t>
        </is>
      </c>
      <c r="BC133" s="24" t="inlineStr">
        <is>
          <t>soccer-poisson-dc-v1</t>
        </is>
      </c>
      <c r="BD133" s="24" t="inlineStr">
        <is>
          <t>e64f166eb03d5e657185abb04e25fff4830a8801f3dfa7f84e7c01a3f339baa9</t>
        </is>
      </c>
      <c r="BE133" s="24" t="inlineStr">
        <is>
          <t>soccer-poisson-dc-v1</t>
        </is>
      </c>
      <c r="BF133" s="24" t="inlineStr">
        <is>
          <t>1</t>
        </is>
      </c>
      <c r="BG133" s="24" t="inlineStr">
        <is>
          <t>e64f166eb03d5e657185abb04e25fff4830a8801f3dfa7f84e7c01a3f339baa9</t>
        </is>
      </c>
      <c r="BH133" s="24" t="inlineStr">
        <is>
          <t>2026-09-05T10:04:16.669135Z</t>
        </is>
      </c>
      <c r="BI133" s="24" t="inlineStr">
        <is>
          <t>["same_event","same_team_same_day","same_league_same_day"]</t>
        </is>
      </c>
      <c r="BJ133" s="25" t="n"/>
      <c r="BK133" s="26" t="n">
        <v>150</v>
      </c>
      <c r="BL133" s="27" t="n">
        <v>2.5</v>
      </c>
      <c r="BM133" s="28" t="n">
        <v>0.4</v>
      </c>
      <c r="BN133" s="28" t="n"/>
      <c r="BO133" s="28" t="n"/>
      <c r="BP133" s="25" t="n"/>
      <c r="BQ133" s="27" t="n">
        <v>1.641026</v>
      </c>
      <c r="BR133" s="28" t="n">
        <v>0.61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7f283481c4c9484e</t>
        </is>
      </c>
      <c r="B134" s="24" t="inlineStr">
        <is>
          <t>2026-09-05T10:05:13.585890Z</t>
        </is>
      </c>
      <c r="C134" s="24" t="inlineStr">
        <is>
          <t>2026-09-05T13:30Z</t>
        </is>
      </c>
      <c r="D134" s="24" t="inlineStr">
        <is>
          <t>401884802</t>
        </is>
      </c>
      <c r="E134" s="24" t="inlineStr">
        <is>
          <t>SOCCER</t>
        </is>
      </c>
      <c r="F134" s="24" t="inlineStr">
        <is>
          <t>RB Leipzig</t>
        </is>
      </c>
      <c r="G134" s="24" t="inlineStr">
        <is>
          <t>Werder Bremen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-127</v>
      </c>
      <c r="M134" s="27" t="n">
        <v>1.787402</v>
      </c>
      <c r="N134" s="28" t="n">
        <v>0.5594710000000001</v>
      </c>
      <c r="O134" s="28" t="n">
        <v>0.474158</v>
      </c>
      <c r="P134" s="28" t="n">
        <v>0.04</v>
      </c>
      <c r="Q134" s="28" t="n">
        <v>-0.085313</v>
      </c>
      <c r="R134" s="26" t="n">
        <v>0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3</v>
      </c>
      <c r="Y134" s="25" t="n"/>
      <c r="Z134" s="26" t="n">
        <v>122</v>
      </c>
      <c r="AA134" s="28" t="n">
        <v>0.45</v>
      </c>
      <c r="AB134" s="28" t="n">
        <v>-0.109471</v>
      </c>
      <c r="AC134" s="30" t="n">
        <v>-1</v>
      </c>
      <c r="AD134" s="24" t="inlineStr">
        <is>
          <t>2026-09-05T16:00:19.835771Z</t>
        </is>
      </c>
      <c r="AE134" s="31" t="inlineStr">
        <is>
          <t>Poisson-DC rates 1.22 (home) / 1.70 (away) from EWMA attack/defense strengths. Executable ask 0.5600 (atc-bun-bre-rbl-2026-09-05-rbl).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RB Leipzig</t>
        </is>
      </c>
      <c r="AQ134" s="24" t="inlineStr">
        <is>
          <t>RB Leipzig</t>
        </is>
      </c>
      <c r="AR134" s="24" t="inlineStr">
        <is>
          <t>RB Leipzig</t>
        </is>
      </c>
      <c r="AS134" s="24" t="inlineStr">
        <is>
          <t>Werder Bremen</t>
        </is>
      </c>
      <c r="AT134" s="24" t="inlineStr">
        <is>
          <t>Werder Bremen</t>
        </is>
      </c>
      <c r="AU134" s="24" t="inlineStr">
        <is>
          <t>Werder Bremen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e64f166eb03d5e657185abb04e25fff4830a8801f3dfa7f84e7c01a3f339baa9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e64f166eb03d5e657185abb04e25fff4830a8801f3dfa7f84e7c01a3f339baa9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e64f166eb03d5e657185abb04e25fff4830a8801f3dfa7f84e7c01a3f339baa9</t>
        </is>
      </c>
      <c r="BH134" s="24" t="inlineStr">
        <is>
          <t>2026-09-05T10:04:16.631495Z</t>
        </is>
      </c>
      <c r="BI134" s="24" t="inlineStr">
        <is>
          <t>["same_event","same_team_same_day","same_league_same_day"]</t>
        </is>
      </c>
      <c r="BJ134" s="25" t="n"/>
      <c r="BK134" s="26" t="n">
        <v>-127</v>
      </c>
      <c r="BL134" s="27" t="n">
        <v>1.787402</v>
      </c>
      <c r="BM134" s="28" t="n">
        <v>0.5594710000000001</v>
      </c>
      <c r="BN134" s="28" t="n"/>
      <c r="BO134" s="28" t="n"/>
      <c r="BP134" s="25" t="n"/>
      <c r="BQ134" s="27" t="n">
        <v>2.22</v>
      </c>
      <c r="BR134" s="28" t="n">
        <v>0.45</v>
      </c>
      <c r="BS134" s="28" t="n"/>
      <c r="BT134" s="28" t="n"/>
      <c r="BU134" s="25" t="n"/>
      <c r="BV134" s="29" t="n"/>
      <c r="BW134" s="24" t="n"/>
      <c r="BX134" s="30" t="n">
        <v>1</v>
      </c>
      <c r="BY134" s="27" t="n">
        <v>-1</v>
      </c>
      <c r="BZ134" s="24" t="inlineStr">
        <is>
          <t>2026-09-05T16:00:19.835771Z</t>
        </is>
      </c>
      <c r="CA134" s="31" t="inlineStr">
        <is>
          <t>fixed one-unit hypothetical scoring; no real exposure or execution</t>
        </is>
      </c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0.559471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0e3a2584e88946d3</t>
        </is>
      </c>
      <c r="B135" s="24" t="inlineStr">
        <is>
          <t>2026-09-05T10:05:13.585890Z</t>
        </is>
      </c>
      <c r="C135" s="24" t="inlineStr">
        <is>
          <t>2026-09-05T13:00Z</t>
        </is>
      </c>
      <c r="D135" s="24" t="inlineStr">
        <is>
          <t>401874939</t>
        </is>
      </c>
      <c r="E135" s="24" t="inlineStr">
        <is>
          <t>SOCCER</t>
        </is>
      </c>
      <c r="F135" s="24" t="inlineStr">
        <is>
          <t>Torino</t>
        </is>
      </c>
      <c r="G135" s="24" t="inlineStr">
        <is>
          <t>Fiorentina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100</v>
      </c>
      <c r="M135" s="27" t="n">
        <v>2</v>
      </c>
      <c r="N135" s="28" t="n">
        <v>0.5</v>
      </c>
      <c r="O135" s="28" t="n">
        <v>0.497341</v>
      </c>
      <c r="P135" s="28" t="n">
        <v>0.04</v>
      </c>
      <c r="Q135" s="28" t="n">
        <v>-0.002659</v>
      </c>
      <c r="R135" s="26" t="n">
        <v>25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2</v>
      </c>
      <c r="X135" s="26" t="n">
        <v>1</v>
      </c>
      <c r="Y135" s="25" t="n"/>
      <c r="Z135" s="26" t="n">
        <v>100</v>
      </c>
      <c r="AA135" s="28" t="n">
        <v>0.5</v>
      </c>
      <c r="AB135" s="28" t="n">
        <v>0</v>
      </c>
      <c r="AC135" s="30" t="n">
        <v>-1</v>
      </c>
      <c r="AD135" s="24" t="inlineStr">
        <is>
          <t>2026-09-05T16:00:20.826385Z</t>
        </is>
      </c>
      <c r="AE135" s="31" t="inlineStr">
        <is>
          <t>Poisson-DC rates 1.55 (home) / 0.96 (away) from EWMA attack/defense strengths. Executable ask 0.5000 (atc-sea-fio-tor-2026-09-05-fio).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Torino</t>
        </is>
      </c>
      <c r="AQ135" s="24" t="inlineStr">
        <is>
          <t>Torino</t>
        </is>
      </c>
      <c r="AR135" s="24" t="inlineStr">
        <is>
          <t>Torino</t>
        </is>
      </c>
      <c r="AS135" s="24" t="inlineStr">
        <is>
          <t>Fiorentina</t>
        </is>
      </c>
      <c r="AT135" s="24" t="inlineStr">
        <is>
          <t>Fiorentina</t>
        </is>
      </c>
      <c r="AU135" s="24" t="inlineStr">
        <is>
          <t>Fiorentina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e64f166eb03d5e657185abb04e25fff4830a8801f3dfa7f84e7c01a3f339baa9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e64f166eb03d5e657185abb04e25fff4830a8801f3dfa7f84e7c01a3f339baa9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e64f166eb03d5e657185abb04e25fff4830a8801f3dfa7f84e7c01a3f339baa9</t>
        </is>
      </c>
      <c r="BH135" s="24" t="inlineStr">
        <is>
          <t>2026-09-05T10:04:17.893560Z</t>
        </is>
      </c>
      <c r="BI135" s="24" t="inlineStr">
        <is>
          <t>["same_event","same_team_same_day","same_league_same_day"]</t>
        </is>
      </c>
      <c r="BJ135" s="25" t="n"/>
      <c r="BK135" s="26" t="n">
        <v>100</v>
      </c>
      <c r="BL135" s="27" t="n">
        <v>2</v>
      </c>
      <c r="BM135" s="28" t="n">
        <v>0.5</v>
      </c>
      <c r="BN135" s="28" t="n"/>
      <c r="BO135" s="28" t="n"/>
      <c r="BP135" s="25" t="n"/>
      <c r="BQ135" s="27" t="n">
        <v>2</v>
      </c>
      <c r="BR135" s="28" t="n">
        <v>0.5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2026-09-05T16:00:20.826385Z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078c8d0769144aff</t>
        </is>
      </c>
      <c r="B136" s="24" t="inlineStr">
        <is>
          <t>2026-09-05T10:05:13.585890Z</t>
        </is>
      </c>
      <c r="C136" s="24" t="inlineStr">
        <is>
          <t>2026-09-05T16:00Z</t>
        </is>
      </c>
      <c r="D136" s="24" t="inlineStr">
        <is>
          <t>401874937</t>
        </is>
      </c>
      <c r="E136" s="24" t="inlineStr">
        <is>
          <t>SOCCER</t>
        </is>
      </c>
      <c r="F136" s="24" t="inlineStr">
        <is>
          <t>Napoli</t>
        </is>
      </c>
      <c r="G136" s="24" t="inlineStr">
        <is>
          <t>Internazionale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0.558021</v>
      </c>
      <c r="P136" s="28" t="n">
        <v>0.04</v>
      </c>
      <c r="Q136" s="28" t="n">
        <v>-0.032143</v>
      </c>
      <c r="R136" s="26" t="n">
        <v>10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3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2026-09-05T22:00:14.265142Z</t>
        </is>
      </c>
      <c r="AE136" s="31" t="inlineStr">
        <is>
          <t>Poisson-DC rates 1.90 (home) / 1.07 (away) from EWMA attack/defense strengths. Executable ask 0.5900 (atc-sea-int-nap-2026-09-05-int).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Napoli</t>
        </is>
      </c>
      <c r="AQ136" s="24" t="inlineStr">
        <is>
          <t>Napoli</t>
        </is>
      </c>
      <c r="AR136" s="24" t="inlineStr">
        <is>
          <t>Napoli</t>
        </is>
      </c>
      <c r="AS136" s="24" t="inlineStr">
        <is>
          <t>Internazionale</t>
        </is>
      </c>
      <c r="AT136" s="24" t="inlineStr">
        <is>
          <t>Internazionale</t>
        </is>
      </c>
      <c r="AU136" s="24" t="inlineStr">
        <is>
          <t>Internazionale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e64f166eb03d5e657185abb04e25fff4830a8801f3dfa7f84e7c01a3f339baa9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e64f166eb03d5e657185abb04e25fff4830a8801f3dfa7f84e7c01a3f339baa9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e64f166eb03d5e657185abb04e25fff4830a8801f3dfa7f84e7c01a3f339baa9</t>
        </is>
      </c>
      <c r="BH136" s="24" t="inlineStr">
        <is>
          <t>2026-09-05T10:04:18.663108Z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0.694444</v>
      </c>
      <c r="BZ136" s="24" t="inlineStr">
        <is>
          <t>2026-09-05T22:00:14.265142Z</t>
        </is>
      </c>
      <c r="CA136" s="31" t="inlineStr">
        <is>
          <t>fixed one-unit hypothetical scoring; no real exposure or execution</t>
        </is>
      </c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0.590164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af5d244c86644fbf</t>
        </is>
      </c>
      <c r="B137" s="24" t="inlineStr">
        <is>
          <t>2026-09-05T16:05:14.106953Z</t>
        </is>
      </c>
      <c r="C137" s="24" t="inlineStr">
        <is>
          <t>2026-09-05T16:30Z</t>
        </is>
      </c>
      <c r="D137" s="24" t="inlineStr">
        <is>
          <t>401878781</t>
        </is>
      </c>
      <c r="E137" s="24" t="inlineStr">
        <is>
          <t>SOCCER</t>
        </is>
      </c>
      <c r="F137" s="24" t="inlineStr">
        <is>
          <t>Aston Villa</t>
        </is>
      </c>
      <c r="G137" s="24" t="inlineStr">
        <is>
          <t>Hull City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335</v>
      </c>
      <c r="M137" s="27" t="n">
        <v>4.35</v>
      </c>
      <c r="N137" s="28" t="n">
        <v>0.229885</v>
      </c>
      <c r="O137" s="28" t="n">
        <v>0.435087</v>
      </c>
      <c r="P137" s="28" t="n">
        <v>0.2</v>
      </c>
      <c r="Q137" s="28" t="n">
        <v>0.205202</v>
      </c>
      <c r="R137" s="26" t="n">
        <v>33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0</v>
      </c>
      <c r="X137" s="26" t="n">
        <v>0</v>
      </c>
      <c r="Y137" s="25" t="n"/>
      <c r="Z137" s="26" t="n">
        <v>335</v>
      </c>
      <c r="AA137" s="28" t="n">
        <v>0.23</v>
      </c>
      <c r="AB137" s="28" t="n">
        <v>0.000115</v>
      </c>
      <c r="AC137" s="30" t="n">
        <v>-1</v>
      </c>
      <c r="AD137" s="24" t="inlineStr">
        <is>
          <t>2026-09-05T22:00:18.534304Z</t>
        </is>
      </c>
      <c r="AE137" s="31" t="inlineStr">
        <is>
          <t>Poisson-DC rates 1.68 (home) / 1.38 (away) from EWMA attack/defense strengths. Executable ask 0.2300 (atc-epl-hul-ast-2026-09-05-hul).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Aston Villa</t>
        </is>
      </c>
      <c r="AQ137" s="24" t="inlineStr">
        <is>
          <t>Aston Villa</t>
        </is>
      </c>
      <c r="AR137" s="24" t="inlineStr">
        <is>
          <t>Aston Villa</t>
        </is>
      </c>
      <c r="AS137" s="24" t="inlineStr">
        <is>
          <t>Hull City</t>
        </is>
      </c>
      <c r="AT137" s="24" t="inlineStr">
        <is>
          <t>Hull City</t>
        </is>
      </c>
      <c r="AU137" s="24" t="inlineStr">
        <is>
          <t>Hull City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e64f166eb03d5e657185abb04e25fff4830a8801f3dfa7f84e7c01a3f339baa9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e64f166eb03d5e657185abb04e25fff4830a8801f3dfa7f84e7c01a3f339baa9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e64f166eb03d5e657185abb04e25fff4830a8801f3dfa7f84e7c01a3f339baa9</t>
        </is>
      </c>
      <c r="BH137" s="24" t="inlineStr">
        <is>
          <t>2026-09-05T16:04:23.461472Z</t>
        </is>
      </c>
      <c r="BI137" s="24" t="inlineStr">
        <is>
          <t>["same_event","same_team_same_day","same_league_same_day"]</t>
        </is>
      </c>
      <c r="BJ137" s="25" t="n"/>
      <c r="BK137" s="26" t="n">
        <v>335</v>
      </c>
      <c r="BL137" s="27" t="n">
        <v>4.35</v>
      </c>
      <c r="BM137" s="28" t="n">
        <v>0.229885</v>
      </c>
      <c r="BN137" s="28" t="n"/>
      <c r="BO137" s="28" t="n"/>
      <c r="BP137" s="25" t="n"/>
      <c r="BQ137" s="27" t="n">
        <v>4.35</v>
      </c>
      <c r="BR137" s="28" t="n">
        <v>0.23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-1</v>
      </c>
      <c r="BZ137" s="24" t="inlineStr">
        <is>
          <t>2026-09-05T22:00:18.534304Z</t>
        </is>
      </c>
      <c r="CA137" s="31" t="inlineStr">
        <is>
          <t>fixed one-unit hypothetical scoring; no real exposure or execution</t>
        </is>
      </c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0.229885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4d5d1f7deb2f4017</t>
        </is>
      </c>
      <c r="B138" s="24" t="inlineStr">
        <is>
          <t>2026-09-05T16:05:14.106953Z</t>
        </is>
      </c>
      <c r="C138" s="24" t="inlineStr">
        <is>
          <t>2026-09-05T19:00Z</t>
        </is>
      </c>
      <c r="D138" s="24" t="inlineStr">
        <is>
          <t>401882887</t>
        </is>
      </c>
      <c r="E138" s="24" t="inlineStr">
        <is>
          <t>SOCCER</t>
        </is>
      </c>
      <c r="F138" s="24" t="inlineStr">
        <is>
          <t>Deportivo</t>
        </is>
      </c>
      <c r="G138" s="24" t="inlineStr">
        <is>
          <t>Villarreal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-213</v>
      </c>
      <c r="M138" s="27" t="n">
        <v>1.469484</v>
      </c>
      <c r="N138" s="28" t="n">
        <v>0.680511</v>
      </c>
      <c r="O138" s="28" t="n">
        <v>0.600855</v>
      </c>
      <c r="P138" s="28" t="n">
        <v>0.2</v>
      </c>
      <c r="Q138" s="28" t="n">
        <v>-0.079656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loss</t>
        </is>
      </c>
      <c r="W138" s="26" t="n">
        <v>3</v>
      </c>
      <c r="X138" s="26" t="n">
        <v>2</v>
      </c>
      <c r="Y138" s="25" t="n"/>
      <c r="Z138" s="26" t="n">
        <v>-213</v>
      </c>
      <c r="AA138" s="28" t="n">
        <v>0.68</v>
      </c>
      <c r="AB138" s="28" t="n">
        <v>-0.000511</v>
      </c>
      <c r="AC138" s="30" t="n">
        <v>-1</v>
      </c>
      <c r="AD138" s="24" t="inlineStr">
        <is>
          <t>2026-09-05T22:00:19.520941Z</t>
        </is>
      </c>
      <c r="AE138" s="31" t="inlineStr">
        <is>
          <t>Poisson-DC rates 2.20 (home) / 1.16 (away) from EWMA attack/defense strengths. Executable ask 0.6800 (atc-lal-vil-dep-2026-09-05-vil).</t>
        </is>
      </c>
      <c r="AF138" s="31" t="inlineStr">
        <is>
          <t>Research-only soccer score model; draw-aware, but not yet locked-holdout qualified.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Deportivo</t>
        </is>
      </c>
      <c r="AQ138" s="24" t="inlineStr">
        <is>
          <t>Deportivo</t>
        </is>
      </c>
      <c r="AR138" s="24" t="inlineStr">
        <is>
          <t>Deportivo</t>
        </is>
      </c>
      <c r="AS138" s="24" t="inlineStr">
        <is>
          <t>Villarreal</t>
        </is>
      </c>
      <c r="AT138" s="24" t="inlineStr">
        <is>
          <t>Villarreal</t>
        </is>
      </c>
      <c r="AU138" s="24" t="inlineStr">
        <is>
          <t>Villarreal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e64f166eb03d5e657185abb04e25fff4830a8801f3dfa7f84e7c01a3f339baa9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e64f166eb03d5e657185abb04e25fff4830a8801f3dfa7f84e7c01a3f339baa9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e64f166eb03d5e657185abb04e25fff4830a8801f3dfa7f84e7c01a3f339baa9</t>
        </is>
      </c>
      <c r="BH138" s="24" t="inlineStr">
        <is>
          <t>2026-09-05T16:04:24.473293Z</t>
        </is>
      </c>
      <c r="BI138" s="24" t="inlineStr">
        <is>
          <t>["same_event","same_team_same_day","same_league_same_day"]</t>
        </is>
      </c>
      <c r="BJ138" s="25" t="n"/>
      <c r="BK138" s="26" t="n">
        <v>-213</v>
      </c>
      <c r="BL138" s="27" t="n">
        <v>1.469484</v>
      </c>
      <c r="BM138" s="28" t="n">
        <v>0.680511</v>
      </c>
      <c r="BN138" s="28" t="n"/>
      <c r="BO138" s="28" t="n"/>
      <c r="BP138" s="25" t="n"/>
      <c r="BQ138" s="27" t="n">
        <v>1.469484</v>
      </c>
      <c r="BR138" s="28" t="n">
        <v>0.68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-1</v>
      </c>
      <c r="BZ138" s="24" t="inlineStr">
        <is>
          <t>2026-09-05T22:00:19.520941Z</t>
        </is>
      </c>
      <c r="CA138" s="31" t="inlineStr">
        <is>
          <t>fixed one-unit hypothetical scoring; no real exposure or execution</t>
        </is>
      </c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0.680511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69e153b469884a8c</t>
        </is>
      </c>
      <c r="B139" s="24" t="inlineStr">
        <is>
          <t>2026-09-05T16:05:14.106953Z</t>
        </is>
      </c>
      <c r="C139" s="24" t="inlineStr">
        <is>
          <t>2026-09-05T18:45Z</t>
        </is>
      </c>
      <c r="D139" s="24" t="inlineStr">
        <is>
          <t>401874781</t>
        </is>
      </c>
      <c r="E139" s="24" t="inlineStr">
        <is>
          <t>SOCCER</t>
        </is>
      </c>
      <c r="F139" s="24" t="inlineStr">
        <is>
          <t>Atalanta</t>
        </is>
      </c>
      <c r="G139" s="24" t="inlineStr">
        <is>
          <t>AS Roma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-144</v>
      </c>
      <c r="M139" s="27" t="n">
        <v>1.694444</v>
      </c>
      <c r="N139" s="28" t="n">
        <v>0.590164</v>
      </c>
      <c r="O139" s="28" t="n">
        <v>0.552555</v>
      </c>
      <c r="P139" s="28" t="n">
        <v>0.04</v>
      </c>
      <c r="Q139" s="28" t="n">
        <v>-0.037609</v>
      </c>
      <c r="R139" s="26" t="n">
        <v>7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2</v>
      </c>
      <c r="Y139" s="25" t="n"/>
      <c r="Z139" s="26" t="n">
        <v>-144</v>
      </c>
      <c r="AA139" s="28" t="n">
        <v>0.59</v>
      </c>
      <c r="AB139" s="28" t="n">
        <v>-0.000164</v>
      </c>
      <c r="AC139" s="30" t="n">
        <v>0.6944</v>
      </c>
      <c r="AD139" s="24" t="inlineStr">
        <is>
          <t>2026-09-05T22:00:20.495490Z</t>
        </is>
      </c>
      <c r="AE139" s="31" t="inlineStr">
        <is>
          <t>Poisson-DC rates 1.66 (home) / 0.85 (away) from EWMA attack/defense strengths. Executable ask 0.5900 (atc-sea-rom-ata-2026-09-05-rom).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Atalanta</t>
        </is>
      </c>
      <c r="AQ139" s="24" t="inlineStr">
        <is>
          <t>Atalanta</t>
        </is>
      </c>
      <c r="AR139" s="24" t="inlineStr">
        <is>
          <t>Atalanta</t>
        </is>
      </c>
      <c r="AS139" s="24" t="inlineStr">
        <is>
          <t>AS Roma</t>
        </is>
      </c>
      <c r="AT139" s="24" t="inlineStr">
        <is>
          <t>AS Roma</t>
        </is>
      </c>
      <c r="AU139" s="24" t="inlineStr">
        <is>
          <t>AS Roma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e64f166eb03d5e657185abb04e25fff4830a8801f3dfa7f84e7c01a3f339baa9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e64f166eb03d5e657185abb04e25fff4830a8801f3dfa7f84e7c01a3f339baa9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e64f166eb03d5e657185abb04e25fff4830a8801f3dfa7f84e7c01a3f339baa9</t>
        </is>
      </c>
      <c r="BH139" s="24" t="inlineStr">
        <is>
          <t>2026-09-05T16:04:24.899207Z</t>
        </is>
      </c>
      <c r="BI139" s="24" t="inlineStr">
        <is>
          <t>["same_event","same_team_same_day","same_league_same_day"]</t>
        </is>
      </c>
      <c r="BJ139" s="25" t="n"/>
      <c r="BK139" s="26" t="n">
        <v>-144</v>
      </c>
      <c r="BL139" s="27" t="n">
        <v>1.694444</v>
      </c>
      <c r="BM139" s="28" t="n">
        <v>0.590164</v>
      </c>
      <c r="BN139" s="28" t="n"/>
      <c r="BO139" s="28" t="n"/>
      <c r="BP139" s="25" t="n"/>
      <c r="BQ139" s="27" t="n">
        <v>1.694444</v>
      </c>
      <c r="BR139" s="28" t="n">
        <v>0.59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0.694444</v>
      </c>
      <c r="BZ139" s="24" t="inlineStr">
        <is>
          <t>2026-09-05T22:00:20.495490Z</t>
        </is>
      </c>
      <c r="CA139" s="31" t="inlineStr">
        <is>
          <t>fixed one-unit hypothetical scoring; no real exposure or execution</t>
        </is>
      </c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0.590164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31acea1a1b72404b</t>
        </is>
      </c>
      <c r="B140" s="24" t="inlineStr">
        <is>
          <t>2026-09-05T16:05:14.106953Z</t>
        </is>
      </c>
      <c r="C140" s="24" t="inlineStr">
        <is>
          <t>2026-09-05T19:00Z</t>
        </is>
      </c>
      <c r="D140" s="24" t="inlineStr">
        <is>
          <t>401841224</t>
        </is>
      </c>
      <c r="E140" s="24" t="inlineStr">
        <is>
          <t>SOCCER</t>
        </is>
      </c>
      <c r="F140" s="24" t="inlineStr">
        <is>
          <t>Bahia</t>
        </is>
      </c>
      <c r="G140" s="24" t="inlineStr">
        <is>
          <t>Red Bull Bragantino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108</v>
      </c>
      <c r="M140" s="27" t="n">
        <v>2.08</v>
      </c>
      <c r="N140" s="28" t="n">
        <v>0.480769</v>
      </c>
      <c r="O140" s="28" t="n">
        <v>0.456135</v>
      </c>
      <c r="P140" s="28" t="n">
        <v>0.2</v>
      </c>
      <c r="Q140" s="28" t="n">
        <v>-0.024634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loss</t>
        </is>
      </c>
      <c r="W140" s="26" t="n">
        <v>3</v>
      </c>
      <c r="X140" s="26" t="n">
        <v>2</v>
      </c>
      <c r="Y140" s="25" t="n"/>
      <c r="Z140" s="26" t="n">
        <v>108</v>
      </c>
      <c r="AA140" s="28" t="n">
        <v>0.48</v>
      </c>
      <c r="AB140" s="28" t="n">
        <v>-0.000769</v>
      </c>
      <c r="AC140" s="30" t="n">
        <v>-1</v>
      </c>
      <c r="AD140" s="24" t="inlineStr">
        <is>
          <t>2026-09-05T22:00:21.894083Z</t>
        </is>
      </c>
      <c r="AE140" s="31" t="inlineStr">
        <is>
          <t>Poisson-DC rates 1.64 (home) / 1.24 (away) from EWMA attack/defense strengths. Executable ask 0.4800 (atc-bra-bra-bah-2026-09-05-bra).</t>
        </is>
      </c>
      <c r="AF140" s="31" t="inlineStr">
        <is>
          <t>Research-only soccer score model; draw-aware, but not yet locked-holdout qualified.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PAPER_CALL_MODEL_UNVALIDATED</t>
        </is>
      </c>
      <c r="AP140" s="24" t="inlineStr">
        <is>
          <t>Bahia</t>
        </is>
      </c>
      <c r="AQ140" s="24" t="inlineStr">
        <is>
          <t>Bahia</t>
        </is>
      </c>
      <c r="AR140" s="24" t="inlineStr">
        <is>
          <t>Bahia</t>
        </is>
      </c>
      <c r="AS140" s="24" t="inlineStr">
        <is>
          <t>Red Bull Bragantino</t>
        </is>
      </c>
      <c r="AT140" s="24" t="inlineStr">
        <is>
          <t>Red Bull Bragantino</t>
        </is>
      </c>
      <c r="AU140" s="24" t="inlineStr">
        <is>
          <t>Red Bull Bragantino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e64f166eb03d5e657185abb04e25fff4830a8801f3dfa7f84e7c01a3f339baa9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e64f166eb03d5e657185abb04e25fff4830a8801f3dfa7f84e7c01a3f339baa9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e64f166eb03d5e657185abb04e25fff4830a8801f3dfa7f84e7c01a3f339baa9</t>
        </is>
      </c>
      <c r="BH140" s="24" t="inlineStr">
        <is>
          <t>2026-09-05T16:04:28.534969Z</t>
        </is>
      </c>
      <c r="BI140" s="24" t="inlineStr">
        <is>
          <t>["same_event","same_team_same_day","same_league_same_day"]</t>
        </is>
      </c>
      <c r="BJ140" s="25" t="n"/>
      <c r="BK140" s="26" t="n">
        <v>108</v>
      </c>
      <c r="BL140" s="27" t="n">
        <v>2.08</v>
      </c>
      <c r="BM140" s="28" t="n">
        <v>0.480769</v>
      </c>
      <c r="BN140" s="28" t="n"/>
      <c r="BO140" s="28" t="n"/>
      <c r="BP140" s="25" t="n"/>
      <c r="BQ140" s="27" t="n">
        <v>2.08</v>
      </c>
      <c r="BR140" s="28" t="n">
        <v>0.48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-1</v>
      </c>
      <c r="BZ140" s="24" t="inlineStr">
        <is>
          <t>2026-09-05T22:00:21.894083Z</t>
        </is>
      </c>
      <c r="CA140" s="31" t="inlineStr">
        <is>
          <t>fixed one-unit hypothetical scoring; no real exposure or execution</t>
        </is>
      </c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0.480769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b11c497b332f4800</t>
        </is>
      </c>
      <c r="B141" s="24" t="inlineStr">
        <is>
          <t>2026-09-05T16:05:14.106953Z</t>
        </is>
      </c>
      <c r="C141" s="24" t="inlineStr">
        <is>
          <t>2026-09-05T19:00Z</t>
        </is>
      </c>
      <c r="D141" s="24" t="inlineStr">
        <is>
          <t>401860316</t>
        </is>
      </c>
      <c r="E141" s="24" t="inlineStr">
        <is>
          <t>SOCCER</t>
        </is>
      </c>
      <c r="F141" s="24" t="inlineStr">
        <is>
          <t>Avaí</t>
        </is>
      </c>
      <c r="G141" s="24" t="inlineStr">
        <is>
          <t>Novorizontino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-194</v>
      </c>
      <c r="M141" s="27" t="n">
        <v>1.515464</v>
      </c>
      <c r="N141" s="28" t="n">
        <v>0.659864</v>
      </c>
      <c r="O141" s="28" t="n">
        <v>0.440521</v>
      </c>
      <c r="P141" s="28" t="n">
        <v>0.2</v>
      </c>
      <c r="Q141" s="28" t="n">
        <v>-0.219343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3</v>
      </c>
      <c r="Y141" s="25" t="n"/>
      <c r="Z141" s="26" t="n">
        <v>-194</v>
      </c>
      <c r="AA141" s="28" t="n">
        <v>0.66</v>
      </c>
      <c r="AB141" s="28" t="n">
        <v>0.000136</v>
      </c>
      <c r="AC141" s="30" t="n">
        <v>0.5155</v>
      </c>
      <c r="AD141" s="24" t="inlineStr">
        <is>
          <t>2026-09-05T22:00:22.968915Z</t>
        </is>
      </c>
      <c r="AE141" s="31" t="inlineStr">
        <is>
          <t>Poisson-DC rates 1.46 (home) / 1.10 (away) from EWMA attack/defense strengths. Executable ask 0.6600 (atc-brb-nov-ava-2026-09-05-nov).</t>
        </is>
      </c>
      <c r="AF141" s="31" t="inlineStr">
        <is>
          <t>Research-only soccer score model; draw-aware, but not yet locked-holdout qualified.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PAPER_CALL_MODEL_UNVALIDATED</t>
        </is>
      </c>
      <c r="AP141" s="24" t="inlineStr">
        <is>
          <t>Avaí</t>
        </is>
      </c>
      <c r="AQ141" s="24" t="inlineStr">
        <is>
          <t>Avaí</t>
        </is>
      </c>
      <c r="AR141" s="24" t="inlineStr">
        <is>
          <t>Avaí</t>
        </is>
      </c>
      <c r="AS141" s="24" t="inlineStr">
        <is>
          <t>Novorizontino</t>
        </is>
      </c>
      <c r="AT141" s="24" t="inlineStr">
        <is>
          <t>Novorizontino</t>
        </is>
      </c>
      <c r="AU141" s="24" t="inlineStr">
        <is>
          <t>Novorizontino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e64f166eb03d5e657185abb04e25fff4830a8801f3dfa7f84e7c01a3f339baa9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e64f166eb03d5e657185abb04e25fff4830a8801f3dfa7f84e7c01a3f339baa9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e64f166eb03d5e657185abb04e25fff4830a8801f3dfa7f84e7c01a3f339baa9</t>
        </is>
      </c>
      <c r="BH141" s="24" t="inlineStr">
        <is>
          <t>2026-09-05T16:04:28.584510Z</t>
        </is>
      </c>
      <c r="BI141" s="24" t="inlineStr">
        <is>
          <t>["same_event","same_team_same_day","same_league_same_day"]</t>
        </is>
      </c>
      <c r="BJ141" s="25" t="n"/>
      <c r="BK141" s="26" t="n">
        <v>-194</v>
      </c>
      <c r="BL141" s="27" t="n">
        <v>1.515464</v>
      </c>
      <c r="BM141" s="28" t="n">
        <v>0.659864</v>
      </c>
      <c r="BN141" s="28" t="n"/>
      <c r="BO141" s="28" t="n"/>
      <c r="BP141" s="25" t="n"/>
      <c r="BQ141" s="27" t="n">
        <v>1.515464</v>
      </c>
      <c r="BR141" s="28" t="n">
        <v>0.66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0.515464</v>
      </c>
      <c r="BZ141" s="24" t="inlineStr">
        <is>
          <t>2026-09-05T22:00:22.968915Z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0.659864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679b0260d5564239</t>
        </is>
      </c>
      <c r="B142" s="24" t="inlineStr">
        <is>
          <t>2026-09-05T16:05:14.106953Z</t>
        </is>
      </c>
      <c r="C142" s="24" t="inlineStr">
        <is>
          <t>2026-09-05T16:30Z</t>
        </is>
      </c>
      <c r="D142" s="24" t="inlineStr">
        <is>
          <t>401841545</t>
        </is>
      </c>
      <c r="E142" s="24" t="inlineStr">
        <is>
          <t>SOCCER</t>
        </is>
      </c>
      <c r="F142" s="24" t="inlineStr">
        <is>
          <t>Banfield</t>
        </is>
      </c>
      <c r="G142" s="24" t="inlineStr">
        <is>
          <t>Aldosivi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194</v>
      </c>
      <c r="M142" s="27" t="n">
        <v>2.94</v>
      </c>
      <c r="N142" s="28" t="n">
        <v>0.340136</v>
      </c>
      <c r="O142" s="28" t="n">
        <v>0.456135</v>
      </c>
      <c r="P142" s="28" t="n">
        <v>0.2</v>
      </c>
      <c r="Q142" s="28" t="n">
        <v>0.115999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3</v>
      </c>
      <c r="Y142" s="25" t="n"/>
      <c r="Z142" s="26" t="n">
        <v>194</v>
      </c>
      <c r="AA142" s="28" t="n">
        <v>0.34</v>
      </c>
      <c r="AB142" s="28" t="n">
        <v>-0.000136</v>
      </c>
      <c r="AC142" s="30" t="n">
        <v>1.94</v>
      </c>
      <c r="AD142" s="24" t="inlineStr">
        <is>
          <t>2026-09-05T22:00:24.052369Z</t>
        </is>
      </c>
      <c r="AE142" s="31" t="inlineStr">
        <is>
          <t>Poisson-DC rates 1.64 (home) / 1.24 (away) from EWMA attack/defense strengths. Executable ask 0.3400 (atc-lpa-ald-ban-2026-09-05-ald).</t>
        </is>
      </c>
      <c r="AF142" s="31" t="inlineStr">
        <is>
          <t>Research-only soccer score model; draw-aware, but not yet locked-holdout qualified.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Banfield</t>
        </is>
      </c>
      <c r="AQ142" s="24" t="inlineStr">
        <is>
          <t>Banfield</t>
        </is>
      </c>
      <c r="AR142" s="24" t="inlineStr">
        <is>
          <t>Banfield</t>
        </is>
      </c>
      <c r="AS142" s="24" t="inlineStr">
        <is>
          <t>Aldosivi</t>
        </is>
      </c>
      <c r="AT142" s="24" t="inlineStr">
        <is>
          <t>Aldosivi</t>
        </is>
      </c>
      <c r="AU142" s="24" t="inlineStr">
        <is>
          <t>Aldosivi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e64f166eb03d5e657185abb04e25fff4830a8801f3dfa7f84e7c01a3f339baa9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e64f166eb03d5e657185abb04e25fff4830a8801f3dfa7f84e7c01a3f339baa9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e64f166eb03d5e657185abb04e25fff4830a8801f3dfa7f84e7c01a3f339baa9</t>
        </is>
      </c>
      <c r="BH142" s="24" t="inlineStr">
        <is>
          <t>2026-09-05T16:04:28.711221Z</t>
        </is>
      </c>
      <c r="BI142" s="24" t="inlineStr">
        <is>
          <t>["same_event","same_team_same_day","same_league_same_day"]</t>
        </is>
      </c>
      <c r="BJ142" s="25" t="n"/>
      <c r="BK142" s="26" t="n">
        <v>194</v>
      </c>
      <c r="BL142" s="27" t="n">
        <v>2.94</v>
      </c>
      <c r="BM142" s="28" t="n">
        <v>0.340136</v>
      </c>
      <c r="BN142" s="28" t="n"/>
      <c r="BO142" s="28" t="n"/>
      <c r="BP142" s="25" t="n"/>
      <c r="BQ142" s="27" t="n">
        <v>2.94</v>
      </c>
      <c r="BR142" s="28" t="n">
        <v>0.34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1.94</v>
      </c>
      <c r="BZ142" s="24" t="inlineStr">
        <is>
          <t>2026-09-05T22:00:24.052369Z</t>
        </is>
      </c>
      <c r="CA142" s="31" t="inlineStr">
        <is>
          <t>fixed one-unit hypothetical scoring; no real exposure or execution</t>
        </is>
      </c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0.340136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9347c6c3b2e04600</t>
        </is>
      </c>
      <c r="B143" s="24" t="inlineStr">
        <is>
          <t>2026-09-05T16:05:14.106953Z</t>
        </is>
      </c>
      <c r="C143" s="24" t="inlineStr">
        <is>
          <t>2026-09-05T17:30Z</t>
        </is>
      </c>
      <c r="D143" s="24" t="inlineStr">
        <is>
          <t>401841553</t>
        </is>
      </c>
      <c r="E143" s="24" t="inlineStr">
        <is>
          <t>SOCCER</t>
        </is>
      </c>
      <c r="F143" s="24" t="inlineStr">
        <is>
          <t>Tigre</t>
        </is>
      </c>
      <c r="G143" s="24" t="inlineStr">
        <is>
          <t>Gimnasia La Plata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170</v>
      </c>
      <c r="M143" s="27" t="n">
        <v>2.7</v>
      </c>
      <c r="N143" s="28" t="n">
        <v>0.37037</v>
      </c>
      <c r="O143" s="28" t="n">
        <v>0.456135</v>
      </c>
      <c r="P143" s="28" t="n">
        <v>0.2</v>
      </c>
      <c r="Q143" s="28" t="n">
        <v>0.08576499999999999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2</v>
      </c>
      <c r="Y143" s="25" t="n"/>
      <c r="Z143" s="26" t="n">
        <v>170</v>
      </c>
      <c r="AA143" s="28" t="n">
        <v>0.37</v>
      </c>
      <c r="AB143" s="28" t="n">
        <v>-0.00037</v>
      </c>
      <c r="AC143" s="30" t="n">
        <v>1.7</v>
      </c>
      <c r="AD143" s="24" t="inlineStr">
        <is>
          <t>2026-09-05T22:00:25.038293Z</t>
        </is>
      </c>
      <c r="AE143" s="31" t="inlineStr">
        <is>
          <t>Poisson-DC rates 1.64 (home) / 1.24 (away) from EWMA attack/defense strengths. Executable ask 0.3700 (atc-lpa-gim-tig-2026-09-05-gim).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PAPER_CALL_MODEL_UNVALIDATED</t>
        </is>
      </c>
      <c r="AP143" s="24" t="inlineStr">
        <is>
          <t>Tigre</t>
        </is>
      </c>
      <c r="AQ143" s="24" t="inlineStr">
        <is>
          <t>Tigre</t>
        </is>
      </c>
      <c r="AR143" s="24" t="inlineStr">
        <is>
          <t>Tigre</t>
        </is>
      </c>
      <c r="AS143" s="24" t="inlineStr">
        <is>
          <t>Gimnasia La Plata</t>
        </is>
      </c>
      <c r="AT143" s="24" t="inlineStr">
        <is>
          <t>Gimnasia La Plata</t>
        </is>
      </c>
      <c r="AU143" s="24" t="inlineStr">
        <is>
          <t>Gimnasia La Plata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e64f166eb03d5e657185abb04e25fff4830a8801f3dfa7f84e7c01a3f339baa9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e64f166eb03d5e657185abb04e25fff4830a8801f3dfa7f84e7c01a3f339baa9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e64f166eb03d5e657185abb04e25fff4830a8801f3dfa7f84e7c01a3f339baa9</t>
        </is>
      </c>
      <c r="BH143" s="24" t="inlineStr">
        <is>
          <t>2026-09-05T16:04:28.624185Z</t>
        </is>
      </c>
      <c r="BI143" s="24" t="inlineStr">
        <is>
          <t>["same_event","same_team_same_day","same_league_same_day"]</t>
        </is>
      </c>
      <c r="BJ143" s="25" t="n"/>
      <c r="BK143" s="26" t="n">
        <v>170</v>
      </c>
      <c r="BL143" s="27" t="n">
        <v>2.7</v>
      </c>
      <c r="BM143" s="28" t="n">
        <v>0.37037</v>
      </c>
      <c r="BN143" s="28" t="n"/>
      <c r="BO143" s="28" t="n"/>
      <c r="BP143" s="25" t="n"/>
      <c r="BQ143" s="27" t="n">
        <v>2.7</v>
      </c>
      <c r="BR143" s="28" t="n">
        <v>0.37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1.700003</v>
      </c>
      <c r="BZ143" s="24" t="inlineStr">
        <is>
          <t>2026-09-05T22:00:25.038293Z</t>
        </is>
      </c>
      <c r="CA143" s="31" t="inlineStr">
        <is>
          <t>fixed one-unit hypothetical scoring; no real exposure or execution</t>
        </is>
      </c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0.37037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3f6293e3fba44894</t>
        </is>
      </c>
      <c r="B144" s="24" t="inlineStr">
        <is>
          <t>2026-09-05T16:05:14.106953Z</t>
        </is>
      </c>
      <c r="C144" s="24" t="inlineStr">
        <is>
          <t>2026-09-05T19:30Z</t>
        </is>
      </c>
      <c r="D144" s="24" t="inlineStr">
        <is>
          <t>401841539</t>
        </is>
      </c>
      <c r="E144" s="24" t="inlineStr">
        <is>
          <t>SOCCER</t>
        </is>
      </c>
      <c r="F144" s="24" t="inlineStr">
        <is>
          <t>Boca Juniors</t>
        </is>
      </c>
      <c r="G144" s="24" t="inlineStr">
        <is>
          <t>Gimnasia (Mendoza)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245</v>
      </c>
      <c r="M144" s="27" t="n">
        <v>3.45</v>
      </c>
      <c r="N144" s="28" t="n">
        <v>0.289855</v>
      </c>
      <c r="O144" s="28" t="n">
        <v>0.398039</v>
      </c>
      <c r="P144" s="28" t="n">
        <v>0.2</v>
      </c>
      <c r="Q144" s="28" t="n">
        <v>0.108184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loss</t>
        </is>
      </c>
      <c r="W144" s="26" t="n">
        <v>2</v>
      </c>
      <c r="X144" s="26" t="n">
        <v>2</v>
      </c>
      <c r="Y144" s="25" t="n"/>
      <c r="Z144" s="26" t="n">
        <v>245</v>
      </c>
      <c r="AA144" s="28" t="n">
        <v>0.29</v>
      </c>
      <c r="AB144" s="28" t="n">
        <v>0.000145</v>
      </c>
      <c r="AC144" s="30" t="n">
        <v>-1</v>
      </c>
      <c r="AD144" s="24" t="inlineStr">
        <is>
          <t>2026-09-05T22:00:26.067526Z</t>
        </is>
      </c>
      <c r="AE144" s="31" t="inlineStr">
        <is>
          <t>Poisson-DC rates 1.46 (home) / 1.30 (away) from EWMA attack/defense strengths. Executable ask 0.2900 (atc-lpa-gye-boc-2026-09-05-gye).</t>
        </is>
      </c>
      <c r="AF144" s="31" t="inlineStr">
        <is>
          <t>Research-only soccer score model; draw-aware, but not yet locked-holdout qualified.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PAPER_CALL_MODEL_UNVALIDATED</t>
        </is>
      </c>
      <c r="AP144" s="24" t="inlineStr">
        <is>
          <t>Boca Juniors</t>
        </is>
      </c>
      <c r="AQ144" s="24" t="inlineStr">
        <is>
          <t>Boca Juniors</t>
        </is>
      </c>
      <c r="AR144" s="24" t="inlineStr">
        <is>
          <t>Boca Juniors</t>
        </is>
      </c>
      <c r="AS144" s="24" t="inlineStr">
        <is>
          <t>Gimnasia (Mendoza)</t>
        </is>
      </c>
      <c r="AT144" s="24" t="inlineStr">
        <is>
          <t>Gimnasia (Mendoza)</t>
        </is>
      </c>
      <c r="AU144" s="24" t="inlineStr">
        <is>
          <t>Gimnasia (Mendoza)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e64f166eb03d5e657185abb04e25fff4830a8801f3dfa7f84e7c01a3f339baa9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e64f166eb03d5e657185abb04e25fff4830a8801f3dfa7f84e7c01a3f339baa9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e64f166eb03d5e657185abb04e25fff4830a8801f3dfa7f84e7c01a3f339baa9</t>
        </is>
      </c>
      <c r="BH144" s="24" t="inlineStr">
        <is>
          <t>2026-09-05T16:04:28.651920Z</t>
        </is>
      </c>
      <c r="BI144" s="24" t="inlineStr">
        <is>
          <t>["same_event","same_team_same_day","same_league_same_day"]</t>
        </is>
      </c>
      <c r="BJ144" s="25" t="n"/>
      <c r="BK144" s="26" t="n">
        <v>245</v>
      </c>
      <c r="BL144" s="27" t="n">
        <v>3.45</v>
      </c>
      <c r="BM144" s="28" t="n">
        <v>0.289855</v>
      </c>
      <c r="BN144" s="28" t="n"/>
      <c r="BO144" s="28" t="n"/>
      <c r="BP144" s="25" t="n"/>
      <c r="BQ144" s="27" t="n">
        <v>3.45</v>
      </c>
      <c r="BR144" s="28" t="n">
        <v>0.29</v>
      </c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inlineStr">
        <is>
          <t>2026-09-05T22:00:26.067526Z</t>
        </is>
      </c>
      <c r="CA144" s="31" t="inlineStr">
        <is>
          <t>fixed one-unit hypothetical scoring; no real exposure or execution</t>
        </is>
      </c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0.289855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36f446a093174439</t>
        </is>
      </c>
      <c r="B145" s="24" t="inlineStr">
        <is>
          <t>2026-09-05T16:05:14.106953Z</t>
        </is>
      </c>
      <c r="C145" s="24" t="inlineStr">
        <is>
          <t>2026-09-05T18:00Z</t>
        </is>
      </c>
      <c r="D145" s="24" t="inlineStr">
        <is>
          <t>401844106</t>
        </is>
      </c>
      <c r="E145" s="24" t="inlineStr">
        <is>
          <t>SOCCER</t>
        </is>
      </c>
      <c r="F145" s="24" t="inlineStr">
        <is>
          <t>Los Andes</t>
        </is>
      </c>
      <c r="G145" s="24" t="inlineStr">
        <is>
          <t>San Telmo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245</v>
      </c>
      <c r="M145" s="27" t="n">
        <v>3.45</v>
      </c>
      <c r="N145" s="28" t="n">
        <v>0.289855</v>
      </c>
      <c r="O145" s="28" t="n">
        <v>0.456135</v>
      </c>
      <c r="P145" s="28" t="n">
        <v>0.2</v>
      </c>
      <c r="Q145" s="28" t="n">
        <v>0.16628</v>
      </c>
      <c r="R145" s="26" t="n">
        <v>13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0</v>
      </c>
      <c r="Y145" s="25" t="n"/>
      <c r="Z145" s="26" t="n">
        <v>245</v>
      </c>
      <c r="AA145" s="28" t="n">
        <v>0.29</v>
      </c>
      <c r="AB145" s="28" t="n">
        <v>0.000145</v>
      </c>
      <c r="AC145" s="30" t="n">
        <v>-1</v>
      </c>
      <c r="AD145" s="24" t="inlineStr">
        <is>
          <t>2026-09-05T22:00:27.108737Z</t>
        </is>
      </c>
      <c r="AE145" s="31" t="inlineStr">
        <is>
          <t>Poisson-DC rates 1.64 (home) / 1.24 (away) from EWMA attack/defense strengths. Executable ask 0.2900 (atc-arg2-ste-ala-2026-09-05-ste).</t>
        </is>
      </c>
      <c r="AF145" s="31" t="inlineStr">
        <is>
          <t>Research-only soccer score model; draw-aware, but not yet locked-holdout qualified.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PAPER_CALL_MODEL_UNVALIDATED</t>
        </is>
      </c>
      <c r="AP145" s="24" t="inlineStr">
        <is>
          <t>Los Andes</t>
        </is>
      </c>
      <c r="AQ145" s="24" t="inlineStr">
        <is>
          <t>Los Andes</t>
        </is>
      </c>
      <c r="AR145" s="24" t="inlineStr">
        <is>
          <t>Los Andes</t>
        </is>
      </c>
      <c r="AS145" s="24" t="inlineStr">
        <is>
          <t>San Telmo</t>
        </is>
      </c>
      <c r="AT145" s="24" t="inlineStr">
        <is>
          <t>San Telmo</t>
        </is>
      </c>
      <c r="AU145" s="24" t="inlineStr">
        <is>
          <t>San Telmo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e64f166eb03d5e657185abb04e25fff4830a8801f3dfa7f84e7c01a3f339baa9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e64f166eb03d5e657185abb04e25fff4830a8801f3dfa7f84e7c01a3f339baa9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e64f166eb03d5e657185abb04e25fff4830a8801f3dfa7f84e7c01a3f339baa9</t>
        </is>
      </c>
      <c r="BH145" s="24" t="inlineStr">
        <is>
          <t>2026-09-05T16:04:28.682232Z</t>
        </is>
      </c>
      <c r="BI145" s="24" t="inlineStr">
        <is>
          <t>["same_event","same_team_same_day","same_league_same_day"]</t>
        </is>
      </c>
      <c r="BJ145" s="25" t="n"/>
      <c r="BK145" s="26" t="n">
        <v>245</v>
      </c>
      <c r="BL145" s="27" t="n">
        <v>3.45</v>
      </c>
      <c r="BM145" s="28" t="n">
        <v>0.289855</v>
      </c>
      <c r="BN145" s="28" t="n"/>
      <c r="BO145" s="28" t="n"/>
      <c r="BP145" s="25" t="n"/>
      <c r="BQ145" s="27" t="n">
        <v>3.45</v>
      </c>
      <c r="BR145" s="28" t="n">
        <v>0.29</v>
      </c>
      <c r="BS145" s="28" t="n"/>
      <c r="BT145" s="28" t="n"/>
      <c r="BU145" s="25" t="n"/>
      <c r="BV145" s="29" t="n"/>
      <c r="BW145" s="24" t="n"/>
      <c r="BX145" s="30" t="n">
        <v>1</v>
      </c>
      <c r="BY145" s="27" t="n">
        <v>-1</v>
      </c>
      <c r="BZ145" s="24" t="inlineStr">
        <is>
          <t>2026-09-05T22:00:27.108737Z</t>
        </is>
      </c>
      <c r="CA145" s="31" t="inlineStr">
        <is>
          <t>fixed one-unit hypothetical scoring; no real exposure or execution</t>
        </is>
      </c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0.289855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9f9964816a1a46c2</t>
        </is>
      </c>
      <c r="B146" s="24" t="inlineStr">
        <is>
          <t>2026-09-05T16:05:14.106953Z</t>
        </is>
      </c>
      <c r="C146" s="24" t="inlineStr">
        <is>
          <t>2026-09-05T18:30Z</t>
        </is>
      </c>
      <c r="D146" s="24" t="inlineStr">
        <is>
          <t>401844109</t>
        </is>
      </c>
      <c r="E146" s="24" t="inlineStr">
        <is>
          <t>SOCCER</t>
        </is>
      </c>
      <c r="F146" s="24" t="inlineStr">
        <is>
          <t>All Boys</t>
        </is>
      </c>
      <c r="G146" s="24" t="inlineStr">
        <is>
          <t>Acassuso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212</v>
      </c>
      <c r="M146" s="27" t="n">
        <v>3.12</v>
      </c>
      <c r="N146" s="28" t="n">
        <v>0.320513</v>
      </c>
      <c r="O146" s="28" t="n">
        <v>0.456135</v>
      </c>
      <c r="P146" s="28" t="n">
        <v>0.2</v>
      </c>
      <c r="Q146" s="28" t="n">
        <v>0.135622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212</v>
      </c>
      <c r="AA146" s="28" t="n">
        <v>0.32</v>
      </c>
      <c r="AB146" s="28" t="n">
        <v>-0.000513</v>
      </c>
      <c r="AC146" s="30" t="n">
        <v>-1</v>
      </c>
      <c r="AD146" s="24" t="inlineStr">
        <is>
          <t>2026-09-05T22:00:28.097106Z</t>
        </is>
      </c>
      <c r="AE146" s="31" t="inlineStr">
        <is>
          <t>Poisson-DC rates 1.64 (home) / 1.24 (away) from EWMA attack/defense strengths. Executable ask 0.3200 (atc-arg2-aca-abo-2026-09-05-aca).</t>
        </is>
      </c>
      <c r="AF146" s="31" t="inlineStr">
        <is>
          <t>Research-only soccer score model; draw-aware, but not yet locked-holdout qualified.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PAPER_CALL_MODEL_UNVALIDATED</t>
        </is>
      </c>
      <c r="AP146" s="24" t="inlineStr">
        <is>
          <t>All Boys</t>
        </is>
      </c>
      <c r="AQ146" s="24" t="inlineStr">
        <is>
          <t>All Boys</t>
        </is>
      </c>
      <c r="AR146" s="24" t="inlineStr">
        <is>
          <t>All Boys</t>
        </is>
      </c>
      <c r="AS146" s="24" t="inlineStr">
        <is>
          <t>Acassuso</t>
        </is>
      </c>
      <c r="AT146" s="24" t="inlineStr">
        <is>
          <t>Acassuso</t>
        </is>
      </c>
      <c r="AU146" s="24" t="inlineStr">
        <is>
          <t>Acassuso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e64f166eb03d5e657185abb04e25fff4830a8801f3dfa7f84e7c01a3f339baa9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e64f166eb03d5e657185abb04e25fff4830a8801f3dfa7f84e7c01a3f339baa9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e64f166eb03d5e657185abb04e25fff4830a8801f3dfa7f84e7c01a3f339baa9</t>
        </is>
      </c>
      <c r="BH146" s="24" t="inlineStr">
        <is>
          <t>2026-09-05T16:04:28.701722Z</t>
        </is>
      </c>
      <c r="BI146" s="24" t="inlineStr">
        <is>
          <t>["same_event","same_team_same_day","same_league_same_day"]</t>
        </is>
      </c>
      <c r="BJ146" s="25" t="n"/>
      <c r="BK146" s="26" t="n">
        <v>212</v>
      </c>
      <c r="BL146" s="27" t="n">
        <v>3.12</v>
      </c>
      <c r="BM146" s="28" t="n">
        <v>0.320513</v>
      </c>
      <c r="BN146" s="28" t="n"/>
      <c r="BO146" s="28" t="n"/>
      <c r="BP146" s="25" t="n"/>
      <c r="BQ146" s="27" t="n">
        <v>3.12</v>
      </c>
      <c r="BR146" s="28" t="n">
        <v>0.32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inlineStr">
        <is>
          <t>2026-09-05T22:00:28.097106Z</t>
        </is>
      </c>
      <c r="CA146" s="31" t="inlineStr">
        <is>
          <t>fixed one-unit hypothetical scoring; no real exposure or execution</t>
        </is>
      </c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0.320513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44f45cb340954cdf</t>
        </is>
      </c>
      <c r="B147" s="24" t="inlineStr">
        <is>
          <t>2026-09-05T16:05:14.106953Z</t>
        </is>
      </c>
      <c r="C147" s="24" t="inlineStr">
        <is>
          <t>2026-09-05T18:30Z</t>
        </is>
      </c>
      <c r="D147" s="24" t="inlineStr">
        <is>
          <t>401844113</t>
        </is>
      </c>
      <c r="E147" s="24" t="inlineStr">
        <is>
          <t>SOCCER</t>
        </is>
      </c>
      <c r="F147" s="24" t="inlineStr">
        <is>
          <t>Atlanta</t>
        </is>
      </c>
      <c r="G147" s="24" t="inlineStr">
        <is>
          <t>Chacarita Juniors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133</v>
      </c>
      <c r="M147" s="27" t="n">
        <v>2.33</v>
      </c>
      <c r="N147" s="28" t="n">
        <v>0.429185</v>
      </c>
      <c r="O147" s="28" t="n">
        <v>0.456135</v>
      </c>
      <c r="P147" s="28" t="n">
        <v>0.2</v>
      </c>
      <c r="Q147" s="28" t="n">
        <v>0.02695</v>
      </c>
      <c r="R147" s="26" t="n">
        <v>0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133</v>
      </c>
      <c r="AA147" s="28" t="n">
        <v>0.43</v>
      </c>
      <c r="AB147" s="28" t="n">
        <v>0.000815</v>
      </c>
      <c r="AC147" s="30" t="n">
        <v>-1</v>
      </c>
      <c r="AD147" s="24" t="inlineStr">
        <is>
          <t>2026-09-05T22:00:29.092039Z</t>
        </is>
      </c>
      <c r="AE147" s="31" t="inlineStr">
        <is>
          <t>Poisson-DC rates 1.64 (home) / 1.24 (away) from EWMA attack/defense strengths. Executable ask 0.4300 (atc-arg2-cjh-atl-2026-09-05-cjh).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PAPER_CALL_MODEL_UNVALIDATED</t>
        </is>
      </c>
      <c r="AP147" s="24" t="inlineStr">
        <is>
          <t>Atlanta</t>
        </is>
      </c>
      <c r="AQ147" s="24" t="inlineStr">
        <is>
          <t>Atlanta</t>
        </is>
      </c>
      <c r="AR147" s="24" t="inlineStr">
        <is>
          <t>Atlanta</t>
        </is>
      </c>
      <c r="AS147" s="24" t="inlineStr">
        <is>
          <t>Chacarita Juniors</t>
        </is>
      </c>
      <c r="AT147" s="24" t="inlineStr">
        <is>
          <t>Chacarita Juniors</t>
        </is>
      </c>
      <c r="AU147" s="24" t="inlineStr">
        <is>
          <t>Chacarita Juniors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e64f166eb03d5e657185abb04e25fff4830a8801f3dfa7f84e7c01a3f339baa9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e64f166eb03d5e657185abb04e25fff4830a8801f3dfa7f84e7c01a3f339baa9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e64f166eb03d5e657185abb04e25fff4830a8801f3dfa7f84e7c01a3f339baa9</t>
        </is>
      </c>
      <c r="BH147" s="24" t="inlineStr">
        <is>
          <t>2026-09-05T16:04:28.797403Z</t>
        </is>
      </c>
      <c r="BI147" s="24" t="inlineStr">
        <is>
          <t>["same_event","same_team_same_day","same_league_same_day"]</t>
        </is>
      </c>
      <c r="BJ147" s="25" t="n"/>
      <c r="BK147" s="26" t="n">
        <v>133</v>
      </c>
      <c r="BL147" s="27" t="n">
        <v>2.33</v>
      </c>
      <c r="BM147" s="28" t="n">
        <v>0.429185</v>
      </c>
      <c r="BN147" s="28" t="n"/>
      <c r="BO147" s="28" t="n"/>
      <c r="BP147" s="25" t="n"/>
      <c r="BQ147" s="27" t="n">
        <v>2.33</v>
      </c>
      <c r="BR147" s="28" t="n">
        <v>0.43</v>
      </c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inlineStr">
        <is>
          <t>2026-09-05T22:00:29.092039Z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0.429185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d964f85878d84c53</t>
        </is>
      </c>
      <c r="B148" s="24" t="inlineStr">
        <is>
          <t>2026-09-05T16:05:14.106953Z</t>
        </is>
      </c>
      <c r="C148" s="24" t="inlineStr">
        <is>
          <t>2026-09-05T21:00Z</t>
        </is>
      </c>
      <c r="D148" s="24" t="inlineStr">
        <is>
          <t>401914289</t>
        </is>
      </c>
      <c r="E148" s="24" t="inlineStr">
        <is>
          <t>SOCCER</t>
        </is>
      </c>
      <c r="F148" s="24" t="inlineStr">
        <is>
          <t>Montevideo Wanderers</t>
        </is>
      </c>
      <c r="G148" s="24" t="inlineStr">
        <is>
          <t>Deportivo Maldonado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108</v>
      </c>
      <c r="M148" s="27" t="n">
        <v>2.08</v>
      </c>
      <c r="N148" s="28" t="n">
        <v>0.480769</v>
      </c>
      <c r="O148" s="28" t="n">
        <v>0.404769</v>
      </c>
      <c r="P148" s="28" t="n">
        <v>0.19</v>
      </c>
      <c r="Q148" s="28" t="n">
        <v>-0.076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win</t>
        </is>
      </c>
      <c r="W148" s="26" t="n">
        <v>0</v>
      </c>
      <c r="X148" s="26" t="n">
        <v>2</v>
      </c>
      <c r="Y148" s="25" t="n"/>
      <c r="Z148" s="26" t="n">
        <v>108</v>
      </c>
      <c r="AA148" s="28" t="n">
        <v>0.48</v>
      </c>
      <c r="AB148" s="28" t="n">
        <v>-0.000769</v>
      </c>
      <c r="AC148" s="30" t="n">
        <v>1.08</v>
      </c>
      <c r="AD148" s="24" t="inlineStr">
        <is>
          <t>2026-09-06T04:30:18.109330Z</t>
        </is>
      </c>
      <c r="AE148" s="31" t="inlineStr">
        <is>
          <t>Poisson-DC rates 1.30 (home) / 1.07 (away) from EWMA attack/defense strengths. Executable ask 0.4800 (atc-uru1-mal-wan-2026-09-05-mal).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PAPER_CALL_MODEL_UNVALIDATED</t>
        </is>
      </c>
      <c r="AP148" s="24" t="inlineStr">
        <is>
          <t>Montevideo Wanderers</t>
        </is>
      </c>
      <c r="AQ148" s="24" t="inlineStr">
        <is>
          <t>Montevideo Wanderers</t>
        </is>
      </c>
      <c r="AR148" s="24" t="inlineStr">
        <is>
          <t>Montevideo Wanderers</t>
        </is>
      </c>
      <c r="AS148" s="24" t="inlineStr">
        <is>
          <t>Deportivo Maldonado</t>
        </is>
      </c>
      <c r="AT148" s="24" t="inlineStr">
        <is>
          <t>Deportivo Maldonado</t>
        </is>
      </c>
      <c r="AU148" s="24" t="inlineStr">
        <is>
          <t>Deportivo Maldonado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e64f166eb03d5e657185abb04e25fff4830a8801f3dfa7f84e7c01a3f339baa9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e64f166eb03d5e657185abb04e25fff4830a8801f3dfa7f84e7c01a3f339baa9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e64f166eb03d5e657185abb04e25fff4830a8801f3dfa7f84e7c01a3f339baa9</t>
        </is>
      </c>
      <c r="BH148" s="24" t="inlineStr">
        <is>
          <t>2026-09-05T16:04:28.928149Z</t>
        </is>
      </c>
      <c r="BI148" s="24" t="inlineStr">
        <is>
          <t>["same_event","same_team_same_day","same_league_same_day"]</t>
        </is>
      </c>
      <c r="BJ148" s="25" t="n"/>
      <c r="BK148" s="26" t="n">
        <v>108</v>
      </c>
      <c r="BL148" s="27" t="n">
        <v>2.08</v>
      </c>
      <c r="BM148" s="28" t="n">
        <v>0.480769</v>
      </c>
      <c r="BN148" s="28" t="n"/>
      <c r="BO148" s="28" t="n"/>
      <c r="BP148" s="25" t="n"/>
      <c r="BQ148" s="27" t="n">
        <v>2.08</v>
      </c>
      <c r="BR148" s="28" t="n">
        <v>0.48</v>
      </c>
      <c r="BS148" s="28" t="n"/>
      <c r="BT148" s="28" t="n"/>
      <c r="BU148" s="25" t="n"/>
      <c r="BV148" s="29" t="n"/>
      <c r="BW148" s="24" t="n"/>
      <c r="BX148" s="30" t="n">
        <v>1</v>
      </c>
      <c r="BY148" s="27" t="n">
        <v>1.080001</v>
      </c>
      <c r="BZ148" s="24" t="inlineStr">
        <is>
          <t>2026-09-06T04:30:18.109330Z</t>
        </is>
      </c>
      <c r="CA148" s="31" t="inlineStr">
        <is>
          <t>fixed one-unit hypothetical scoring; no real exposure or execution</t>
        </is>
      </c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0.480769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dc65c7e2aa5846fe</t>
        </is>
      </c>
      <c r="B149" s="24" t="inlineStr">
        <is>
          <t>2026-09-05T22:05:14.461440Z</t>
        </is>
      </c>
      <c r="C149" s="24" t="inlineStr">
        <is>
          <t>2026-09-05T23:30Z</t>
        </is>
      </c>
      <c r="D149" s="24" t="inlineStr">
        <is>
          <t>761774</t>
        </is>
      </c>
      <c r="E149" s="24" t="inlineStr">
        <is>
          <t>SOCCER</t>
        </is>
      </c>
      <c r="F149" s="24" t="inlineStr">
        <is>
          <t>Houston Dynamo FC</t>
        </is>
      </c>
      <c r="G149" s="24" t="inlineStr">
        <is>
          <t>Charlotte FC</t>
        </is>
      </c>
      <c r="H149" s="24" t="inlineStr">
        <is>
          <t>total</t>
        </is>
      </c>
      <c r="I149" s="24" t="inlineStr">
        <is>
          <t>over</t>
        </is>
      </c>
      <c r="J149" s="25" t="n">
        <v>2.5</v>
      </c>
      <c r="K149" s="24" t="inlineStr">
        <is>
          <t>polymarket_us</t>
        </is>
      </c>
      <c r="L149" s="26" t="n">
        <v>-138</v>
      </c>
      <c r="M149" s="27" t="n">
        <v>1.724638</v>
      </c>
      <c r="N149" s="28" t="n">
        <v>0.579832</v>
      </c>
      <c r="O149" s="28" t="n">
        <v>0.520607</v>
      </c>
      <c r="P149" s="28" t="n">
        <v>0.04</v>
      </c>
      <c r="Q149" s="28" t="n">
        <v>-0.059225</v>
      </c>
      <c r="R149" s="26" t="n">
        <v>0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loss</t>
        </is>
      </c>
      <c r="W149" s="26" t="n">
        <v>0</v>
      </c>
      <c r="X149" s="26" t="n">
        <v>0</v>
      </c>
      <c r="Y149" s="25" t="n"/>
      <c r="Z149" s="26" t="n">
        <v>-138</v>
      </c>
      <c r="AA149" s="28" t="n">
        <v>0.58</v>
      </c>
      <c r="AB149" s="28" t="n">
        <v>0.000168</v>
      </c>
      <c r="AC149" s="30" t="n">
        <v>-1</v>
      </c>
      <c r="AD149" s="24" t="inlineStr">
        <is>
          <t>2026-09-06T04:30:58.608720Z</t>
        </is>
      </c>
      <c r="AE149" s="31" t="inlineStr">
        <is>
          <t>Poisson-DC rates 1.72 (home) / 1.04 (away) from EWMA attack/defense strengths. Executable ask 0.5800 (tsc-mls-clt-hou-2026-09-05-2pt5).</t>
        </is>
      </c>
      <c r="AF149" s="31" t="inlineStr">
        <is>
          <t>Research-only soccer score model; draw-aware, but not yet locked-holdout qualified.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Houston Dynamo FC</t>
        </is>
      </c>
      <c r="AQ149" s="24" t="inlineStr">
        <is>
          <t>Houston Dynamo FC</t>
        </is>
      </c>
      <c r="AR149" s="24" t="inlineStr">
        <is>
          <t>Houston Dynamo FC</t>
        </is>
      </c>
      <c r="AS149" s="24" t="inlineStr">
        <is>
          <t>Charlotte FC</t>
        </is>
      </c>
      <c r="AT149" s="24" t="inlineStr">
        <is>
          <t>Charlotte FC</t>
        </is>
      </c>
      <c r="AU149" s="24" t="inlineStr">
        <is>
          <t>Charlotte FC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e64f166eb03d5e657185abb04e25fff4830a8801f3dfa7f84e7c01a3f339baa9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e64f166eb03d5e657185abb04e25fff4830a8801f3dfa7f84e7c01a3f339baa9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e64f166eb03d5e657185abb04e25fff4830a8801f3dfa7f84e7c01a3f339baa9</t>
        </is>
      </c>
      <c r="BH149" s="24" t="inlineStr">
        <is>
          <t>2026-09-05T22:04:31.300027Z</t>
        </is>
      </c>
      <c r="BI149" s="24" t="inlineStr">
        <is>
          <t>["same_event","same_team_same_day","same_league_same_day"]</t>
        </is>
      </c>
      <c r="BJ149" s="25" t="n">
        <v>2.5</v>
      </c>
      <c r="BK149" s="26" t="n">
        <v>-138</v>
      </c>
      <c r="BL149" s="27" t="n">
        <v>1.724638</v>
      </c>
      <c r="BM149" s="28" t="n">
        <v>0.579832</v>
      </c>
      <c r="BN149" s="28" t="n"/>
      <c r="BO149" s="28" t="n"/>
      <c r="BP149" s="25" t="n"/>
      <c r="BQ149" s="27" t="n">
        <v>1.724638</v>
      </c>
      <c r="BR149" s="28" t="n">
        <v>0.58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-1</v>
      </c>
      <c r="BZ149" s="24" t="inlineStr">
        <is>
          <t>2026-09-06T04:30:58.608720Z</t>
        </is>
      </c>
      <c r="CA149" s="31" t="inlineStr">
        <is>
          <t>fixed one-unit hypothetical scoring; no real exposure or execution</t>
        </is>
      </c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0.579832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08a12f28542b4b89</t>
        </is>
      </c>
      <c r="B150" s="24" t="inlineStr">
        <is>
          <t>2026-09-05T22:05:14.461440Z</t>
        </is>
      </c>
      <c r="C150" s="24" t="inlineStr">
        <is>
          <t>2026-09-05T23:30Z</t>
        </is>
      </c>
      <c r="D150" s="24" t="inlineStr">
        <is>
          <t>761775</t>
        </is>
      </c>
      <c r="E150" s="24" t="inlineStr">
        <is>
          <t>SOCCER</t>
        </is>
      </c>
      <c r="F150" s="24" t="inlineStr">
        <is>
          <t>Colorado Rapids</t>
        </is>
      </c>
      <c r="G150" s="24" t="inlineStr">
        <is>
          <t>Columbus Crew</t>
        </is>
      </c>
      <c r="H150" s="24" t="inlineStr">
        <is>
          <t>total</t>
        </is>
      </c>
      <c r="I150" s="24" t="inlineStr">
        <is>
          <t>over</t>
        </is>
      </c>
      <c r="J150" s="25" t="n">
        <v>2.5</v>
      </c>
      <c r="K150" s="24" t="inlineStr">
        <is>
          <t>polymarket_us</t>
        </is>
      </c>
      <c r="L150" s="26" t="n">
        <v>-117</v>
      </c>
      <c r="M150" s="27" t="n">
        <v>1.854701</v>
      </c>
      <c r="N150" s="28" t="n">
        <v>0.539171</v>
      </c>
      <c r="O150" s="28" t="n">
        <v>0.598321</v>
      </c>
      <c r="P150" s="28" t="n">
        <v>0.04</v>
      </c>
      <c r="Q150" s="28" t="n">
        <v>0.05915</v>
      </c>
      <c r="R150" s="26" t="n">
        <v>56</v>
      </c>
      <c r="S150" s="29" t="n">
        <v>1.25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3</v>
      </c>
      <c r="Y150" s="25" t="n"/>
      <c r="Z150" s="26" t="n">
        <v>-117</v>
      </c>
      <c r="AA150" s="28" t="n">
        <v>0.54</v>
      </c>
      <c r="AB150" s="28" t="n">
        <v>0.000829</v>
      </c>
      <c r="AC150" s="30" t="n">
        <v>1.0684</v>
      </c>
      <c r="AD150" s="24" t="inlineStr">
        <is>
          <t>2026-09-06T04:30:59.634111Z</t>
        </is>
      </c>
      <c r="AE150" s="31" t="inlineStr">
        <is>
          <t>Poisson-DC rates 1.86 (home) / 1.23 (away) from EWMA attack/defense strengths. Executable ask 0.5400 (tsc-mls-clb-col-2026-09-05-2pt5).</t>
        </is>
      </c>
      <c r="AF150" s="31" t="inlineStr">
        <is>
          <t>Research-only soccer score model; draw-aware, but not yet locked-holdout qualified.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Colorado Rapids</t>
        </is>
      </c>
      <c r="AQ150" s="24" t="inlineStr">
        <is>
          <t>Colorado Rapids</t>
        </is>
      </c>
      <c r="AR150" s="24" t="inlineStr">
        <is>
          <t>Colorado Rapids</t>
        </is>
      </c>
      <c r="AS150" s="24" t="inlineStr">
        <is>
          <t>Columbus Crew</t>
        </is>
      </c>
      <c r="AT150" s="24" t="inlineStr">
        <is>
          <t>Columbus Crew</t>
        </is>
      </c>
      <c r="AU150" s="24" t="inlineStr">
        <is>
          <t>Columbus Crew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e64f166eb03d5e657185abb04e25fff4830a8801f3dfa7f84e7c01a3f339baa9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e64f166eb03d5e657185abb04e25fff4830a8801f3dfa7f84e7c01a3f339baa9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e64f166eb03d5e657185abb04e25fff4830a8801f3dfa7f84e7c01a3f339baa9</t>
        </is>
      </c>
      <c r="BH150" s="24" t="inlineStr">
        <is>
          <t>2026-09-05T22:04:32.423984Z</t>
        </is>
      </c>
      <c r="BI150" s="24" t="inlineStr">
        <is>
          <t>["same_event","same_team_same_day","same_league_same_day"]</t>
        </is>
      </c>
      <c r="BJ150" s="25" t="n">
        <v>2.5</v>
      </c>
      <c r="BK150" s="26" t="n">
        <v>-117</v>
      </c>
      <c r="BL150" s="27" t="n">
        <v>1.854701</v>
      </c>
      <c r="BM150" s="28" t="n">
        <v>0.539171</v>
      </c>
      <c r="BN150" s="28" t="n"/>
      <c r="BO150" s="28" t="n"/>
      <c r="BP150" s="25" t="n"/>
      <c r="BQ150" s="27" t="n">
        <v>1.854701</v>
      </c>
      <c r="BR150" s="28" t="n">
        <v>0.54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0.539171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36c02882eaf4467f</t>
        </is>
      </c>
      <c r="B151" s="24" t="inlineStr">
        <is>
          <t>2026-09-05T22:05:14.461440Z</t>
        </is>
      </c>
      <c r="C151" s="24" t="inlineStr">
        <is>
          <t>2026-09-05T23:30Z</t>
        </is>
      </c>
      <c r="D151" s="24" t="inlineStr">
        <is>
          <t>761773</t>
        </is>
      </c>
      <c r="E151" s="24" t="inlineStr">
        <is>
          <t>SOCCER</t>
        </is>
      </c>
      <c r="F151" s="24" t="inlineStr">
        <is>
          <t>D.C. United</t>
        </is>
      </c>
      <c r="G151" s="24" t="inlineStr">
        <is>
          <t>FC Cincinnati</t>
        </is>
      </c>
      <c r="H151" s="24" t="inlineStr">
        <is>
          <t>total</t>
        </is>
      </c>
      <c r="I151" s="24" t="inlineStr">
        <is>
          <t>over</t>
        </is>
      </c>
      <c r="J151" s="25" t="n">
        <v>2.5</v>
      </c>
      <c r="K151" s="24" t="inlineStr">
        <is>
          <t>polymarket_us</t>
        </is>
      </c>
      <c r="L151" s="26" t="n">
        <v>-233</v>
      </c>
      <c r="M151" s="27" t="n">
        <v>1.429185</v>
      </c>
      <c r="N151" s="28" t="n">
        <v>0.6997</v>
      </c>
      <c r="O151" s="28" t="n">
        <v>0.838917</v>
      </c>
      <c r="P151" s="28" t="n">
        <v>0.04</v>
      </c>
      <c r="Q151" s="28" t="n">
        <v>0.139217</v>
      </c>
      <c r="R151" s="26" t="n">
        <v>96</v>
      </c>
      <c r="S151" s="29" t="n">
        <v>1.75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0</v>
      </c>
      <c r="Y151" s="25" t="n"/>
      <c r="Z151" s="26" t="n">
        <v>-233</v>
      </c>
      <c r="AA151" s="28" t="n">
        <v>0.7</v>
      </c>
      <c r="AB151" s="28" t="n">
        <v>0.0003</v>
      </c>
      <c r="AC151" s="30" t="n">
        <v>-1.75</v>
      </c>
      <c r="AD151" s="24" t="inlineStr">
        <is>
          <t>2026-09-10T16:01:08.352357Z</t>
        </is>
      </c>
      <c r="AE151" s="31" t="inlineStr">
        <is>
          <t>Poisson-DC rates 3.00 (home) / 1.62 (away) from EWMA attack/defense strengths. Executable ask 0.7000 (tsc-mls-fcc-dcu-2026-09-05-2pt5).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D.C. United</t>
        </is>
      </c>
      <c r="AQ151" s="24" t="inlineStr">
        <is>
          <t>D.C. United</t>
        </is>
      </c>
      <c r="AR151" s="24" t="inlineStr">
        <is>
          <t>D.C. United</t>
        </is>
      </c>
      <c r="AS151" s="24" t="inlineStr">
        <is>
          <t>FC Cincinnati</t>
        </is>
      </c>
      <c r="AT151" s="24" t="inlineStr">
        <is>
          <t>FC Cincinnati</t>
        </is>
      </c>
      <c r="AU151" s="24" t="inlineStr">
        <is>
          <t>FC Cincinnati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e64f166eb03d5e657185abb04e25fff4830a8801f3dfa7f84e7c01a3f339baa9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e64f166eb03d5e657185abb04e25fff4830a8801f3dfa7f84e7c01a3f339baa9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e64f166eb03d5e657185abb04e25fff4830a8801f3dfa7f84e7c01a3f339baa9</t>
        </is>
      </c>
      <c r="BH151" s="24" t="inlineStr">
        <is>
          <t>2026-09-05T22:04:32.335884Z</t>
        </is>
      </c>
      <c r="BI151" s="24" t="inlineStr">
        <is>
          <t>["same_event","same_team_same_day","same_league_same_day"]</t>
        </is>
      </c>
      <c r="BJ151" s="25" t="n">
        <v>2.5</v>
      </c>
      <c r="BK151" s="26" t="n">
        <v>-233</v>
      </c>
      <c r="BL151" s="27" t="n">
        <v>1.429185</v>
      </c>
      <c r="BM151" s="28" t="n">
        <v>0.6997</v>
      </c>
      <c r="BN151" s="28" t="n"/>
      <c r="BO151" s="28" t="n"/>
      <c r="BP151" s="25" t="n"/>
      <c r="BQ151" s="27" t="n">
        <v>1.429185</v>
      </c>
      <c r="BR151" s="28" t="n">
        <v>0.7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0.6997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33b3ee2631b8418d</t>
        </is>
      </c>
      <c r="B152" s="24" t="inlineStr">
        <is>
          <t>2026-09-05T22:05:14.461440Z</t>
        </is>
      </c>
      <c r="C152" s="24" t="inlineStr">
        <is>
          <t>2026-09-05T23:30Z</t>
        </is>
      </c>
      <c r="D152" s="24" t="inlineStr">
        <is>
          <t>761777</t>
        </is>
      </c>
      <c r="E152" s="24" t="inlineStr">
        <is>
          <t>SOCCER</t>
        </is>
      </c>
      <c r="F152" s="24" t="inlineStr">
        <is>
          <t>Atlanta United FC</t>
        </is>
      </c>
      <c r="G152" s="24" t="inlineStr">
        <is>
          <t>Inter Miami CF</t>
        </is>
      </c>
      <c r="H152" s="24" t="inlineStr">
        <is>
          <t>total</t>
        </is>
      </c>
      <c r="I152" s="24" t="inlineStr">
        <is>
          <t>over</t>
        </is>
      </c>
      <c r="J152" s="25" t="n">
        <v>2.5</v>
      </c>
      <c r="K152" s="24" t="inlineStr">
        <is>
          <t>polymarket_us</t>
        </is>
      </c>
      <c r="L152" s="26" t="n">
        <v>-400</v>
      </c>
      <c r="M152" s="27" t="n">
        <v>1.25</v>
      </c>
      <c r="N152" s="28" t="n">
        <v>0.8</v>
      </c>
      <c r="O152" s="28" t="n">
        <v>0.810665</v>
      </c>
      <c r="P152" s="28" t="n">
        <v>0.04</v>
      </c>
      <c r="Q152" s="28" t="n">
        <v>0.010665</v>
      </c>
      <c r="R152" s="26" t="n">
        <v>31</v>
      </c>
      <c r="S152" s="29" t="n">
        <v>1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2</v>
      </c>
      <c r="X152" s="26" t="n">
        <v>2</v>
      </c>
      <c r="Y152" s="25" t="n"/>
      <c r="Z152" s="26" t="n">
        <v>-400</v>
      </c>
      <c r="AA152" s="28" t="n">
        <v>0.8</v>
      </c>
      <c r="AB152" s="28" t="n">
        <v>0</v>
      </c>
      <c r="AC152" s="30" t="n">
        <v>0.25</v>
      </c>
      <c r="AD152" s="24" t="inlineStr">
        <is>
          <t>2026-09-06T04:31:00.665478Z</t>
        </is>
      </c>
      <c r="AE152" s="31" t="inlineStr">
        <is>
          <t>Poisson-DC rates 3.39 (home) / 0.98 (away) from EWMA attack/defense strengths. Executable ask 0.8000 (tsc-mls-mia-atl-2026-09-05-2pt5).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Atlanta United FC</t>
        </is>
      </c>
      <c r="AQ152" s="24" t="inlineStr">
        <is>
          <t>Atlanta United FC</t>
        </is>
      </c>
      <c r="AR152" s="24" t="inlineStr">
        <is>
          <t>Atlanta United FC</t>
        </is>
      </c>
      <c r="AS152" s="24" t="inlineStr">
        <is>
          <t>Inter Miami CF</t>
        </is>
      </c>
      <c r="AT152" s="24" t="inlineStr">
        <is>
          <t>Inter Miami CF</t>
        </is>
      </c>
      <c r="AU152" s="24" t="inlineStr">
        <is>
          <t>Inter Miami CF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e64f166eb03d5e657185abb04e25fff4830a8801f3dfa7f84e7c01a3f339baa9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e64f166eb03d5e657185abb04e25fff4830a8801f3dfa7f84e7c01a3f339baa9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e64f166eb03d5e657185abb04e25fff4830a8801f3dfa7f84e7c01a3f339baa9</t>
        </is>
      </c>
      <c r="BH152" s="24" t="inlineStr">
        <is>
          <t>2026-09-05T22:04:31.354248Z</t>
        </is>
      </c>
      <c r="BI152" s="24" t="inlineStr">
        <is>
          <t>["same_event","same_team_same_day","same_league_same_day"]</t>
        </is>
      </c>
      <c r="BJ152" s="25" t="n">
        <v>2.5</v>
      </c>
      <c r="BK152" s="26" t="n">
        <v>-400</v>
      </c>
      <c r="BL152" s="27" t="n">
        <v>1.25</v>
      </c>
      <c r="BM152" s="28" t="n">
        <v>0.8</v>
      </c>
      <c r="BN152" s="28" t="n"/>
      <c r="BO152" s="28" t="n"/>
      <c r="BP152" s="25" t="n"/>
      <c r="BQ152" s="27" t="n">
        <v>1.25</v>
      </c>
      <c r="BR152" s="28" t="n">
        <v>0.8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0.25</v>
      </c>
      <c r="BZ152" s="24" t="inlineStr">
        <is>
          <t>2026-09-06T04:31:00.665478Z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0.8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f2c4e6d0af4a4b18</t>
        </is>
      </c>
      <c r="B153" s="24" t="inlineStr">
        <is>
          <t>2026-09-05T22:05:14.461440Z</t>
        </is>
      </c>
      <c r="C153" s="24" t="inlineStr">
        <is>
          <t>2026-09-05T23:30Z</t>
        </is>
      </c>
      <c r="D153" s="24" t="inlineStr">
        <is>
          <t>761771</t>
        </is>
      </c>
      <c r="E153" s="24" t="inlineStr">
        <is>
          <t>SOCCER</t>
        </is>
      </c>
      <c r="F153" s="24" t="inlineStr">
        <is>
          <t>San Diego FC</t>
        </is>
      </c>
      <c r="G153" s="24" t="inlineStr">
        <is>
          <t>Orlando City SC</t>
        </is>
      </c>
      <c r="H153" s="24" t="inlineStr">
        <is>
          <t>total</t>
        </is>
      </c>
      <c r="I153" s="24" t="inlineStr">
        <is>
          <t>over</t>
        </is>
      </c>
      <c r="J153" s="25" t="n">
        <v>2.5</v>
      </c>
      <c r="K153" s="24" t="inlineStr">
        <is>
          <t>polymarket_us</t>
        </is>
      </c>
      <c r="L153" s="26" t="n">
        <v>-233</v>
      </c>
      <c r="M153" s="27" t="n">
        <v>1.429185</v>
      </c>
      <c r="N153" s="28" t="n">
        <v>0.6997</v>
      </c>
      <c r="O153" s="28" t="n">
        <v>0.849117</v>
      </c>
      <c r="P153" s="28" t="n">
        <v>0.04</v>
      </c>
      <c r="Q153" s="28" t="n">
        <v>0.149417</v>
      </c>
      <c r="R153" s="26" t="n">
        <v>100</v>
      </c>
      <c r="S153" s="29" t="n">
        <v>1.75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loss</t>
        </is>
      </c>
      <c r="W153" s="26" t="n">
        <v>0</v>
      </c>
      <c r="X153" s="26" t="n">
        <v>1</v>
      </c>
      <c r="Y153" s="25" t="n"/>
      <c r="Z153" s="26" t="n">
        <v>-233</v>
      </c>
      <c r="AA153" s="28" t="n">
        <v>0.7</v>
      </c>
      <c r="AB153" s="28" t="n">
        <v>0.0003</v>
      </c>
      <c r="AC153" s="30" t="n">
        <v>-1.75</v>
      </c>
      <c r="AD153" s="24" t="inlineStr">
        <is>
          <t>2026-09-06T04:31:01.693104Z</t>
        </is>
      </c>
      <c r="AE153" s="31" t="inlineStr">
        <is>
          <t>Poisson-DC rates 2.09 (home) / 2.62 (away) from EWMA attack/defense strengths. Executable ask 0.7000 (tsc-mls-orl-sdg-2026-09-05-2pt5).</t>
        </is>
      </c>
      <c r="AF153" s="31" t="inlineStr">
        <is>
          <t>Research-only soccer score model; draw-aware, but not yet locked-holdout qualified.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San Diego FC</t>
        </is>
      </c>
      <c r="AQ153" s="24" t="inlineStr">
        <is>
          <t>San Diego FC</t>
        </is>
      </c>
      <c r="AR153" s="24" t="inlineStr">
        <is>
          <t>San Diego FC</t>
        </is>
      </c>
      <c r="AS153" s="24" t="inlineStr">
        <is>
          <t>Orlando City SC</t>
        </is>
      </c>
      <c r="AT153" s="24" t="inlineStr">
        <is>
          <t>Orlando City SC</t>
        </is>
      </c>
      <c r="AU153" s="24" t="inlineStr">
        <is>
          <t>Orlando City SC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e64f166eb03d5e657185abb04e25fff4830a8801f3dfa7f84e7c01a3f339baa9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e64f166eb03d5e657185abb04e25fff4830a8801f3dfa7f84e7c01a3f339baa9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e64f166eb03d5e657185abb04e25fff4830a8801f3dfa7f84e7c01a3f339baa9</t>
        </is>
      </c>
      <c r="BH153" s="24" t="inlineStr">
        <is>
          <t>2026-09-05T22:04:32.402851Z</t>
        </is>
      </c>
      <c r="BI153" s="24" t="inlineStr">
        <is>
          <t>["same_event","same_team_same_day","same_league_same_day"]</t>
        </is>
      </c>
      <c r="BJ153" s="25" t="n">
        <v>2.5</v>
      </c>
      <c r="BK153" s="26" t="n">
        <v>-233</v>
      </c>
      <c r="BL153" s="27" t="n">
        <v>1.429185</v>
      </c>
      <c r="BM153" s="28" t="n">
        <v>0.6997</v>
      </c>
      <c r="BN153" s="28" t="n"/>
      <c r="BO153" s="28" t="n"/>
      <c r="BP153" s="25" t="n"/>
      <c r="BQ153" s="27" t="n">
        <v>1.429185</v>
      </c>
      <c r="BR153" s="28" t="n">
        <v>0.7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0.6997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1ad2bb456b0f4e21</t>
        </is>
      </c>
      <c r="B154" s="24" t="inlineStr">
        <is>
          <t>2026-09-05T22:05:14.461440Z</t>
        </is>
      </c>
      <c r="C154" s="24" t="inlineStr">
        <is>
          <t>2026-09-05T23:30Z</t>
        </is>
      </c>
      <c r="D154" s="24" t="inlineStr">
        <is>
          <t>761776</t>
        </is>
      </c>
      <c r="E154" s="24" t="inlineStr">
        <is>
          <t>SOCCER</t>
        </is>
      </c>
      <c r="F154" s="24" t="inlineStr">
        <is>
          <t>Chicago Fire FC</t>
        </is>
      </c>
      <c r="G154" s="24" t="inlineStr">
        <is>
          <t>Toronto FC</t>
        </is>
      </c>
      <c r="H154" s="24" t="inlineStr">
        <is>
          <t>total</t>
        </is>
      </c>
      <c r="I154" s="24" t="inlineStr">
        <is>
          <t>over</t>
        </is>
      </c>
      <c r="J154" s="25" t="n">
        <v>2.5</v>
      </c>
      <c r="K154" s="24" t="inlineStr">
        <is>
          <t>polymarket_us</t>
        </is>
      </c>
      <c r="L154" s="26" t="n">
        <v>-163</v>
      </c>
      <c r="M154" s="27" t="n">
        <v>1.613497</v>
      </c>
      <c r="N154" s="28" t="n">
        <v>0.619772</v>
      </c>
      <c r="O154" s="28" t="n">
        <v>0.63973</v>
      </c>
      <c r="P154" s="28" t="n">
        <v>0.04</v>
      </c>
      <c r="Q154" s="28" t="n">
        <v>0.019958</v>
      </c>
      <c r="R154" s="26" t="n">
        <v>36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win</t>
        </is>
      </c>
      <c r="W154" s="26" t="n">
        <v>4</v>
      </c>
      <c r="X154" s="26" t="n">
        <v>4</v>
      </c>
      <c r="Y154" s="25" t="n"/>
      <c r="Z154" s="26" t="n">
        <v>-163</v>
      </c>
      <c r="AA154" s="28" t="n">
        <v>0.62</v>
      </c>
      <c r="AB154" s="28" t="n">
        <v>0.000228</v>
      </c>
      <c r="AC154" s="30" t="n">
        <v>0.6135</v>
      </c>
      <c r="AD154" s="24" t="inlineStr">
        <is>
          <t>2026-09-06T04:31:02.713578Z</t>
        </is>
      </c>
      <c r="AE154" s="31" t="inlineStr">
        <is>
          <t>Poisson-DC rates 1.42 (home) / 1.88 (away) from EWMA attack/defense strengths. Executable ask 0.6200 (tsc-mls-tor-chi-2026-09-05-2pt5).</t>
        </is>
      </c>
      <c r="AF154" s="31" t="inlineStr">
        <is>
          <t>Research-only soccer score model; draw-aware, but not yet locked-holdout qualified.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Chicago Fire FC</t>
        </is>
      </c>
      <c r="AQ154" s="24" t="inlineStr">
        <is>
          <t>Chicago Fire FC</t>
        </is>
      </c>
      <c r="AR154" s="24" t="inlineStr">
        <is>
          <t>Chicago Fire FC</t>
        </is>
      </c>
      <c r="AS154" s="24" t="inlineStr">
        <is>
          <t>Toronto FC</t>
        </is>
      </c>
      <c r="AT154" s="24" t="inlineStr">
        <is>
          <t>Toronto FC</t>
        </is>
      </c>
      <c r="AU154" s="24" t="inlineStr">
        <is>
          <t>Toronto FC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e64f166eb03d5e657185abb04e25fff4830a8801f3dfa7f84e7c01a3f339baa9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e64f166eb03d5e657185abb04e25fff4830a8801f3dfa7f84e7c01a3f339baa9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e64f166eb03d5e657185abb04e25fff4830a8801f3dfa7f84e7c01a3f339baa9</t>
        </is>
      </c>
      <c r="BH154" s="24" t="inlineStr">
        <is>
          <t>2026-09-05T22:04:31.415072Z</t>
        </is>
      </c>
      <c r="BI154" s="24" t="inlineStr">
        <is>
          <t>["same_event","same_team_same_day","same_league_same_day"]</t>
        </is>
      </c>
      <c r="BJ154" s="25" t="n">
        <v>2.5</v>
      </c>
      <c r="BK154" s="26" t="n">
        <v>-163</v>
      </c>
      <c r="BL154" s="27" t="n">
        <v>1.613497</v>
      </c>
      <c r="BM154" s="28" t="n">
        <v>0.619772</v>
      </c>
      <c r="BN154" s="28" t="n"/>
      <c r="BO154" s="28" t="n"/>
      <c r="BP154" s="25" t="n"/>
      <c r="BQ154" s="27" t="n">
        <v>1.613497</v>
      </c>
      <c r="BR154" s="28" t="n">
        <v>0.62</v>
      </c>
      <c r="BS154" s="28" t="n"/>
      <c r="BT154" s="28" t="n"/>
      <c r="BU154" s="25" t="n"/>
      <c r="BV154" s="29" t="n"/>
      <c r="BW154" s="24" t="n"/>
      <c r="BX154" s="30" t="n">
        <v>1</v>
      </c>
      <c r="BY154" s="27" t="n">
        <v>0.613497</v>
      </c>
      <c r="BZ154" s="24" t="inlineStr">
        <is>
          <t>2026-09-06T04:31:02.713578Z</t>
        </is>
      </c>
      <c r="CA154" s="31" t="inlineStr">
        <is>
          <t>fixed one-unit hypothetical scoring; no real exposure or execution</t>
        </is>
      </c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0.619772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46a9a3659b9f46b7</t>
        </is>
      </c>
      <c r="B155" s="24" t="inlineStr">
        <is>
          <t>2026-09-05T22:05:14.461440Z</t>
        </is>
      </c>
      <c r="C155" s="24" t="inlineStr">
        <is>
          <t>2026-09-06T00:30Z</t>
        </is>
      </c>
      <c r="D155" s="24" t="inlineStr">
        <is>
          <t>761778</t>
        </is>
      </c>
      <c r="E155" s="24" t="inlineStr">
        <is>
          <t>SOCCER</t>
        </is>
      </c>
      <c r="F155" s="24" t="inlineStr">
        <is>
          <t>San Jose Earthquakes</t>
        </is>
      </c>
      <c r="G155" s="24" t="inlineStr">
        <is>
          <t>Austin FC</t>
        </is>
      </c>
      <c r="H155" s="24" t="inlineStr">
        <is>
          <t>total</t>
        </is>
      </c>
      <c r="I155" s="24" t="inlineStr">
        <is>
          <t>over</t>
        </is>
      </c>
      <c r="J155" s="25" t="n">
        <v>2.5</v>
      </c>
      <c r="K155" s="24" t="inlineStr">
        <is>
          <t>polymarket_us</t>
        </is>
      </c>
      <c r="L155" s="26" t="n">
        <v>-170</v>
      </c>
      <c r="M155" s="27" t="n">
        <v>1.588235</v>
      </c>
      <c r="N155" s="28" t="n">
        <v>0.62963</v>
      </c>
      <c r="O155" s="28" t="n">
        <v>0.696556</v>
      </c>
      <c r="P155" s="28" t="n">
        <v>0.04</v>
      </c>
      <c r="Q155" s="28" t="n">
        <v>0.066926</v>
      </c>
      <c r="R155" s="26" t="n">
        <v>59</v>
      </c>
      <c r="S155" s="29" t="n">
        <v>1.25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1</v>
      </c>
      <c r="Y155" s="25" t="n"/>
      <c r="Z155" s="26" t="n">
        <v>-170</v>
      </c>
      <c r="AA155" s="28" t="n">
        <v>0.63</v>
      </c>
      <c r="AB155" s="28" t="n">
        <v>0.00037</v>
      </c>
      <c r="AC155" s="30" t="n">
        <v>-1.25</v>
      </c>
      <c r="AD155" s="24" t="inlineStr">
        <is>
          <t>2026-09-06T04:31:03.739665Z</t>
        </is>
      </c>
      <c r="AE155" s="31" t="inlineStr">
        <is>
          <t>Poisson-DC rates 1.38 (home) / 2.21 (away) from EWMA attack/defense strengths. Executable ask 0.6300 (tsc-mls-aus-sje-2026-09-05-2pt5).</t>
        </is>
      </c>
      <c r="AF155" s="31" t="inlineStr">
        <is>
          <t>Research-only soccer score model; draw-aware, but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San Jose Earthquakes</t>
        </is>
      </c>
      <c r="AQ155" s="24" t="inlineStr">
        <is>
          <t>San Jose Earthquakes</t>
        </is>
      </c>
      <c r="AR155" s="24" t="inlineStr">
        <is>
          <t>San Jose Earthquakes</t>
        </is>
      </c>
      <c r="AS155" s="24" t="inlineStr">
        <is>
          <t>Austin FC</t>
        </is>
      </c>
      <c r="AT155" s="24" t="inlineStr">
        <is>
          <t>Austin FC</t>
        </is>
      </c>
      <c r="AU155" s="24" t="inlineStr">
        <is>
          <t>Austin FC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e64f166eb03d5e657185abb04e25fff4830a8801f3dfa7f84e7c01a3f339baa9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e64f166eb03d5e657185abb04e25fff4830a8801f3dfa7f84e7c01a3f339baa9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e64f166eb03d5e657185abb04e25fff4830a8801f3dfa7f84e7c01a3f339baa9</t>
        </is>
      </c>
      <c r="BH155" s="24" t="inlineStr">
        <is>
          <t>2026-09-05T22:04:32.626212Z</t>
        </is>
      </c>
      <c r="BI155" s="24" t="inlineStr">
        <is>
          <t>["same_event","same_team_same_day","same_league_same_day"]</t>
        </is>
      </c>
      <c r="BJ155" s="25" t="n">
        <v>2.5</v>
      </c>
      <c r="BK155" s="26" t="n">
        <v>-170</v>
      </c>
      <c r="BL155" s="27" t="n">
        <v>1.588235</v>
      </c>
      <c r="BM155" s="28" t="n">
        <v>0.62963</v>
      </c>
      <c r="BN155" s="28" t="n"/>
      <c r="BO155" s="28" t="n"/>
      <c r="BP155" s="25" t="n"/>
      <c r="BQ155" s="27" t="n">
        <v>1.588235</v>
      </c>
      <c r="BR155" s="28" t="n">
        <v>0.63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0.62963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3a2865124c1742f2</t>
        </is>
      </c>
      <c r="B156" s="24" t="inlineStr">
        <is>
          <t>2026-09-05T22:05:14.461440Z</t>
        </is>
      </c>
      <c r="C156" s="24" t="inlineStr">
        <is>
          <t>2026-09-06T00:30Z</t>
        </is>
      </c>
      <c r="D156" s="24" t="inlineStr">
        <is>
          <t>761779</t>
        </is>
      </c>
      <c r="E156" s="24" t="inlineStr">
        <is>
          <t>SOCCER</t>
        </is>
      </c>
      <c r="F156" s="24" t="inlineStr">
        <is>
          <t>Sporting Kansas City</t>
        </is>
      </c>
      <c r="G156" s="24" t="inlineStr">
        <is>
          <t>FC Dallas</t>
        </is>
      </c>
      <c r="H156" s="24" t="inlineStr">
        <is>
          <t>total</t>
        </is>
      </c>
      <c r="I156" s="24" t="inlineStr">
        <is>
          <t>over</t>
        </is>
      </c>
      <c r="J156" s="25" t="n">
        <v>2.5</v>
      </c>
      <c r="K156" s="24" t="inlineStr">
        <is>
          <t>polymarket_us</t>
        </is>
      </c>
      <c r="L156" s="26" t="n">
        <v>-213</v>
      </c>
      <c r="M156" s="27" t="n">
        <v>1.469484</v>
      </c>
      <c r="N156" s="28" t="n">
        <v>0.680511</v>
      </c>
      <c r="O156" s="28" t="n">
        <v>0.793735</v>
      </c>
      <c r="P156" s="28" t="n">
        <v>0.04</v>
      </c>
      <c r="Q156" s="28" t="n">
        <v>0.113224</v>
      </c>
      <c r="R156" s="26" t="n">
        <v>83</v>
      </c>
      <c r="S156" s="29" t="n">
        <v>1.5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4</v>
      </c>
      <c r="Y156" s="25" t="n"/>
      <c r="Z156" s="26" t="n">
        <v>-213</v>
      </c>
      <c r="AA156" s="28" t="n">
        <v>0.68</v>
      </c>
      <c r="AB156" s="28" t="n">
        <v>-0.000511</v>
      </c>
      <c r="AC156" s="30" t="n">
        <v>0.7042</v>
      </c>
      <c r="AD156" s="24" t="inlineStr">
        <is>
          <t>2026-09-06T04:31:04.796781Z</t>
        </is>
      </c>
      <c r="AE156" s="31" t="inlineStr">
        <is>
          <t>Poisson-DC rates 3.21 (home) / 1.02 (away) from EWMA attack/defense strengths. Executable ask 0.6800 (tsc-mls-dal-skc-2026-09-05-2pt5).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Sporting Kansas City</t>
        </is>
      </c>
      <c r="AQ156" s="24" t="inlineStr">
        <is>
          <t>Sporting Kansas City</t>
        </is>
      </c>
      <c r="AR156" s="24" t="inlineStr">
        <is>
          <t>Sporting Kansas City</t>
        </is>
      </c>
      <c r="AS156" s="24" t="inlineStr">
        <is>
          <t>FC Dallas</t>
        </is>
      </c>
      <c r="AT156" s="24" t="inlineStr">
        <is>
          <t>FC Dallas</t>
        </is>
      </c>
      <c r="AU156" s="24" t="inlineStr">
        <is>
          <t>FC Dallas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e64f166eb03d5e657185abb04e25fff4830a8801f3dfa7f84e7c01a3f339baa9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e64f166eb03d5e657185abb04e25fff4830a8801f3dfa7f84e7c01a3f339baa9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e64f166eb03d5e657185abb04e25fff4830a8801f3dfa7f84e7c01a3f339baa9</t>
        </is>
      </c>
      <c r="BH156" s="24" t="inlineStr">
        <is>
          <t>2026-09-05T22:04:32.470448Z</t>
        </is>
      </c>
      <c r="BI156" s="24" t="inlineStr">
        <is>
          <t>["same_event","same_team_same_day","same_league_same_day"]</t>
        </is>
      </c>
      <c r="BJ156" s="25" t="n">
        <v>2.5</v>
      </c>
      <c r="BK156" s="26" t="n">
        <v>-213</v>
      </c>
      <c r="BL156" s="27" t="n">
        <v>1.469484</v>
      </c>
      <c r="BM156" s="28" t="n">
        <v>0.680511</v>
      </c>
      <c r="BN156" s="28" t="n"/>
      <c r="BO156" s="28" t="n"/>
      <c r="BP156" s="25" t="n"/>
      <c r="BQ156" s="27" t="n">
        <v>1.469484</v>
      </c>
      <c r="BR156" s="28" t="n">
        <v>0.68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0.680511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80843bea2d4e4dd4</t>
        </is>
      </c>
      <c r="B157" s="24" t="inlineStr">
        <is>
          <t>2026-09-05T22:05:14.461440Z</t>
        </is>
      </c>
      <c r="C157" s="24" t="inlineStr">
        <is>
          <t>2026-09-06T01:30Z</t>
        </is>
      </c>
      <c r="D157" s="24" t="inlineStr">
        <is>
          <t>761782</t>
        </is>
      </c>
      <c r="E157" s="24" t="inlineStr">
        <is>
          <t>SOCCER</t>
        </is>
      </c>
      <c r="F157" s="24" t="inlineStr">
        <is>
          <t>New England Revolution</t>
        </is>
      </c>
      <c r="G157" s="24" t="inlineStr">
        <is>
          <t>LA Galaxy</t>
        </is>
      </c>
      <c r="H157" s="24" t="inlineStr">
        <is>
          <t>total</t>
        </is>
      </c>
      <c r="I157" s="24" t="inlineStr">
        <is>
          <t>over</t>
        </is>
      </c>
      <c r="J157" s="25" t="n">
        <v>2.5</v>
      </c>
      <c r="K157" s="24" t="inlineStr">
        <is>
          <t>polymarket_us</t>
        </is>
      </c>
      <c r="L157" s="26" t="n">
        <v>-194</v>
      </c>
      <c r="M157" s="27" t="n">
        <v>1.515464</v>
      </c>
      <c r="N157" s="28" t="n">
        <v>0.659864</v>
      </c>
      <c r="O157" s="28" t="n">
        <v>0.542723</v>
      </c>
      <c r="P157" s="28" t="n">
        <v>0.04</v>
      </c>
      <c r="Q157" s="28" t="n">
        <v>-0.117141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2</v>
      </c>
      <c r="Y157" s="25" t="n"/>
      <c r="Z157" s="26" t="n">
        <v>-194</v>
      </c>
      <c r="AA157" s="28" t="n">
        <v>0.66</v>
      </c>
      <c r="AB157" s="28" t="n">
        <v>0.000136</v>
      </c>
      <c r="AC157" s="30" t="n">
        <v>0.5155</v>
      </c>
      <c r="AD157" s="24" t="inlineStr">
        <is>
          <t>2026-09-06T04:31:05.757357Z</t>
        </is>
      </c>
      <c r="AE157" s="31" t="inlineStr">
        <is>
          <t>Poisson-DC rates 1.57 (home) / 1.29 (away) from EWMA attack/defense strengths. Executable ask 0.6600 (tsc-mls-lag-ner-2026-09-05-2pt5).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New England Revolution</t>
        </is>
      </c>
      <c r="AQ157" s="24" t="inlineStr">
        <is>
          <t>New England Revolution</t>
        </is>
      </c>
      <c r="AR157" s="24" t="inlineStr">
        <is>
          <t>New England Revolution</t>
        </is>
      </c>
      <c r="AS157" s="24" t="inlineStr">
        <is>
          <t>LA Galaxy</t>
        </is>
      </c>
      <c r="AT157" s="24" t="inlineStr">
        <is>
          <t>LA Galaxy</t>
        </is>
      </c>
      <c r="AU157" s="24" t="inlineStr">
        <is>
          <t>LA Galaxy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e64f166eb03d5e657185abb04e25fff4830a8801f3dfa7f84e7c01a3f339baa9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e64f166eb03d5e657185abb04e25fff4830a8801f3dfa7f84e7c01a3f339baa9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e64f166eb03d5e657185abb04e25fff4830a8801f3dfa7f84e7c01a3f339baa9</t>
        </is>
      </c>
      <c r="BH157" s="24" t="inlineStr">
        <is>
          <t>2026-09-05T22:04:33.289785Z</t>
        </is>
      </c>
      <c r="BI157" s="24" t="inlineStr">
        <is>
          <t>["same_event","same_team_same_day","same_league_same_day"]</t>
        </is>
      </c>
      <c r="BJ157" s="25" t="n">
        <v>2.5</v>
      </c>
      <c r="BK157" s="26" t="n">
        <v>-194</v>
      </c>
      <c r="BL157" s="27" t="n">
        <v>1.515464</v>
      </c>
      <c r="BM157" s="28" t="n">
        <v>0.659864</v>
      </c>
      <c r="BN157" s="28" t="n"/>
      <c r="BO157" s="28" t="n"/>
      <c r="BP157" s="25" t="n"/>
      <c r="BQ157" s="27" t="n">
        <v>1.515464</v>
      </c>
      <c r="BR157" s="28" t="n">
        <v>0.66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0.515464</v>
      </c>
      <c r="BZ157" s="24" t="inlineStr">
        <is>
          <t>2026-09-06T04:31:05.757357Z</t>
        </is>
      </c>
      <c r="CA157" s="31" t="inlineStr">
        <is>
          <t>fixed one-unit hypothetical scoring; no real exposure or execution</t>
        </is>
      </c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0.659864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eea3e62a56c848ba</t>
        </is>
      </c>
      <c r="B158" s="24" t="inlineStr">
        <is>
          <t>2026-09-05T22:05:14.461440Z</t>
        </is>
      </c>
      <c r="C158" s="24" t="inlineStr">
        <is>
          <t>2026-09-06T02:30Z</t>
        </is>
      </c>
      <c r="D158" s="24" t="inlineStr">
        <is>
          <t>761783</t>
        </is>
      </c>
      <c r="E158" s="24" t="inlineStr">
        <is>
          <t>SOCCER</t>
        </is>
      </c>
      <c r="F158" s="24" t="inlineStr">
        <is>
          <t>Minnesota United FC</t>
        </is>
      </c>
      <c r="G158" s="24" t="inlineStr">
        <is>
          <t>Portland Timbers</t>
        </is>
      </c>
      <c r="H158" s="24" t="inlineStr">
        <is>
          <t>total</t>
        </is>
      </c>
      <c r="I158" s="24" t="inlineStr">
        <is>
          <t>over</t>
        </is>
      </c>
      <c r="J158" s="25" t="n">
        <v>2.5</v>
      </c>
      <c r="K158" s="24" t="inlineStr">
        <is>
          <t>polymarket_us</t>
        </is>
      </c>
      <c r="L158" s="26" t="n">
        <v>-178</v>
      </c>
      <c r="M158" s="27" t="n">
        <v>1.561798</v>
      </c>
      <c r="N158" s="28" t="n">
        <v>0.640288</v>
      </c>
      <c r="O158" s="28" t="n">
        <v>0.592068</v>
      </c>
      <c r="P158" s="28" t="n">
        <v>0.04</v>
      </c>
      <c r="Q158" s="28" t="n">
        <v>-0.04822</v>
      </c>
      <c r="R158" s="26" t="n">
        <v>2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win</t>
        </is>
      </c>
      <c r="W158" s="26" t="n">
        <v>4</v>
      </c>
      <c r="X158" s="26" t="n">
        <v>5</v>
      </c>
      <c r="Y158" s="25" t="n"/>
      <c r="Z158" s="26" t="n">
        <v>-178</v>
      </c>
      <c r="AA158" s="28" t="n">
        <v>0.64</v>
      </c>
      <c r="AB158" s="28" t="n">
        <v>-0.000288</v>
      </c>
      <c r="AC158" s="30" t="n">
        <v>0.5618</v>
      </c>
      <c r="AD158" s="24" t="inlineStr">
        <is>
          <t>2026-09-06T10:00:11.775998Z</t>
        </is>
      </c>
      <c r="AE158" s="31" t="inlineStr">
        <is>
          <t>Poisson-DC rates 1.73 (home) / 1.34 (away) from EWMA attack/defense strengths. Executable ask 0.6400 (tsc-mls-por-min-2026-09-05-2pt5).</t>
        </is>
      </c>
      <c r="AF158" s="31" t="inlineStr">
        <is>
          <t>Research-only soccer score model; draw-aware, but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Minnesota United FC</t>
        </is>
      </c>
      <c r="AQ158" s="24" t="inlineStr">
        <is>
          <t>Minnesota United FC</t>
        </is>
      </c>
      <c r="AR158" s="24" t="inlineStr">
        <is>
          <t>Minnesota United FC</t>
        </is>
      </c>
      <c r="AS158" s="24" t="inlineStr">
        <is>
          <t>Portland Timbers</t>
        </is>
      </c>
      <c r="AT158" s="24" t="inlineStr">
        <is>
          <t>Portland Timbers</t>
        </is>
      </c>
      <c r="AU158" s="24" t="inlineStr">
        <is>
          <t>Portland Timbers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e64f166eb03d5e657185abb04e25fff4830a8801f3dfa7f84e7c01a3f339baa9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e64f166eb03d5e657185abb04e25fff4830a8801f3dfa7f84e7c01a3f339baa9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e64f166eb03d5e657185abb04e25fff4830a8801f3dfa7f84e7c01a3f339baa9</t>
        </is>
      </c>
      <c r="BH158" s="24" t="inlineStr">
        <is>
          <t>2026-09-05T22:04:33.511948Z</t>
        </is>
      </c>
      <c r="BI158" s="24" t="inlineStr">
        <is>
          <t>["same_event","same_team_same_day","same_league_same_day"]</t>
        </is>
      </c>
      <c r="BJ158" s="25" t="n">
        <v>2.5</v>
      </c>
      <c r="BK158" s="26" t="n">
        <v>-178</v>
      </c>
      <c r="BL158" s="27" t="n">
        <v>1.561798</v>
      </c>
      <c r="BM158" s="28" t="n">
        <v>0.640288</v>
      </c>
      <c r="BN158" s="28" t="n"/>
      <c r="BO158" s="28" t="n"/>
      <c r="BP158" s="25" t="n"/>
      <c r="BQ158" s="27" t="n">
        <v>1.561798</v>
      </c>
      <c r="BR158" s="28" t="n">
        <v>0.64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0.561797</v>
      </c>
      <c r="BZ158" s="24" t="inlineStr">
        <is>
          <t>2026-09-06T10:00:11.775998Z</t>
        </is>
      </c>
      <c r="CA158" s="31" t="inlineStr">
        <is>
          <t>fixed one-unit hypothetical scoring; no real exposure or execution</t>
        </is>
      </c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0.640288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d35095dd289042c1</t>
        </is>
      </c>
      <c r="B159" s="24" t="inlineStr">
        <is>
          <t>2026-09-05T22:05:14.461440Z</t>
        </is>
      </c>
      <c r="C159" s="24" t="inlineStr">
        <is>
          <t>2026-09-06T02:30Z</t>
        </is>
      </c>
      <c r="D159" s="24" t="inlineStr">
        <is>
          <t>761784</t>
        </is>
      </c>
      <c r="E159" s="24" t="inlineStr">
        <is>
          <t>SOCCER</t>
        </is>
      </c>
      <c r="F159" s="24" t="inlineStr">
        <is>
          <t>St. Louis CITY SC</t>
        </is>
      </c>
      <c r="G159" s="24" t="inlineStr">
        <is>
          <t>Vancouver Whitecaps</t>
        </is>
      </c>
      <c r="H159" s="24" t="inlineStr">
        <is>
          <t>total</t>
        </is>
      </c>
      <c r="I159" s="24" t="inlineStr">
        <is>
          <t>over</t>
        </is>
      </c>
      <c r="J159" s="25" t="n">
        <v>2.5</v>
      </c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0.674032</v>
      </c>
      <c r="P159" s="28" t="n">
        <v>0.04</v>
      </c>
      <c r="Q159" s="28" t="n">
        <v>-0.006479</v>
      </c>
      <c r="R159" s="26" t="n">
        <v>23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win</t>
        </is>
      </c>
      <c r="W159" s="26" t="n">
        <v>3</v>
      </c>
      <c r="X159" s="26" t="n">
        <v>1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0.4695</v>
      </c>
      <c r="AD159" s="24" t="inlineStr">
        <is>
          <t>2026-09-06T10:00:12.870019Z</t>
        </is>
      </c>
      <c r="AE159" s="31" t="inlineStr">
        <is>
          <t>Poisson-DC rates 2.52 (home) / 0.95 (away) from EWMA attack/defense strengths. Executable ask 0.6800 (tsc-mls-vwh-stl-2026-09-05-2pt5).</t>
        </is>
      </c>
      <c r="AF159" s="31" t="inlineStr">
        <is>
          <t>Research-only soccer score model; draw-aware, but not yet locked-holdout qualified.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St. Louis CITY SC</t>
        </is>
      </c>
      <c r="AQ159" s="24" t="inlineStr">
        <is>
          <t>St. Louis CITY SC</t>
        </is>
      </c>
      <c r="AR159" s="24" t="inlineStr">
        <is>
          <t>St. Louis CITY SC</t>
        </is>
      </c>
      <c r="AS159" s="24" t="inlineStr">
        <is>
          <t>Vancouver Whitecaps</t>
        </is>
      </c>
      <c r="AT159" s="24" t="inlineStr">
        <is>
          <t>Vancouver Whitecaps</t>
        </is>
      </c>
      <c r="AU159" s="24" t="inlineStr">
        <is>
          <t>Vancouver Whitecaps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e64f166eb03d5e657185abb04e25fff4830a8801f3dfa7f84e7c01a3f339baa9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e64f166eb03d5e657185abb04e25fff4830a8801f3dfa7f84e7c01a3f339baa9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e64f166eb03d5e657185abb04e25fff4830a8801f3dfa7f84e7c01a3f339baa9</t>
        </is>
      </c>
      <c r="BH159" s="24" t="inlineStr">
        <is>
          <t>2026-09-05T22:04:33.540267Z</t>
        </is>
      </c>
      <c r="BI159" s="24" t="inlineStr">
        <is>
          <t>["same_event","same_team_same_day","same_league_same_day"]</t>
        </is>
      </c>
      <c r="BJ159" s="25" t="n">
        <v>2.5</v>
      </c>
      <c r="BK159" s="26" t="n">
        <v>-213</v>
      </c>
      <c r="BL159" s="27" t="n">
        <v>1.469484</v>
      </c>
      <c r="BM159" s="28" t="n">
        <v>0.680511</v>
      </c>
      <c r="BN159" s="28" t="n"/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>
        <v>1</v>
      </c>
      <c r="BY159" s="27" t="n">
        <v>0.469484</v>
      </c>
      <c r="BZ159" s="24" t="inlineStr">
        <is>
          <t>2026-09-06T10:00:12.870019Z</t>
        </is>
      </c>
      <c r="CA159" s="31" t="inlineStr">
        <is>
          <t>fixed one-unit hypothetical scoring; no real exposure or execution</t>
        </is>
      </c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0.680511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2ced5bb41cd64059</t>
        </is>
      </c>
      <c r="B160" s="24" t="inlineStr">
        <is>
          <t>2026-09-05T22:05:14.461440Z</t>
        </is>
      </c>
      <c r="C160" s="24" t="inlineStr">
        <is>
          <t>2026-09-05T23:30Z</t>
        </is>
      </c>
      <c r="D160" s="24" t="inlineStr">
        <is>
          <t>761774</t>
        </is>
      </c>
      <c r="E160" s="24" t="inlineStr">
        <is>
          <t>SOCCER</t>
        </is>
      </c>
      <c r="F160" s="24" t="inlineStr">
        <is>
          <t>Houston Dynamo FC</t>
        </is>
      </c>
      <c r="G160" s="24" t="inlineStr">
        <is>
          <t>Charlotte FC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127</v>
      </c>
      <c r="M160" s="27" t="n">
        <v>2.27</v>
      </c>
      <c r="N160" s="28" t="n">
        <v>0.440529</v>
      </c>
      <c r="O160" s="28" t="n">
        <v>0.520647</v>
      </c>
      <c r="P160" s="28" t="n">
        <v>0.04</v>
      </c>
      <c r="Q160" s="28" t="n">
        <v>0.08011799999999999</v>
      </c>
      <c r="R160" s="26" t="n">
        <v>66</v>
      </c>
      <c r="S160" s="29" t="n">
        <v>1.25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0</v>
      </c>
      <c r="Y160" s="25" t="n"/>
      <c r="Z160" s="26" t="n">
        <v>127</v>
      </c>
      <c r="AA160" s="28" t="n">
        <v>0.44</v>
      </c>
      <c r="AB160" s="28" t="n">
        <v>-0.000529</v>
      </c>
      <c r="AC160" s="30" t="n">
        <v>-1.25</v>
      </c>
      <c r="AD160" s="24" t="inlineStr">
        <is>
          <t>2026-09-06T04:31:06.802330Z</t>
        </is>
      </c>
      <c r="AE160" s="31" t="inlineStr">
        <is>
          <t>Poisson-DC rates 1.72 (home) / 1.04 (away) from EWMA attack/defense strengths. Executable ask 0.4400 (atc-mls-clt-hou-2026-09-05-clt).</t>
        </is>
      </c>
      <c r="AF160" s="31" t="inlineStr">
        <is>
          <t>Research-only soccer score model; draw-aware, but not yet locked-holdout qualified.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Houston Dynamo FC</t>
        </is>
      </c>
      <c r="AQ160" s="24" t="inlineStr">
        <is>
          <t>Houston Dynamo FC</t>
        </is>
      </c>
      <c r="AR160" s="24" t="inlineStr">
        <is>
          <t>Houston Dynamo FC</t>
        </is>
      </c>
      <c r="AS160" s="24" t="inlineStr">
        <is>
          <t>Charlotte FC</t>
        </is>
      </c>
      <c r="AT160" s="24" t="inlineStr">
        <is>
          <t>Charlotte FC</t>
        </is>
      </c>
      <c r="AU160" s="24" t="inlineStr">
        <is>
          <t>Charlotte FC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e64f166eb03d5e657185abb04e25fff4830a8801f3dfa7f84e7c01a3f339baa9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e64f166eb03d5e657185abb04e25fff4830a8801f3dfa7f84e7c01a3f339baa9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e64f166eb03d5e657185abb04e25fff4830a8801f3dfa7f84e7c01a3f339baa9</t>
        </is>
      </c>
      <c r="BH160" s="24" t="inlineStr">
        <is>
          <t>2026-09-05T22:04:31.262467Z</t>
        </is>
      </c>
      <c r="BI160" s="24" t="inlineStr">
        <is>
          <t>["same_event","same_team_same_day","same_league_same_day"]</t>
        </is>
      </c>
      <c r="BJ160" s="25" t="n"/>
      <c r="BK160" s="26" t="n">
        <v>127</v>
      </c>
      <c r="BL160" s="27" t="n">
        <v>2.27</v>
      </c>
      <c r="BM160" s="28" t="n">
        <v>0.440529</v>
      </c>
      <c r="BN160" s="28" t="n"/>
      <c r="BO160" s="28" t="n"/>
      <c r="BP160" s="25" t="n"/>
      <c r="BQ160" s="27" t="n">
        <v>2.27</v>
      </c>
      <c r="BR160" s="28" t="n">
        <v>0.44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0.440529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b863b4f3546f4a9f</t>
        </is>
      </c>
      <c r="B161" s="24" t="inlineStr">
        <is>
          <t>2026-09-05T22:05:14.461440Z</t>
        </is>
      </c>
      <c r="C161" s="24" t="inlineStr">
        <is>
          <t>2026-09-05T23:30Z</t>
        </is>
      </c>
      <c r="D161" s="24" t="inlineStr">
        <is>
          <t>761775</t>
        </is>
      </c>
      <c r="E161" s="24" t="inlineStr">
        <is>
          <t>SOCCER</t>
        </is>
      </c>
      <c r="F161" s="24" t="inlineStr">
        <is>
          <t>Colorado Rapids</t>
        </is>
      </c>
      <c r="G161" s="24" t="inlineStr">
        <is>
          <t>Columbus Crew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127</v>
      </c>
      <c r="M161" s="27" t="n">
        <v>2.27</v>
      </c>
      <c r="N161" s="28" t="n">
        <v>0.440529</v>
      </c>
      <c r="O161" s="28" t="n">
        <v>0.51075</v>
      </c>
      <c r="P161" s="28" t="n">
        <v>0.04</v>
      </c>
      <c r="Q161" s="28" t="n">
        <v>0.07022100000000001</v>
      </c>
      <c r="R161" s="26" t="n">
        <v>61</v>
      </c>
      <c r="S161" s="29" t="n">
        <v>1.25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3</v>
      </c>
      <c r="Y161" s="25" t="n"/>
      <c r="Z161" s="26" t="n">
        <v>127</v>
      </c>
      <c r="AA161" s="28" t="n">
        <v>0.44</v>
      </c>
      <c r="AB161" s="28" t="n">
        <v>-0.000529</v>
      </c>
      <c r="AC161" s="30" t="n">
        <v>1.5875</v>
      </c>
      <c r="AD161" s="24" t="inlineStr">
        <is>
          <t>2026-09-06T04:31:07.818943Z</t>
        </is>
      </c>
      <c r="AE161" s="31" t="inlineStr">
        <is>
          <t>Poisson-DC rates 1.86 (home) / 1.23 (away) from EWMA attack/defense strengths. Executable ask 0.4400 (atc-mls-clb-col-2026-09-05-clb).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Colorado Rapids</t>
        </is>
      </c>
      <c r="AQ161" s="24" t="inlineStr">
        <is>
          <t>Colorado Rapids</t>
        </is>
      </c>
      <c r="AR161" s="24" t="inlineStr">
        <is>
          <t>Colorado Rapids</t>
        </is>
      </c>
      <c r="AS161" s="24" t="inlineStr">
        <is>
          <t>Columbus Crew</t>
        </is>
      </c>
      <c r="AT161" s="24" t="inlineStr">
        <is>
          <t>Columbus Crew</t>
        </is>
      </c>
      <c r="AU161" s="24" t="inlineStr">
        <is>
          <t>Columbus Crew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e64f166eb03d5e657185abb04e25fff4830a8801f3dfa7f84e7c01a3f339baa9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e64f166eb03d5e657185abb04e25fff4830a8801f3dfa7f84e7c01a3f339baa9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e64f166eb03d5e657185abb04e25fff4830a8801f3dfa7f84e7c01a3f339baa9</t>
        </is>
      </c>
      <c r="BH161" s="24" t="inlineStr">
        <is>
          <t>2026-09-05T22:04:32.191789Z</t>
        </is>
      </c>
      <c r="BI161" s="24" t="inlineStr">
        <is>
          <t>["same_event","same_team_same_day","same_league_same_day"]</t>
        </is>
      </c>
      <c r="BJ161" s="25" t="n"/>
      <c r="BK161" s="26" t="n">
        <v>127</v>
      </c>
      <c r="BL161" s="27" t="n">
        <v>2.27</v>
      </c>
      <c r="BM161" s="28" t="n">
        <v>0.440529</v>
      </c>
      <c r="BN161" s="28" t="n"/>
      <c r="BO161" s="28" t="n"/>
      <c r="BP161" s="25" t="n"/>
      <c r="BQ161" s="27" t="n">
        <v>2.27</v>
      </c>
      <c r="BR161" s="28" t="n">
        <v>0.44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0.440529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949eea7e4a73494e</t>
        </is>
      </c>
      <c r="B162" s="24" t="inlineStr">
        <is>
          <t>2026-09-05T22:05:14.461440Z</t>
        </is>
      </c>
      <c r="C162" s="24" t="inlineStr">
        <is>
          <t>2026-09-05T23:30Z</t>
        </is>
      </c>
      <c r="D162" s="24" t="inlineStr">
        <is>
          <t>761773</t>
        </is>
      </c>
      <c r="E162" s="24" t="inlineStr">
        <is>
          <t>SOCCER</t>
        </is>
      </c>
      <c r="F162" s="24" t="inlineStr">
        <is>
          <t>D.C. United</t>
        </is>
      </c>
      <c r="G162" s="24" t="inlineStr">
        <is>
          <t>FC Cincinnati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-150</v>
      </c>
      <c r="M162" s="27" t="n">
        <v>1.666667</v>
      </c>
      <c r="N162" s="28" t="n">
        <v>0.6</v>
      </c>
      <c r="O162" s="28" t="n">
        <v>0.651223</v>
      </c>
      <c r="P162" s="28" t="n">
        <v>0.04</v>
      </c>
      <c r="Q162" s="28" t="n">
        <v>0.051223</v>
      </c>
      <c r="R162" s="26" t="n">
        <v>52</v>
      </c>
      <c r="S162" s="29" t="n">
        <v>1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0</v>
      </c>
      <c r="Y162" s="25" t="n"/>
      <c r="Z162" s="26" t="n">
        <v>-150</v>
      </c>
      <c r="AA162" s="28" t="n">
        <v>0.6</v>
      </c>
      <c r="AB162" s="28" t="n">
        <v>0</v>
      </c>
      <c r="AC162" s="30" t="n">
        <v>-1</v>
      </c>
      <c r="AD162" s="24" t="inlineStr">
        <is>
          <t>2026-09-10T16:01:10.837401Z</t>
        </is>
      </c>
      <c r="AE162" s="31" t="inlineStr">
        <is>
          <t>Poisson-DC rates 3.00 (home) / 1.62 (away) from EWMA attack/defense strengths. Executable ask 0.6000 (atc-mls-fcc-dcu-2026-09-05-fcc).</t>
        </is>
      </c>
      <c r="AF162" s="31" t="inlineStr">
        <is>
          <t>Research-only soccer score model; draw-aware, but not yet locked-holdout qualified.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D.C. United</t>
        </is>
      </c>
      <c r="AQ162" s="24" t="inlineStr">
        <is>
          <t>D.C. United</t>
        </is>
      </c>
      <c r="AR162" s="24" t="inlineStr">
        <is>
          <t>D.C. United</t>
        </is>
      </c>
      <c r="AS162" s="24" t="inlineStr">
        <is>
          <t>FC Cincinnati</t>
        </is>
      </c>
      <c r="AT162" s="24" t="inlineStr">
        <is>
          <t>FC Cincinnati</t>
        </is>
      </c>
      <c r="AU162" s="24" t="inlineStr">
        <is>
          <t>FC Cincinnati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e64f166eb03d5e657185abb04e25fff4830a8801f3dfa7f84e7c01a3f339baa9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e64f166eb03d5e657185abb04e25fff4830a8801f3dfa7f84e7c01a3f339baa9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e64f166eb03d5e657185abb04e25fff4830a8801f3dfa7f84e7c01a3f339baa9</t>
        </is>
      </c>
      <c r="BH162" s="24" t="inlineStr">
        <is>
          <t>2026-09-05T22:04:32.293518Z</t>
        </is>
      </c>
      <c r="BI162" s="24" t="inlineStr">
        <is>
          <t>["same_event","same_team_same_day","same_league_same_day"]</t>
        </is>
      </c>
      <c r="BJ162" s="25" t="n"/>
      <c r="BK162" s="26" t="n">
        <v>-150</v>
      </c>
      <c r="BL162" s="27" t="n">
        <v>1.666667</v>
      </c>
      <c r="BM162" s="28" t="n">
        <v>0.6</v>
      </c>
      <c r="BN162" s="28" t="n"/>
      <c r="BO162" s="28" t="n"/>
      <c r="BP162" s="25" t="n"/>
      <c r="BQ162" s="27" t="n">
        <v>1.666667</v>
      </c>
      <c r="BR162" s="28" t="n">
        <v>0.6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4b5cb86747a34746</t>
        </is>
      </c>
      <c r="B163" s="24" t="inlineStr">
        <is>
          <t>2026-09-05T22:05:14.461440Z</t>
        </is>
      </c>
      <c r="C163" s="24" t="inlineStr">
        <is>
          <t>2026-09-05T23:30Z</t>
        </is>
      </c>
      <c r="D163" s="24" t="inlineStr">
        <is>
          <t>761777</t>
        </is>
      </c>
      <c r="E163" s="24" t="inlineStr">
        <is>
          <t>SOCCER</t>
        </is>
      </c>
      <c r="F163" s="24" t="inlineStr">
        <is>
          <t>Atlanta United FC</t>
        </is>
      </c>
      <c r="G163" s="24" t="inlineStr">
        <is>
          <t>Inter Miami CF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-317</v>
      </c>
      <c r="M163" s="27" t="n">
        <v>1.315457</v>
      </c>
      <c r="N163" s="28" t="n">
        <v>0.760192</v>
      </c>
      <c r="O163" s="28" t="n">
        <v>0.819572</v>
      </c>
      <c r="P163" s="28" t="n">
        <v>0.04</v>
      </c>
      <c r="Q163" s="28" t="n">
        <v>0.05938</v>
      </c>
      <c r="R163" s="26" t="n">
        <v>56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</v>
      </c>
      <c r="X163" s="26" t="n">
        <v>2</v>
      </c>
      <c r="Y163" s="25" t="n"/>
      <c r="Z163" s="26" t="n">
        <v>-317</v>
      </c>
      <c r="AA163" s="28" t="n">
        <v>0.76</v>
      </c>
      <c r="AB163" s="28" t="n">
        <v>-0.000192</v>
      </c>
      <c r="AC163" s="30" t="n">
        <v>-1.25</v>
      </c>
      <c r="AD163" s="24" t="inlineStr">
        <is>
          <t>2026-09-06T04:31:08.843902Z</t>
        </is>
      </c>
      <c r="AE163" s="31" t="inlineStr">
        <is>
          <t>Poisson-DC rates 3.39 (home) / 0.98 (away) from EWMA attack/defense strengths. Executable ask 0.7600 (atc-mls-mia-atl-2026-09-05-mia).</t>
        </is>
      </c>
      <c r="AF163" s="31" t="inlineStr">
        <is>
          <t>Research-only soccer score model; draw-aware, but not yet locked-holdout qualified.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Atlanta United FC</t>
        </is>
      </c>
      <c r="AQ163" s="24" t="inlineStr">
        <is>
          <t>Atlanta United FC</t>
        </is>
      </c>
      <c r="AR163" s="24" t="inlineStr">
        <is>
          <t>Atlanta United FC</t>
        </is>
      </c>
      <c r="AS163" s="24" t="inlineStr">
        <is>
          <t>Inter Miami CF</t>
        </is>
      </c>
      <c r="AT163" s="24" t="inlineStr">
        <is>
          <t>Inter Miami CF</t>
        </is>
      </c>
      <c r="AU163" s="24" t="inlineStr">
        <is>
          <t>Inter Miami CF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e64f166eb03d5e657185abb04e25fff4830a8801f3dfa7f84e7c01a3f339baa9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e64f166eb03d5e657185abb04e25fff4830a8801f3dfa7f84e7c01a3f339baa9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e64f166eb03d5e657185abb04e25fff4830a8801f3dfa7f84e7c01a3f339baa9</t>
        </is>
      </c>
      <c r="BH163" s="24" t="inlineStr">
        <is>
          <t>2026-09-05T22:04:31.342443Z</t>
        </is>
      </c>
      <c r="BI163" s="24" t="inlineStr">
        <is>
          <t>["same_event","same_team_same_day","same_league_same_day"]</t>
        </is>
      </c>
      <c r="BJ163" s="25" t="n"/>
      <c r="BK163" s="26" t="n">
        <v>-317</v>
      </c>
      <c r="BL163" s="27" t="n">
        <v>1.315457</v>
      </c>
      <c r="BM163" s="28" t="n">
        <v>0.760192</v>
      </c>
      <c r="BN163" s="28" t="n"/>
      <c r="BO163" s="28" t="n"/>
      <c r="BP163" s="25" t="n"/>
      <c r="BQ163" s="27" t="n">
        <v>1.315457</v>
      </c>
      <c r="BR163" s="28" t="n">
        <v>0.76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0.760192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b1c21a147f46414f</t>
        </is>
      </c>
      <c r="B164" s="24" t="inlineStr">
        <is>
          <t>2026-09-05T22:05:14.461440Z</t>
        </is>
      </c>
      <c r="C164" s="24" t="inlineStr">
        <is>
          <t>2026-09-05T23:30Z</t>
        </is>
      </c>
      <c r="D164" s="24" t="inlineStr">
        <is>
          <t>761771</t>
        </is>
      </c>
      <c r="E164" s="24" t="inlineStr">
        <is>
          <t>SOCCER</t>
        </is>
      </c>
      <c r="F164" s="24" t="inlineStr">
        <is>
          <t>San Diego FC</t>
        </is>
      </c>
      <c r="G164" s="24" t="inlineStr">
        <is>
          <t>Orlando City SC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186</v>
      </c>
      <c r="M164" s="27" t="n">
        <v>2.86</v>
      </c>
      <c r="N164" s="28" t="n">
        <v>0.34965</v>
      </c>
      <c r="O164" s="28" t="n">
        <v>0.496219</v>
      </c>
      <c r="P164" s="28" t="n">
        <v>0.04</v>
      </c>
      <c r="Q164" s="28" t="n">
        <v>0.146569</v>
      </c>
      <c r="R164" s="26" t="n">
        <v>99</v>
      </c>
      <c r="S164" s="29" t="n">
        <v>1.75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-203</v>
      </c>
      <c r="AA164" s="28" t="n">
        <v>0.67</v>
      </c>
      <c r="AB164" s="28" t="n">
        <v>0.32035</v>
      </c>
      <c r="AC164" s="30" t="n">
        <v>-1.75</v>
      </c>
      <c r="AD164" s="24" t="inlineStr">
        <is>
          <t>2026-09-06T04:31:09.877313Z</t>
        </is>
      </c>
      <c r="AE164" s="31" t="inlineStr">
        <is>
          <t>Poisson-DC rates 2.09 (home) / 2.62 (away) from EWMA attack/defense strengths. Executable ask 0.3500 (atc-mls-orl-sdg-2026-09-05-sdg).</t>
        </is>
      </c>
      <c r="AF164" s="31" t="inlineStr">
        <is>
          <t>Research-only soccer score model; draw-aware, but not yet locked-holdout qualified.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San Diego FC</t>
        </is>
      </c>
      <c r="AQ164" s="24" t="inlineStr">
        <is>
          <t>San Diego FC</t>
        </is>
      </c>
      <c r="AR164" s="24" t="inlineStr">
        <is>
          <t>San Diego FC</t>
        </is>
      </c>
      <c r="AS164" s="24" t="inlineStr">
        <is>
          <t>Orlando City SC</t>
        </is>
      </c>
      <c r="AT164" s="24" t="inlineStr">
        <is>
          <t>Orlando City SC</t>
        </is>
      </c>
      <c r="AU164" s="24" t="inlineStr">
        <is>
          <t>Orlando City SC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e64f166eb03d5e657185abb04e25fff4830a8801f3dfa7f84e7c01a3f339baa9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e64f166eb03d5e657185abb04e25fff4830a8801f3dfa7f84e7c01a3f339baa9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e64f166eb03d5e657185abb04e25fff4830a8801f3dfa7f84e7c01a3f339baa9</t>
        </is>
      </c>
      <c r="BH164" s="24" t="inlineStr">
        <is>
          <t>2026-09-05T22:04:32.360747Z</t>
        </is>
      </c>
      <c r="BI164" s="24" t="inlineStr">
        <is>
          <t>["same_event","same_team_same_day","same_league_same_day"]</t>
        </is>
      </c>
      <c r="BJ164" s="25" t="n"/>
      <c r="BK164" s="26" t="n">
        <v>186</v>
      </c>
      <c r="BL164" s="27" t="n">
        <v>2.86</v>
      </c>
      <c r="BM164" s="28" t="n">
        <v>0.34965</v>
      </c>
      <c r="BN164" s="28" t="n"/>
      <c r="BO164" s="28" t="n"/>
      <c r="BP164" s="25" t="n"/>
      <c r="BQ164" s="27" t="n">
        <v>1.492611</v>
      </c>
      <c r="BR164" s="28" t="n">
        <v>0.67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0.34965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84121aa5014848d1</t>
        </is>
      </c>
      <c r="B165" s="24" t="inlineStr">
        <is>
          <t>2026-09-05T22:05:14.461440Z</t>
        </is>
      </c>
      <c r="C165" s="24" t="inlineStr">
        <is>
          <t>2026-09-05T23:30Z</t>
        </is>
      </c>
      <c r="D165" s="24" t="inlineStr">
        <is>
          <t>761776</t>
        </is>
      </c>
      <c r="E165" s="24" t="inlineStr">
        <is>
          <t>SOCCER</t>
        </is>
      </c>
      <c r="F165" s="24" t="inlineStr">
        <is>
          <t>Chicago Fire FC</t>
        </is>
      </c>
      <c r="G165" s="24" t="inlineStr">
        <is>
          <t>Toronto FC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127</v>
      </c>
      <c r="M165" s="27" t="n">
        <v>2.27</v>
      </c>
      <c r="N165" s="28" t="n">
        <v>0.440529</v>
      </c>
      <c r="O165" s="28" t="n">
        <v>0.473307</v>
      </c>
      <c r="P165" s="28" t="n">
        <v>0.04</v>
      </c>
      <c r="Q165" s="28" t="n">
        <v>0.032778</v>
      </c>
      <c r="R165" s="26" t="n">
        <v>42</v>
      </c>
      <c r="S165" s="29" t="n">
        <v>1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loss</t>
        </is>
      </c>
      <c r="W165" s="26" t="n">
        <v>4</v>
      </c>
      <c r="X165" s="26" t="n">
        <v>4</v>
      </c>
      <c r="Y165" s="25" t="n"/>
      <c r="Z165" s="26" t="n">
        <v>-138</v>
      </c>
      <c r="AA165" s="28" t="n">
        <v>0.58</v>
      </c>
      <c r="AB165" s="28" t="n">
        <v>0.139471</v>
      </c>
      <c r="AC165" s="30" t="n">
        <v>-1</v>
      </c>
      <c r="AD165" s="24" t="inlineStr">
        <is>
          <t>2026-09-06T04:31:10.983328Z</t>
        </is>
      </c>
      <c r="AE165" s="31" t="inlineStr">
        <is>
          <t>Poisson-DC rates 1.42 (home) / 1.88 (away) from EWMA attack/defense strengths. Executable ask 0.4400 (atc-mls-tor-chi-2026-09-05-chi).</t>
        </is>
      </c>
      <c r="AF165" s="31" t="inlineStr">
        <is>
          <t>Research-only soccer score model; draw-aware, but not yet locked-holdout qualified.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Chicago Fire FC</t>
        </is>
      </c>
      <c r="AQ165" s="24" t="inlineStr">
        <is>
          <t>Chicago Fire FC</t>
        </is>
      </c>
      <c r="AR165" s="24" t="inlineStr">
        <is>
          <t>Chicago Fire FC</t>
        </is>
      </c>
      <c r="AS165" s="24" t="inlineStr">
        <is>
          <t>Toronto FC</t>
        </is>
      </c>
      <c r="AT165" s="24" t="inlineStr">
        <is>
          <t>Toronto FC</t>
        </is>
      </c>
      <c r="AU165" s="24" t="inlineStr">
        <is>
          <t>Toronto FC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e64f166eb03d5e657185abb04e25fff4830a8801f3dfa7f84e7c01a3f339baa9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e64f166eb03d5e657185abb04e25fff4830a8801f3dfa7f84e7c01a3f339baa9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e64f166eb03d5e657185abb04e25fff4830a8801f3dfa7f84e7c01a3f339baa9</t>
        </is>
      </c>
      <c r="BH165" s="24" t="inlineStr">
        <is>
          <t>2026-09-05T22:04:31.388347Z</t>
        </is>
      </c>
      <c r="BI165" s="24" t="inlineStr">
        <is>
          <t>["same_event","same_team_same_day","same_league_same_day"]</t>
        </is>
      </c>
      <c r="BJ165" s="25" t="n"/>
      <c r="BK165" s="26" t="n">
        <v>127</v>
      </c>
      <c r="BL165" s="27" t="n">
        <v>2.27</v>
      </c>
      <c r="BM165" s="28" t="n">
        <v>0.440529</v>
      </c>
      <c r="BN165" s="28" t="n"/>
      <c r="BO165" s="28" t="n"/>
      <c r="BP165" s="25" t="n"/>
      <c r="BQ165" s="27" t="n">
        <v>1.724638</v>
      </c>
      <c r="BR165" s="28" t="n">
        <v>0.58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-1</v>
      </c>
      <c r="BZ165" s="24" t="inlineStr">
        <is>
          <t>2026-09-06T04:31:10.983328Z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0.440529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30ccef77536d48e5</t>
        </is>
      </c>
      <c r="B166" s="24" t="inlineStr">
        <is>
          <t>2026-09-05T22:05:14.461440Z</t>
        </is>
      </c>
      <c r="C166" s="24" t="inlineStr">
        <is>
          <t>2026-09-06T00:30Z</t>
        </is>
      </c>
      <c r="D166" s="24" t="inlineStr">
        <is>
          <t>761778</t>
        </is>
      </c>
      <c r="E166" s="24" t="inlineStr">
        <is>
          <t>SOCCER</t>
        </is>
      </c>
      <c r="F166" s="24" t="inlineStr">
        <is>
          <t>San Jose Earthquakes</t>
        </is>
      </c>
      <c r="G166" s="24" t="inlineStr">
        <is>
          <t>Austin FC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212</v>
      </c>
      <c r="M166" s="27" t="n">
        <v>3.12</v>
      </c>
      <c r="N166" s="28" t="n">
        <v>0.320513</v>
      </c>
      <c r="O166" s="28" t="n">
        <v>0.554708</v>
      </c>
      <c r="P166" s="28" t="n">
        <v>0.04</v>
      </c>
      <c r="Q166" s="28" t="n">
        <v>0.234195</v>
      </c>
      <c r="R166" s="26" t="n">
        <v>100</v>
      </c>
      <c r="S166" s="29" t="n">
        <v>2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1</v>
      </c>
      <c r="Y166" s="25" t="n"/>
      <c r="Z166" s="26" t="n">
        <v>-223</v>
      </c>
      <c r="AA166" s="28" t="n">
        <v>0.6899999999999999</v>
      </c>
      <c r="AB166" s="28" t="n">
        <v>0.369487</v>
      </c>
      <c r="AC166" s="30" t="n">
        <v>-2</v>
      </c>
      <c r="AD166" s="24" t="inlineStr">
        <is>
          <t>2026-09-06T04:31:12.036607Z</t>
        </is>
      </c>
      <c r="AE166" s="31" t="inlineStr">
        <is>
          <t>Poisson-DC rates 1.38 (home) / 2.21 (away) from EWMA attack/defense strengths. Executable ask 0.3200 (atc-mls-aus-sje-2026-09-05-sje).</t>
        </is>
      </c>
      <c r="AF166" s="31" t="inlineStr">
        <is>
          <t>Research-only soccer score model; draw-aware, but not yet locked-holdout qualified.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San Jose Earthquakes</t>
        </is>
      </c>
      <c r="AQ166" s="24" t="inlineStr">
        <is>
          <t>San Jose Earthquakes</t>
        </is>
      </c>
      <c r="AR166" s="24" t="inlineStr">
        <is>
          <t>San Jose Earthquakes</t>
        </is>
      </c>
      <c r="AS166" s="24" t="inlineStr">
        <is>
          <t>Austin FC</t>
        </is>
      </c>
      <c r="AT166" s="24" t="inlineStr">
        <is>
          <t>Austin FC</t>
        </is>
      </c>
      <c r="AU166" s="24" t="inlineStr">
        <is>
          <t>Austin FC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e64f166eb03d5e657185abb04e25fff4830a8801f3dfa7f84e7c01a3f339baa9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e64f166eb03d5e657185abb04e25fff4830a8801f3dfa7f84e7c01a3f339baa9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e64f166eb03d5e657185abb04e25fff4830a8801f3dfa7f84e7c01a3f339baa9</t>
        </is>
      </c>
      <c r="BH166" s="24" t="inlineStr">
        <is>
          <t>2026-09-05T22:04:32.578417Z</t>
        </is>
      </c>
      <c r="BI166" s="24" t="inlineStr">
        <is>
          <t>["same_event","same_team_same_day","same_league_same_day"]</t>
        </is>
      </c>
      <c r="BJ166" s="25" t="n"/>
      <c r="BK166" s="26" t="n">
        <v>212</v>
      </c>
      <c r="BL166" s="27" t="n">
        <v>3.12</v>
      </c>
      <c r="BM166" s="28" t="n">
        <v>0.320513</v>
      </c>
      <c r="BN166" s="28" t="n"/>
      <c r="BO166" s="28" t="n"/>
      <c r="BP166" s="25" t="n"/>
      <c r="BQ166" s="27" t="n">
        <v>1.44843</v>
      </c>
      <c r="BR166" s="28" t="n">
        <v>0.6899999999999999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0.320513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35dcf90cc7124870</t>
        </is>
      </c>
      <c r="B167" s="24" t="inlineStr">
        <is>
          <t>2026-09-05T22:05:14.461440Z</t>
        </is>
      </c>
      <c r="C167" s="24" t="inlineStr">
        <is>
          <t>2026-09-06T00:30Z</t>
        </is>
      </c>
      <c r="D167" s="24" t="inlineStr">
        <is>
          <t>761779</t>
        </is>
      </c>
      <c r="E167" s="24" t="inlineStr">
        <is>
          <t>SOCCER</t>
        </is>
      </c>
      <c r="F167" s="24" t="inlineStr">
        <is>
          <t>Sporting Kansas City</t>
        </is>
      </c>
      <c r="G167" s="24" t="inlineStr">
        <is>
          <t>FC Dallas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-245</v>
      </c>
      <c r="M167" s="27" t="n">
        <v>1.408163</v>
      </c>
      <c r="N167" s="28" t="n">
        <v>0.710145</v>
      </c>
      <c r="O167" s="28" t="n">
        <v>0.793944</v>
      </c>
      <c r="P167" s="28" t="n">
        <v>0.04</v>
      </c>
      <c r="Q167" s="28" t="n">
        <v>0.083799</v>
      </c>
      <c r="R167" s="26" t="n">
        <v>68</v>
      </c>
      <c r="S167" s="29" t="n">
        <v>1.25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win</t>
        </is>
      </c>
      <c r="W167" s="26" t="n">
        <v>3</v>
      </c>
      <c r="X167" s="26" t="n">
        <v>4</v>
      </c>
      <c r="Y167" s="25" t="n"/>
      <c r="Z167" s="26" t="n">
        <v>-245</v>
      </c>
      <c r="AA167" s="28" t="n">
        <v>0.71</v>
      </c>
      <c r="AB167" s="28" t="n">
        <v>-0.000145</v>
      </c>
      <c r="AC167" s="30" t="n">
        <v>0.5102</v>
      </c>
      <c r="AD167" s="24" t="inlineStr">
        <is>
          <t>2026-09-06T04:31:13.075050Z</t>
        </is>
      </c>
      <c r="AE167" s="31" t="inlineStr">
        <is>
          <t>Poisson-DC rates 3.21 (home) / 1.02 (away) from EWMA attack/defense strengths. Executable ask 0.7100 (atc-mls-dal-skc-2026-09-05-dal).</t>
        </is>
      </c>
      <c r="AF167" s="31" t="inlineStr">
        <is>
          <t>Research-only soccer score model; draw-aware, but not yet locked-holdout qualified.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Sporting Kansas City</t>
        </is>
      </c>
      <c r="AQ167" s="24" t="inlineStr">
        <is>
          <t>Sporting Kansas City</t>
        </is>
      </c>
      <c r="AR167" s="24" t="inlineStr">
        <is>
          <t>Sporting Kansas City</t>
        </is>
      </c>
      <c r="AS167" s="24" t="inlineStr">
        <is>
          <t>FC Dallas</t>
        </is>
      </c>
      <c r="AT167" s="24" t="inlineStr">
        <is>
          <t>FC Dallas</t>
        </is>
      </c>
      <c r="AU167" s="24" t="inlineStr">
        <is>
          <t>FC Dallas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e64f166eb03d5e657185abb04e25fff4830a8801f3dfa7f84e7c01a3f339baa9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e64f166eb03d5e657185abb04e25fff4830a8801f3dfa7f84e7c01a3f339baa9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e64f166eb03d5e657185abb04e25fff4830a8801f3dfa7f84e7c01a3f339baa9</t>
        </is>
      </c>
      <c r="BH167" s="24" t="inlineStr">
        <is>
          <t>2026-09-05T22:04:32.427213Z</t>
        </is>
      </c>
      <c r="BI167" s="24" t="inlineStr">
        <is>
          <t>["same_event","same_team_same_day","same_league_same_day"]</t>
        </is>
      </c>
      <c r="BJ167" s="25" t="n"/>
      <c r="BK167" s="26" t="n">
        <v>-245</v>
      </c>
      <c r="BL167" s="27" t="n">
        <v>1.408163</v>
      </c>
      <c r="BM167" s="28" t="n">
        <v>0.710145</v>
      </c>
      <c r="BN167" s="28" t="n"/>
      <c r="BO167" s="28" t="n"/>
      <c r="BP167" s="25" t="n"/>
      <c r="BQ167" s="27" t="n">
        <v>1.408163</v>
      </c>
      <c r="BR167" s="28" t="n">
        <v>0.71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0.710145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7191126ff2974ecb</t>
        </is>
      </c>
      <c r="B168" s="24" t="inlineStr">
        <is>
          <t>2026-09-05T22:05:14.461440Z</t>
        </is>
      </c>
      <c r="C168" s="24" t="inlineStr">
        <is>
          <t>2026-09-06T01:30Z</t>
        </is>
      </c>
      <c r="D168" s="24" t="inlineStr">
        <is>
          <t>761782</t>
        </is>
      </c>
      <c r="E168" s="24" t="inlineStr">
        <is>
          <t>SOCCER</t>
        </is>
      </c>
      <c r="F168" s="24" t="inlineStr">
        <is>
          <t>New England Revolution</t>
        </is>
      </c>
      <c r="G168" s="24" t="inlineStr">
        <is>
          <t>LA Galaxy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156</v>
      </c>
      <c r="M168" s="27" t="n">
        <v>2.56</v>
      </c>
      <c r="N168" s="28" t="n">
        <v>0.390625</v>
      </c>
      <c r="O168" s="28" t="n">
        <v>0.427346</v>
      </c>
      <c r="P168" s="28" t="n">
        <v>0.04</v>
      </c>
      <c r="Q168" s="28" t="n">
        <v>0.036721</v>
      </c>
      <c r="R168" s="26" t="n">
        <v>44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/>
      <c r="Z168" s="26" t="n">
        <v>156</v>
      </c>
      <c r="AA168" s="28" t="n">
        <v>0.39</v>
      </c>
      <c r="AB168" s="28" t="n">
        <v>-0.000625</v>
      </c>
      <c r="AC168" s="30" t="n">
        <v>1.56</v>
      </c>
      <c r="AD168" s="24" t="inlineStr">
        <is>
          <t>2026-09-06T04:31:14.050204Z</t>
        </is>
      </c>
      <c r="AE168" s="31" t="inlineStr">
        <is>
          <t>Poisson-DC rates 1.57 (home) / 1.29 (away) from EWMA attack/defense strengths. Executable ask 0.3900 (atc-mls-lag-ner-2026-09-05-lag).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New England Revolution</t>
        </is>
      </c>
      <c r="AQ168" s="24" t="inlineStr">
        <is>
          <t>New England Revolution</t>
        </is>
      </c>
      <c r="AR168" s="24" t="inlineStr">
        <is>
          <t>New England Revolution</t>
        </is>
      </c>
      <c r="AS168" s="24" t="inlineStr">
        <is>
          <t>LA Galaxy</t>
        </is>
      </c>
      <c r="AT168" s="24" t="inlineStr">
        <is>
          <t>LA Galaxy</t>
        </is>
      </c>
      <c r="AU168" s="24" t="inlineStr">
        <is>
          <t>LA Galaxy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e64f166eb03d5e657185abb04e25fff4830a8801f3dfa7f84e7c01a3f339baa9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e64f166eb03d5e657185abb04e25fff4830a8801f3dfa7f84e7c01a3f339baa9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e64f166eb03d5e657185abb04e25fff4830a8801f3dfa7f84e7c01a3f339baa9</t>
        </is>
      </c>
      <c r="BH168" s="24" t="inlineStr">
        <is>
          <t>2026-09-05T22:04:32.599203Z</t>
        </is>
      </c>
      <c r="BI168" s="24" t="inlineStr">
        <is>
          <t>["same_event","same_team_same_day","same_league_same_day"]</t>
        </is>
      </c>
      <c r="BJ168" s="25" t="n"/>
      <c r="BK168" s="26" t="n">
        <v>156</v>
      </c>
      <c r="BL168" s="27" t="n">
        <v>2.56</v>
      </c>
      <c r="BM168" s="28" t="n">
        <v>0.390625</v>
      </c>
      <c r="BN168" s="28" t="n"/>
      <c r="BO168" s="28" t="n"/>
      <c r="BP168" s="25" t="n"/>
      <c r="BQ168" s="27" t="n">
        <v>2.56</v>
      </c>
      <c r="BR168" s="28" t="n">
        <v>0.39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0.390625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e23eec1b260d420b</t>
        </is>
      </c>
      <c r="B169" s="24" t="inlineStr">
        <is>
          <t>2026-09-05T22:05:14.461440Z</t>
        </is>
      </c>
      <c r="C169" s="24" t="inlineStr">
        <is>
          <t>2026-09-06T02:30Z</t>
        </is>
      </c>
      <c r="D169" s="24" t="inlineStr">
        <is>
          <t>761783</t>
        </is>
      </c>
      <c r="E169" s="24" t="inlineStr">
        <is>
          <t>SOCCER</t>
        </is>
      </c>
      <c r="F169" s="24" t="inlineStr">
        <is>
          <t>Minnesota United FC</t>
        </is>
      </c>
      <c r="G169" s="24" t="inlineStr">
        <is>
          <t>Portland Timbers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133</v>
      </c>
      <c r="M169" s="27" t="n">
        <v>2.33</v>
      </c>
      <c r="N169" s="28" t="n">
        <v>0.429185</v>
      </c>
      <c r="O169" s="28" t="n">
        <v>0.457116</v>
      </c>
      <c r="P169" s="28" t="n">
        <v>0.04</v>
      </c>
      <c r="Q169" s="28" t="n">
        <v>0.027931</v>
      </c>
      <c r="R169" s="26" t="n">
        <v>40</v>
      </c>
      <c r="S169" s="29" t="n">
        <v>1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4</v>
      </c>
      <c r="X169" s="26" t="n">
        <v>5</v>
      </c>
      <c r="Y169" s="25" t="n"/>
      <c r="Z169" s="26" t="n">
        <v>133</v>
      </c>
      <c r="AA169" s="28" t="n">
        <v>0.43</v>
      </c>
      <c r="AB169" s="28" t="n">
        <v>0.000815</v>
      </c>
      <c r="AC169" s="30" t="n">
        <v>1.33</v>
      </c>
      <c r="AD169" s="24" t="inlineStr">
        <is>
          <t>2026-09-06T10:00:13.874679Z</t>
        </is>
      </c>
      <c r="AE169" s="31" t="inlineStr">
        <is>
          <t>Poisson-DC rates 1.73 (home) / 1.34 (away) from EWMA attack/defense strengths. Executable ask 0.4300 (atc-mls-por-min-2026-09-05-por).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Minnesota United FC</t>
        </is>
      </c>
      <c r="AQ169" s="24" t="inlineStr">
        <is>
          <t>Minnesota United FC</t>
        </is>
      </c>
      <c r="AR169" s="24" t="inlineStr">
        <is>
          <t>Minnesota United FC</t>
        </is>
      </c>
      <c r="AS169" s="24" t="inlineStr">
        <is>
          <t>Portland Timbers</t>
        </is>
      </c>
      <c r="AT169" s="24" t="inlineStr">
        <is>
          <t>Portland Timbers</t>
        </is>
      </c>
      <c r="AU169" s="24" t="inlineStr">
        <is>
          <t>Portland Timbers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e64f166eb03d5e657185abb04e25fff4830a8801f3dfa7f84e7c01a3f339baa9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e64f166eb03d5e657185abb04e25fff4830a8801f3dfa7f84e7c01a3f339baa9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e64f166eb03d5e657185abb04e25fff4830a8801f3dfa7f84e7c01a3f339baa9</t>
        </is>
      </c>
      <c r="BH169" s="24" t="inlineStr">
        <is>
          <t>2026-09-05T22:04:33.391320Z</t>
        </is>
      </c>
      <c r="BI169" s="24" t="inlineStr">
        <is>
          <t>["same_event","same_team_same_day","same_league_same_day"]</t>
        </is>
      </c>
      <c r="BJ169" s="25" t="n"/>
      <c r="BK169" s="26" t="n">
        <v>133</v>
      </c>
      <c r="BL169" s="27" t="n">
        <v>2.33</v>
      </c>
      <c r="BM169" s="28" t="n">
        <v>0.429185</v>
      </c>
      <c r="BN169" s="28" t="n"/>
      <c r="BO169" s="28" t="n"/>
      <c r="BP169" s="25" t="n"/>
      <c r="BQ169" s="27" t="n">
        <v>2.33</v>
      </c>
      <c r="BR169" s="28" t="n">
        <v>0.43</v>
      </c>
      <c r="BS169" s="28" t="n"/>
      <c r="BT169" s="28" t="n"/>
      <c r="BU169" s="25" t="n"/>
      <c r="BV169" s="29" t="n"/>
      <c r="BW169" s="24" t="n"/>
      <c r="BX169" s="30" t="n">
        <v>1</v>
      </c>
      <c r="BY169" s="27" t="n">
        <v>1.329998</v>
      </c>
      <c r="BZ169" s="24" t="inlineStr">
        <is>
          <t>2026-09-06T10:00:13.874679Z</t>
        </is>
      </c>
      <c r="CA169" s="31" t="inlineStr">
        <is>
          <t>fixed one-unit hypothetical scoring; no real exposure or execution</t>
        </is>
      </c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0.429185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49e1bd63ca7f4723</t>
        </is>
      </c>
      <c r="B170" s="24" t="inlineStr">
        <is>
          <t>2026-09-05T22:05:14.461440Z</t>
        </is>
      </c>
      <c r="C170" s="24" t="inlineStr">
        <is>
          <t>2026-09-06T02:30Z</t>
        </is>
      </c>
      <c r="D170" s="24" t="inlineStr">
        <is>
          <t>761784</t>
        </is>
      </c>
      <c r="E170" s="24" t="inlineStr">
        <is>
          <t>SOCCER</t>
        </is>
      </c>
      <c r="F170" s="24" t="inlineStr">
        <is>
          <t>St. Louis CITY SC</t>
        </is>
      </c>
      <c r="G170" s="24" t="inlineStr">
        <is>
          <t>Vancouver Whitecaps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0.7059569999999999</v>
      </c>
      <c r="P170" s="28" t="n">
        <v>0.04</v>
      </c>
      <c r="Q170" s="28" t="n">
        <v>0.055607</v>
      </c>
      <c r="R170" s="26" t="n">
        <v>54</v>
      </c>
      <c r="S170" s="29" t="n">
        <v>1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loss</t>
        </is>
      </c>
      <c r="W170" s="26" t="n">
        <v>3</v>
      </c>
      <c r="X170" s="26" t="n">
        <v>1</v>
      </c>
      <c r="Y170" s="25" t="n"/>
      <c r="Z170" s="26" t="n">
        <v>-186</v>
      </c>
      <c r="AA170" s="28" t="n">
        <v>0.65</v>
      </c>
      <c r="AB170" s="28" t="n">
        <v>-0.00035</v>
      </c>
      <c r="AC170" s="30" t="n">
        <v>-1</v>
      </c>
      <c r="AD170" s="24" t="inlineStr">
        <is>
          <t>2026-09-06T10:00:14.872485Z</t>
        </is>
      </c>
      <c r="AE170" s="31" t="inlineStr">
        <is>
          <t>Poisson-DC rates 2.52 (home) / 0.95 (away) from EWMA attack/defense strengths. Executable ask 0.6500 (atc-mls-vwh-stl-2026-09-05-vwh).</t>
        </is>
      </c>
      <c r="AF170" s="31" t="inlineStr">
        <is>
          <t>Research-only soccer score model; draw-aware, but not yet locked-holdout qualified.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St. Louis CITY SC</t>
        </is>
      </c>
      <c r="AQ170" s="24" t="inlineStr">
        <is>
          <t>St. Louis CITY SC</t>
        </is>
      </c>
      <c r="AR170" s="24" t="inlineStr">
        <is>
          <t>St. Louis CITY SC</t>
        </is>
      </c>
      <c r="AS170" s="24" t="inlineStr">
        <is>
          <t>Vancouver Whitecaps</t>
        </is>
      </c>
      <c r="AT170" s="24" t="inlineStr">
        <is>
          <t>Vancouver Whitecaps</t>
        </is>
      </c>
      <c r="AU170" s="24" t="inlineStr">
        <is>
          <t>Vancouver Whitecaps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e64f166eb03d5e657185abb04e25fff4830a8801f3dfa7f84e7c01a3f339baa9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e64f166eb03d5e657185abb04e25fff4830a8801f3dfa7f84e7c01a3f339baa9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e64f166eb03d5e657185abb04e25fff4830a8801f3dfa7f84e7c01a3f339baa9</t>
        </is>
      </c>
      <c r="BH170" s="24" t="inlineStr">
        <is>
          <t>2026-09-05T22:04:33.455563Z</t>
        </is>
      </c>
      <c r="BI170" s="24" t="inlineStr">
        <is>
          <t>["same_event","same_team_same_day","same_league_same_day"]</t>
        </is>
      </c>
      <c r="BJ170" s="25" t="n"/>
      <c r="BK170" s="26" t="n">
        <v>-186</v>
      </c>
      <c r="BL170" s="27" t="n">
        <v>1.537634</v>
      </c>
      <c r="BM170" s="28" t="n">
        <v>0.65035</v>
      </c>
      <c r="BN170" s="28" t="n"/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0.65035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27e07a4565854b86</t>
        </is>
      </c>
      <c r="B171" s="24" t="inlineStr">
        <is>
          <t>2026-09-05T22:05:14.461440Z</t>
        </is>
      </c>
      <c r="C171" s="24" t="inlineStr">
        <is>
          <t>2026-09-06T00:00Z</t>
        </is>
      </c>
      <c r="D171" s="24" t="inlineStr">
        <is>
          <t>401841227</t>
        </is>
      </c>
      <c r="E171" s="24" t="inlineStr">
        <is>
          <t>SOCCER</t>
        </is>
      </c>
      <c r="F171" s="24" t="inlineStr">
        <is>
          <t>Vasco da Gama</t>
        </is>
      </c>
      <c r="G171" s="24" t="inlineStr">
        <is>
          <t>Fluminense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127</v>
      </c>
      <c r="M171" s="27" t="n">
        <v>2.27</v>
      </c>
      <c r="N171" s="28" t="n">
        <v>0.440529</v>
      </c>
      <c r="O171" s="28" t="n">
        <v>0.456135</v>
      </c>
      <c r="P171" s="28" t="n">
        <v>0.2</v>
      </c>
      <c r="Q171" s="28" t="n">
        <v>0.015606</v>
      </c>
      <c r="R171" s="26" t="n">
        <v>0</v>
      </c>
      <c r="S171" s="29" t="n">
        <v>1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>
        <v>127</v>
      </c>
      <c r="AA171" s="28" t="n">
        <v>0.44</v>
      </c>
      <c r="AB171" s="28" t="n">
        <v>-0.000529</v>
      </c>
      <c r="AC171" s="30" t="n">
        <v>1.27</v>
      </c>
      <c r="AD171" s="24" t="inlineStr">
        <is>
          <t>2026-09-06T04:31:15.168189Z</t>
        </is>
      </c>
      <c r="AE171" s="31" t="inlineStr">
        <is>
          <t>Poisson-DC rates 1.64 (home) / 1.24 (away) from EWMA attack/defense strengths. Executable ask 0.4400 (atc-bra-flu-vas-2026-09-05-flu).</t>
        </is>
      </c>
      <c r="AF171" s="31" t="inlineStr">
        <is>
          <t>Research-only soccer score model; draw-aware, but not yet locked-holdout qualified.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PAPER_CALL_MODEL_UNVALIDATED</t>
        </is>
      </c>
      <c r="AP171" s="24" t="inlineStr">
        <is>
          <t>Vasco da Gama</t>
        </is>
      </c>
      <c r="AQ171" s="24" t="inlineStr">
        <is>
          <t>Vasco da Gama</t>
        </is>
      </c>
      <c r="AR171" s="24" t="inlineStr">
        <is>
          <t>Vasco da Gama</t>
        </is>
      </c>
      <c r="AS171" s="24" t="inlineStr">
        <is>
          <t>Fluminense</t>
        </is>
      </c>
      <c r="AT171" s="24" t="inlineStr">
        <is>
          <t>Fluminense</t>
        </is>
      </c>
      <c r="AU171" s="24" t="inlineStr">
        <is>
          <t>Fluminense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e64f166eb03d5e657185abb04e25fff4830a8801f3dfa7f84e7c01a3f339baa9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e64f166eb03d5e657185abb04e25fff4830a8801f3dfa7f84e7c01a3f339baa9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e64f166eb03d5e657185abb04e25fff4830a8801f3dfa7f84e7c01a3f339baa9</t>
        </is>
      </c>
      <c r="BH171" s="24" t="inlineStr">
        <is>
          <t>2026-09-05T22:04:33.599138Z</t>
        </is>
      </c>
      <c r="BI171" s="24" t="inlineStr">
        <is>
          <t>["same_event","same_team_same_day","same_league_same_day"]</t>
        </is>
      </c>
      <c r="BJ171" s="25" t="n"/>
      <c r="BK171" s="26" t="n">
        <v>127</v>
      </c>
      <c r="BL171" s="27" t="n">
        <v>2.27</v>
      </c>
      <c r="BM171" s="28" t="n">
        <v>0.440529</v>
      </c>
      <c r="BN171" s="28" t="n"/>
      <c r="BO171" s="28" t="n"/>
      <c r="BP171" s="25" t="n"/>
      <c r="BQ171" s="27" t="n">
        <v>2.27</v>
      </c>
      <c r="BR171" s="28" t="n">
        <v>0.44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1.269998</v>
      </c>
      <c r="BZ171" s="24" t="inlineStr">
        <is>
          <t>2026-09-06T04:31:15.168189Z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0.440529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ce21a7579018422f</t>
        </is>
      </c>
      <c r="B172" s="24" t="inlineStr">
        <is>
          <t>2026-09-05T22:05:14.461440Z</t>
        </is>
      </c>
      <c r="C172" s="24" t="inlineStr">
        <is>
          <t>2026-09-06T00:00Z</t>
        </is>
      </c>
      <c r="D172" s="24" t="inlineStr">
        <is>
          <t>401850646</t>
        </is>
      </c>
      <c r="E172" s="24" t="inlineStr">
        <is>
          <t>SOCCER</t>
        </is>
      </c>
      <c r="F172" s="24" t="inlineStr">
        <is>
          <t>Coquimbo Unido</t>
        </is>
      </c>
      <c r="G172" s="24" t="inlineStr">
        <is>
          <t>Universidad de Chile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-108</v>
      </c>
      <c r="M172" s="27" t="n">
        <v>1.925926</v>
      </c>
      <c r="N172" s="28" t="n">
        <v>0.519231</v>
      </c>
      <c r="O172" s="28" t="n">
        <v>0.451659</v>
      </c>
      <c r="P172" s="28" t="n">
        <v>0.2</v>
      </c>
      <c r="Q172" s="28" t="n">
        <v>-0.06757199999999999</v>
      </c>
      <c r="R172" s="26" t="n">
        <v>0</v>
      </c>
      <c r="S172" s="29" t="n">
        <v>1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4</v>
      </c>
      <c r="Y172" s="25" t="n"/>
      <c r="Z172" s="26" t="n">
        <v>-108</v>
      </c>
      <c r="AA172" s="28" t="n">
        <v>0.52</v>
      </c>
      <c r="AB172" s="28" t="n">
        <v>0.000769</v>
      </c>
      <c r="AC172" s="30" t="n">
        <v>0.9258999999999999</v>
      </c>
      <c r="AD172" s="24" t="inlineStr">
        <is>
          <t>2026-09-06T04:31:16.251876Z</t>
        </is>
      </c>
      <c r="AE172" s="31" t="inlineStr">
        <is>
          <t>Poisson-DC rates 1.59 (home) / 1.20 (away) from EWMA attack/defense strengths. Executable ask 0.5200 (atc-pdc-unc-coq-2026-09-05-unc).</t>
        </is>
      </c>
      <c r="AF172" s="31" t="inlineStr">
        <is>
          <t>Research-only soccer score model; draw-aware, but not yet locked-holdout qualified.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PAPER_CALL_MODEL_UNVALIDATED</t>
        </is>
      </c>
      <c r="AP172" s="24" t="inlineStr">
        <is>
          <t>Coquimbo Unido</t>
        </is>
      </c>
      <c r="AQ172" s="24" t="inlineStr">
        <is>
          <t>Coquimbo Unido</t>
        </is>
      </c>
      <c r="AR172" s="24" t="inlineStr">
        <is>
          <t>Coquimbo Unido</t>
        </is>
      </c>
      <c r="AS172" s="24" t="inlineStr">
        <is>
          <t>Universidad de Chile</t>
        </is>
      </c>
      <c r="AT172" s="24" t="inlineStr">
        <is>
          <t>Universidad de Chile</t>
        </is>
      </c>
      <c r="AU172" s="24" t="inlineStr">
        <is>
          <t>Universidad de Chile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e64f166eb03d5e657185abb04e25fff4830a8801f3dfa7f84e7c01a3f339baa9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e64f166eb03d5e657185abb04e25fff4830a8801f3dfa7f84e7c01a3f339baa9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e64f166eb03d5e657185abb04e25fff4830a8801f3dfa7f84e7c01a3f339baa9</t>
        </is>
      </c>
      <c r="BH172" s="24" t="inlineStr">
        <is>
          <t>2026-09-05T22:04:34.593341Z</t>
        </is>
      </c>
      <c r="BI172" s="24" t="inlineStr">
        <is>
          <t>["same_event","same_team_same_day","same_league_same_day"]</t>
        </is>
      </c>
      <c r="BJ172" s="25" t="n"/>
      <c r="BK172" s="26" t="n">
        <v>-108</v>
      </c>
      <c r="BL172" s="27" t="n">
        <v>1.925926</v>
      </c>
      <c r="BM172" s="28" t="n">
        <v>0.519231</v>
      </c>
      <c r="BN172" s="28" t="n"/>
      <c r="BO172" s="28" t="n"/>
      <c r="BP172" s="25" t="n"/>
      <c r="BQ172" s="27" t="n">
        <v>1.925926</v>
      </c>
      <c r="BR172" s="28" t="n">
        <v>0.52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0.925925</v>
      </c>
      <c r="BZ172" s="24" t="inlineStr">
        <is>
          <t>2026-09-06T04:31:16.251876Z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0.519231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001f7eff403a41d3</t>
        </is>
      </c>
      <c r="B173" s="24" t="inlineStr">
        <is>
          <t>2026-09-05T22:05:14.461440Z</t>
        </is>
      </c>
      <c r="C173" s="24" t="inlineStr">
        <is>
          <t>2026-09-05T23:00Z</t>
        </is>
      </c>
      <c r="D173" s="24" t="inlineStr">
        <is>
          <t>401859688</t>
        </is>
      </c>
      <c r="E173" s="24" t="inlineStr">
        <is>
          <t>SOCCER</t>
        </is>
      </c>
      <c r="F173" s="24" t="inlineStr">
        <is>
          <t>Macará</t>
        </is>
      </c>
      <c r="G173" s="24" t="inlineStr">
        <is>
          <t>Independiente del Valle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-245</v>
      </c>
      <c r="M173" s="27" t="n">
        <v>1.408163</v>
      </c>
      <c r="N173" s="28" t="n">
        <v>0.710145</v>
      </c>
      <c r="O173" s="28" t="n">
        <v>0.456135</v>
      </c>
      <c r="P173" s="28" t="n">
        <v>0.2</v>
      </c>
      <c r="Q173" s="28" t="n">
        <v>-0.25401</v>
      </c>
      <c r="R173" s="26" t="n">
        <v>0</v>
      </c>
      <c r="S173" s="29" t="n">
        <v>1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3</v>
      </c>
      <c r="Y173" s="25" t="n"/>
      <c r="Z173" s="26" t="n">
        <v>-245</v>
      </c>
      <c r="AA173" s="28" t="n">
        <v>0.71</v>
      </c>
      <c r="AB173" s="28" t="n">
        <v>-0.000145</v>
      </c>
      <c r="AC173" s="30" t="n">
        <v>0.4082</v>
      </c>
      <c r="AD173" s="24" t="inlineStr">
        <is>
          <t>2026-09-06T04:31:17.530009Z</t>
        </is>
      </c>
      <c r="AE173" s="31" t="inlineStr">
        <is>
          <t>Poisson-DC rates 1.64 (home) / 1.24 (away) from EWMA attack/defense strengths. Executable ask 0.7100 (atc-ecu1-ind-mac-2026-09-06-ind).</t>
        </is>
      </c>
      <c r="AF173" s="31" t="inlineStr">
        <is>
          <t>Research-only soccer score model; draw-aware, but not yet locked-holdout qualified.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Macará</t>
        </is>
      </c>
      <c r="AQ173" s="24" t="inlineStr">
        <is>
          <t>Macará</t>
        </is>
      </c>
      <c r="AR173" s="24" t="inlineStr">
        <is>
          <t>Macará</t>
        </is>
      </c>
      <c r="AS173" s="24" t="inlineStr">
        <is>
          <t>Independiente del Valle</t>
        </is>
      </c>
      <c r="AT173" s="24" t="inlineStr">
        <is>
          <t>Independiente del Valle</t>
        </is>
      </c>
      <c r="AU173" s="24" t="inlineStr">
        <is>
          <t>Independiente del Valle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e64f166eb03d5e657185abb04e25fff4830a8801f3dfa7f84e7c01a3f339baa9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e64f166eb03d5e657185abb04e25fff4830a8801f3dfa7f84e7c01a3f339baa9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e64f166eb03d5e657185abb04e25fff4830a8801f3dfa7f84e7c01a3f339baa9</t>
        </is>
      </c>
      <c r="BH173" s="24" t="inlineStr">
        <is>
          <t>2026-09-05T22:04:34.641931Z</t>
        </is>
      </c>
      <c r="BI173" s="24" t="inlineStr">
        <is>
          <t>["same_event","same_team_same_day","same_league_same_day"]</t>
        </is>
      </c>
      <c r="BJ173" s="25" t="n"/>
      <c r="BK173" s="26" t="n">
        <v>-245</v>
      </c>
      <c r="BL173" s="27" t="n">
        <v>1.408163</v>
      </c>
      <c r="BM173" s="28" t="n">
        <v>0.710145</v>
      </c>
      <c r="BN173" s="28" t="n"/>
      <c r="BO173" s="28" t="n"/>
      <c r="BP173" s="25" t="n"/>
      <c r="BQ173" s="27" t="n">
        <v>1.408163</v>
      </c>
      <c r="BR173" s="28" t="n">
        <v>0.71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0.408163</v>
      </c>
      <c r="BZ173" s="24" t="inlineStr">
        <is>
          <t>2026-09-06T04:31:17.530009Z</t>
        </is>
      </c>
      <c r="CA173" s="31" t="inlineStr">
        <is>
          <t>fixed one-unit hypothetical scoring; no real exposure or execution</t>
        </is>
      </c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0.710145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74b4760d98e94367</t>
        </is>
      </c>
      <c r="B174" s="24" t="inlineStr">
        <is>
          <t>2026-09-05T22:05:14.461440Z</t>
        </is>
      </c>
      <c r="C174" s="24" t="inlineStr">
        <is>
          <t>2026-09-06T01:30Z</t>
        </is>
      </c>
      <c r="D174" s="24" t="inlineStr">
        <is>
          <t>401886206</t>
        </is>
      </c>
      <c r="E174" s="24" t="inlineStr">
        <is>
          <t>SOCCER</t>
        </is>
      </c>
      <c r="F174" s="24" t="inlineStr">
        <is>
          <t>Comerciantes Unidos</t>
        </is>
      </c>
      <c r="G174" s="24" t="inlineStr">
        <is>
          <t>Universitario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-335</v>
      </c>
      <c r="M174" s="27" t="n">
        <v>1.298507</v>
      </c>
      <c r="N174" s="28" t="n">
        <v>0.770115</v>
      </c>
      <c r="O174" s="28" t="n">
        <v>0.489617</v>
      </c>
      <c r="P174" s="28" t="n">
        <v>0.19</v>
      </c>
      <c r="Q174" s="28" t="n">
        <v>-0.280498</v>
      </c>
      <c r="R174" s="26" t="n">
        <v>0</v>
      </c>
      <c r="S174" s="29" t="n">
        <v>1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loss</t>
        </is>
      </c>
      <c r="W174" s="26" t="n">
        <v>2</v>
      </c>
      <c r="X174" s="26" t="n">
        <v>2</v>
      </c>
      <c r="Y174" s="25" t="n"/>
      <c r="Z174" s="26" t="n">
        <v>-335</v>
      </c>
      <c r="AA174" s="28" t="n">
        <v>0.77</v>
      </c>
      <c r="AB174" s="28" t="n">
        <v>-0.000115</v>
      </c>
      <c r="AC174" s="30" t="n">
        <v>-1</v>
      </c>
      <c r="AD174" s="24" t="inlineStr">
        <is>
          <t>2026-09-06T04:31:18.706413Z</t>
        </is>
      </c>
      <c r="AE174" s="31" t="inlineStr">
        <is>
          <t>Poisson-DC rates 1.79 (home) / 1.25 (away) from EWMA attack/defense strengths. Executable ask 0.7700 (atc-pl1-uni-cou-2026-09-05-uni).</t>
        </is>
      </c>
      <c r="AF174" s="31" t="inlineStr">
        <is>
          <t>Research-only soccer score model; draw-aware, but not yet locked-holdout qualified.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PAPER_CALL_MODEL_UNVALIDATED</t>
        </is>
      </c>
      <c r="AP174" s="24" t="inlineStr">
        <is>
          <t>Comerciantes Unidos</t>
        </is>
      </c>
      <c r="AQ174" s="24" t="inlineStr">
        <is>
          <t>Comerciantes Unidos</t>
        </is>
      </c>
      <c r="AR174" s="24" t="inlineStr">
        <is>
          <t>Comerciantes Unidos</t>
        </is>
      </c>
      <c r="AS174" s="24" t="inlineStr">
        <is>
          <t>Universitario</t>
        </is>
      </c>
      <c r="AT174" s="24" t="inlineStr">
        <is>
          <t>Universitario</t>
        </is>
      </c>
      <c r="AU174" s="24" t="inlineStr">
        <is>
          <t>Universitario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e64f166eb03d5e657185abb04e25fff4830a8801f3dfa7f84e7c01a3f339baa9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e64f166eb03d5e657185abb04e25fff4830a8801f3dfa7f84e7c01a3f339baa9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e64f166eb03d5e657185abb04e25fff4830a8801f3dfa7f84e7c01a3f339baa9</t>
        </is>
      </c>
      <c r="BH174" s="24" t="inlineStr">
        <is>
          <t>2026-09-05T22:04:34.676985Z</t>
        </is>
      </c>
      <c r="BI174" s="24" t="inlineStr">
        <is>
          <t>["same_event","same_team_same_day","same_league_same_day"]</t>
        </is>
      </c>
      <c r="BJ174" s="25" t="n"/>
      <c r="BK174" s="26" t="n">
        <v>-335</v>
      </c>
      <c r="BL174" s="27" t="n">
        <v>1.298507</v>
      </c>
      <c r="BM174" s="28" t="n">
        <v>0.770115</v>
      </c>
      <c r="BN174" s="28" t="n"/>
      <c r="BO174" s="28" t="n"/>
      <c r="BP174" s="25" t="n"/>
      <c r="BQ174" s="27" t="n">
        <v>1.298507</v>
      </c>
      <c r="BR174" s="28" t="n">
        <v>0.77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-1</v>
      </c>
      <c r="BZ174" s="24" t="inlineStr">
        <is>
          <t>2026-09-06T04:31:18.706413Z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0.770115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c715a1194869429f</t>
        </is>
      </c>
      <c r="B175" s="24" t="inlineStr">
        <is>
          <t>2026-09-06T10:03:23.742788Z</t>
        </is>
      </c>
      <c r="C175" s="24" t="inlineStr">
        <is>
          <t>2026-09-06T13:00Z</t>
        </is>
      </c>
      <c r="D175" s="24" t="inlineStr">
        <is>
          <t>401879291</t>
        </is>
      </c>
      <c r="E175" s="24" t="inlineStr">
        <is>
          <t>SOCCER</t>
        </is>
      </c>
      <c r="F175" s="24" t="inlineStr">
        <is>
          <t>Manchester United</t>
        </is>
      </c>
      <c r="G175" s="24" t="inlineStr">
        <is>
          <t>Everton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113</v>
      </c>
      <c r="M175" s="27" t="n">
        <v>2.13</v>
      </c>
      <c r="N175" s="28" t="n">
        <v>0.469484</v>
      </c>
      <c r="O175" s="28" t="n">
        <v>0.439791</v>
      </c>
      <c r="P175" s="28" t="n">
        <v>0.04</v>
      </c>
      <c r="Q175" s="28" t="n">
        <v>-0.029693</v>
      </c>
      <c r="R175" s="26" t="n">
        <v>11</v>
      </c>
      <c r="S175" s="29" t="n">
        <v>1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loss</t>
        </is>
      </c>
      <c r="W175" s="26" t="n">
        <v>2</v>
      </c>
      <c r="X175" s="26" t="n">
        <v>2</v>
      </c>
      <c r="Y175" s="25" t="n"/>
      <c r="Z175" s="26" t="n">
        <v>-117</v>
      </c>
      <c r="AA175" s="28" t="n">
        <v>0.54</v>
      </c>
      <c r="AB175" s="28" t="n">
        <v>0.070516</v>
      </c>
      <c r="AC175" s="30" t="n">
        <v>-1</v>
      </c>
      <c r="AD175" s="24" t="inlineStr">
        <is>
          <t>2026-09-06T16:00:14.229063Z</t>
        </is>
      </c>
      <c r="AE175" s="31" t="inlineStr">
        <is>
          <t>Poisson-DC rates 1.26 (home) / 1.59 (away) from EWMA attack/defense strengths. Executable ask 0.4700 (atc-epl-eve-mnu-2026-09-06-mnu).</t>
        </is>
      </c>
      <c r="AF175" s="31" t="inlineStr">
        <is>
          <t>Research-only soccer score model; draw-aware, but not yet locked-holdout qualified.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Manchester United</t>
        </is>
      </c>
      <c r="AQ175" s="24" t="inlineStr">
        <is>
          <t>Manchester United</t>
        </is>
      </c>
      <c r="AR175" s="24" t="inlineStr">
        <is>
          <t>Manchester United</t>
        </is>
      </c>
      <c r="AS175" s="24" t="inlineStr">
        <is>
          <t>Everton</t>
        </is>
      </c>
      <c r="AT175" s="24" t="inlineStr">
        <is>
          <t>Everton</t>
        </is>
      </c>
      <c r="AU175" s="24" t="inlineStr">
        <is>
          <t>Everton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e64f166eb03d5e657185abb04e25fff4830a8801f3dfa7f84e7c01a3f339baa9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e64f166eb03d5e657185abb04e25fff4830a8801f3dfa7f84e7c01a3f339baa9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e64f166eb03d5e657185abb04e25fff4830a8801f3dfa7f84e7c01a3f339baa9</t>
        </is>
      </c>
      <c r="BH175" s="24" t="inlineStr">
        <is>
          <t>2026-09-06T04:34:41.001723Z</t>
        </is>
      </c>
      <c r="BI175" s="24" t="inlineStr">
        <is>
          <t>["same_event","same_team_same_day","same_league_same_day"]</t>
        </is>
      </c>
      <c r="BJ175" s="25" t="n"/>
      <c r="BK175" s="26" t="n">
        <v>113</v>
      </c>
      <c r="BL175" s="27" t="n">
        <v>2.13</v>
      </c>
      <c r="BM175" s="28" t="n">
        <v>0.469484</v>
      </c>
      <c r="BN175" s="28" t="n"/>
      <c r="BO175" s="28" t="n"/>
      <c r="BP175" s="25" t="n"/>
      <c r="BQ175" s="27" t="n">
        <v>1.854701</v>
      </c>
      <c r="BR175" s="28" t="n">
        <v>0.54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inlineStr">
        <is>
          <t>2026-09-06T16:00:14.229063Z</t>
        </is>
      </c>
      <c r="CA175" s="31" t="inlineStr">
        <is>
          <t>fixed one-unit hypothetical scoring; no real exposure or execution</t>
        </is>
      </c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0.469484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9d3798c412c8408e</t>
        </is>
      </c>
      <c r="B176" s="24" t="inlineStr">
        <is>
          <t>2026-09-06T10:03:23.742788Z</t>
        </is>
      </c>
      <c r="C176" s="24" t="inlineStr">
        <is>
          <t>2026-09-06T15:30Z</t>
        </is>
      </c>
      <c r="D176" s="24" t="inlineStr">
        <is>
          <t>401879292</t>
        </is>
      </c>
      <c r="E176" s="24" t="inlineStr">
        <is>
          <t>SOCCER</t>
        </is>
      </c>
      <c r="F176" s="24" t="inlineStr">
        <is>
          <t>Chelsea</t>
        </is>
      </c>
      <c r="G176" s="24" t="inlineStr">
        <is>
          <t>Arsenal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-138</v>
      </c>
      <c r="M176" s="27" t="n">
        <v>1.724638</v>
      </c>
      <c r="N176" s="28" t="n">
        <v>0.579832</v>
      </c>
      <c r="O176" s="28" t="n">
        <v>0.720503</v>
      </c>
      <c r="P176" s="28" t="n">
        <v>0.04</v>
      </c>
      <c r="Q176" s="28" t="n">
        <v>0.140671</v>
      </c>
      <c r="R176" s="26" t="n">
        <v>96</v>
      </c>
      <c r="S176" s="29" t="n">
        <v>1.75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>
        <v>-138</v>
      </c>
      <c r="AA176" s="28" t="n">
        <v>0.58</v>
      </c>
      <c r="AB176" s="28" t="n">
        <v>0.000168</v>
      </c>
      <c r="AC176" s="30" t="n">
        <v>1.2681</v>
      </c>
      <c r="AD176" s="24" t="inlineStr">
        <is>
          <t>2026-09-06T22:00:13.906057Z</t>
        </is>
      </c>
      <c r="AE176" s="31" t="inlineStr">
        <is>
          <t>Poisson-DC rates 2.14 (home) / 0.61 (away) from EWMA attack/defense strengths. Executable ask 0.5800 (atc-epl-ars-cfc-2026-09-06-ars).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Chelsea</t>
        </is>
      </c>
      <c r="AQ176" s="24" t="inlineStr">
        <is>
          <t>Chelsea</t>
        </is>
      </c>
      <c r="AR176" s="24" t="inlineStr">
        <is>
          <t>Chelsea</t>
        </is>
      </c>
      <c r="AS176" s="24" t="inlineStr">
        <is>
          <t>Arsenal</t>
        </is>
      </c>
      <c r="AT176" s="24" t="inlineStr">
        <is>
          <t>Arsenal</t>
        </is>
      </c>
      <c r="AU176" s="24" t="inlineStr">
        <is>
          <t>Arsenal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e64f166eb03d5e657185abb04e25fff4830a8801f3dfa7f84e7c01a3f339baa9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e64f166eb03d5e657185abb04e25fff4830a8801f3dfa7f84e7c01a3f339baa9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e64f166eb03d5e657185abb04e25fff4830a8801f3dfa7f84e7c01a3f339baa9</t>
        </is>
      </c>
      <c r="BH176" s="24" t="inlineStr">
        <is>
          <t>2026-09-06T04:34:41.150188Z</t>
        </is>
      </c>
      <c r="BI176" s="24" t="inlineStr">
        <is>
          <t>["same_event","same_team_same_day","same_league_same_day"]</t>
        </is>
      </c>
      <c r="BJ176" s="25" t="n"/>
      <c r="BK176" s="26" t="n">
        <v>-138</v>
      </c>
      <c r="BL176" s="27" t="n">
        <v>1.724638</v>
      </c>
      <c r="BM176" s="28" t="n">
        <v>0.579832</v>
      </c>
      <c r="BN176" s="28" t="n"/>
      <c r="BO176" s="28" t="n"/>
      <c r="BP176" s="25" t="n"/>
      <c r="BQ176" s="27" t="n">
        <v>1.724638</v>
      </c>
      <c r="BR176" s="28" t="n">
        <v>0.58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0.579832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7845bd9fe43f455f</t>
        </is>
      </c>
      <c r="B177" s="24" t="inlineStr">
        <is>
          <t>2026-09-06T10:03:23.742788Z</t>
        </is>
      </c>
      <c r="C177" s="24" t="inlineStr">
        <is>
          <t>2026-09-06T14:15Z</t>
        </is>
      </c>
      <c r="D177" s="24" t="inlineStr">
        <is>
          <t>401882888</t>
        </is>
      </c>
      <c r="E177" s="24" t="inlineStr">
        <is>
          <t>SOCCER</t>
        </is>
      </c>
      <c r="F177" s="24" t="inlineStr">
        <is>
          <t>Barcelona</t>
        </is>
      </c>
      <c r="G177" s="24" t="inlineStr">
        <is>
          <t>Valencia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-335</v>
      </c>
      <c r="M177" s="27" t="n">
        <v>1.298507</v>
      </c>
      <c r="N177" s="28" t="n">
        <v>0.770115</v>
      </c>
      <c r="O177" s="28" t="n">
        <v>0.538886</v>
      </c>
      <c r="P177" s="28" t="n">
        <v>0.04</v>
      </c>
      <c r="Q177" s="28" t="n">
        <v>-0.231229</v>
      </c>
      <c r="R177" s="26" t="n">
        <v>0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5</v>
      </c>
      <c r="X177" s="26" t="n">
        <v>0</v>
      </c>
      <c r="Y177" s="25" t="n"/>
      <c r="Z177" s="26" t="n">
        <v>317</v>
      </c>
      <c r="AA177" s="28" t="n">
        <v>0.24</v>
      </c>
      <c r="AB177" s="28" t="n">
        <v>-0.530115</v>
      </c>
      <c r="AC177" s="30" t="n">
        <v>0.2985</v>
      </c>
      <c r="AD177" s="24" t="inlineStr">
        <is>
          <t>2026-09-06T22:00:15.016072Z</t>
        </is>
      </c>
      <c r="AE177" s="31" t="inlineStr">
        <is>
          <t>Poisson-DC rates 1.18 (home) / 1.94 (away) from EWMA attack/defense strengths. Executable ask 0.7700 (atc-lal-val-fcb-2026-09-06-fcb).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Barcelona</t>
        </is>
      </c>
      <c r="AQ177" s="24" t="inlineStr">
        <is>
          <t>Barcelona</t>
        </is>
      </c>
      <c r="AR177" s="24" t="inlineStr">
        <is>
          <t>Barcelona</t>
        </is>
      </c>
      <c r="AS177" s="24" t="inlineStr">
        <is>
          <t>Valencia</t>
        </is>
      </c>
      <c r="AT177" s="24" t="inlineStr">
        <is>
          <t>Valencia</t>
        </is>
      </c>
      <c r="AU177" s="24" t="inlineStr">
        <is>
          <t>Valencia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e64f166eb03d5e657185abb04e25fff4830a8801f3dfa7f84e7c01a3f339baa9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e64f166eb03d5e657185abb04e25fff4830a8801f3dfa7f84e7c01a3f339baa9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e64f166eb03d5e657185abb04e25fff4830a8801f3dfa7f84e7c01a3f339baa9</t>
        </is>
      </c>
      <c r="BH177" s="24" t="inlineStr">
        <is>
          <t>2026-09-06T04:34:41.280618Z</t>
        </is>
      </c>
      <c r="BI177" s="24" t="inlineStr">
        <is>
          <t>["same_event","same_team_same_day","same_league_same_day"]</t>
        </is>
      </c>
      <c r="BJ177" s="25" t="n"/>
      <c r="BK177" s="26" t="n">
        <v>-335</v>
      </c>
      <c r="BL177" s="27" t="n">
        <v>1.298507</v>
      </c>
      <c r="BM177" s="28" t="n">
        <v>0.770115</v>
      </c>
      <c r="BN177" s="28" t="n"/>
      <c r="BO177" s="28" t="n"/>
      <c r="BP177" s="25" t="n"/>
      <c r="BQ177" s="27" t="n">
        <v>4.17</v>
      </c>
      <c r="BR177" s="28" t="n">
        <v>0.24</v>
      </c>
      <c r="BS177" s="28" t="n"/>
      <c r="BT177" s="28" t="n"/>
      <c r="BU177" s="25" t="n"/>
      <c r="BV177" s="29" t="n"/>
      <c r="BW177" s="24" t="n"/>
      <c r="BX177" s="30" t="n">
        <v>1</v>
      </c>
      <c r="BY177" s="27" t="n">
        <v>0.298507</v>
      </c>
      <c r="BZ177" s="24" t="inlineStr">
        <is>
          <t>2026-09-06T22:00:15.016072Z</t>
        </is>
      </c>
      <c r="CA177" s="31" t="inlineStr">
        <is>
          <t>fixed one-unit hypothetical scoring; no real exposure or execution</t>
        </is>
      </c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0.770115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d9a4137460c743e0</t>
        </is>
      </c>
      <c r="B178" s="24" t="inlineStr">
        <is>
          <t>2026-09-06T10:03:23.742788Z</t>
        </is>
      </c>
      <c r="C178" s="24" t="inlineStr">
        <is>
          <t>2026-09-06T15:30Z</t>
        </is>
      </c>
      <c r="D178" s="24" t="inlineStr">
        <is>
          <t>401884805</t>
        </is>
      </c>
      <c r="E178" s="24" t="inlineStr">
        <is>
          <t>SOCCER</t>
        </is>
      </c>
      <c r="F178" s="24" t="inlineStr">
        <is>
          <t>FC Augsburg</t>
        </is>
      </c>
      <c r="G178" s="24" t="inlineStr">
        <is>
          <t>Eintracht Frankfurt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100</v>
      </c>
      <c r="M178" s="27" t="n">
        <v>2</v>
      </c>
      <c r="N178" s="28" t="n">
        <v>0.5</v>
      </c>
      <c r="O178" s="28" t="n">
        <v>0.51957</v>
      </c>
      <c r="P178" s="28" t="n">
        <v>0.04</v>
      </c>
      <c r="Q178" s="28" t="n">
        <v>0.01957</v>
      </c>
      <c r="R178" s="26" t="n">
        <v>36</v>
      </c>
      <c r="S178" s="29" t="n">
        <v>1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loss</t>
        </is>
      </c>
      <c r="W178" s="26" t="n">
        <v>4</v>
      </c>
      <c r="X178" s="26" t="n">
        <v>1</v>
      </c>
      <c r="Y178" s="25" t="n"/>
      <c r="Z178" s="26" t="n">
        <v>100</v>
      </c>
      <c r="AA178" s="28" t="n">
        <v>0.5</v>
      </c>
      <c r="AB178" s="28" t="n">
        <v>0</v>
      </c>
      <c r="AC178" s="30" t="n">
        <v>-1</v>
      </c>
      <c r="AD178" s="24" t="inlineStr">
        <is>
          <t>2026-09-06T22:00:16.071016Z</t>
        </is>
      </c>
      <c r="AE178" s="31" t="inlineStr">
        <is>
          <t>Poisson-DC rates 2.02 (home) / 1.36 (away) from EWMA attack/defense strengths. Executable ask 0.5000 (atc-bun-fra-aug-2026-09-06-fra).</t>
        </is>
      </c>
      <c r="AF178" s="31" t="inlineStr">
        <is>
          <t>Research-only soccer score model; draw-aware, but not yet locked-holdout qualified.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FC Augsburg</t>
        </is>
      </c>
      <c r="AQ178" s="24" t="inlineStr">
        <is>
          <t>FC Augsburg</t>
        </is>
      </c>
      <c r="AR178" s="24" t="inlineStr">
        <is>
          <t>FC Augsburg</t>
        </is>
      </c>
      <c r="AS178" s="24" t="inlineStr">
        <is>
          <t>Eintracht Frankfurt</t>
        </is>
      </c>
      <c r="AT178" s="24" t="inlineStr">
        <is>
          <t>Eintracht Frankfurt</t>
        </is>
      </c>
      <c r="AU178" s="24" t="inlineStr">
        <is>
          <t>Eintracht Frankfurt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e64f166eb03d5e657185abb04e25fff4830a8801f3dfa7f84e7c01a3f339baa9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e64f166eb03d5e657185abb04e25fff4830a8801f3dfa7f84e7c01a3f339baa9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e64f166eb03d5e657185abb04e25fff4830a8801f3dfa7f84e7c01a3f339baa9</t>
        </is>
      </c>
      <c r="BH178" s="24" t="inlineStr">
        <is>
          <t>2026-09-06T04:34:41.908102Z</t>
        </is>
      </c>
      <c r="BI178" s="24" t="inlineStr">
        <is>
          <t>["same_event","same_team_same_day","same_league_same_day"]</t>
        </is>
      </c>
      <c r="BJ178" s="25" t="n"/>
      <c r="BK178" s="26" t="n">
        <v>100</v>
      </c>
      <c r="BL178" s="27" t="n">
        <v>2</v>
      </c>
      <c r="BM178" s="28" t="n">
        <v>0.5</v>
      </c>
      <c r="BN178" s="28" t="n"/>
      <c r="BO178" s="28" t="n"/>
      <c r="BP178" s="25" t="n"/>
      <c r="BQ178" s="27" t="n">
        <v>2</v>
      </c>
      <c r="BR178" s="28" t="n">
        <v>0.5</v>
      </c>
      <c r="BS178" s="28" t="n"/>
      <c r="BT178" s="28" t="n"/>
      <c r="BU178" s="25" t="n"/>
      <c r="BV178" s="29" t="n"/>
      <c r="BW178" s="24" t="n"/>
      <c r="BX178" s="30" t="n">
        <v>1</v>
      </c>
      <c r="BY178" s="27" t="n">
        <v>-1</v>
      </c>
      <c r="BZ178" s="24" t="inlineStr">
        <is>
          <t>2026-09-06T22:00:16.071016Z</t>
        </is>
      </c>
      <c r="CA178" s="31" t="inlineStr">
        <is>
          <t>fixed one-unit hypothetical scoring; no real exposure or execution</t>
        </is>
      </c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ad86269d40a74d57</t>
        </is>
      </c>
      <c r="B179" s="24" t="inlineStr">
        <is>
          <t>2026-09-06T10:03:23.742788Z</t>
        </is>
      </c>
      <c r="C179" s="24" t="inlineStr">
        <is>
          <t>2026-09-06T13:00Z</t>
        </is>
      </c>
      <c r="D179" s="24" t="inlineStr">
        <is>
          <t>401874768</t>
        </is>
      </c>
      <c r="E179" s="24" t="inlineStr">
        <is>
          <t>SOCCER</t>
        </is>
      </c>
      <c r="F179" s="24" t="inlineStr">
        <is>
          <t>Venezia</t>
        </is>
      </c>
      <c r="G179" s="24" t="inlineStr">
        <is>
          <t>Frosinone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178</v>
      </c>
      <c r="M179" s="27" t="n">
        <v>2.78</v>
      </c>
      <c r="N179" s="28" t="n">
        <v>0.359712</v>
      </c>
      <c r="O179" s="28" t="n">
        <v>0.430365</v>
      </c>
      <c r="P179" s="28" t="n">
        <v>0.04</v>
      </c>
      <c r="Q179" s="28" t="n">
        <v>0.07065299999999999</v>
      </c>
      <c r="R179" s="26" t="n">
        <v>61</v>
      </c>
      <c r="S179" s="29" t="n">
        <v>1.25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2</v>
      </c>
      <c r="X179" s="26" t="n">
        <v>3</v>
      </c>
      <c r="Y179" s="25" t="n"/>
      <c r="Z179" s="26" t="n">
        <v>178</v>
      </c>
      <c r="AA179" s="28" t="n">
        <v>0.36</v>
      </c>
      <c r="AB179" s="28" t="n">
        <v>0.000288</v>
      </c>
      <c r="AC179" s="30" t="n">
        <v>2.225</v>
      </c>
      <c r="AD179" s="24" t="inlineStr">
        <is>
          <t>2026-09-06T16:00:15.525685Z</t>
        </is>
      </c>
      <c r="AE179" s="31" t="inlineStr">
        <is>
          <t>Poisson-DC rates 1.31 (home) / 0.98 (away) from EWMA attack/defense strengths. Executable ask 0.3600 (atc-sea-fro-ven-2026-09-06-fro).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Venezia</t>
        </is>
      </c>
      <c r="AQ179" s="24" t="inlineStr">
        <is>
          <t>Venezia</t>
        </is>
      </c>
      <c r="AR179" s="24" t="inlineStr">
        <is>
          <t>Venezia</t>
        </is>
      </c>
      <c r="AS179" s="24" t="inlineStr">
        <is>
          <t>Frosinone</t>
        </is>
      </c>
      <c r="AT179" s="24" t="inlineStr">
        <is>
          <t>Frosinone</t>
        </is>
      </c>
      <c r="AU179" s="24" t="inlineStr">
        <is>
          <t>Frosinone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e64f166eb03d5e657185abb04e25fff4830a8801f3dfa7f84e7c01a3f339baa9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e64f166eb03d5e657185abb04e25fff4830a8801f3dfa7f84e7c01a3f339baa9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e64f166eb03d5e657185abb04e25fff4830a8801f3dfa7f84e7c01a3f339baa9</t>
        </is>
      </c>
      <c r="BH179" s="24" t="inlineStr">
        <is>
          <t>2026-09-06T04:34:42.027268Z</t>
        </is>
      </c>
      <c r="BI179" s="24" t="inlineStr">
        <is>
          <t>["same_event","same_team_same_day","same_league_same_day"]</t>
        </is>
      </c>
      <c r="BJ179" s="25" t="n"/>
      <c r="BK179" s="26" t="n">
        <v>178</v>
      </c>
      <c r="BL179" s="27" t="n">
        <v>2.78</v>
      </c>
      <c r="BM179" s="28" t="n">
        <v>0.359712</v>
      </c>
      <c r="BN179" s="28" t="n"/>
      <c r="BO179" s="28" t="n"/>
      <c r="BP179" s="25" t="n"/>
      <c r="BQ179" s="27" t="n">
        <v>2.78</v>
      </c>
      <c r="BR179" s="28" t="n">
        <v>0.36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0.359712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674609023e954f38</t>
        </is>
      </c>
      <c r="B180" s="24" t="inlineStr">
        <is>
          <t>2026-09-06T10:03:23.742788Z</t>
        </is>
      </c>
      <c r="C180" s="24" t="inlineStr">
        <is>
          <t>2026-09-06T13:00Z</t>
        </is>
      </c>
      <c r="D180" s="24" t="inlineStr">
        <is>
          <t>401874987</t>
        </is>
      </c>
      <c r="E180" s="24" t="inlineStr">
        <is>
          <t>SOCCER</t>
        </is>
      </c>
      <c r="F180" s="24" t="inlineStr">
        <is>
          <t>Monza</t>
        </is>
      </c>
      <c r="G180" s="24" t="inlineStr">
        <is>
          <t>Parma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178</v>
      </c>
      <c r="M180" s="27" t="n">
        <v>2.78</v>
      </c>
      <c r="N180" s="28" t="n">
        <v>0.359712</v>
      </c>
      <c r="O180" s="28" t="n">
        <v>0.577825</v>
      </c>
      <c r="P180" s="28" t="n">
        <v>0.04</v>
      </c>
      <c r="Q180" s="28" t="n">
        <v>0.218113</v>
      </c>
      <c r="R180" s="26" t="n">
        <v>100</v>
      </c>
      <c r="S180" s="29" t="n">
        <v>2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1</v>
      </c>
      <c r="Y180" s="25" t="n"/>
      <c r="Z180" s="26" t="n">
        <v>178</v>
      </c>
      <c r="AA180" s="28" t="n">
        <v>0.36</v>
      </c>
      <c r="AB180" s="28" t="n">
        <v>0.000288</v>
      </c>
      <c r="AC180" s="30" t="n">
        <v>-2</v>
      </c>
      <c r="AD180" s="24" t="inlineStr">
        <is>
          <t>2026-09-06T16:00:16.509545Z</t>
        </is>
      </c>
      <c r="AE180" s="31" t="inlineStr">
        <is>
          <t>Poisson-DC rates 1.50 (home) / 0.61 (away) from EWMA attack/defense strengths. Executable ask 0.3600 (atc-sea-par-mon-2026-09-06-par).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Monza</t>
        </is>
      </c>
      <c r="AQ180" s="24" t="inlineStr">
        <is>
          <t>Monza</t>
        </is>
      </c>
      <c r="AR180" s="24" t="inlineStr">
        <is>
          <t>Monza</t>
        </is>
      </c>
      <c r="AS180" s="24" t="inlineStr">
        <is>
          <t>Parma</t>
        </is>
      </c>
      <c r="AT180" s="24" t="inlineStr">
        <is>
          <t>Parma</t>
        </is>
      </c>
      <c r="AU180" s="24" t="inlineStr">
        <is>
          <t>Parma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e64f166eb03d5e657185abb04e25fff4830a8801f3dfa7f84e7c01a3f339baa9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e64f166eb03d5e657185abb04e25fff4830a8801f3dfa7f84e7c01a3f339baa9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e64f166eb03d5e657185abb04e25fff4830a8801f3dfa7f84e7c01a3f339baa9</t>
        </is>
      </c>
      <c r="BH180" s="24" t="inlineStr">
        <is>
          <t>2026-09-06T04:34:42.169500Z</t>
        </is>
      </c>
      <c r="BI180" s="24" t="inlineStr">
        <is>
          <t>["same_event","same_team_same_day","same_league_same_day"]</t>
        </is>
      </c>
      <c r="BJ180" s="25" t="n"/>
      <c r="BK180" s="26" t="n">
        <v>178</v>
      </c>
      <c r="BL180" s="27" t="n">
        <v>2.78</v>
      </c>
      <c r="BM180" s="28" t="n">
        <v>0.359712</v>
      </c>
      <c r="BN180" s="28" t="n"/>
      <c r="BO180" s="28" t="n"/>
      <c r="BP180" s="25" t="n"/>
      <c r="BQ180" s="27" t="n">
        <v>2.78</v>
      </c>
      <c r="BR180" s="28" t="n">
        <v>0.36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0.359712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1897e86527384a82</t>
        </is>
      </c>
      <c r="B181" s="24" t="inlineStr">
        <is>
          <t>2026-09-06T10:03:23.742788Z</t>
        </is>
      </c>
      <c r="C181" s="24" t="inlineStr">
        <is>
          <t>2026-09-06T16:00Z</t>
        </is>
      </c>
      <c r="D181" s="24" t="inlineStr">
        <is>
          <t>401874751</t>
        </is>
      </c>
      <c r="E181" s="24" t="inlineStr">
        <is>
          <t>SOCCER</t>
        </is>
      </c>
      <c r="F181" s="24" t="inlineStr">
        <is>
          <t>Sassuolo</t>
        </is>
      </c>
      <c r="G181" s="24" t="inlineStr">
        <is>
          <t>Bologna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113</v>
      </c>
      <c r="M181" s="27" t="n">
        <v>2.13</v>
      </c>
      <c r="N181" s="28" t="n">
        <v>0.469484</v>
      </c>
      <c r="O181" s="28" t="n">
        <v>0.475116</v>
      </c>
      <c r="P181" s="28" t="n">
        <v>0.04</v>
      </c>
      <c r="Q181" s="28" t="n">
        <v>0.005632</v>
      </c>
      <c r="R181" s="26" t="n">
        <v>29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loss</t>
        </is>
      </c>
      <c r="W181" s="26" t="n">
        <v>2</v>
      </c>
      <c r="X181" s="26" t="n">
        <v>2</v>
      </c>
      <c r="Y181" s="25" t="n"/>
      <c r="Z181" s="26" t="n">
        <v>113</v>
      </c>
      <c r="AA181" s="28" t="n">
        <v>0.47</v>
      </c>
      <c r="AB181" s="28" t="n">
        <v>0.000516</v>
      </c>
      <c r="AC181" s="30" t="n">
        <v>-1</v>
      </c>
      <c r="AD181" s="24" t="inlineStr">
        <is>
          <t>2026-09-06T22:00:17.117122Z</t>
        </is>
      </c>
      <c r="AE181" s="31" t="inlineStr">
        <is>
          <t>Poisson-DC rates 1.55 (home) / 1.06 (away) from EWMA attack/defense strengths. Executable ask 0.4700 (atc-sea-bol-sas-2026-09-06-bol).</t>
        </is>
      </c>
      <c r="AF181" s="31" t="inlineStr">
        <is>
          <t>Research-only soccer score model; draw-aware, but not yet locked-holdout qualified.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4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Sassuolo</t>
        </is>
      </c>
      <c r="AQ181" s="24" t="inlineStr">
        <is>
          <t>Sassuolo</t>
        </is>
      </c>
      <c r="AR181" s="24" t="inlineStr">
        <is>
          <t>Sassuolo</t>
        </is>
      </c>
      <c r="AS181" s="24" t="inlineStr">
        <is>
          <t>Bologna</t>
        </is>
      </c>
      <c r="AT181" s="24" t="inlineStr">
        <is>
          <t>Bologna</t>
        </is>
      </c>
      <c r="AU181" s="24" t="inlineStr">
        <is>
          <t>Bologna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e64f166eb03d5e657185abb04e25fff4830a8801f3dfa7f84e7c01a3f339baa9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e64f166eb03d5e657185abb04e25fff4830a8801f3dfa7f84e7c01a3f339baa9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e64f166eb03d5e657185abb04e25fff4830a8801f3dfa7f84e7c01a3f339baa9</t>
        </is>
      </c>
      <c r="BH181" s="24" t="inlineStr">
        <is>
          <t>2026-09-06T04:34:42.311376Z</t>
        </is>
      </c>
      <c r="BI181" s="24" t="inlineStr">
        <is>
          <t>["same_event","same_team_same_day","same_league_same_day"]</t>
        </is>
      </c>
      <c r="BJ181" s="25" t="n"/>
      <c r="BK181" s="26" t="n">
        <v>113</v>
      </c>
      <c r="BL181" s="27" t="n">
        <v>2.13</v>
      </c>
      <c r="BM181" s="28" t="n">
        <v>0.469484</v>
      </c>
      <c r="BN181" s="28" t="n"/>
      <c r="BO181" s="28" t="n"/>
      <c r="BP181" s="25" t="n"/>
      <c r="BQ181" s="27" t="n">
        <v>2.13</v>
      </c>
      <c r="BR181" s="28" t="n">
        <v>0.47</v>
      </c>
      <c r="BS181" s="28" t="n"/>
      <c r="BT181" s="28" t="n"/>
      <c r="BU181" s="25" t="n"/>
      <c r="BV181" s="29" t="n"/>
      <c r="BW181" s="24" t="n"/>
      <c r="BX181" s="30" t="n">
        <v>1</v>
      </c>
      <c r="BY181" s="27" t="n">
        <v>-1</v>
      </c>
      <c r="BZ181" s="24" t="inlineStr">
        <is>
          <t>2026-09-06T22:00:17.117122Z</t>
        </is>
      </c>
      <c r="CA181" s="31" t="inlineStr">
        <is>
          <t>fixed one-unit hypothetical scoring; no real exposure or execution</t>
        </is>
      </c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0.469484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b27e9ee9b1704fae</t>
        </is>
      </c>
      <c r="B182" s="24" t="inlineStr">
        <is>
          <t>2026-09-06T10:03:23.742788Z</t>
        </is>
      </c>
      <c r="C182" s="24" t="inlineStr">
        <is>
          <t>2026-09-06T14:00Z</t>
        </is>
      </c>
      <c r="D182" s="24" t="inlineStr">
        <is>
          <t>401841219</t>
        </is>
      </c>
      <c r="E182" s="24" t="inlineStr">
        <is>
          <t>SOCCER</t>
        </is>
      </c>
      <c r="F182" s="24" t="inlineStr">
        <is>
          <t>Mirassol</t>
        </is>
      </c>
      <c r="G182" s="24" t="inlineStr">
        <is>
          <t>Coritiba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144</v>
      </c>
      <c r="M182" s="27" t="n">
        <v>2.44</v>
      </c>
      <c r="N182" s="28" t="n">
        <v>0.409836</v>
      </c>
      <c r="O182" s="28" t="n">
        <v>0.440521</v>
      </c>
      <c r="P182" s="28" t="n">
        <v>0.2</v>
      </c>
      <c r="Q182" s="28" t="n">
        <v>0.030685</v>
      </c>
      <c r="R182" s="26" t="n">
        <v>0</v>
      </c>
      <c r="S182" s="29" t="n">
        <v>1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loss</t>
        </is>
      </c>
      <c r="W182" s="26" t="n">
        <v>2</v>
      </c>
      <c r="X182" s="26" t="n">
        <v>1</v>
      </c>
      <c r="Y182" s="25" t="n"/>
      <c r="Z182" s="26" t="n">
        <v>144</v>
      </c>
      <c r="AA182" s="28" t="n">
        <v>0.41</v>
      </c>
      <c r="AB182" s="28" t="n">
        <v>0.000164</v>
      </c>
      <c r="AC182" s="30" t="n">
        <v>-1</v>
      </c>
      <c r="AD182" s="24" t="inlineStr">
        <is>
          <t>2026-09-06T22:00:18.748373Z</t>
        </is>
      </c>
      <c r="AE182" s="31" t="inlineStr">
        <is>
          <t>Poisson-DC rates 1.46 (home) / 1.10 (away) from EWMA attack/defense strengths. Executable ask 0.4100 (atc-bra-cor-mir-2026-09-06-cor).</t>
        </is>
      </c>
      <c r="AF182" s="31" t="inlineStr">
        <is>
          <t>Research-only soccer score model; draw-aware, but not yet locked-holdout qualified.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PAPER_CALL_MODEL_UNVALIDATED</t>
        </is>
      </c>
      <c r="AP182" s="24" t="inlineStr">
        <is>
          <t>Mirassol</t>
        </is>
      </c>
      <c r="AQ182" s="24" t="inlineStr">
        <is>
          <t>Mirassol</t>
        </is>
      </c>
      <c r="AR182" s="24" t="inlineStr">
        <is>
          <t>Mirassol</t>
        </is>
      </c>
      <c r="AS182" s="24" t="inlineStr">
        <is>
          <t>Coritiba</t>
        </is>
      </c>
      <c r="AT182" s="24" t="inlineStr">
        <is>
          <t>Coritiba</t>
        </is>
      </c>
      <c r="AU182" s="24" t="inlineStr">
        <is>
          <t>Coritiba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e64f166eb03d5e657185abb04e25fff4830a8801f3dfa7f84e7c01a3f339baa9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e64f166eb03d5e657185abb04e25fff4830a8801f3dfa7f84e7c01a3f339baa9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e64f166eb03d5e657185abb04e25fff4830a8801f3dfa7f84e7c01a3f339baa9</t>
        </is>
      </c>
      <c r="BH182" s="24" t="inlineStr">
        <is>
          <t>2026-09-06T04:34:43.642897Z</t>
        </is>
      </c>
      <c r="BI182" s="24" t="inlineStr">
        <is>
          <t>["same_event","same_team_same_day","same_league_same_day"]</t>
        </is>
      </c>
      <c r="BJ182" s="25" t="n"/>
      <c r="BK182" s="26" t="n">
        <v>144</v>
      </c>
      <c r="BL182" s="27" t="n">
        <v>2.44</v>
      </c>
      <c r="BM182" s="28" t="n">
        <v>0.409836</v>
      </c>
      <c r="BN182" s="28" t="n"/>
      <c r="BO182" s="28" t="n"/>
      <c r="BP182" s="25" t="n"/>
      <c r="BQ182" s="27" t="n">
        <v>2.44</v>
      </c>
      <c r="BR182" s="28" t="n">
        <v>0.41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-1</v>
      </c>
      <c r="BZ182" s="24" t="inlineStr">
        <is>
          <t>2026-09-06T22:00:18.748373Z</t>
        </is>
      </c>
      <c r="CA182" s="31" t="inlineStr">
        <is>
          <t>fixed one-unit hypothetical scoring; no real exposure or execution</t>
        </is>
      </c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0.409836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0aadf41145d0448f</t>
        </is>
      </c>
      <c r="B183" s="24" t="inlineStr">
        <is>
          <t>2026-09-06T10:03:23.742788Z</t>
        </is>
      </c>
      <c r="C183" s="24" t="inlineStr">
        <is>
          <t>2026-09-06T15:30Z</t>
        </is>
      </c>
      <c r="D183" s="24" t="inlineStr">
        <is>
          <t>401850649</t>
        </is>
      </c>
      <c r="E183" s="24" t="inlineStr">
        <is>
          <t>SOCCER</t>
        </is>
      </c>
      <c r="F183" s="24" t="inlineStr">
        <is>
          <t>Ñublense</t>
        </is>
      </c>
      <c r="G183" s="24" t="inlineStr">
        <is>
          <t>La Serena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156</v>
      </c>
      <c r="M183" s="27" t="n">
        <v>2.56</v>
      </c>
      <c r="N183" s="28" t="n">
        <v>0.390625</v>
      </c>
      <c r="O183" s="28" t="n">
        <v>0.473701</v>
      </c>
      <c r="P183" s="28" t="n">
        <v>0.2</v>
      </c>
      <c r="Q183" s="28" t="n">
        <v>0.083076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win</t>
        </is>
      </c>
      <c r="W183" s="26" t="n">
        <v>1</v>
      </c>
      <c r="X183" s="26" t="n">
        <v>2</v>
      </c>
      <c r="Y183" s="25" t="n"/>
      <c r="Z183" s="26" t="n">
        <v>156</v>
      </c>
      <c r="AA183" s="28" t="n">
        <v>0.39</v>
      </c>
      <c r="AB183" s="28" t="n">
        <v>-0.000625</v>
      </c>
      <c r="AC183" s="30" t="n">
        <v>1.56</v>
      </c>
      <c r="AD183" s="24" t="inlineStr">
        <is>
          <t>2026-09-06T22:00:20.067486Z</t>
        </is>
      </c>
      <c r="AE183" s="31" t="inlineStr">
        <is>
          <t>Poisson-DC rates 1.59 (home) / 1.10 (away) from EWMA attack/defense strengths. Executable ask 0.3900 (atc-pdc-ser-nub-2026-09-06-ser).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PAPER_CALL_MODEL_UNVALIDATED</t>
        </is>
      </c>
      <c r="AP183" s="24" t="inlineStr">
        <is>
          <t>Ñublense</t>
        </is>
      </c>
      <c r="AQ183" s="24" t="inlineStr">
        <is>
          <t>Ñublense</t>
        </is>
      </c>
      <c r="AR183" s="24" t="inlineStr">
        <is>
          <t>Ñublense</t>
        </is>
      </c>
      <c r="AS183" s="24" t="inlineStr">
        <is>
          <t>La Serena</t>
        </is>
      </c>
      <c r="AT183" s="24" t="inlineStr">
        <is>
          <t>La Serena</t>
        </is>
      </c>
      <c r="AU183" s="24" t="inlineStr">
        <is>
          <t>La Serena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e64f166eb03d5e657185abb04e25fff4830a8801f3dfa7f84e7c01a3f339baa9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e64f166eb03d5e657185abb04e25fff4830a8801f3dfa7f84e7c01a3f339baa9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e64f166eb03d5e657185abb04e25fff4830a8801f3dfa7f84e7c01a3f339baa9</t>
        </is>
      </c>
      <c r="BH183" s="24" t="inlineStr">
        <is>
          <t>2026-09-06T04:34:45.303238Z</t>
        </is>
      </c>
      <c r="BI183" s="24" t="inlineStr">
        <is>
          <t>["same_event","same_team_same_day","same_league_same_day"]</t>
        </is>
      </c>
      <c r="BJ183" s="25" t="n"/>
      <c r="BK183" s="26" t="n">
        <v>156</v>
      </c>
      <c r="BL183" s="27" t="n">
        <v>2.56</v>
      </c>
      <c r="BM183" s="28" t="n">
        <v>0.390625</v>
      </c>
      <c r="BN183" s="28" t="n"/>
      <c r="BO183" s="28" t="n"/>
      <c r="BP183" s="25" t="n"/>
      <c r="BQ183" s="27" t="n">
        <v>2.56</v>
      </c>
      <c r="BR183" s="28" t="n">
        <v>0.39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1.56</v>
      </c>
      <c r="BZ183" s="24" t="inlineStr">
        <is>
          <t>2026-09-06T22:00:20.067486Z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0.390625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959bb4672a1746b6</t>
        </is>
      </c>
      <c r="B184" s="24" t="inlineStr">
        <is>
          <t>2026-09-06T10:03:23.742788Z</t>
        </is>
      </c>
      <c r="C184" s="24" t="inlineStr">
        <is>
          <t>2026-09-06T13:00Z</t>
        </is>
      </c>
      <c r="D184" s="24" t="inlineStr">
        <is>
          <t>401914271</t>
        </is>
      </c>
      <c r="E184" s="24" t="inlineStr">
        <is>
          <t>SOCCER</t>
        </is>
      </c>
      <c r="F184" s="24" t="inlineStr">
        <is>
          <t>Racing (Montevideo)</t>
        </is>
      </c>
      <c r="G184" s="24" t="inlineStr">
        <is>
          <t>Cerro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400</v>
      </c>
      <c r="M184" s="27" t="n">
        <v>5</v>
      </c>
      <c r="N184" s="28" t="n">
        <v>0.2</v>
      </c>
      <c r="O184" s="28" t="n">
        <v>0.456135</v>
      </c>
      <c r="P184" s="28" t="n">
        <v>0.2</v>
      </c>
      <c r="Q184" s="28" t="n">
        <v>0.256135</v>
      </c>
      <c r="R184" s="26" t="n">
        <v>58</v>
      </c>
      <c r="S184" s="29" t="n">
        <v>1.25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400</v>
      </c>
      <c r="AA184" s="28" t="n">
        <v>0.2</v>
      </c>
      <c r="AB184" s="28" t="n">
        <v>0</v>
      </c>
      <c r="AC184" s="30" t="n">
        <v>5</v>
      </c>
      <c r="AD184" s="24" t="inlineStr">
        <is>
          <t>2026-09-06T16:00:18.386478Z</t>
        </is>
      </c>
      <c r="AE184" s="31" t="inlineStr">
        <is>
          <t>Poisson-DC rates 1.64 (home) / 1.24 (away) from EWMA attack/defense strengths. Executable ask 0.2000 (atc-uru1-cer-rcm-2026-09-06-cer).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PAPER_CALL_MODEL_UNVALIDATED</t>
        </is>
      </c>
      <c r="AP184" s="24" t="inlineStr">
        <is>
          <t>Racing (Montevideo)</t>
        </is>
      </c>
      <c r="AQ184" s="24" t="inlineStr">
        <is>
          <t>Racing (Montevideo)</t>
        </is>
      </c>
      <c r="AR184" s="24" t="inlineStr">
        <is>
          <t>Racing (Montevideo)</t>
        </is>
      </c>
      <c r="AS184" s="24" t="inlineStr">
        <is>
          <t>Cerro</t>
        </is>
      </c>
      <c r="AT184" s="24" t="inlineStr">
        <is>
          <t>Cerro</t>
        </is>
      </c>
      <c r="AU184" s="24" t="inlineStr">
        <is>
          <t>Cerro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e64f166eb03d5e657185abb04e25fff4830a8801f3dfa7f84e7c01a3f339baa9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e64f166eb03d5e657185abb04e25fff4830a8801f3dfa7f84e7c01a3f339baa9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e64f166eb03d5e657185abb04e25fff4830a8801f3dfa7f84e7c01a3f339baa9</t>
        </is>
      </c>
      <c r="BH184" s="24" t="inlineStr">
        <is>
          <t>2026-09-06T04:34:45.363631Z</t>
        </is>
      </c>
      <c r="BI184" s="24" t="inlineStr">
        <is>
          <t>["same_event","same_team_same_day","same_league_same_day"]</t>
        </is>
      </c>
      <c r="BJ184" s="25" t="n"/>
      <c r="BK184" s="26" t="n">
        <v>400</v>
      </c>
      <c r="BL184" s="27" t="n">
        <v>5</v>
      </c>
      <c r="BM184" s="28" t="n">
        <v>0.2</v>
      </c>
      <c r="BN184" s="28" t="n"/>
      <c r="BO184" s="28" t="n"/>
      <c r="BP184" s="25" t="n"/>
      <c r="BQ184" s="27" t="n">
        <v>5</v>
      </c>
      <c r="BR184" s="28" t="n">
        <v>0.2</v>
      </c>
      <c r="BS184" s="28" t="n"/>
      <c r="BT184" s="28" t="n"/>
      <c r="BU184" s="25" t="n"/>
      <c r="BV184" s="29" t="n"/>
      <c r="BW184" s="24" t="n"/>
      <c r="BX184" s="30" t="n">
        <v>1</v>
      </c>
      <c r="BY184" s="27" t="n">
        <v>4</v>
      </c>
      <c r="BZ184" s="24" t="inlineStr">
        <is>
          <t>2026-09-06T16:00:18.386478Z</t>
        </is>
      </c>
      <c r="CA184" s="31" t="inlineStr">
        <is>
          <t>fixed one-unit hypothetical scoring; no real exposure or execution</t>
        </is>
      </c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0.2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c34dd546cebf4d4d</t>
        </is>
      </c>
      <c r="B185" s="24" t="inlineStr">
        <is>
          <t>2026-09-06T16:03:10.038643Z</t>
        </is>
      </c>
      <c r="C185" s="24" t="inlineStr">
        <is>
          <t>2026-09-06T19:00Z</t>
        </is>
      </c>
      <c r="D185" s="24" t="inlineStr">
        <is>
          <t>401882892</t>
        </is>
      </c>
      <c r="E185" s="24" t="inlineStr">
        <is>
          <t>SOCCER</t>
        </is>
      </c>
      <c r="F185" s="24" t="inlineStr">
        <is>
          <t>Sevilla</t>
        </is>
      </c>
      <c r="G185" s="24" t="inlineStr">
        <is>
          <t>Espanyol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133</v>
      </c>
      <c r="M185" s="27" t="n">
        <v>2.33</v>
      </c>
      <c r="N185" s="28" t="n">
        <v>0.429185</v>
      </c>
      <c r="O185" s="28" t="n">
        <v>0.435896</v>
      </c>
      <c r="P185" s="28" t="n">
        <v>0.04</v>
      </c>
      <c r="Q185" s="28" t="n">
        <v>0.006711</v>
      </c>
      <c r="R185" s="26" t="n">
        <v>29</v>
      </c>
      <c r="S185" s="29" t="n">
        <v>1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1</v>
      </c>
      <c r="Y185" s="25" t="n"/>
      <c r="Z185" s="26" t="n">
        <v>133</v>
      </c>
      <c r="AA185" s="28" t="n">
        <v>0.43</v>
      </c>
      <c r="AB185" s="28" t="n">
        <v>0.000815</v>
      </c>
      <c r="AC185" s="30" t="n">
        <v>-1</v>
      </c>
      <c r="AD185" s="24" t="inlineStr">
        <is>
          <t>2026-09-06T22:00:52.304280Z</t>
        </is>
      </c>
      <c r="AE185" s="31" t="inlineStr">
        <is>
          <t>Poisson-DC rates 1.40 (home) / 1.06 (away) from EWMA attack/defense strengths. Executable ask 0.4300 (atc-lal-esp-sev-2026-09-06-esp).</t>
        </is>
      </c>
      <c r="AF185" s="31" t="inlineStr">
        <is>
          <t>Research-only soccer score model; draw-aware, but not yet locked-holdout qualified.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Sevilla</t>
        </is>
      </c>
      <c r="AQ185" s="24" t="inlineStr">
        <is>
          <t>Sevilla</t>
        </is>
      </c>
      <c r="AR185" s="24" t="inlineStr">
        <is>
          <t>Sevilla</t>
        </is>
      </c>
      <c r="AS185" s="24" t="inlineStr">
        <is>
          <t>Espanyol</t>
        </is>
      </c>
      <c r="AT185" s="24" t="inlineStr">
        <is>
          <t>Espanyol</t>
        </is>
      </c>
      <c r="AU185" s="24" t="inlineStr">
        <is>
          <t>Espanyol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e64f166eb03d5e657185abb04e25fff4830a8801f3dfa7f84e7c01a3f339baa9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e64f166eb03d5e657185abb04e25fff4830a8801f3dfa7f84e7c01a3f339baa9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e64f166eb03d5e657185abb04e25fff4830a8801f3dfa7f84e7c01a3f339baa9</t>
        </is>
      </c>
      <c r="BH185" s="24" t="inlineStr">
        <is>
          <t>2026-09-06T16:02:24.710118Z</t>
        </is>
      </c>
      <c r="BI185" s="24" t="inlineStr">
        <is>
          <t>["same_event","same_team_same_day","same_league_same_day"]</t>
        </is>
      </c>
      <c r="BJ185" s="25" t="n"/>
      <c r="BK185" s="26" t="n">
        <v>133</v>
      </c>
      <c r="BL185" s="27" t="n">
        <v>2.33</v>
      </c>
      <c r="BM185" s="28" t="n">
        <v>0.429185</v>
      </c>
      <c r="BN185" s="28" t="n"/>
      <c r="BO185" s="28" t="n"/>
      <c r="BP185" s="25" t="n"/>
      <c r="BQ185" s="27" t="n">
        <v>2.33</v>
      </c>
      <c r="BR185" s="28" t="n">
        <v>0.43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2026-09-06T22:00:52.304280Z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0.429185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f2933888b41746fe</t>
        </is>
      </c>
      <c r="B186" s="24" t="inlineStr">
        <is>
          <t>2026-09-06T16:03:10.038643Z</t>
        </is>
      </c>
      <c r="C186" s="24" t="inlineStr">
        <is>
          <t>2026-09-06T18:45Z</t>
        </is>
      </c>
      <c r="D186" s="24" t="inlineStr">
        <is>
          <t>401874954</t>
        </is>
      </c>
      <c r="E186" s="24" t="inlineStr">
        <is>
          <t>SOCCER</t>
        </is>
      </c>
      <c r="F186" s="24" t="inlineStr">
        <is>
          <t>AC Milan</t>
        </is>
      </c>
      <c r="G186" s="24" t="inlineStr">
        <is>
          <t>Juventus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117</v>
      </c>
      <c r="M186" s="27" t="n">
        <v>2.17</v>
      </c>
      <c r="N186" s="28" t="n">
        <v>0.460829</v>
      </c>
      <c r="O186" s="28" t="n">
        <v>0.542566</v>
      </c>
      <c r="P186" s="28" t="n">
        <v>0.04</v>
      </c>
      <c r="Q186" s="28" t="n">
        <v>0.081737</v>
      </c>
      <c r="R186" s="26" t="n">
        <v>67</v>
      </c>
      <c r="S186" s="29" t="n">
        <v>1.25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1</v>
      </c>
      <c r="Y186" s="25" t="n"/>
      <c r="Z186" s="26" t="n">
        <v>117</v>
      </c>
      <c r="AA186" s="28" t="n">
        <v>0.46</v>
      </c>
      <c r="AB186" s="28" t="n">
        <v>-0.000829</v>
      </c>
      <c r="AC186" s="30" t="n">
        <v>-1.25</v>
      </c>
      <c r="AD186" s="24" t="inlineStr">
        <is>
          <t>2026-09-06T22:00:53.331036Z</t>
        </is>
      </c>
      <c r="AE186" s="31" t="inlineStr">
        <is>
          <t>Poisson-DC rates 1.56 (home) / 0.80 (away) from EWMA attack/defense strengths. Executable ask 0.4600 (atc-sea-juv-mil-2026-09-06-juv).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AC Milan</t>
        </is>
      </c>
      <c r="AQ186" s="24" t="inlineStr">
        <is>
          <t>AC Milan</t>
        </is>
      </c>
      <c r="AR186" s="24" t="inlineStr">
        <is>
          <t>AC Milan</t>
        </is>
      </c>
      <c r="AS186" s="24" t="inlineStr">
        <is>
          <t>Juventus</t>
        </is>
      </c>
      <c r="AT186" s="24" t="inlineStr">
        <is>
          <t>Juventus</t>
        </is>
      </c>
      <c r="AU186" s="24" t="inlineStr">
        <is>
          <t>Juventus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e64f166eb03d5e657185abb04e25fff4830a8801f3dfa7f84e7c01a3f339baa9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e64f166eb03d5e657185abb04e25fff4830a8801f3dfa7f84e7c01a3f339baa9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e64f166eb03d5e657185abb04e25fff4830a8801f3dfa7f84e7c01a3f339baa9</t>
        </is>
      </c>
      <c r="BH186" s="24" t="inlineStr">
        <is>
          <t>2026-09-06T16:02:25.088863Z</t>
        </is>
      </c>
      <c r="BI186" s="24" t="inlineStr">
        <is>
          <t>["same_event","same_team_same_day","same_league_same_day"]</t>
        </is>
      </c>
      <c r="BJ186" s="25" t="n"/>
      <c r="BK186" s="26" t="n">
        <v>117</v>
      </c>
      <c r="BL186" s="27" t="n">
        <v>2.17</v>
      </c>
      <c r="BM186" s="28" t="n">
        <v>0.460829</v>
      </c>
      <c r="BN186" s="28" t="n"/>
      <c r="BO186" s="28" t="n"/>
      <c r="BP186" s="25" t="n"/>
      <c r="BQ186" s="27" t="n">
        <v>2.17</v>
      </c>
      <c r="BR186" s="28" t="n">
        <v>0.46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0.460829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17db77f5f0334db1</t>
        </is>
      </c>
      <c r="B187" s="24" t="inlineStr">
        <is>
          <t>2026-09-06T16:03:10.038643Z</t>
        </is>
      </c>
      <c r="C187" s="24" t="inlineStr">
        <is>
          <t>2026-09-06T19:00Z</t>
        </is>
      </c>
      <c r="D187" s="24" t="inlineStr">
        <is>
          <t>401841223</t>
        </is>
      </c>
      <c r="E187" s="24" t="inlineStr">
        <is>
          <t>SOCCER</t>
        </is>
      </c>
      <c r="F187" s="24" t="inlineStr">
        <is>
          <t>Santos</t>
        </is>
      </c>
      <c r="G187" s="24" t="inlineStr">
        <is>
          <t>Internacional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104</v>
      </c>
      <c r="M187" s="27" t="n">
        <v>2.04</v>
      </c>
      <c r="N187" s="28" t="n">
        <v>0.490196</v>
      </c>
      <c r="O187" s="28" t="n">
        <v>0.456135</v>
      </c>
      <c r="P187" s="28" t="n">
        <v>0.2</v>
      </c>
      <c r="Q187" s="28" t="n">
        <v>-0.034061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loss</t>
        </is>
      </c>
      <c r="W187" s="26" t="n">
        <v>3</v>
      </c>
      <c r="X187" s="26" t="n">
        <v>2</v>
      </c>
      <c r="Y187" s="25" t="n"/>
      <c r="Z187" s="26" t="n">
        <v>104</v>
      </c>
      <c r="AA187" s="28" t="n">
        <v>0.49</v>
      </c>
      <c r="AB187" s="28" t="n">
        <v>-0.000196</v>
      </c>
      <c r="AC187" s="30" t="n">
        <v>-1</v>
      </c>
      <c r="AD187" s="24" t="inlineStr">
        <is>
          <t>2026-09-06T22:00:54.368530Z</t>
        </is>
      </c>
      <c r="AE187" s="31" t="inlineStr">
        <is>
          <t>Poisson-DC rates 1.64 (home) / 1.24 (away) from EWMA attack/defense strengths. Executable ask 0.4900 (atc-bra-int-san-2026-09-06-int).</t>
        </is>
      </c>
      <c r="AF187" s="31" t="inlineStr">
        <is>
          <t>Research-only soccer score model; draw-aware, but not yet locked-holdout qualified.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PAPER_CALL_MODEL_UNVALIDATED</t>
        </is>
      </c>
      <c r="AP187" s="24" t="inlineStr">
        <is>
          <t>Santos</t>
        </is>
      </c>
      <c r="AQ187" s="24" t="inlineStr">
        <is>
          <t>Santos</t>
        </is>
      </c>
      <c r="AR187" s="24" t="inlineStr">
        <is>
          <t>Santos</t>
        </is>
      </c>
      <c r="AS187" s="24" t="inlineStr">
        <is>
          <t>Internacional</t>
        </is>
      </c>
      <c r="AT187" s="24" t="inlineStr">
        <is>
          <t>Internacional</t>
        </is>
      </c>
      <c r="AU187" s="24" t="inlineStr">
        <is>
          <t>Internacional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e64f166eb03d5e657185abb04e25fff4830a8801f3dfa7f84e7c01a3f339baa9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e64f166eb03d5e657185abb04e25fff4830a8801f3dfa7f84e7c01a3f339baa9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e64f166eb03d5e657185abb04e25fff4830a8801f3dfa7f84e7c01a3f339baa9</t>
        </is>
      </c>
      <c r="BH187" s="24" t="inlineStr">
        <is>
          <t>2026-09-06T16:02:25.503105Z</t>
        </is>
      </c>
      <c r="BI187" s="24" t="inlineStr">
        <is>
          <t>["same_event","same_team_same_day","same_league_same_day"]</t>
        </is>
      </c>
      <c r="BJ187" s="25" t="n"/>
      <c r="BK187" s="26" t="n">
        <v>104</v>
      </c>
      <c r="BL187" s="27" t="n">
        <v>2.04</v>
      </c>
      <c r="BM187" s="28" t="n">
        <v>0.490196</v>
      </c>
      <c r="BN187" s="28" t="n"/>
      <c r="BO187" s="28" t="n"/>
      <c r="BP187" s="25" t="n"/>
      <c r="BQ187" s="27" t="n">
        <v>2.04</v>
      </c>
      <c r="BR187" s="28" t="n">
        <v>0.49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-1</v>
      </c>
      <c r="BZ187" s="24" t="inlineStr">
        <is>
          <t>2026-09-06T22:00:54.368530Z</t>
        </is>
      </c>
      <c r="CA187" s="31" t="inlineStr">
        <is>
          <t>fixed one-unit hypothetical scoring; no real exposure or execution</t>
        </is>
      </c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0.490196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7d1559d0bcc8468d</t>
        </is>
      </c>
      <c r="B188" s="24" t="inlineStr">
        <is>
          <t>2026-09-06T16:03:10.038643Z</t>
        </is>
      </c>
      <c r="C188" s="24" t="inlineStr">
        <is>
          <t>2026-09-06T19:00Z</t>
        </is>
      </c>
      <c r="D188" s="24" t="inlineStr">
        <is>
          <t>401841225</t>
        </is>
      </c>
      <c r="E188" s="24" t="inlineStr">
        <is>
          <t>SOCCER</t>
        </is>
      </c>
      <c r="F188" s="24" t="inlineStr">
        <is>
          <t>Flamengo</t>
        </is>
      </c>
      <c r="G188" s="24" t="inlineStr">
        <is>
          <t>Remo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614</v>
      </c>
      <c r="M188" s="27" t="n">
        <v>7.14</v>
      </c>
      <c r="N188" s="28" t="n">
        <v>0.140056</v>
      </c>
      <c r="O188" s="28" t="n">
        <v>0.456135</v>
      </c>
      <c r="P188" s="28" t="n">
        <v>0.2</v>
      </c>
      <c r="Q188" s="28" t="n">
        <v>0.316079</v>
      </c>
      <c r="R188" s="26" t="n">
        <v>88</v>
      </c>
      <c r="S188" s="29" t="n">
        <v>1.75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614</v>
      </c>
      <c r="AA188" s="28" t="n">
        <v>0.14</v>
      </c>
      <c r="AB188" s="28" t="n">
        <v>-5.6e-05</v>
      </c>
      <c r="AC188" s="30" t="n">
        <v>-1.75</v>
      </c>
      <c r="AD188" s="24" t="inlineStr">
        <is>
          <t>2026-09-06T22:00:55.393574Z</t>
        </is>
      </c>
      <c r="AE188" s="31" t="inlineStr">
        <is>
          <t>Poisson-DC rates 1.64 (home) / 1.24 (away) from EWMA attack/defense strengths. Executable ask 0.1400 (atc-bra-cre-fla-2026-09-06-cre).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PAPER_CALL_MODEL_UNVALIDATED</t>
        </is>
      </c>
      <c r="AP188" s="24" t="inlineStr">
        <is>
          <t>Flamengo</t>
        </is>
      </c>
      <c r="AQ188" s="24" t="inlineStr">
        <is>
          <t>Flamengo</t>
        </is>
      </c>
      <c r="AR188" s="24" t="inlineStr">
        <is>
          <t>Flamengo</t>
        </is>
      </c>
      <c r="AS188" s="24" t="inlineStr">
        <is>
          <t>Remo</t>
        </is>
      </c>
      <c r="AT188" s="24" t="inlineStr">
        <is>
          <t>Remo</t>
        </is>
      </c>
      <c r="AU188" s="24" t="inlineStr">
        <is>
          <t>Remo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e64f166eb03d5e657185abb04e25fff4830a8801f3dfa7f84e7c01a3f339baa9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e64f166eb03d5e657185abb04e25fff4830a8801f3dfa7f84e7c01a3f339baa9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e64f166eb03d5e657185abb04e25fff4830a8801f3dfa7f84e7c01a3f339baa9</t>
        </is>
      </c>
      <c r="BH188" s="24" t="inlineStr">
        <is>
          <t>2026-09-06T16:02:25.519269Z</t>
        </is>
      </c>
      <c r="BI188" s="24" t="inlineStr">
        <is>
          <t>["same_event","same_team_same_day","same_league_same_day"]</t>
        </is>
      </c>
      <c r="BJ188" s="25" t="n"/>
      <c r="BK188" s="26" t="n">
        <v>614</v>
      </c>
      <c r="BL188" s="27" t="n">
        <v>7.14</v>
      </c>
      <c r="BM188" s="28" t="n">
        <v>0.140056</v>
      </c>
      <c r="BN188" s="28" t="n"/>
      <c r="BO188" s="28" t="n"/>
      <c r="BP188" s="25" t="n"/>
      <c r="BQ188" s="27" t="n">
        <v>7.14</v>
      </c>
      <c r="BR188" s="28" t="n">
        <v>0.14</v>
      </c>
      <c r="BS188" s="28" t="n"/>
      <c r="BT188" s="28" t="n"/>
      <c r="BU188" s="25" t="n"/>
      <c r="BV188" s="29" t="n"/>
      <c r="BW188" s="24" t="n"/>
      <c r="BX188" s="30" t="n">
        <v>1</v>
      </c>
      <c r="BY188" s="27" t="n">
        <v>-1</v>
      </c>
      <c r="BZ188" s="24" t="inlineStr">
        <is>
          <t>2026-09-06T22:00:55.393574Z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0.140056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e42444e4cd7f470a</t>
        </is>
      </c>
      <c r="B189" s="24" t="inlineStr">
        <is>
          <t>2026-09-06T16:03:10.038643Z</t>
        </is>
      </c>
      <c r="C189" s="24" t="inlineStr">
        <is>
          <t>2026-09-06T21:30Z</t>
        </is>
      </c>
      <c r="D189" s="24" t="inlineStr">
        <is>
          <t>401841221</t>
        </is>
      </c>
      <c r="E189" s="24" t="inlineStr">
        <is>
          <t>SOCCER</t>
        </is>
      </c>
      <c r="F189" s="24" t="inlineStr">
        <is>
          <t>Palmeiras</t>
        </is>
      </c>
      <c r="G189" s="24" t="inlineStr">
        <is>
          <t>Botafogo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257</v>
      </c>
      <c r="M189" s="27" t="n">
        <v>3.57</v>
      </c>
      <c r="N189" s="28" t="n">
        <v>0.280112</v>
      </c>
      <c r="O189" s="28" t="n">
        <v>0.456135</v>
      </c>
      <c r="P189" s="28" t="n">
        <v>0.2</v>
      </c>
      <c r="Q189" s="28" t="n">
        <v>0.176023</v>
      </c>
      <c r="R189" s="26" t="n">
        <v>18</v>
      </c>
      <c r="S189" s="29" t="n">
        <v>1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0</v>
      </c>
      <c r="Y189" s="25" t="n"/>
      <c r="Z189" s="26" t="n">
        <v>257</v>
      </c>
      <c r="AA189" s="28" t="n">
        <v>0.28</v>
      </c>
      <c r="AB189" s="28" t="n">
        <v>-0.000112</v>
      </c>
      <c r="AC189" s="30" t="n">
        <v>-1</v>
      </c>
      <c r="AD189" s="24" t="inlineStr">
        <is>
          <t>2026-09-07T04:30:27.052541Z</t>
        </is>
      </c>
      <c r="AE189" s="31" t="inlineStr">
        <is>
          <t>Poisson-DC rates 1.64 (home) / 1.24 (away) from EWMA attack/defense strengths. Executable ask 0.2800 (atc-bra-bot-pal-2026-09-06-bot).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PAPER_CALL_MODEL_UNVALIDATED</t>
        </is>
      </c>
      <c r="AP189" s="24" t="inlineStr">
        <is>
          <t>Palmeiras</t>
        </is>
      </c>
      <c r="AQ189" s="24" t="inlineStr">
        <is>
          <t>Palmeiras</t>
        </is>
      </c>
      <c r="AR189" s="24" t="inlineStr">
        <is>
          <t>Palmeiras</t>
        </is>
      </c>
      <c r="AS189" s="24" t="inlineStr">
        <is>
          <t>Botafogo</t>
        </is>
      </c>
      <c r="AT189" s="24" t="inlineStr">
        <is>
          <t>Botafogo</t>
        </is>
      </c>
      <c r="AU189" s="24" t="inlineStr">
        <is>
          <t>Botafogo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e64f166eb03d5e657185abb04e25fff4830a8801f3dfa7f84e7c01a3f339baa9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e64f166eb03d5e657185abb04e25fff4830a8801f3dfa7f84e7c01a3f339baa9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e64f166eb03d5e657185abb04e25fff4830a8801f3dfa7f84e7c01a3f339baa9</t>
        </is>
      </c>
      <c r="BH189" s="24" t="inlineStr">
        <is>
          <t>2026-09-06T16:02:25.548478Z</t>
        </is>
      </c>
      <c r="BI189" s="24" t="inlineStr">
        <is>
          <t>["same_event","same_team_same_day","same_league_same_day"]</t>
        </is>
      </c>
      <c r="BJ189" s="25" t="n"/>
      <c r="BK189" s="26" t="n">
        <v>257</v>
      </c>
      <c r="BL189" s="27" t="n">
        <v>3.57</v>
      </c>
      <c r="BM189" s="28" t="n">
        <v>0.280112</v>
      </c>
      <c r="BN189" s="28" t="n"/>
      <c r="BO189" s="28" t="n"/>
      <c r="BP189" s="25" t="n"/>
      <c r="BQ189" s="27" t="n">
        <v>3.57</v>
      </c>
      <c r="BR189" s="28" t="n">
        <v>0.28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inlineStr">
        <is>
          <t>2026-09-07T04:30:27.052541Z</t>
        </is>
      </c>
      <c r="CA189" s="31" t="inlineStr">
        <is>
          <t>fixed one-unit hypothetical scoring; no real exposure or execution</t>
        </is>
      </c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0.280112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0522b8b4c49b40bd</t>
        </is>
      </c>
      <c r="B190" s="24" t="inlineStr">
        <is>
          <t>2026-09-06T16:03:10.038643Z</t>
        </is>
      </c>
      <c r="C190" s="24" t="inlineStr">
        <is>
          <t>2026-09-06T21:30Z</t>
        </is>
      </c>
      <c r="D190" s="24" t="inlineStr">
        <is>
          <t>401860314</t>
        </is>
      </c>
      <c r="E190" s="24" t="inlineStr">
        <is>
          <t>SOCCER</t>
        </is>
      </c>
      <c r="F190" s="24" t="inlineStr">
        <is>
          <t>São Bernardo</t>
        </is>
      </c>
      <c r="G190" s="24" t="inlineStr">
        <is>
          <t>Ponte Preta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900</v>
      </c>
      <c r="M190" s="27" t="n">
        <v>10</v>
      </c>
      <c r="N190" s="28" t="n">
        <v>0.1</v>
      </c>
      <c r="O190" s="28" t="n">
        <v>0.430486</v>
      </c>
      <c r="P190" s="28" t="n">
        <v>0.2</v>
      </c>
      <c r="Q190" s="28" t="n">
        <v>0.330486</v>
      </c>
      <c r="R190" s="26" t="n">
        <v>95</v>
      </c>
      <c r="S190" s="29" t="n">
        <v>1.75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loss</t>
        </is>
      </c>
      <c r="W190" s="26" t="n">
        <v>2</v>
      </c>
      <c r="X190" s="26" t="n">
        <v>0</v>
      </c>
      <c r="Y190" s="25" t="n"/>
      <c r="Z190" s="26" t="n">
        <v>900</v>
      </c>
      <c r="AA190" s="28" t="n">
        <v>0.1</v>
      </c>
      <c r="AB190" s="28" t="n">
        <v>0</v>
      </c>
      <c r="AC190" s="30" t="n">
        <v>-1.75</v>
      </c>
      <c r="AD190" s="24" t="inlineStr">
        <is>
          <t>2026-09-07T04:30:28.488795Z</t>
        </is>
      </c>
      <c r="AE190" s="31" t="inlineStr">
        <is>
          <t>Poisson-DC rates 1.59 (home) / 1.30 (away) from EWMA attack/defense strengths. Executable ask 0.1000 (atc-brb-pop-ber-2026-09-06-pop).</t>
        </is>
      </c>
      <c r="AF190" s="31" t="inlineStr">
        <is>
          <t>Research-only soccer score model; draw-aware, but not yet locked-holdout qualified.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PAPER_CALL_MODEL_UNVALIDATED</t>
        </is>
      </c>
      <c r="AP190" s="24" t="inlineStr">
        <is>
          <t>São Bernardo</t>
        </is>
      </c>
      <c r="AQ190" s="24" t="inlineStr">
        <is>
          <t>São Bernardo</t>
        </is>
      </c>
      <c r="AR190" s="24" t="inlineStr">
        <is>
          <t>São Bernardo</t>
        </is>
      </c>
      <c r="AS190" s="24" t="inlineStr">
        <is>
          <t>Ponte Preta</t>
        </is>
      </c>
      <c r="AT190" s="24" t="inlineStr">
        <is>
          <t>Ponte Preta</t>
        </is>
      </c>
      <c r="AU190" s="24" t="inlineStr">
        <is>
          <t>Ponte Preta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e64f166eb03d5e657185abb04e25fff4830a8801f3dfa7f84e7c01a3f339baa9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e64f166eb03d5e657185abb04e25fff4830a8801f3dfa7f84e7c01a3f339baa9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e64f166eb03d5e657185abb04e25fff4830a8801f3dfa7f84e7c01a3f339baa9</t>
        </is>
      </c>
      <c r="BH190" s="24" t="inlineStr">
        <is>
          <t>2026-09-06T16:02:25.554110Z</t>
        </is>
      </c>
      <c r="BI190" s="24" t="inlineStr">
        <is>
          <t>["same_event","same_team_same_day","same_league_same_day"]</t>
        </is>
      </c>
      <c r="BJ190" s="25" t="n"/>
      <c r="BK190" s="26" t="n">
        <v>900</v>
      </c>
      <c r="BL190" s="27" t="n">
        <v>10</v>
      </c>
      <c r="BM190" s="28" t="n">
        <v>0.1</v>
      </c>
      <c r="BN190" s="28" t="n"/>
      <c r="BO190" s="28" t="n"/>
      <c r="BP190" s="25" t="n"/>
      <c r="BQ190" s="27" t="n">
        <v>10</v>
      </c>
      <c r="BR190" s="28" t="n">
        <v>0.1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-1</v>
      </c>
      <c r="BZ190" s="24" t="inlineStr">
        <is>
          <t>2026-09-07T04:30:28.488795Z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0.1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37ce31e202a648dd</t>
        </is>
      </c>
      <c r="B191" s="24" t="inlineStr">
        <is>
          <t>2026-09-06T16:03:10.038643Z</t>
        </is>
      </c>
      <c r="C191" s="24" t="inlineStr">
        <is>
          <t>2026-09-06T17:45Z</t>
        </is>
      </c>
      <c r="D191" s="24" t="inlineStr">
        <is>
          <t>401841550</t>
        </is>
      </c>
      <c r="E191" s="24" t="inlineStr">
        <is>
          <t>SOCCER</t>
        </is>
      </c>
      <c r="F191" s="24" t="inlineStr">
        <is>
          <t>Newell's Old Boys</t>
        </is>
      </c>
      <c r="G191" s="24" t="inlineStr">
        <is>
          <t>Rosario Central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-163</v>
      </c>
      <c r="M191" s="27" t="n">
        <v>1.613497</v>
      </c>
      <c r="N191" s="28" t="n">
        <v>0.619772</v>
      </c>
      <c r="O191" s="28" t="n">
        <v>0.456135</v>
      </c>
      <c r="P191" s="28" t="n">
        <v>0.2</v>
      </c>
      <c r="Q191" s="28" t="n">
        <v>-0.163637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loss</t>
        </is>
      </c>
      <c r="W191" s="26" t="n">
        <v>1</v>
      </c>
      <c r="X191" s="26" t="n">
        <v>1</v>
      </c>
      <c r="Y191" s="25" t="n"/>
      <c r="Z191" s="26" t="n">
        <v>-163</v>
      </c>
      <c r="AA191" s="28" t="n">
        <v>0.62</v>
      </c>
      <c r="AB191" s="28" t="n">
        <v>0.000228</v>
      </c>
      <c r="AC191" s="30" t="n">
        <v>-1</v>
      </c>
      <c r="AD191" s="24" t="inlineStr">
        <is>
          <t>2026-09-06T22:00:56.434000Z</t>
        </is>
      </c>
      <c r="AE191" s="31" t="inlineStr">
        <is>
          <t>Poisson-DC rates 1.64 (home) / 1.24 (away) from EWMA attack/defense strengths. Executable ask 0.6200 (atc-lpa-ros-new-2026-09-06-ros).</t>
        </is>
      </c>
      <c r="AF191" s="31" t="inlineStr">
        <is>
          <t>Research-only soccer score model; draw-aware, but not yet locked-holdout qualified.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PAPER_CALL_MODEL_UNVALIDATED</t>
        </is>
      </c>
      <c r="AP191" s="24" t="inlineStr">
        <is>
          <t>Newell's Old Boys</t>
        </is>
      </c>
      <c r="AQ191" s="24" t="inlineStr">
        <is>
          <t>Newell's Old Boys</t>
        </is>
      </c>
      <c r="AR191" s="24" t="inlineStr">
        <is>
          <t>Newell's Old Boys</t>
        </is>
      </c>
      <c r="AS191" s="24" t="inlineStr">
        <is>
          <t>Rosario Central</t>
        </is>
      </c>
      <c r="AT191" s="24" t="inlineStr">
        <is>
          <t>Rosario Central</t>
        </is>
      </c>
      <c r="AU191" s="24" t="inlineStr">
        <is>
          <t>Rosario Central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e64f166eb03d5e657185abb04e25fff4830a8801f3dfa7f84e7c01a3f339baa9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e64f166eb03d5e657185abb04e25fff4830a8801f3dfa7f84e7c01a3f339baa9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e64f166eb03d5e657185abb04e25fff4830a8801f3dfa7f84e7c01a3f339baa9</t>
        </is>
      </c>
      <c r="BH191" s="24" t="inlineStr">
        <is>
          <t>2026-09-06T16:02:25.577373Z</t>
        </is>
      </c>
      <c r="BI191" s="24" t="inlineStr">
        <is>
          <t>["same_event","same_team_same_day","same_league_same_day"]</t>
        </is>
      </c>
      <c r="BJ191" s="25" t="n"/>
      <c r="BK191" s="26" t="n">
        <v>-163</v>
      </c>
      <c r="BL191" s="27" t="n">
        <v>1.613497</v>
      </c>
      <c r="BM191" s="28" t="n">
        <v>0.619772</v>
      </c>
      <c r="BN191" s="28" t="n"/>
      <c r="BO191" s="28" t="n"/>
      <c r="BP191" s="25" t="n"/>
      <c r="BQ191" s="27" t="n">
        <v>1.613497</v>
      </c>
      <c r="BR191" s="28" t="n">
        <v>0.62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inlineStr">
        <is>
          <t>2026-09-06T22:00:56.434000Z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0.619772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a9d7c5c044cc46c9</t>
        </is>
      </c>
      <c r="B192" s="24" t="inlineStr">
        <is>
          <t>2026-09-06T16:03:10.038643Z</t>
        </is>
      </c>
      <c r="C192" s="24" t="inlineStr">
        <is>
          <t>2026-09-06T18:00Z</t>
        </is>
      </c>
      <c r="D192" s="24" t="inlineStr">
        <is>
          <t>401844110</t>
        </is>
      </c>
      <c r="E192" s="24" t="inlineStr">
        <is>
          <t>SOCCER</t>
        </is>
      </c>
      <c r="F192" s="24" t="inlineStr">
        <is>
          <t>Atletico Rafaela</t>
        </is>
      </c>
      <c r="G192" s="24" t="inlineStr">
        <is>
          <t>Agropecuario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-104</v>
      </c>
      <c r="M192" s="27" t="n">
        <v>1.961538</v>
      </c>
      <c r="N192" s="28" t="n">
        <v>0.509804</v>
      </c>
      <c r="O192" s="28" t="n">
        <v>0.456135</v>
      </c>
      <c r="P192" s="28" t="n">
        <v>0.2</v>
      </c>
      <c r="Q192" s="28" t="n">
        <v>-0.053669</v>
      </c>
      <c r="R192" s="26" t="n">
        <v>0</v>
      </c>
      <c r="S192" s="29" t="n">
        <v>1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2</v>
      </c>
      <c r="Y192" s="25" t="n"/>
      <c r="Z192" s="26" t="n">
        <v>-104</v>
      </c>
      <c r="AA192" s="28" t="n">
        <v>0.51</v>
      </c>
      <c r="AB192" s="28" t="n">
        <v>0.000196</v>
      </c>
      <c r="AC192" s="30" t="n">
        <v>0.9615</v>
      </c>
      <c r="AD192" s="24" t="inlineStr">
        <is>
          <t>2026-09-06T22:00:57.404222Z</t>
        </is>
      </c>
      <c r="AE192" s="31" t="inlineStr">
        <is>
          <t>Poisson-DC rates 1.64 (home) / 1.24 (away) from EWMA attack/defense strengths. Executable ask 0.5100 (atc-arg2-caa-ar-2026-09-05-caa).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PAPER_CALL_MODEL_UNVALIDATED</t>
        </is>
      </c>
      <c r="AP192" s="24" t="inlineStr">
        <is>
          <t>Atletico Rafaela</t>
        </is>
      </c>
      <c r="AQ192" s="24" t="inlineStr">
        <is>
          <t>Atletico Rafaela</t>
        </is>
      </c>
      <c r="AR192" s="24" t="inlineStr">
        <is>
          <t>Atletico Rafaela</t>
        </is>
      </c>
      <c r="AS192" s="24" t="inlineStr">
        <is>
          <t>Agropecuario</t>
        </is>
      </c>
      <c r="AT192" s="24" t="inlineStr">
        <is>
          <t>Agropecuario</t>
        </is>
      </c>
      <c r="AU192" s="24" t="inlineStr">
        <is>
          <t>Agropecuario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e64f166eb03d5e657185abb04e25fff4830a8801f3dfa7f84e7c01a3f339baa9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e64f166eb03d5e657185abb04e25fff4830a8801f3dfa7f84e7c01a3f339baa9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e64f166eb03d5e657185abb04e25fff4830a8801f3dfa7f84e7c01a3f339baa9</t>
        </is>
      </c>
      <c r="BH192" s="24" t="inlineStr">
        <is>
          <t>2026-09-06T16:02:25.638586Z</t>
        </is>
      </c>
      <c r="BI192" s="24" t="inlineStr">
        <is>
          <t>["same_event","same_team_same_day","same_league_same_day"]</t>
        </is>
      </c>
      <c r="BJ192" s="25" t="n"/>
      <c r="BK192" s="26" t="n">
        <v>-104</v>
      </c>
      <c r="BL192" s="27" t="n">
        <v>1.961538</v>
      </c>
      <c r="BM192" s="28" t="n">
        <v>0.509804</v>
      </c>
      <c r="BN192" s="28" t="n"/>
      <c r="BO192" s="28" t="n"/>
      <c r="BP192" s="25" t="n"/>
      <c r="BQ192" s="27" t="n">
        <v>1.961538</v>
      </c>
      <c r="BR192" s="28" t="n">
        <v>0.51</v>
      </c>
      <c r="BS192" s="28" t="n"/>
      <c r="BT192" s="28" t="n"/>
      <c r="BU192" s="25" t="n"/>
      <c r="BV192" s="29" t="n"/>
      <c r="BW192" s="24" t="n"/>
      <c r="BX192" s="30" t="n">
        <v>1</v>
      </c>
      <c r="BY192" s="27" t="n">
        <v>0.961538</v>
      </c>
      <c r="BZ192" s="24" t="inlineStr">
        <is>
          <t>2026-09-06T22:00:57.404222Z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0.509804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5fc0974f1c104a24</t>
        </is>
      </c>
      <c r="B193" s="24" t="inlineStr">
        <is>
          <t>2026-09-06T16:03:10.038643Z</t>
        </is>
      </c>
      <c r="C193" s="24" t="inlineStr">
        <is>
          <t>2026-09-06T18:30Z</t>
        </is>
      </c>
      <c r="D193" s="24" t="inlineStr">
        <is>
          <t>401844111</t>
        </is>
      </c>
      <c r="E193" s="24" t="inlineStr">
        <is>
          <t>SOCCER</t>
        </is>
      </c>
      <c r="F193" s="24" t="inlineStr">
        <is>
          <t>Gimnasia y Esgrima (Jujuy)</t>
        </is>
      </c>
      <c r="G193" s="24" t="inlineStr">
        <is>
          <t>Almagro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178</v>
      </c>
      <c r="M193" s="27" t="n">
        <v>2.78</v>
      </c>
      <c r="N193" s="28" t="n">
        <v>0.359712</v>
      </c>
      <c r="O193" s="28" t="n">
        <v>0.456135</v>
      </c>
      <c r="P193" s="28" t="n">
        <v>0.2</v>
      </c>
      <c r="Q193" s="28" t="n">
        <v>0.09642299999999999</v>
      </c>
      <c r="R193" s="26" t="n">
        <v>0</v>
      </c>
      <c r="S193" s="29" t="n">
        <v>1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loss</t>
        </is>
      </c>
      <c r="W193" s="26" t="n">
        <v>2</v>
      </c>
      <c r="X193" s="26" t="n">
        <v>1</v>
      </c>
      <c r="Y193" s="25" t="n"/>
      <c r="Z193" s="26" t="n">
        <v>178</v>
      </c>
      <c r="AA193" s="28" t="n">
        <v>0.36</v>
      </c>
      <c r="AB193" s="28" t="n">
        <v>0.000288</v>
      </c>
      <c r="AC193" s="30" t="n">
        <v>-1</v>
      </c>
      <c r="AD193" s="24" t="inlineStr">
        <is>
          <t>2026-09-06T22:00:58.457971Z</t>
        </is>
      </c>
      <c r="AE193" s="31" t="inlineStr">
        <is>
          <t>Poisson-DC rates 1.64 (home) / 1.24 (away) from EWMA attack/defense strengths. Executable ask 0.3600 (atc-arg2-alm-ge-2026-09-05-alm).</t>
        </is>
      </c>
      <c r="AF193" s="31" t="inlineStr">
        <is>
          <t>Research-only soccer score model; draw-aware, but not yet locked-holdout qualified.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PAPER_CALL_MODEL_UNVALIDATED</t>
        </is>
      </c>
      <c r="AP193" s="24" t="inlineStr">
        <is>
          <t>Gimnasia y Esgrima (Jujuy)</t>
        </is>
      </c>
      <c r="AQ193" s="24" t="inlineStr">
        <is>
          <t>Gimnasia y Esgrima (Jujuy)</t>
        </is>
      </c>
      <c r="AR193" s="24" t="inlineStr">
        <is>
          <t>Gimnasia y Esgrima (Jujuy)</t>
        </is>
      </c>
      <c r="AS193" s="24" t="inlineStr">
        <is>
          <t>Almagro</t>
        </is>
      </c>
      <c r="AT193" s="24" t="inlineStr">
        <is>
          <t>Almagro</t>
        </is>
      </c>
      <c r="AU193" s="24" t="inlineStr">
        <is>
          <t>Almagro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e64f166eb03d5e657185abb04e25fff4830a8801f3dfa7f84e7c01a3f339baa9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e64f166eb03d5e657185abb04e25fff4830a8801f3dfa7f84e7c01a3f339baa9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e64f166eb03d5e657185abb04e25fff4830a8801f3dfa7f84e7c01a3f339baa9</t>
        </is>
      </c>
      <c r="BH193" s="24" t="inlineStr">
        <is>
          <t>2026-09-06T16:02:25.688911Z</t>
        </is>
      </c>
      <c r="BI193" s="24" t="inlineStr">
        <is>
          <t>["same_event","same_team_same_day","same_league_same_day"]</t>
        </is>
      </c>
      <c r="BJ193" s="25" t="n"/>
      <c r="BK193" s="26" t="n">
        <v>178</v>
      </c>
      <c r="BL193" s="27" t="n">
        <v>2.78</v>
      </c>
      <c r="BM193" s="28" t="n">
        <v>0.359712</v>
      </c>
      <c r="BN193" s="28" t="n"/>
      <c r="BO193" s="28" t="n"/>
      <c r="BP193" s="25" t="n"/>
      <c r="BQ193" s="27" t="n">
        <v>2.78</v>
      </c>
      <c r="BR193" s="28" t="n">
        <v>0.36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-1</v>
      </c>
      <c r="BZ193" s="24" t="inlineStr">
        <is>
          <t>2026-09-06T22:00:58.457971Z</t>
        </is>
      </c>
      <c r="CA193" s="31" t="inlineStr">
        <is>
          <t>fixed one-unit hypothetical scoring; no real exposure or execution</t>
        </is>
      </c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0.359712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083fdfa90730413b</t>
        </is>
      </c>
      <c r="B194" s="24" t="inlineStr">
        <is>
          <t>2026-09-06T16:03:10.038643Z</t>
        </is>
      </c>
      <c r="C194" s="24" t="inlineStr">
        <is>
          <t>2026-09-06T19:00Z</t>
        </is>
      </c>
      <c r="D194" s="24" t="inlineStr">
        <is>
          <t>401844107</t>
        </is>
      </c>
      <c r="E194" s="24" t="inlineStr">
        <is>
          <t>SOCCER</t>
        </is>
      </c>
      <c r="F194" s="24" t="inlineStr">
        <is>
          <t>Colegiales</t>
        </is>
      </c>
      <c r="G194" s="24" t="inlineStr">
        <is>
          <t>Temperley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138</v>
      </c>
      <c r="M194" s="27" t="n">
        <v>2.38</v>
      </c>
      <c r="N194" s="28" t="n">
        <v>0.420168</v>
      </c>
      <c r="O194" s="28" t="n">
        <v>0.456135</v>
      </c>
      <c r="P194" s="28" t="n">
        <v>0.2</v>
      </c>
      <c r="Q194" s="28" t="n">
        <v>0.035967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3</v>
      </c>
      <c r="Y194" s="25" t="n"/>
      <c r="Z194" s="26" t="n">
        <v>138</v>
      </c>
      <c r="AA194" s="28" t="n">
        <v>0.42</v>
      </c>
      <c r="AB194" s="28" t="n">
        <v>-0.000168</v>
      </c>
      <c r="AC194" s="30" t="n">
        <v>1.38</v>
      </c>
      <c r="AD194" s="24" t="inlineStr">
        <is>
          <t>2026-09-06T22:00:59.503627Z</t>
        </is>
      </c>
      <c r="AE194" s="31" t="inlineStr">
        <is>
          <t>Poisson-DC rates 1.64 (home) / 1.24 (away) from EWMA attack/defense strengths. Executable ask 0.4200 (atc-arg2-cat-cac-2026-09-05-cat).</t>
        </is>
      </c>
      <c r="AF194" s="31" t="inlineStr">
        <is>
          <t>Research-only soccer score model; draw-aware, but not yet locked-holdout qualified.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PAPER_CALL_MODEL_UNVALIDATED</t>
        </is>
      </c>
      <c r="AP194" s="24" t="inlineStr">
        <is>
          <t>Colegiales</t>
        </is>
      </c>
      <c r="AQ194" s="24" t="inlineStr">
        <is>
          <t>Colegiales</t>
        </is>
      </c>
      <c r="AR194" s="24" t="inlineStr">
        <is>
          <t>Colegiales</t>
        </is>
      </c>
      <c r="AS194" s="24" t="inlineStr">
        <is>
          <t>Temperley</t>
        </is>
      </c>
      <c r="AT194" s="24" t="inlineStr">
        <is>
          <t>Temperley</t>
        </is>
      </c>
      <c r="AU194" s="24" t="inlineStr">
        <is>
          <t>Temperley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e64f166eb03d5e657185abb04e25fff4830a8801f3dfa7f84e7c01a3f339baa9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e64f166eb03d5e657185abb04e25fff4830a8801f3dfa7f84e7c01a3f339baa9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e64f166eb03d5e657185abb04e25fff4830a8801f3dfa7f84e7c01a3f339baa9</t>
        </is>
      </c>
      <c r="BH194" s="24" t="inlineStr">
        <is>
          <t>2026-09-06T16:02:25.704031Z</t>
        </is>
      </c>
      <c r="BI194" s="24" t="inlineStr">
        <is>
          <t>["same_event","same_team_same_day","same_league_same_day"]</t>
        </is>
      </c>
      <c r="BJ194" s="25" t="n"/>
      <c r="BK194" s="26" t="n">
        <v>138</v>
      </c>
      <c r="BL194" s="27" t="n">
        <v>2.38</v>
      </c>
      <c r="BM194" s="28" t="n">
        <v>0.420168</v>
      </c>
      <c r="BN194" s="28" t="n"/>
      <c r="BO194" s="28" t="n"/>
      <c r="BP194" s="25" t="n"/>
      <c r="BQ194" s="27" t="n">
        <v>2.38</v>
      </c>
      <c r="BR194" s="28" t="n">
        <v>0.42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1.38</v>
      </c>
      <c r="BZ194" s="24" t="inlineStr">
        <is>
          <t>2026-09-06T22:00:59.503627Z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0.420168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22aa314bc8504d1a</t>
        </is>
      </c>
      <c r="B195" s="24" t="inlineStr">
        <is>
          <t>2026-09-06T16:03:10.038643Z</t>
        </is>
      </c>
      <c r="C195" s="24" t="inlineStr">
        <is>
          <t>2026-09-06T20:00Z</t>
        </is>
      </c>
      <c r="D195" s="24" t="inlineStr">
        <is>
          <t>401844112</t>
        </is>
      </c>
      <c r="E195" s="24" t="inlineStr">
        <is>
          <t>SOCCER</t>
        </is>
      </c>
      <c r="F195" s="24" t="inlineStr">
        <is>
          <t>Almirante Brown</t>
        </is>
      </c>
      <c r="G195" s="24" t="inlineStr">
        <is>
          <t>Central Norte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108</v>
      </c>
      <c r="M195" s="27" t="n">
        <v>2.08</v>
      </c>
      <c r="N195" s="28" t="n">
        <v>0.480769</v>
      </c>
      <c r="O195" s="28" t="n">
        <v>0.456135</v>
      </c>
      <c r="P195" s="28" t="n">
        <v>0.2</v>
      </c>
      <c r="Q195" s="28" t="n">
        <v>-0.024634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0</v>
      </c>
      <c r="Y195" s="25" t="n"/>
      <c r="Z195" s="26" t="n">
        <v>108</v>
      </c>
      <c r="AA195" s="28" t="n">
        <v>0.48</v>
      </c>
      <c r="AB195" s="28" t="n">
        <v>-0.000769</v>
      </c>
      <c r="AC195" s="30" t="n">
        <v>-1</v>
      </c>
      <c r="AD195" s="24" t="inlineStr">
        <is>
          <t>2026-09-07T04:30:30.250363Z</t>
        </is>
      </c>
      <c r="AE195" s="31" t="inlineStr">
        <is>
          <t>Poisson-DC rates 1.64 (home) / 1.24 (away) from EWMA attack/defense strengths. Executable ask 0.4800 (atc-arg2-ccns-alb-2026-09-05-ccns).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PAPER_CALL_MODEL_UNVALIDATED</t>
        </is>
      </c>
      <c r="AP195" s="24" t="inlineStr">
        <is>
          <t>Almirante Brown</t>
        </is>
      </c>
      <c r="AQ195" s="24" t="inlineStr">
        <is>
          <t>Almirante Brown</t>
        </is>
      </c>
      <c r="AR195" s="24" t="inlineStr">
        <is>
          <t>Almirante Brown</t>
        </is>
      </c>
      <c r="AS195" s="24" t="inlineStr">
        <is>
          <t>Central Norte</t>
        </is>
      </c>
      <c r="AT195" s="24" t="inlineStr">
        <is>
          <t>Central Norte</t>
        </is>
      </c>
      <c r="AU195" s="24" t="inlineStr">
        <is>
          <t>Central Norte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e64f166eb03d5e657185abb04e25fff4830a8801f3dfa7f84e7c01a3f339baa9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e64f166eb03d5e657185abb04e25fff4830a8801f3dfa7f84e7c01a3f339baa9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e64f166eb03d5e657185abb04e25fff4830a8801f3dfa7f84e7c01a3f339baa9</t>
        </is>
      </c>
      <c r="BH195" s="24" t="inlineStr">
        <is>
          <t>2026-09-06T16:02:25.738440Z</t>
        </is>
      </c>
      <c r="BI195" s="24" t="inlineStr">
        <is>
          <t>["same_event","same_team_same_day","same_league_same_day"]</t>
        </is>
      </c>
      <c r="BJ195" s="25" t="n"/>
      <c r="BK195" s="26" t="n">
        <v>108</v>
      </c>
      <c r="BL195" s="27" t="n">
        <v>2.08</v>
      </c>
      <c r="BM195" s="28" t="n">
        <v>0.480769</v>
      </c>
      <c r="BN195" s="28" t="n"/>
      <c r="BO195" s="28" t="n"/>
      <c r="BP195" s="25" t="n"/>
      <c r="BQ195" s="27" t="n">
        <v>2.08</v>
      </c>
      <c r="BR195" s="28" t="n">
        <v>0.48</v>
      </c>
      <c r="BS195" s="28" t="n"/>
      <c r="BT195" s="28" t="n"/>
      <c r="BU195" s="25" t="n"/>
      <c r="BV195" s="29" t="n"/>
      <c r="BW195" s="24" t="n"/>
      <c r="BX195" s="30" t="n">
        <v>1</v>
      </c>
      <c r="BY195" s="27" t="n">
        <v>-1</v>
      </c>
      <c r="BZ195" s="24" t="inlineStr">
        <is>
          <t>2026-09-07T04:30:30.250363Z</t>
        </is>
      </c>
      <c r="CA195" s="31" t="inlineStr">
        <is>
          <t>fixed one-unit hypothetical scoring; no real exposure or execution</t>
        </is>
      </c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0.480769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e5c32782499244b8</t>
        </is>
      </c>
      <c r="B196" s="24" t="inlineStr">
        <is>
          <t>2026-09-06T16:03:10.038643Z</t>
        </is>
      </c>
      <c r="C196" s="24" t="inlineStr">
        <is>
          <t>2026-09-06T21:00Z</t>
        </is>
      </c>
      <c r="D196" s="24" t="inlineStr">
        <is>
          <t>401877949</t>
        </is>
      </c>
      <c r="E196" s="24" t="inlineStr">
        <is>
          <t>SOCCER</t>
        </is>
      </c>
      <c r="F196" s="24" t="inlineStr">
        <is>
          <t>Águilas Doradas</t>
        </is>
      </c>
      <c r="G196" s="24" t="inlineStr">
        <is>
          <t>Internacional de Bogotá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100</v>
      </c>
      <c r="M196" s="27" t="n">
        <v>2</v>
      </c>
      <c r="N196" s="28" t="n">
        <v>0.5</v>
      </c>
      <c r="O196" s="28" t="n">
        <v>0.473701</v>
      </c>
      <c r="P196" s="28" t="n">
        <v>0.2</v>
      </c>
      <c r="Q196" s="28" t="n">
        <v>-0.026299</v>
      </c>
      <c r="R196" s="26" t="n">
        <v>0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2</v>
      </c>
      <c r="Y196" s="25" t="n"/>
      <c r="Z196" s="26" t="n">
        <v>100</v>
      </c>
      <c r="AA196" s="28" t="n">
        <v>0.5</v>
      </c>
      <c r="AB196" s="28" t="n">
        <v>0</v>
      </c>
      <c r="AC196" s="30" t="n">
        <v>-1</v>
      </c>
      <c r="AD196" s="24" t="inlineStr">
        <is>
          <t>2026-09-07T04:30:31.444873Z</t>
        </is>
      </c>
      <c r="AE196" s="31" t="inlineStr">
        <is>
          <t>Poisson-DC rates 1.59 (home) / 1.10 (away) from EWMA attack/defense strengths. Executable ask 0.5000 (atc-lco-leq-agu-2026-09-06-leq).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PAPER_CALL_MODEL_UNVALIDATED</t>
        </is>
      </c>
      <c r="AP196" s="24" t="inlineStr">
        <is>
          <t>Águilas Doradas</t>
        </is>
      </c>
      <c r="AQ196" s="24" t="inlineStr">
        <is>
          <t>Águilas Doradas</t>
        </is>
      </c>
      <c r="AR196" s="24" t="inlineStr">
        <is>
          <t>Águilas Doradas</t>
        </is>
      </c>
      <c r="AS196" s="24" t="inlineStr">
        <is>
          <t>Internacional de Bogotá</t>
        </is>
      </c>
      <c r="AT196" s="24" t="inlineStr">
        <is>
          <t>Internacional de Bogotá</t>
        </is>
      </c>
      <c r="AU196" s="24" t="inlineStr">
        <is>
          <t>Internacional de Bogotá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e64f166eb03d5e657185abb04e25fff4830a8801f3dfa7f84e7c01a3f339baa9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e64f166eb03d5e657185abb04e25fff4830a8801f3dfa7f84e7c01a3f339baa9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e64f166eb03d5e657185abb04e25fff4830a8801f3dfa7f84e7c01a3f339baa9</t>
        </is>
      </c>
      <c r="BH196" s="24" t="inlineStr">
        <is>
          <t>2026-09-06T16:02:25.756461Z</t>
        </is>
      </c>
      <c r="BI196" s="24" t="inlineStr">
        <is>
          <t>["same_event","same_team_same_day","same_league_same_day"]</t>
        </is>
      </c>
      <c r="BJ196" s="25" t="n"/>
      <c r="BK196" s="26" t="n">
        <v>100</v>
      </c>
      <c r="BL196" s="27" t="n">
        <v>2</v>
      </c>
      <c r="BM196" s="28" t="n">
        <v>0.5</v>
      </c>
      <c r="BN196" s="28" t="n"/>
      <c r="BO196" s="28" t="n"/>
      <c r="BP196" s="25" t="n"/>
      <c r="BQ196" s="27" t="n">
        <v>2</v>
      </c>
      <c r="BR196" s="28" t="n">
        <v>0.5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-1</v>
      </c>
      <c r="BZ196" s="24" t="inlineStr">
        <is>
          <t>2026-09-07T04:30:31.444873Z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8bb1b24d123c46de</t>
        </is>
      </c>
      <c r="B197" s="24" t="inlineStr">
        <is>
          <t>2026-09-06T16:03:10.038643Z</t>
        </is>
      </c>
      <c r="C197" s="24" t="inlineStr">
        <is>
          <t>2026-09-06T20:00Z</t>
        </is>
      </c>
      <c r="D197" s="24" t="inlineStr">
        <is>
          <t>401850650</t>
        </is>
      </c>
      <c r="E197" s="24" t="inlineStr">
        <is>
          <t>SOCCER</t>
        </is>
      </c>
      <c r="F197" s="24" t="inlineStr">
        <is>
          <t>Colo Colo</t>
        </is>
      </c>
      <c r="G197" s="24" t="inlineStr">
        <is>
          <t>Huachipato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376</v>
      </c>
      <c r="M197" s="27" t="n">
        <v>4.76</v>
      </c>
      <c r="N197" s="28" t="n">
        <v>0.210084</v>
      </c>
      <c r="O197" s="28" t="n">
        <v>0.468722</v>
      </c>
      <c r="P197" s="28" t="n">
        <v>0.19</v>
      </c>
      <c r="Q197" s="28" t="n">
        <v>0.258638</v>
      </c>
      <c r="R197" s="26" t="n">
        <v>65</v>
      </c>
      <c r="S197" s="29" t="n">
        <v>1.5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0</v>
      </c>
      <c r="X197" s="26" t="n">
        <v>0</v>
      </c>
      <c r="Y197" s="25" t="n"/>
      <c r="Z197" s="26" t="n">
        <v>376</v>
      </c>
      <c r="AA197" s="28" t="n">
        <v>0.21</v>
      </c>
      <c r="AB197" s="28" t="n">
        <v>-8.4e-05</v>
      </c>
      <c r="AC197" s="30" t="n">
        <v>-1.5</v>
      </c>
      <c r="AD197" s="24" t="inlineStr">
        <is>
          <t>2026-09-06T22:01:00.537591Z</t>
        </is>
      </c>
      <c r="AE197" s="31" t="inlineStr">
        <is>
          <t>Poisson-DC rates 1.53 (home) / 1.07 (away) from EWMA attack/defense strengths. Executable ask 0.2100 (atc-pdc-hua-col-2026-09-06-hua).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PAPER_CALL_MODEL_UNVALIDATED</t>
        </is>
      </c>
      <c r="AP197" s="24" t="inlineStr">
        <is>
          <t>Colo Colo</t>
        </is>
      </c>
      <c r="AQ197" s="24" t="inlineStr">
        <is>
          <t>Colo Colo</t>
        </is>
      </c>
      <c r="AR197" s="24" t="inlineStr">
        <is>
          <t>Colo Colo</t>
        </is>
      </c>
      <c r="AS197" s="24" t="inlineStr">
        <is>
          <t>Huachipato</t>
        </is>
      </c>
      <c r="AT197" s="24" t="inlineStr">
        <is>
          <t>Huachipato</t>
        </is>
      </c>
      <c r="AU197" s="24" t="inlineStr">
        <is>
          <t>Huachipato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e64f166eb03d5e657185abb04e25fff4830a8801f3dfa7f84e7c01a3f339baa9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e64f166eb03d5e657185abb04e25fff4830a8801f3dfa7f84e7c01a3f339baa9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e64f166eb03d5e657185abb04e25fff4830a8801f3dfa7f84e7c01a3f339baa9</t>
        </is>
      </c>
      <c r="BH197" s="24" t="inlineStr">
        <is>
          <t>2026-09-06T04:34:45.325718Z</t>
        </is>
      </c>
      <c r="BI197" s="24" t="inlineStr">
        <is>
          <t>["same_event","same_team_same_day","same_league_same_day"]</t>
        </is>
      </c>
      <c r="BJ197" s="25" t="n"/>
      <c r="BK197" s="26" t="n">
        <v>376</v>
      </c>
      <c r="BL197" s="27" t="n">
        <v>4.76</v>
      </c>
      <c r="BM197" s="28" t="n">
        <v>0.210084</v>
      </c>
      <c r="BN197" s="28" t="n"/>
      <c r="BO197" s="28" t="n"/>
      <c r="BP197" s="25" t="n"/>
      <c r="BQ197" s="27" t="n">
        <v>4.76</v>
      </c>
      <c r="BR197" s="28" t="n">
        <v>0.21</v>
      </c>
      <c r="BS197" s="28" t="n"/>
      <c r="BT197" s="28" t="n"/>
      <c r="BU197" s="25" t="n"/>
      <c r="BV197" s="29" t="n"/>
      <c r="BW197" s="24" t="n"/>
      <c r="BX197" s="30" t="n">
        <v>1</v>
      </c>
      <c r="BY197" s="27" t="n">
        <v>-1</v>
      </c>
      <c r="BZ197" s="24" t="inlineStr">
        <is>
          <t>2026-09-06T22:01:00.537591Z</t>
        </is>
      </c>
      <c r="CA197" s="31" t="inlineStr">
        <is>
          <t>fixed one-unit hypothetical scoring; no real exposure or execution</t>
        </is>
      </c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0.210084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95d81c8c341c47d1</t>
        </is>
      </c>
      <c r="B198" s="24" t="inlineStr">
        <is>
          <t>2026-09-06T16:03:10.038643Z</t>
        </is>
      </c>
      <c r="C198" s="24" t="inlineStr">
        <is>
          <t>2026-09-06T19:30Z</t>
        </is>
      </c>
      <c r="D198" s="24" t="inlineStr">
        <is>
          <t>401914287</t>
        </is>
      </c>
      <c r="E198" s="24" t="inlineStr">
        <is>
          <t>SOCCER</t>
        </is>
      </c>
      <c r="F198" s="24" t="inlineStr">
        <is>
          <t>Juventud</t>
        </is>
      </c>
      <c r="G198" s="24" t="inlineStr">
        <is>
          <t>Nacional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-133</v>
      </c>
      <c r="M198" s="27" t="n">
        <v>1.75188</v>
      </c>
      <c r="N198" s="28" t="n">
        <v>0.570815</v>
      </c>
      <c r="O198" s="28" t="n">
        <v>0.456135</v>
      </c>
      <c r="P198" s="28" t="n">
        <v>0.2</v>
      </c>
      <c r="Q198" s="28" t="n">
        <v>-0.11468</v>
      </c>
      <c r="R198" s="26" t="n">
        <v>0</v>
      </c>
      <c r="S198" s="29" t="n">
        <v>1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2</v>
      </c>
      <c r="X198" s="26" t="n">
        <v>2</v>
      </c>
      <c r="Y198" s="25" t="n"/>
      <c r="Z198" s="26" t="n">
        <v>-133</v>
      </c>
      <c r="AA198" s="28" t="n">
        <v>0.57</v>
      </c>
      <c r="AB198" s="28" t="n">
        <v>-0.000815</v>
      </c>
      <c r="AC198" s="30" t="n">
        <v>-1</v>
      </c>
      <c r="AD198" s="24" t="inlineStr">
        <is>
          <t>2026-09-06T22:01:01.713334Z</t>
        </is>
      </c>
      <c r="AE198" s="31" t="inlineStr">
        <is>
          <t>Poisson-DC rates 1.64 (home) / 1.24 (away) from EWMA attack/defense strengths. Executable ask 0.5700 (atc-uru1-nac-juv-2026-09-06-nac).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PAPER_CALL_MODEL_UNVALIDATED</t>
        </is>
      </c>
      <c r="AP198" s="24" t="inlineStr">
        <is>
          <t>Juventud</t>
        </is>
      </c>
      <c r="AQ198" s="24" t="inlineStr">
        <is>
          <t>Juventud</t>
        </is>
      </c>
      <c r="AR198" s="24" t="inlineStr">
        <is>
          <t>Juventud</t>
        </is>
      </c>
      <c r="AS198" s="24" t="inlineStr">
        <is>
          <t>Nacional</t>
        </is>
      </c>
      <c r="AT198" s="24" t="inlineStr">
        <is>
          <t>Nacional</t>
        </is>
      </c>
      <c r="AU198" s="24" t="inlineStr">
        <is>
          <t>Nacional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e64f166eb03d5e657185abb04e25fff4830a8801f3dfa7f84e7c01a3f339baa9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e64f166eb03d5e657185abb04e25fff4830a8801f3dfa7f84e7c01a3f339baa9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e64f166eb03d5e657185abb04e25fff4830a8801f3dfa7f84e7c01a3f339baa9</t>
        </is>
      </c>
      <c r="BH198" s="24" t="inlineStr">
        <is>
          <t>2026-09-06T04:34:46.112509Z</t>
        </is>
      </c>
      <c r="BI198" s="24" t="inlineStr">
        <is>
          <t>["same_event","same_team_same_day","same_league_same_day"]</t>
        </is>
      </c>
      <c r="BJ198" s="25" t="n"/>
      <c r="BK198" s="26" t="n">
        <v>-133</v>
      </c>
      <c r="BL198" s="27" t="n">
        <v>1.75188</v>
      </c>
      <c r="BM198" s="28" t="n">
        <v>0.570815</v>
      </c>
      <c r="BN198" s="28" t="n"/>
      <c r="BO198" s="28" t="n"/>
      <c r="BP198" s="25" t="n"/>
      <c r="BQ198" s="27" t="n">
        <v>1.75188</v>
      </c>
      <c r="BR198" s="28" t="n">
        <v>0.57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-1</v>
      </c>
      <c r="BZ198" s="24" t="inlineStr">
        <is>
          <t>2026-09-06T22:01:01.713334Z</t>
        </is>
      </c>
      <c r="CA198" s="31" t="inlineStr">
        <is>
          <t>fixed one-unit hypothetical scoring; no real exposure or execution</t>
        </is>
      </c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0.570815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df4461107f95430b</t>
        </is>
      </c>
      <c r="B199" s="24" t="inlineStr">
        <is>
          <t>2026-09-06T16:03:10.038643Z</t>
        </is>
      </c>
      <c r="C199" s="24" t="inlineStr">
        <is>
          <t>2026-09-06T20:00Z</t>
        </is>
      </c>
      <c r="D199" s="24" t="inlineStr">
        <is>
          <t>401886191</t>
        </is>
      </c>
      <c r="E199" s="24" t="inlineStr">
        <is>
          <t>SOCCER</t>
        </is>
      </c>
      <c r="F199" s="24" t="inlineStr">
        <is>
          <t>Alianza Lima</t>
        </is>
      </c>
      <c r="G199" s="24" t="inlineStr">
        <is>
          <t>Juan Pablo II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355</v>
      </c>
      <c r="M199" s="27" t="n">
        <v>4.55</v>
      </c>
      <c r="N199" s="28" t="n">
        <v>0.21978</v>
      </c>
      <c r="O199" s="28" t="n">
        <v>0.456135</v>
      </c>
      <c r="P199" s="28" t="n">
        <v>0.2</v>
      </c>
      <c r="Q199" s="28" t="n">
        <v>0.236355</v>
      </c>
      <c r="R199" s="26" t="n">
        <v>48</v>
      </c>
      <c r="S199" s="29" t="n">
        <v>1.25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1</v>
      </c>
      <c r="Y199" s="25" t="n"/>
      <c r="Z199" s="26" t="n">
        <v>355</v>
      </c>
      <c r="AA199" s="28" t="n">
        <v>0.22</v>
      </c>
      <c r="AB199" s="28" t="n">
        <v>0.00022</v>
      </c>
      <c r="AC199" s="30" t="n">
        <v>-1.25</v>
      </c>
      <c r="AD199" s="24" t="inlineStr">
        <is>
          <t>2026-09-06T22:01:02.862807Z</t>
        </is>
      </c>
      <c r="AE199" s="31" t="inlineStr">
        <is>
          <t>Poisson-DC rates 1.64 (home) / 1.24 (away) from EWMA attack/defense strengths. Executable ask 0.2200 (atc-pl1-jpc-ali-2026-09-06-jpc).</t>
        </is>
      </c>
      <c r="AF199" s="31" t="inlineStr">
        <is>
          <t>Research-only soccer score model; draw-aware, but not yet locked-holdout qualified.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PAPER_CALL_MODEL_UNVALIDATED</t>
        </is>
      </c>
      <c r="AP199" s="24" t="inlineStr">
        <is>
          <t>Alianza Lima</t>
        </is>
      </c>
      <c r="AQ199" s="24" t="inlineStr">
        <is>
          <t>Alianza Lima</t>
        </is>
      </c>
      <c r="AR199" s="24" t="inlineStr">
        <is>
          <t>Alianza Lima</t>
        </is>
      </c>
      <c r="AS199" s="24" t="inlineStr">
        <is>
          <t>Juan Pablo II</t>
        </is>
      </c>
      <c r="AT199" s="24" t="inlineStr">
        <is>
          <t>Juan Pablo II</t>
        </is>
      </c>
      <c r="AU199" s="24" t="inlineStr">
        <is>
          <t>Juan Pablo II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e64f166eb03d5e657185abb04e25fff4830a8801f3dfa7f84e7c01a3f339baa9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e64f166eb03d5e657185abb04e25fff4830a8801f3dfa7f84e7c01a3f339baa9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e64f166eb03d5e657185abb04e25fff4830a8801f3dfa7f84e7c01a3f339baa9</t>
        </is>
      </c>
      <c r="BH199" s="24" t="inlineStr">
        <is>
          <t>2026-09-06T16:02:31.834210Z</t>
        </is>
      </c>
      <c r="BI199" s="24" t="inlineStr">
        <is>
          <t>["same_event","same_team_same_day","same_league_same_day"]</t>
        </is>
      </c>
      <c r="BJ199" s="25" t="n"/>
      <c r="BK199" s="26" t="n">
        <v>355</v>
      </c>
      <c r="BL199" s="27" t="n">
        <v>4.55</v>
      </c>
      <c r="BM199" s="28" t="n">
        <v>0.21978</v>
      </c>
      <c r="BN199" s="28" t="n"/>
      <c r="BO199" s="28" t="n"/>
      <c r="BP199" s="25" t="n"/>
      <c r="BQ199" s="27" t="n">
        <v>4.55</v>
      </c>
      <c r="BR199" s="28" t="n">
        <v>0.22</v>
      </c>
      <c r="BS199" s="28" t="n"/>
      <c r="BT199" s="28" t="n"/>
      <c r="BU199" s="25" t="n"/>
      <c r="BV199" s="29" t="n"/>
      <c r="BW199" s="24" t="n"/>
      <c r="BX199" s="30" t="n">
        <v>1</v>
      </c>
      <c r="BY199" s="27" t="n">
        <v>-1</v>
      </c>
      <c r="BZ199" s="24" t="inlineStr">
        <is>
          <t>2026-09-06T22:01:02.862807Z</t>
        </is>
      </c>
      <c r="CA199" s="31" t="inlineStr">
        <is>
          <t>fixed one-unit hypothetical scoring; no real exposure or execution</t>
        </is>
      </c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0.21978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a6a8f9007ba342d3</t>
        </is>
      </c>
      <c r="B200" s="24" t="inlineStr">
        <is>
          <t>2026-09-06T22:03:58.107530Z</t>
        </is>
      </c>
      <c r="C200" s="24" t="inlineStr">
        <is>
          <t>2026-09-06T22:30Z</t>
        </is>
      </c>
      <c r="D200" s="24" t="inlineStr">
        <is>
          <t>401841220</t>
        </is>
      </c>
      <c r="E200" s="24" t="inlineStr">
        <is>
          <t>SOCCER</t>
        </is>
      </c>
      <c r="F200" s="24" t="inlineStr">
        <is>
          <t>Chapecoense</t>
        </is>
      </c>
      <c r="G200" s="24" t="inlineStr">
        <is>
          <t>Corinthians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-203</v>
      </c>
      <c r="M200" s="27" t="n">
        <v>1.492611</v>
      </c>
      <c r="N200" s="28" t="n">
        <v>0.669967</v>
      </c>
      <c r="O200" s="28" t="n">
        <v>0.451659</v>
      </c>
      <c r="P200" s="28" t="n">
        <v>0.2</v>
      </c>
      <c r="Q200" s="28" t="n">
        <v>-0.218308</v>
      </c>
      <c r="R200" s="26" t="n">
        <v>0</v>
      </c>
      <c r="S200" s="29" t="n">
        <v>1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loss</t>
        </is>
      </c>
      <c r="W200" s="26" t="n">
        <v>2</v>
      </c>
      <c r="X200" s="26" t="n">
        <v>1</v>
      </c>
      <c r="Y200" s="25" t="n"/>
      <c r="Z200" s="26" t="n">
        <v>-203</v>
      </c>
      <c r="AA200" s="28" t="n">
        <v>0.67</v>
      </c>
      <c r="AB200" s="28" t="n">
        <v>3.3e-05</v>
      </c>
      <c r="AC200" s="30" t="n">
        <v>-1</v>
      </c>
      <c r="AD200" s="24" t="inlineStr">
        <is>
          <t>2026-09-07T04:30:40.516989Z</t>
        </is>
      </c>
      <c r="AE200" s="31" t="inlineStr">
        <is>
          <t>Poisson-DC rates 1.59 (home) / 1.20 (away) from EWMA attack/defense strengths. Executable ask 0.6700 (atc-bra-scp-cha-2026-09-06-scp).</t>
        </is>
      </c>
      <c r="AF200" s="31" t="inlineStr">
        <is>
          <t>Research-only soccer score model; draw-aware, but not yet locked-holdout qualified.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PAPER_CALL_MODEL_UNVALIDATED</t>
        </is>
      </c>
      <c r="AP200" s="24" t="inlineStr">
        <is>
          <t>Chapecoense</t>
        </is>
      </c>
      <c r="AQ200" s="24" t="inlineStr">
        <is>
          <t>Chapecoense</t>
        </is>
      </c>
      <c r="AR200" s="24" t="inlineStr">
        <is>
          <t>Chapecoense</t>
        </is>
      </c>
      <c r="AS200" s="24" t="inlineStr">
        <is>
          <t>Corinthians</t>
        </is>
      </c>
      <c r="AT200" s="24" t="inlineStr">
        <is>
          <t>Corinthians</t>
        </is>
      </c>
      <c r="AU200" s="24" t="inlineStr">
        <is>
          <t>Corinthians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e64f166eb03d5e657185abb04e25fff4830a8801f3dfa7f84e7c01a3f339baa9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e64f166eb03d5e657185abb04e25fff4830a8801f3dfa7f84e7c01a3f339baa9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e64f166eb03d5e657185abb04e25fff4830a8801f3dfa7f84e7c01a3f339baa9</t>
        </is>
      </c>
      <c r="BH200" s="24" t="inlineStr">
        <is>
          <t>2026-09-06T22:03:40.187586Z</t>
        </is>
      </c>
      <c r="BI200" s="24" t="inlineStr">
        <is>
          <t>["same_event","same_team_same_day","same_league_same_day"]</t>
        </is>
      </c>
      <c r="BJ200" s="25" t="n"/>
      <c r="BK200" s="26" t="n">
        <v>-203</v>
      </c>
      <c r="BL200" s="27" t="n">
        <v>1.492611</v>
      </c>
      <c r="BM200" s="28" t="n">
        <v>0.669967</v>
      </c>
      <c r="BN200" s="28" t="n"/>
      <c r="BO200" s="28" t="n"/>
      <c r="BP200" s="25" t="n"/>
      <c r="BQ200" s="27" t="n">
        <v>1.492611</v>
      </c>
      <c r="BR200" s="28" t="n">
        <v>0.67</v>
      </c>
      <c r="BS200" s="28" t="n"/>
      <c r="BT200" s="28" t="n"/>
      <c r="BU200" s="25" t="n"/>
      <c r="BV200" s="29" t="n"/>
      <c r="BW200" s="24" t="n"/>
      <c r="BX200" s="30" t="n">
        <v>1</v>
      </c>
      <c r="BY200" s="27" t="n">
        <v>-1</v>
      </c>
      <c r="BZ200" s="24" t="inlineStr">
        <is>
          <t>2026-09-07T04:30:40.516989Z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0.669967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b5346e77e4e948e3</t>
        </is>
      </c>
      <c r="B201" s="24" t="inlineStr">
        <is>
          <t>2026-09-06T22:03:58.107530Z</t>
        </is>
      </c>
      <c r="C201" s="24" t="inlineStr">
        <is>
          <t>2026-09-06T22:15Z</t>
        </is>
      </c>
      <c r="D201" s="24" t="inlineStr">
        <is>
          <t>401841549</t>
        </is>
      </c>
      <c r="E201" s="24" t="inlineStr">
        <is>
          <t>SOCCER</t>
        </is>
      </c>
      <c r="F201" s="24" t="inlineStr">
        <is>
          <t>Independiente Rivadavia</t>
        </is>
      </c>
      <c r="G201" s="24" t="inlineStr">
        <is>
          <t>River Plate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-138</v>
      </c>
      <c r="M201" s="27" t="n">
        <v>1.724638</v>
      </c>
      <c r="N201" s="28" t="n">
        <v>0.579832</v>
      </c>
      <c r="O201" s="28" t="n">
        <v>0.5633089999999999</v>
      </c>
      <c r="P201" s="28" t="n">
        <v>0.19</v>
      </c>
      <c r="Q201" s="28" t="n">
        <v>-0.016523</v>
      </c>
      <c r="R201" s="26" t="n">
        <v>0</v>
      </c>
      <c r="S201" s="29" t="n">
        <v>1</v>
      </c>
      <c r="T201" s="24" t="inlineStr">
        <is>
          <t>soccer-poisson-dc-v1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3</v>
      </c>
      <c r="Y201" s="25" t="n"/>
      <c r="Z201" s="26" t="n">
        <v>-138</v>
      </c>
      <c r="AA201" s="28" t="n">
        <v>0.58</v>
      </c>
      <c r="AB201" s="28" t="n">
        <v>0.000168</v>
      </c>
      <c r="AC201" s="30" t="n">
        <v>0.7246</v>
      </c>
      <c r="AD201" s="24" t="inlineStr">
        <is>
          <t>2026-09-07T04:30:41.750366Z</t>
        </is>
      </c>
      <c r="AE201" s="31" t="inlineStr">
        <is>
          <t>Poisson-DC rates 1.93 (home) / 1.07 (away) from EWMA attack/defense strengths. Executable ask 0.5800 (atc-lpa-riv-cir-2026-09-06-riv).</t>
        </is>
      </c>
      <c r="AF201" s="31" t="inlineStr">
        <is>
          <t>Research-only soccer score model; draw-aware, but not yet locked-holdout qualified.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PAPER_CALL_MODEL_UNVALIDATED</t>
        </is>
      </c>
      <c r="AP201" s="24" t="inlineStr">
        <is>
          <t>Independiente Rivadavia</t>
        </is>
      </c>
      <c r="AQ201" s="24" t="inlineStr">
        <is>
          <t>Independiente Rivadavia</t>
        </is>
      </c>
      <c r="AR201" s="24" t="inlineStr">
        <is>
          <t>Independiente Rivadavia</t>
        </is>
      </c>
      <c r="AS201" s="24" t="inlineStr">
        <is>
          <t>River Plate</t>
        </is>
      </c>
      <c r="AT201" s="24" t="inlineStr">
        <is>
          <t>River Plate</t>
        </is>
      </c>
      <c r="AU201" s="24" t="inlineStr">
        <is>
          <t>River Plate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e64f166eb03d5e657185abb04e25fff4830a8801f3dfa7f84e7c01a3f339baa9</t>
        </is>
      </c>
      <c r="BB201" s="24" t="inlineStr">
        <is>
          <t>poisson_dixon_coles</t>
        </is>
      </c>
      <c r="BC201" s="24" t="inlineStr">
        <is>
          <t>soccer-poisson-dc-v1</t>
        </is>
      </c>
      <c r="BD201" s="24" t="inlineStr">
        <is>
          <t>e64f166eb03d5e657185abb04e25fff4830a8801f3dfa7f84e7c01a3f339baa9</t>
        </is>
      </c>
      <c r="BE201" s="24" t="inlineStr">
        <is>
          <t>soccer-poisson-dc-v1</t>
        </is>
      </c>
      <c r="BF201" s="24" t="inlineStr">
        <is>
          <t>1</t>
        </is>
      </c>
      <c r="BG201" s="24" t="inlineStr">
        <is>
          <t>e64f166eb03d5e657185abb04e25fff4830a8801f3dfa7f84e7c01a3f339baa9</t>
        </is>
      </c>
      <c r="BH201" s="24" t="inlineStr">
        <is>
          <t>2026-09-06T22:03:40.213237Z</t>
        </is>
      </c>
      <c r="BI201" s="24" t="inlineStr">
        <is>
          <t>["same_event","same_team_same_day","same_league_same_day"]</t>
        </is>
      </c>
      <c r="BJ201" s="25" t="n"/>
      <c r="BK201" s="26" t="n">
        <v>-138</v>
      </c>
      <c r="BL201" s="27" t="n">
        <v>1.724638</v>
      </c>
      <c r="BM201" s="28" t="n">
        <v>0.579832</v>
      </c>
      <c r="BN201" s="28" t="n"/>
      <c r="BO201" s="28" t="n"/>
      <c r="BP201" s="25" t="n"/>
      <c r="BQ201" s="27" t="n">
        <v>1.724638</v>
      </c>
      <c r="BR201" s="28" t="n">
        <v>0.58</v>
      </c>
      <c r="BS201" s="28" t="n"/>
      <c r="BT201" s="28" t="n"/>
      <c r="BU201" s="25" t="n"/>
      <c r="BV201" s="29" t="n"/>
      <c r="BW201" s="24" t="n"/>
      <c r="BX201" s="30" t="n">
        <v>1</v>
      </c>
      <c r="BY201" s="27" t="n">
        <v>0.724637</v>
      </c>
      <c r="BZ201" s="24" t="inlineStr">
        <is>
          <t>2026-09-07T04:30:41.750366Z</t>
        </is>
      </c>
      <c r="CA201" s="31" t="inlineStr">
        <is>
          <t>fixed one-unit hypothetical scoring; no real exposure or execution</t>
        </is>
      </c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0.579832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5e50d7772add44a5</t>
        </is>
      </c>
      <c r="B202" s="24" t="inlineStr">
        <is>
          <t>2026-09-06T22:03:58.107530Z</t>
        </is>
      </c>
      <c r="C202" s="24" t="inlineStr">
        <is>
          <t>2026-09-06T23:10Z</t>
        </is>
      </c>
      <c r="D202" s="24" t="inlineStr">
        <is>
          <t>401877872</t>
        </is>
      </c>
      <c r="E202" s="24" t="inlineStr">
        <is>
          <t>SOCCER</t>
        </is>
      </c>
      <c r="F202" s="24" t="inlineStr">
        <is>
          <t>Millonarios</t>
        </is>
      </c>
      <c r="G202" s="24" t="inlineStr">
        <is>
          <t>Deportivo Pereira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1150</v>
      </c>
      <c r="M202" s="27" t="n">
        <v>12.5</v>
      </c>
      <c r="N202" s="28" t="n">
        <v>0.08</v>
      </c>
      <c r="O202" s="28" t="n">
        <v>0.424741</v>
      </c>
      <c r="P202" s="28" t="n">
        <v>0.19</v>
      </c>
      <c r="Q202" s="28" t="n">
        <v>0.344741</v>
      </c>
      <c r="R202" s="26" t="n">
        <v>100</v>
      </c>
      <c r="S202" s="29" t="n">
        <v>2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loss</t>
        </is>
      </c>
      <c r="W202" s="26" t="n">
        <v>1</v>
      </c>
      <c r="X202" s="26" t="n">
        <v>1</v>
      </c>
      <c r="Y202" s="25" t="n"/>
      <c r="Z202" s="26" t="n">
        <v>1150</v>
      </c>
      <c r="AA202" s="28" t="n">
        <v>0.08</v>
      </c>
      <c r="AB202" s="28" t="n">
        <v>0</v>
      </c>
      <c r="AC202" s="30" t="n">
        <v>-2</v>
      </c>
      <c r="AD202" s="24" t="inlineStr">
        <is>
          <t>2026-09-07T04:30:42.827043Z</t>
        </is>
      </c>
      <c r="AE202" s="31" t="inlineStr">
        <is>
          <t>Poisson-DC rates 1.30 (home) / 0.98 (away) from EWMA attack/defense strengths. Executable ask 0.0800 (atc-lco-per-mil-2026-09-06-per).</t>
        </is>
      </c>
      <c r="AF202" s="31" t="inlineStr">
        <is>
          <t>Research-only soccer score model; draw-aware, but not yet locked-holdout qualified.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PAPER_CALL_MODEL_UNVALIDATED</t>
        </is>
      </c>
      <c r="AP202" s="24" t="inlineStr">
        <is>
          <t>Millonarios</t>
        </is>
      </c>
      <c r="AQ202" s="24" t="inlineStr">
        <is>
          <t>Millonarios</t>
        </is>
      </c>
      <c r="AR202" s="24" t="inlineStr">
        <is>
          <t>Millonarios</t>
        </is>
      </c>
      <c r="AS202" s="24" t="inlineStr">
        <is>
          <t>Deportivo Pereira</t>
        </is>
      </c>
      <c r="AT202" s="24" t="inlineStr">
        <is>
          <t>Deportivo Pereira</t>
        </is>
      </c>
      <c r="AU202" s="24" t="inlineStr">
        <is>
          <t>Deportivo Pereira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e64f166eb03d5e657185abb04e25fff4830a8801f3dfa7f84e7c01a3f339baa9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e64f166eb03d5e657185abb04e25fff4830a8801f3dfa7f84e7c01a3f339baa9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e64f166eb03d5e657185abb04e25fff4830a8801f3dfa7f84e7c01a3f339baa9</t>
        </is>
      </c>
      <c r="BH202" s="24" t="inlineStr">
        <is>
          <t>2026-09-06T22:03:40.250583Z</t>
        </is>
      </c>
      <c r="BI202" s="24" t="inlineStr">
        <is>
          <t>["same_event","same_team_same_day","same_league_same_day"]</t>
        </is>
      </c>
      <c r="BJ202" s="25" t="n"/>
      <c r="BK202" s="26" t="n">
        <v>1150</v>
      </c>
      <c r="BL202" s="27" t="n">
        <v>12.5</v>
      </c>
      <c r="BM202" s="28" t="n">
        <v>0.08</v>
      </c>
      <c r="BN202" s="28" t="n"/>
      <c r="BO202" s="28" t="n"/>
      <c r="BP202" s="25" t="n"/>
      <c r="BQ202" s="27" t="n">
        <v>12.5</v>
      </c>
      <c r="BR202" s="28" t="n">
        <v>0.08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-1</v>
      </c>
      <c r="BZ202" s="24" t="inlineStr">
        <is>
          <t>2026-09-07T04:30:42.827043Z</t>
        </is>
      </c>
      <c r="CA202" s="31" t="inlineStr">
        <is>
          <t>fixed one-unit hypothetical scoring; no real exposure or execution</t>
        </is>
      </c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0.08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fd1921b95fdd4978</t>
        </is>
      </c>
      <c r="B203" s="24" t="inlineStr">
        <is>
          <t>2026-09-06T22:03:58.107530Z</t>
        </is>
      </c>
      <c r="C203" s="24" t="inlineStr">
        <is>
          <t>2026-09-06T22:30Z</t>
        </is>
      </c>
      <c r="D203" s="24" t="inlineStr">
        <is>
          <t>401914288</t>
        </is>
      </c>
      <c r="E203" s="24" t="inlineStr">
        <is>
          <t>SOCCER</t>
        </is>
      </c>
      <c r="F203" s="24" t="inlineStr">
        <is>
          <t>Boston River</t>
        </is>
      </c>
      <c r="G203" s="24" t="inlineStr">
        <is>
          <t>Liverpool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-117</v>
      </c>
      <c r="M203" s="27" t="n">
        <v>1.854701</v>
      </c>
      <c r="N203" s="28" t="n">
        <v>0.539171</v>
      </c>
      <c r="O203" s="28" t="n">
        <v>0.610158</v>
      </c>
      <c r="P203" s="28" t="n">
        <v>0.19</v>
      </c>
      <c r="Q203" s="28" t="n">
        <v>0.07098699999999999</v>
      </c>
      <c r="R203" s="26" t="n">
        <v>0</v>
      </c>
      <c r="S203" s="29" t="n">
        <v>1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win</t>
        </is>
      </c>
      <c r="W203" s="26" t="n">
        <v>0</v>
      </c>
      <c r="X203" s="26" t="n">
        <v>1</v>
      </c>
      <c r="Y203" s="25" t="n"/>
      <c r="Z203" s="26" t="n">
        <v>-117</v>
      </c>
      <c r="AA203" s="28" t="n">
        <v>0.54</v>
      </c>
      <c r="AB203" s="28" t="n">
        <v>0.000829</v>
      </c>
      <c r="AC203" s="30" t="n">
        <v>0.8547</v>
      </c>
      <c r="AD203" s="24" t="inlineStr">
        <is>
          <t>2026-09-07T04:30:44.172032Z</t>
        </is>
      </c>
      <c r="AE203" s="31" t="inlineStr">
        <is>
          <t>Poisson-DC rates 2.17 (home) / 1.09 (away) from EWMA attack/defense strengths. Executable ask 0.5400 (atc-uru1-liv-bri-2026-09-06-liv).</t>
        </is>
      </c>
      <c r="AF203" s="31" t="inlineStr">
        <is>
          <t>Research-only soccer score model; draw-aware, but not yet locked-holdout qualified.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Boston River</t>
        </is>
      </c>
      <c r="AQ203" s="24" t="inlineStr">
        <is>
          <t>Boston River</t>
        </is>
      </c>
      <c r="AR203" s="24" t="inlineStr">
        <is>
          <t>Boston River</t>
        </is>
      </c>
      <c r="AS203" s="24" t="inlineStr">
        <is>
          <t>Liverpool</t>
        </is>
      </c>
      <c r="AT203" s="24" t="inlineStr">
        <is>
          <t>Liverpool</t>
        </is>
      </c>
      <c r="AU203" s="24" t="inlineStr">
        <is>
          <t>Liverpool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e64f166eb03d5e657185abb04e25fff4830a8801f3dfa7f84e7c01a3f339baa9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e64f166eb03d5e657185abb04e25fff4830a8801f3dfa7f84e7c01a3f339baa9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e64f166eb03d5e657185abb04e25fff4830a8801f3dfa7f84e7c01a3f339baa9</t>
        </is>
      </c>
      <c r="BH203" s="24" t="inlineStr">
        <is>
          <t>2026-09-06T22:03:40.268529Z</t>
        </is>
      </c>
      <c r="BI203" s="24" t="inlineStr">
        <is>
          <t>["same_event","same_team_same_day","same_league_same_day"]</t>
        </is>
      </c>
      <c r="BJ203" s="25" t="n"/>
      <c r="BK203" s="26" t="n">
        <v>-117</v>
      </c>
      <c r="BL203" s="27" t="n">
        <v>1.854701</v>
      </c>
      <c r="BM203" s="28" t="n">
        <v>0.539171</v>
      </c>
      <c r="BN203" s="28" t="n"/>
      <c r="BO203" s="28" t="n"/>
      <c r="BP203" s="25" t="n"/>
      <c r="BQ203" s="27" t="n">
        <v>1.854701</v>
      </c>
      <c r="BR203" s="28" t="n">
        <v>0.54</v>
      </c>
      <c r="BS203" s="28" t="n"/>
      <c r="BT203" s="28" t="n"/>
      <c r="BU203" s="25" t="n"/>
      <c r="BV203" s="29" t="n"/>
      <c r="BW203" s="24" t="n"/>
      <c r="BX203" s="30" t="n">
        <v>1</v>
      </c>
      <c r="BY203" s="27" t="n">
        <v>0.854699</v>
      </c>
      <c r="BZ203" s="24" t="inlineStr">
        <is>
          <t>2026-09-07T04:30:44.172032Z</t>
        </is>
      </c>
      <c r="CA203" s="31" t="inlineStr">
        <is>
          <t>fixed one-unit hypothetical scoring; no real exposure or execution</t>
        </is>
      </c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0.539171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599d1ed41c024961</t>
        </is>
      </c>
      <c r="B204" s="24" t="inlineStr">
        <is>
          <t>2026-09-06T22:03:58.107530Z</t>
        </is>
      </c>
      <c r="C204" s="24" t="inlineStr">
        <is>
          <t>2026-09-07T00:00Z</t>
        </is>
      </c>
      <c r="D204" s="24" t="inlineStr">
        <is>
          <t>401859684</t>
        </is>
      </c>
      <c r="E204" s="24" t="inlineStr">
        <is>
          <t>SOCCER</t>
        </is>
      </c>
      <c r="F204" s="24" t="inlineStr">
        <is>
          <t>Barcelona SC</t>
        </is>
      </c>
      <c r="G204" s="24" t="inlineStr">
        <is>
          <t>Aucas</t>
        </is>
      </c>
      <c r="H204" s="24" t="inlineStr">
        <is>
          <t>moneyline</t>
        </is>
      </c>
      <c r="I204" s="24" t="inlineStr">
        <is>
          <t>away</t>
        </is>
      </c>
      <c r="J204" s="25" t="n"/>
      <c r="K204" s="24" t="inlineStr">
        <is>
          <t>polymarket_us</t>
        </is>
      </c>
      <c r="L204" s="26" t="n">
        <v>426</v>
      </c>
      <c r="M204" s="27" t="n">
        <v>5.26</v>
      </c>
      <c r="N204" s="28" t="n">
        <v>0.190114</v>
      </c>
      <c r="O204" s="28" t="n">
        <v>0.444128</v>
      </c>
      <c r="P204" s="28" t="n">
        <v>0.2</v>
      </c>
      <c r="Q204" s="28" t="n">
        <v>0.254014</v>
      </c>
      <c r="R204" s="26" t="n">
        <v>57</v>
      </c>
      <c r="S204" s="29" t="n">
        <v>1.25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1</v>
      </c>
      <c r="Y204" s="25" t="n"/>
      <c r="Z204" s="26" t="n">
        <v>-456</v>
      </c>
      <c r="AA204" s="28" t="n">
        <v>0.82</v>
      </c>
      <c r="AB204" s="28" t="n">
        <v>0.6298859999999999</v>
      </c>
      <c r="AC204" s="30" t="n">
        <v>-1.25</v>
      </c>
      <c r="AD204" s="24" t="inlineStr">
        <is>
          <t>2026-09-07T04:30:45.656084Z</t>
        </is>
      </c>
      <c r="AE204" s="31" t="inlineStr">
        <is>
          <t>Poisson-DC rates 1.42 (home) / 1.75 (away) from EWMA attack/defense strengths. Executable ask 0.1900 (atc-ecu1-sda-bsc-2026-09-06-bsc).</t>
        </is>
      </c>
      <c r="AF204" s="31" t="inlineStr">
        <is>
          <t>Research-only soccer score model; draw-aware, but not yet locked-holdout qualified.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PAPER_CALL_MODEL_UNVALIDATED</t>
        </is>
      </c>
      <c r="AP204" s="24" t="inlineStr">
        <is>
          <t>Barcelona SC</t>
        </is>
      </c>
      <c r="AQ204" s="24" t="inlineStr">
        <is>
          <t>Barcelona SC</t>
        </is>
      </c>
      <c r="AR204" s="24" t="inlineStr">
        <is>
          <t>Barcelona SC</t>
        </is>
      </c>
      <c r="AS204" s="24" t="inlineStr">
        <is>
          <t>Aucas</t>
        </is>
      </c>
      <c r="AT204" s="24" t="inlineStr">
        <is>
          <t>Aucas</t>
        </is>
      </c>
      <c r="AU204" s="24" t="inlineStr">
        <is>
          <t>Aucas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e64f166eb03d5e657185abb04e25fff4830a8801f3dfa7f84e7c01a3f339baa9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e64f166eb03d5e657185abb04e25fff4830a8801f3dfa7f84e7c01a3f339baa9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e64f166eb03d5e657185abb04e25fff4830a8801f3dfa7f84e7c01a3f339baa9</t>
        </is>
      </c>
      <c r="BH204" s="24" t="inlineStr">
        <is>
          <t>2026-09-06T22:03:40.305873Z</t>
        </is>
      </c>
      <c r="BI204" s="24" t="inlineStr">
        <is>
          <t>["same_event","same_team_same_day","same_league_same_day"]</t>
        </is>
      </c>
      <c r="BJ204" s="25" t="n"/>
      <c r="BK204" s="26" t="n">
        <v>426</v>
      </c>
      <c r="BL204" s="27" t="n">
        <v>5.26</v>
      </c>
      <c r="BM204" s="28" t="n">
        <v>0.190114</v>
      </c>
      <c r="BN204" s="28" t="n"/>
      <c r="BO204" s="28" t="n"/>
      <c r="BP204" s="25" t="n"/>
      <c r="BQ204" s="27" t="n">
        <v>1.219298</v>
      </c>
      <c r="BR204" s="28" t="n">
        <v>0.82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-1</v>
      </c>
      <c r="BZ204" s="24" t="inlineStr">
        <is>
          <t>2026-09-07T04:30:45.656084Z</t>
        </is>
      </c>
      <c r="CA204" s="31" t="inlineStr">
        <is>
          <t>fixed one-unit hypothetical scoring; no real exposure or execution</t>
        </is>
      </c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0.190114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bad542492ccb4412</t>
        </is>
      </c>
      <c r="B205" s="24" t="inlineStr">
        <is>
          <t>2026-09-07T16:02:57.485862Z</t>
        </is>
      </c>
      <c r="C205" s="24" t="inlineStr">
        <is>
          <t>2026-09-07T17:00Z</t>
        </is>
      </c>
      <c r="D205" s="24" t="inlineStr">
        <is>
          <t>401882891</t>
        </is>
      </c>
      <c r="E205" s="24" t="inlineStr">
        <is>
          <t>SOCCER</t>
        </is>
      </c>
      <c r="F205" s="24" t="inlineStr">
        <is>
          <t>Celta Vigo</t>
        </is>
      </c>
      <c r="G205" s="24" t="inlineStr">
        <is>
          <t>Getafe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163</v>
      </c>
      <c r="M205" s="27" t="n">
        <v>2.63</v>
      </c>
      <c r="N205" s="28" t="n">
        <v>0.380228</v>
      </c>
      <c r="O205" s="28" t="n">
        <v>0.369637</v>
      </c>
      <c r="P205" s="28" t="n">
        <v>0.04</v>
      </c>
      <c r="Q205" s="28" t="n">
        <v>-0.010591</v>
      </c>
      <c r="R205" s="26" t="n">
        <v>21</v>
      </c>
      <c r="S205" s="29" t="n">
        <v>1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loss</t>
        </is>
      </c>
      <c r="W205" s="26" t="n">
        <v>1</v>
      </c>
      <c r="X205" s="26" t="n">
        <v>1</v>
      </c>
      <c r="Y205" s="25" t="n"/>
      <c r="Z205" s="26" t="n">
        <v>163</v>
      </c>
      <c r="AA205" s="28" t="n">
        <v>0.38</v>
      </c>
      <c r="AB205" s="28" t="n">
        <v>-0.000228</v>
      </c>
      <c r="AC205" s="30" t="n">
        <v>-1</v>
      </c>
      <c r="AD205" s="24" t="inlineStr">
        <is>
          <t>2026-09-07T22:00:52.900882Z</t>
        </is>
      </c>
      <c r="AE205" s="31" t="inlineStr">
        <is>
          <t>Poisson-DC rates 1.03 (home) / 0.87 (away) from EWMA attack/defense strengths. Executable ask 0.3800 (atc-lal-get-cel-2026-09-07-get).</t>
        </is>
      </c>
      <c r="AF205" s="31" t="inlineStr">
        <is>
          <t>Research-only soccer score model; draw-aware, but not yet locked-holdout qualified.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Celta Vigo</t>
        </is>
      </c>
      <c r="AQ205" s="24" t="inlineStr">
        <is>
          <t>Celta Vigo</t>
        </is>
      </c>
      <c r="AR205" s="24" t="inlineStr">
        <is>
          <t>Celta Vigo</t>
        </is>
      </c>
      <c r="AS205" s="24" t="inlineStr">
        <is>
          <t>Getafe</t>
        </is>
      </c>
      <c r="AT205" s="24" t="inlineStr">
        <is>
          <t>Getafe</t>
        </is>
      </c>
      <c r="AU205" s="24" t="inlineStr">
        <is>
          <t>Getafe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e64f166eb03d5e657185abb04e25fff4830a8801f3dfa7f84e7c01a3f339baa9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e64f166eb03d5e657185abb04e25fff4830a8801f3dfa7f84e7c01a3f339baa9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e64f166eb03d5e657185abb04e25fff4830a8801f3dfa7f84e7c01a3f339baa9</t>
        </is>
      </c>
      <c r="BH205" s="24" t="inlineStr">
        <is>
          <t>2026-09-07T16:02:18.190414Z</t>
        </is>
      </c>
      <c r="BI205" s="24" t="inlineStr">
        <is>
          <t>["same_event","same_team_same_day","same_league_same_day"]</t>
        </is>
      </c>
      <c r="BJ205" s="25" t="n"/>
      <c r="BK205" s="26" t="n">
        <v>163</v>
      </c>
      <c r="BL205" s="27" t="n">
        <v>2.63</v>
      </c>
      <c r="BM205" s="28" t="n">
        <v>0.380228</v>
      </c>
      <c r="BN205" s="28" t="n"/>
      <c r="BO205" s="28" t="n"/>
      <c r="BP205" s="25" t="n"/>
      <c r="BQ205" s="27" t="n">
        <v>2.63</v>
      </c>
      <c r="BR205" s="28" t="n">
        <v>0.38</v>
      </c>
      <c r="BS205" s="28" t="n"/>
      <c r="BT205" s="28" t="n"/>
      <c r="BU205" s="25" t="n"/>
      <c r="BV205" s="29" t="n"/>
      <c r="BW205" s="24" t="n"/>
      <c r="BX205" s="30" t="n">
        <v>1</v>
      </c>
      <c r="BY205" s="27" t="n">
        <v>-1</v>
      </c>
      <c r="BZ205" s="24" t="inlineStr">
        <is>
          <t>2026-09-07T22:00:52.900882Z</t>
        </is>
      </c>
      <c r="CA205" s="31" t="inlineStr">
        <is>
          <t>fixed one-unit hypothetical scoring; no real exposure or execution</t>
        </is>
      </c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0.380228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4483ede9a83a4f9c</t>
        </is>
      </c>
      <c r="B206" s="24" t="inlineStr">
        <is>
          <t>2026-09-07T16:02:57.485862Z</t>
        </is>
      </c>
      <c r="C206" s="24" t="inlineStr">
        <is>
          <t>2026-09-07T19:30Z</t>
        </is>
      </c>
      <c r="D206" s="24" t="inlineStr">
        <is>
          <t>401882893</t>
        </is>
      </c>
      <c r="E206" s="24" t="inlineStr">
        <is>
          <t>SOCCER</t>
        </is>
      </c>
      <c r="F206" s="24" t="inlineStr">
        <is>
          <t>Real Sociedad</t>
        </is>
      </c>
      <c r="G206" s="24" t="inlineStr">
        <is>
          <t>Elche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257</v>
      </c>
      <c r="M206" s="27" t="n">
        <v>3.57</v>
      </c>
      <c r="N206" s="28" t="n">
        <v>0.280112</v>
      </c>
      <c r="O206" s="28" t="n">
        <v>0.447001</v>
      </c>
      <c r="P206" s="28" t="n">
        <v>0.04</v>
      </c>
      <c r="Q206" s="28" t="n">
        <v>0.166889</v>
      </c>
      <c r="R206" s="26" t="n">
        <v>100</v>
      </c>
      <c r="S206" s="29" t="n">
        <v>1.75</v>
      </c>
      <c r="T206" s="24" t="inlineStr">
        <is>
          <t>soccer-poisson-dc-v1</t>
        </is>
      </c>
      <c r="U206" s="24" t="inlineStr">
        <is>
          <t>settled</t>
        </is>
      </c>
      <c r="V206" s="24" t="inlineStr">
        <is>
          <t>loss</t>
        </is>
      </c>
      <c r="W206" s="26" t="n">
        <v>3</v>
      </c>
      <c r="X206" s="26" t="n">
        <v>2</v>
      </c>
      <c r="Y206" s="25" t="n"/>
      <c r="Z206" s="26" t="n">
        <v>257</v>
      </c>
      <c r="AA206" s="28" t="n">
        <v>0.28</v>
      </c>
      <c r="AB206" s="28" t="n">
        <v>-0.000112</v>
      </c>
      <c r="AC206" s="30" t="n">
        <v>-1.75</v>
      </c>
      <c r="AD206" s="24" t="inlineStr">
        <is>
          <t>2026-09-07T22:00:54.014730Z</t>
        </is>
      </c>
      <c r="AE206" s="31" t="inlineStr">
        <is>
          <t>Poisson-DC rates 1.88 (home) / 1.56 (away) from EWMA attack/defense strengths. Executable ask 0.2800 (atc-lal-elc-rso-2026-09-07-elc).</t>
        </is>
      </c>
      <c r="AF206" s="31" t="inlineStr">
        <is>
          <t>Research-only soccer score model; draw-aware, but not yet locked-holdout qualified.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Real Sociedad</t>
        </is>
      </c>
      <c r="AQ206" s="24" t="inlineStr">
        <is>
          <t>Real Sociedad</t>
        </is>
      </c>
      <c r="AR206" s="24" t="inlineStr">
        <is>
          <t>Real Sociedad</t>
        </is>
      </c>
      <c r="AS206" s="24" t="inlineStr">
        <is>
          <t>Elche</t>
        </is>
      </c>
      <c r="AT206" s="24" t="inlineStr">
        <is>
          <t>Elche</t>
        </is>
      </c>
      <c r="AU206" s="24" t="inlineStr">
        <is>
          <t>Elche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e64f166eb03d5e657185abb04e25fff4830a8801f3dfa7f84e7c01a3f339baa9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e64f166eb03d5e657185abb04e25fff4830a8801f3dfa7f84e7c01a3f339baa9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e64f166eb03d5e657185abb04e25fff4830a8801f3dfa7f84e7c01a3f339baa9</t>
        </is>
      </c>
      <c r="BH206" s="24" t="inlineStr">
        <is>
          <t>2026-09-07T16:02:18.347692Z</t>
        </is>
      </c>
      <c r="BI206" s="24" t="inlineStr">
        <is>
          <t>["same_event","same_team_same_day","same_league_same_day"]</t>
        </is>
      </c>
      <c r="BJ206" s="25" t="n"/>
      <c r="BK206" s="26" t="n">
        <v>257</v>
      </c>
      <c r="BL206" s="27" t="n">
        <v>3.57</v>
      </c>
      <c r="BM206" s="28" t="n">
        <v>0.280112</v>
      </c>
      <c r="BN206" s="28" t="n"/>
      <c r="BO206" s="28" t="n"/>
      <c r="BP206" s="25" t="n"/>
      <c r="BQ206" s="27" t="n">
        <v>3.57</v>
      </c>
      <c r="BR206" s="28" t="n">
        <v>0.28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0.280112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a5c9fb621b2a4ce3</t>
        </is>
      </c>
      <c r="B207" s="24" t="inlineStr">
        <is>
          <t>2026-09-07T16:02:57.485862Z</t>
        </is>
      </c>
      <c r="C207" s="24" t="inlineStr">
        <is>
          <t>2026-09-07T16:30Z</t>
        </is>
      </c>
      <c r="D207" s="24" t="inlineStr">
        <is>
          <t>401874943</t>
        </is>
      </c>
      <c r="E207" s="24" t="inlineStr">
        <is>
          <t>SOCCER</t>
        </is>
      </c>
      <c r="F207" s="24" t="inlineStr">
        <is>
          <t>Lecce</t>
        </is>
      </c>
      <c r="G207" s="24" t="inlineStr">
        <is>
          <t>Cagliari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127</v>
      </c>
      <c r="M207" s="27" t="n">
        <v>2.27</v>
      </c>
      <c r="N207" s="28" t="n">
        <v>0.440529</v>
      </c>
      <c r="O207" s="28" t="n">
        <v>0.446438</v>
      </c>
      <c r="P207" s="28" t="n">
        <v>0.04</v>
      </c>
      <c r="Q207" s="28" t="n">
        <v>0.005909</v>
      </c>
      <c r="R207" s="26" t="n">
        <v>29</v>
      </c>
      <c r="S207" s="29" t="n">
        <v>1</v>
      </c>
      <c r="T207" s="24" t="inlineStr">
        <is>
          <t>soccer-poisson-dc-v1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1</v>
      </c>
      <c r="Y207" s="25" t="n"/>
      <c r="Z207" s="26" t="n">
        <v>127</v>
      </c>
      <c r="AA207" s="28" t="n">
        <v>0.44</v>
      </c>
      <c r="AB207" s="28" t="n">
        <v>-0.000529</v>
      </c>
      <c r="AC207" s="30" t="n">
        <v>1.27</v>
      </c>
      <c r="AD207" s="24" t="inlineStr">
        <is>
          <t>2026-09-07T22:00:55.262886Z</t>
        </is>
      </c>
      <c r="AE207" s="31" t="inlineStr">
        <is>
          <t>Poisson-DC rates 1.24 (home) / 0.82 (away) from EWMA attack/defense strengths. Executable ask 0.4400 (atc-sea-cag-lec-2026-09-07-cag).</t>
        </is>
      </c>
      <c r="AF207" s="31" t="inlineStr">
        <is>
          <t>Research-only soccer score model; draw-aware, but not yet locked-holdout qualified.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Lecce</t>
        </is>
      </c>
      <c r="AQ207" s="24" t="inlineStr">
        <is>
          <t>Lecce</t>
        </is>
      </c>
      <c r="AR207" s="24" t="inlineStr">
        <is>
          <t>Lecce</t>
        </is>
      </c>
      <c r="AS207" s="24" t="inlineStr">
        <is>
          <t>Cagliari</t>
        </is>
      </c>
      <c r="AT207" s="24" t="inlineStr">
        <is>
          <t>Cagliari</t>
        </is>
      </c>
      <c r="AU207" s="24" t="inlineStr">
        <is>
          <t>Cagliari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e64f166eb03d5e657185abb04e25fff4830a8801f3dfa7f84e7c01a3f339baa9</t>
        </is>
      </c>
      <c r="BB207" s="24" t="inlineStr">
        <is>
          <t>poisson_dixon_coles</t>
        </is>
      </c>
      <c r="BC207" s="24" t="inlineStr">
        <is>
          <t>soccer-poisson-dc-v1</t>
        </is>
      </c>
      <c r="BD207" s="24" t="inlineStr">
        <is>
          <t>e64f166eb03d5e657185abb04e25fff4830a8801f3dfa7f84e7c01a3f339baa9</t>
        </is>
      </c>
      <c r="BE207" s="24" t="inlineStr">
        <is>
          <t>soccer-poisson-dc-v1</t>
        </is>
      </c>
      <c r="BF207" s="24" t="inlineStr">
        <is>
          <t>1</t>
        </is>
      </c>
      <c r="BG207" s="24" t="inlineStr">
        <is>
          <t>e64f166eb03d5e657185abb04e25fff4830a8801f3dfa7f84e7c01a3f339baa9</t>
        </is>
      </c>
      <c r="BH207" s="24" t="inlineStr">
        <is>
          <t>2026-09-07T16:02:18.493166Z</t>
        </is>
      </c>
      <c r="BI207" s="24" t="inlineStr">
        <is>
          <t>["same_event","same_team_same_day","same_league_same_day"]</t>
        </is>
      </c>
      <c r="BJ207" s="25" t="n"/>
      <c r="BK207" s="26" t="n">
        <v>127</v>
      </c>
      <c r="BL207" s="27" t="n">
        <v>2.27</v>
      </c>
      <c r="BM207" s="28" t="n">
        <v>0.440529</v>
      </c>
      <c r="BN207" s="28" t="n"/>
      <c r="BO207" s="28" t="n"/>
      <c r="BP207" s="25" t="n"/>
      <c r="BQ207" s="27" t="n">
        <v>2.27</v>
      </c>
      <c r="BR207" s="28" t="n">
        <v>0.44</v>
      </c>
      <c r="BS207" s="28" t="n"/>
      <c r="BT207" s="28" t="n"/>
      <c r="BU207" s="25" t="n"/>
      <c r="BV207" s="29" t="n"/>
      <c r="BW207" s="24" t="n"/>
      <c r="BX207" s="30" t="n">
        <v>1</v>
      </c>
      <c r="BY207" s="27" t="n">
        <v>1.269998</v>
      </c>
      <c r="BZ207" s="24" t="inlineStr">
        <is>
          <t>2026-09-07T22:00:55.262886Z</t>
        </is>
      </c>
      <c r="CA207" s="31" t="inlineStr">
        <is>
          <t>fixed one-unit hypothetical scoring; no real exposure or execution</t>
        </is>
      </c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0.440529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2abe051e2fac4d14</t>
        </is>
      </c>
      <c r="B208" s="24" t="inlineStr">
        <is>
          <t>2026-09-07T16:02:57.485862Z</t>
        </is>
      </c>
      <c r="C208" s="24" t="inlineStr">
        <is>
          <t>2026-09-07T18:45Z</t>
        </is>
      </c>
      <c r="D208" s="24" t="inlineStr">
        <is>
          <t>401874962</t>
        </is>
      </c>
      <c r="E208" s="24" t="inlineStr">
        <is>
          <t>SOCCER</t>
        </is>
      </c>
      <c r="F208" s="24" t="inlineStr">
        <is>
          <t>Lazio</t>
        </is>
      </c>
      <c r="G208" s="24" t="inlineStr">
        <is>
          <t>Udinese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186</v>
      </c>
      <c r="M208" s="27" t="n">
        <v>2.86</v>
      </c>
      <c r="N208" s="28" t="n">
        <v>0.34965</v>
      </c>
      <c r="O208" s="28" t="n">
        <v>0.469986</v>
      </c>
      <c r="P208" s="28" t="n">
        <v>0.04</v>
      </c>
      <c r="Q208" s="28" t="n">
        <v>0.120336</v>
      </c>
      <c r="R208" s="26" t="n">
        <v>86</v>
      </c>
      <c r="S208" s="29" t="n">
        <v>1.5</v>
      </c>
      <c r="T208" s="24" t="inlineStr">
        <is>
          <t>soccer-poisson-dc-v1</t>
        </is>
      </c>
      <c r="U208" s="24" t="inlineStr">
        <is>
          <t>settled</t>
        </is>
      </c>
      <c r="V208" s="24" t="inlineStr">
        <is>
          <t>loss</t>
        </is>
      </c>
      <c r="W208" s="26" t="n">
        <v>2</v>
      </c>
      <c r="X208" s="26" t="n">
        <v>1</v>
      </c>
      <c r="Y208" s="25" t="n"/>
      <c r="Z208" s="26" t="n">
        <v>186</v>
      </c>
      <c r="AA208" s="28" t="n">
        <v>0.35</v>
      </c>
      <c r="AB208" s="28" t="n">
        <v>0.00035</v>
      </c>
      <c r="AC208" s="30" t="n">
        <v>-1.5</v>
      </c>
      <c r="AD208" s="24" t="inlineStr">
        <is>
          <t>2026-09-07T22:00:56.543597Z</t>
        </is>
      </c>
      <c r="AE208" s="31" t="inlineStr">
        <is>
          <t>Poisson-DC rates 1.35 (home) / 0.86 (away) from EWMA attack/defense strengths. Executable ask 0.3500 (atc-sea-udi-laz-2026-09-07-udi).</t>
        </is>
      </c>
      <c r="AF208" s="31" t="inlineStr">
        <is>
          <t>Research-only soccer score model; draw-aware, but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Lazio</t>
        </is>
      </c>
      <c r="AQ208" s="24" t="inlineStr">
        <is>
          <t>Lazio</t>
        </is>
      </c>
      <c r="AR208" s="24" t="inlineStr">
        <is>
          <t>Lazio</t>
        </is>
      </c>
      <c r="AS208" s="24" t="inlineStr">
        <is>
          <t>Udinese</t>
        </is>
      </c>
      <c r="AT208" s="24" t="inlineStr">
        <is>
          <t>Udinese</t>
        </is>
      </c>
      <c r="AU208" s="24" t="inlineStr">
        <is>
          <t>Udinese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e64f166eb03d5e657185abb04e25fff4830a8801f3dfa7f84e7c01a3f339baa9</t>
        </is>
      </c>
      <c r="BB208" s="24" t="inlineStr">
        <is>
          <t>poisson_dixon_coles</t>
        </is>
      </c>
      <c r="BC208" s="24" t="inlineStr">
        <is>
          <t>soccer-poisson-dc-v1</t>
        </is>
      </c>
      <c r="BD208" s="24" t="inlineStr">
        <is>
          <t>e64f166eb03d5e657185abb04e25fff4830a8801f3dfa7f84e7c01a3f339baa9</t>
        </is>
      </c>
      <c r="BE208" s="24" t="inlineStr">
        <is>
          <t>soccer-poisson-dc-v1</t>
        </is>
      </c>
      <c r="BF208" s="24" t="inlineStr">
        <is>
          <t>1</t>
        </is>
      </c>
      <c r="BG208" s="24" t="inlineStr">
        <is>
          <t>e64f166eb03d5e657185abb04e25fff4830a8801f3dfa7f84e7c01a3f339baa9</t>
        </is>
      </c>
      <c r="BH208" s="24" t="inlineStr">
        <is>
          <t>2026-09-07T16:02:18.601511Z</t>
        </is>
      </c>
      <c r="BI208" s="24" t="inlineStr">
        <is>
          <t>["same_event","same_team_same_day","same_league_same_day"]</t>
        </is>
      </c>
      <c r="BJ208" s="25" t="n"/>
      <c r="BK208" s="26" t="n">
        <v>186</v>
      </c>
      <c r="BL208" s="27" t="n">
        <v>2.86</v>
      </c>
      <c r="BM208" s="28" t="n">
        <v>0.34965</v>
      </c>
      <c r="BN208" s="28" t="n"/>
      <c r="BO208" s="28" t="n"/>
      <c r="BP208" s="25" t="n"/>
      <c r="BQ208" s="27" t="n">
        <v>2.86</v>
      </c>
      <c r="BR208" s="28" t="n">
        <v>0.35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0.34965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44db875abd644c02</t>
        </is>
      </c>
      <c r="B209" s="24" t="inlineStr">
        <is>
          <t>2026-09-07T16:02:57.485862Z</t>
        </is>
      </c>
      <c r="C209" s="24" t="inlineStr">
        <is>
          <t>2026-09-07T22:00Z</t>
        </is>
      </c>
      <c r="D209" s="24" t="inlineStr">
        <is>
          <t>401841544</t>
        </is>
      </c>
      <c r="E209" s="24" t="inlineStr">
        <is>
          <t>SOCCER</t>
        </is>
      </c>
      <c r="F209" s="24" t="inlineStr">
        <is>
          <t>Argentinos Juniors</t>
        </is>
      </c>
      <c r="G209" s="24" t="inlineStr">
        <is>
          <t>Barracas Central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355</v>
      </c>
      <c r="M209" s="27" t="n">
        <v>4.55</v>
      </c>
      <c r="N209" s="28" t="n">
        <v>0.21978</v>
      </c>
      <c r="O209" s="28" t="n">
        <v>0.378182</v>
      </c>
      <c r="P209" s="28" t="n">
        <v>0.2</v>
      </c>
      <c r="Q209" s="28" t="n">
        <v>0.158402</v>
      </c>
      <c r="R209" s="26" t="n">
        <v>9</v>
      </c>
      <c r="S209" s="29" t="n">
        <v>1</v>
      </c>
      <c r="T209" s="24" t="inlineStr">
        <is>
          <t>soccer-poisson-dc-v1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0</v>
      </c>
      <c r="Y209" s="25" t="n"/>
      <c r="Z209" s="26" t="n">
        <v>355</v>
      </c>
      <c r="AA209" s="28" t="n">
        <v>0.22</v>
      </c>
      <c r="AB209" s="28" t="n">
        <v>0.00022</v>
      </c>
      <c r="AC209" s="30" t="n">
        <v>-1</v>
      </c>
      <c r="AD209" s="24" t="inlineStr">
        <is>
          <t>2026-09-08T04:30:21.453186Z</t>
        </is>
      </c>
      <c r="AE209" s="31" t="inlineStr">
        <is>
          <t>Poisson-DC rates 1.46 (home) / 1.39 (away) from EWMA attack/defense strengths. Executable ask 0.2200 (atc-lpa-bar-aaj-2026-09-07-bar).</t>
        </is>
      </c>
      <c r="AF209" s="31" t="inlineStr">
        <is>
          <t>Research-only soccer score model; draw-aware, but not yet locked-holdout qualified.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PAPER_CALL_MODEL_UNVALIDATED</t>
        </is>
      </c>
      <c r="AP209" s="24" t="inlineStr">
        <is>
          <t>Argentinos Juniors</t>
        </is>
      </c>
      <c r="AQ209" s="24" t="inlineStr">
        <is>
          <t>Argentinos Juniors</t>
        </is>
      </c>
      <c r="AR209" s="24" t="inlineStr">
        <is>
          <t>Argentinos Juniors</t>
        </is>
      </c>
      <c r="AS209" s="24" t="inlineStr">
        <is>
          <t>Barracas Central</t>
        </is>
      </c>
      <c r="AT209" s="24" t="inlineStr">
        <is>
          <t>Barracas Central</t>
        </is>
      </c>
      <c r="AU209" s="24" t="inlineStr">
        <is>
          <t>Barracas Central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e64f166eb03d5e657185abb04e25fff4830a8801f3dfa7f84e7c01a3f339baa9</t>
        </is>
      </c>
      <c r="BB209" s="24" t="inlineStr">
        <is>
          <t>poisson_dixon_coles</t>
        </is>
      </c>
      <c r="BC209" s="24" t="inlineStr">
        <is>
          <t>soccer-poisson-dc-v1</t>
        </is>
      </c>
      <c r="BD209" s="24" t="inlineStr">
        <is>
          <t>e64f166eb03d5e657185abb04e25fff4830a8801f3dfa7f84e7c01a3f339baa9</t>
        </is>
      </c>
      <c r="BE209" s="24" t="inlineStr">
        <is>
          <t>soccer-poisson-dc-v1</t>
        </is>
      </c>
      <c r="BF209" s="24" t="inlineStr">
        <is>
          <t>1</t>
        </is>
      </c>
      <c r="BG209" s="24" t="inlineStr">
        <is>
          <t>e64f166eb03d5e657185abb04e25fff4830a8801f3dfa7f84e7c01a3f339baa9</t>
        </is>
      </c>
      <c r="BH209" s="24" t="inlineStr">
        <is>
          <t>2026-09-07T16:02:18.803150Z</t>
        </is>
      </c>
      <c r="BI209" s="24" t="inlineStr">
        <is>
          <t>["same_event","same_team_same_day","same_league_same_day"]</t>
        </is>
      </c>
      <c r="BJ209" s="25" t="n"/>
      <c r="BK209" s="26" t="n">
        <v>355</v>
      </c>
      <c r="BL209" s="27" t="n">
        <v>4.55</v>
      </c>
      <c r="BM209" s="28" t="n">
        <v>0.21978</v>
      </c>
      <c r="BN209" s="28" t="n"/>
      <c r="BO209" s="28" t="n"/>
      <c r="BP209" s="25" t="n"/>
      <c r="BQ209" s="27" t="n">
        <v>4.55</v>
      </c>
      <c r="BR209" s="28" t="n">
        <v>0.22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-1</v>
      </c>
      <c r="BZ209" s="24" t="inlineStr">
        <is>
          <t>2026-09-08T04:30:21.453186Z</t>
        </is>
      </c>
      <c r="CA209" s="31" t="inlineStr">
        <is>
          <t>fixed one-unit hypothetical scoring; no real exposure or execution</t>
        </is>
      </c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0.21978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85513d246fe2495f</t>
        </is>
      </c>
      <c r="B210" s="24" t="inlineStr">
        <is>
          <t>2026-09-07T16:02:57.485862Z</t>
        </is>
      </c>
      <c r="C210" s="24" t="inlineStr">
        <is>
          <t>2026-09-07T20:00Z</t>
        </is>
      </c>
      <c r="D210" s="24" t="inlineStr">
        <is>
          <t>401844103</t>
        </is>
      </c>
      <c r="E210" s="24" t="inlineStr">
        <is>
          <t>SOCCER</t>
        </is>
      </c>
      <c r="F210" s="24" t="inlineStr">
        <is>
          <t>Quilmes</t>
        </is>
      </c>
      <c r="G210" s="24" t="inlineStr">
        <is>
          <t>Nueva Chicago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245</v>
      </c>
      <c r="M210" s="27" t="n">
        <v>3.45</v>
      </c>
      <c r="N210" s="28" t="n">
        <v>0.289855</v>
      </c>
      <c r="O210" s="28" t="n">
        <v>0.424741</v>
      </c>
      <c r="P210" s="28" t="n">
        <v>0.19</v>
      </c>
      <c r="Q210" s="28" t="n">
        <v>0.134886</v>
      </c>
      <c r="R210" s="26" t="n">
        <v>3</v>
      </c>
      <c r="S210" s="29" t="n">
        <v>1</v>
      </c>
      <c r="T210" s="24" t="inlineStr">
        <is>
          <t>soccer-poisson-dc-v1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245</v>
      </c>
      <c r="AA210" s="28" t="n">
        <v>0.29</v>
      </c>
      <c r="AB210" s="28" t="n">
        <v>0.000145</v>
      </c>
      <c r="AC210" s="30" t="n">
        <v>2.45</v>
      </c>
      <c r="AD210" s="24" t="inlineStr">
        <is>
          <t>2026-09-08T04:30:23.652551Z</t>
        </is>
      </c>
      <c r="AE210" s="31" t="inlineStr">
        <is>
          <t>Poisson-DC rates 1.30 (home) / 0.98 (away) from EWMA attack/defense strengths. Executable ask 0.2900 (atc-arg2-chi-qui-2026-09-05-chi).</t>
        </is>
      </c>
      <c r="AF210" s="31" t="inlineStr">
        <is>
          <t>Research-only soccer score model; draw-aware, but not yet locked-holdout qualified.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Quilmes</t>
        </is>
      </c>
      <c r="AQ210" s="24" t="inlineStr">
        <is>
          <t>Quilmes</t>
        </is>
      </c>
      <c r="AR210" s="24" t="inlineStr">
        <is>
          <t>Quilmes</t>
        </is>
      </c>
      <c r="AS210" s="24" t="inlineStr">
        <is>
          <t>Nueva Chicago</t>
        </is>
      </c>
      <c r="AT210" s="24" t="inlineStr">
        <is>
          <t>Nueva Chicago</t>
        </is>
      </c>
      <c r="AU210" s="24" t="inlineStr">
        <is>
          <t>Nueva Chicago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e64f166eb03d5e657185abb04e25fff4830a8801f3dfa7f84e7c01a3f339baa9</t>
        </is>
      </c>
      <c r="BB210" s="24" t="inlineStr">
        <is>
          <t>poisson_dixon_coles</t>
        </is>
      </c>
      <c r="BC210" s="24" t="inlineStr">
        <is>
          <t>soccer-poisson-dc-v1</t>
        </is>
      </c>
      <c r="BD210" s="24" t="inlineStr">
        <is>
          <t>e64f166eb03d5e657185abb04e25fff4830a8801f3dfa7f84e7c01a3f339baa9</t>
        </is>
      </c>
      <c r="BE210" s="24" t="inlineStr">
        <is>
          <t>soccer-poisson-dc-v1</t>
        </is>
      </c>
      <c r="BF210" s="24" t="inlineStr">
        <is>
          <t>1</t>
        </is>
      </c>
      <c r="BG210" s="24" t="inlineStr">
        <is>
          <t>e64f166eb03d5e657185abb04e25fff4830a8801f3dfa7f84e7c01a3f339baa9</t>
        </is>
      </c>
      <c r="BH210" s="24" t="inlineStr">
        <is>
          <t>2026-09-07T16:02:18.810800Z</t>
        </is>
      </c>
      <c r="BI210" s="24" t="inlineStr">
        <is>
          <t>["same_event","same_team_same_day","same_league_same_day"]</t>
        </is>
      </c>
      <c r="BJ210" s="25" t="n"/>
      <c r="BK210" s="26" t="n">
        <v>245</v>
      </c>
      <c r="BL210" s="27" t="n">
        <v>3.45</v>
      </c>
      <c r="BM210" s="28" t="n">
        <v>0.289855</v>
      </c>
      <c r="BN210" s="28" t="n"/>
      <c r="BO210" s="28" t="n"/>
      <c r="BP210" s="25" t="n"/>
      <c r="BQ210" s="27" t="n">
        <v>3.45</v>
      </c>
      <c r="BR210" s="28" t="n">
        <v>0.29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2.450001</v>
      </c>
      <c r="BZ210" s="24" t="inlineStr">
        <is>
          <t>2026-09-08T04:30:23.652551Z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0.289855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0595652a72144a78</t>
        </is>
      </c>
      <c r="B211" s="24" t="inlineStr">
        <is>
          <t>2026-09-07T16:02:57.485862Z</t>
        </is>
      </c>
      <c r="C211" s="24" t="inlineStr">
        <is>
          <t>2026-09-07T18:00Z</t>
        </is>
      </c>
      <c r="D211" s="24" t="inlineStr">
        <is>
          <t>401914291</t>
        </is>
      </c>
      <c r="E211" s="24" t="inlineStr">
        <is>
          <t>SOCCER</t>
        </is>
      </c>
      <c r="F211" s="24" t="inlineStr">
        <is>
          <t>Progreso</t>
        </is>
      </c>
      <c r="G211" s="24" t="inlineStr">
        <is>
          <t>Albion FC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108</v>
      </c>
      <c r="M211" s="27" t="n">
        <v>2.08</v>
      </c>
      <c r="N211" s="28" t="n">
        <v>0.480769</v>
      </c>
      <c r="O211" s="28" t="n">
        <v>0.405579</v>
      </c>
      <c r="P211" s="28" t="n">
        <v>0.2</v>
      </c>
      <c r="Q211" s="28" t="n">
        <v>-0.07519000000000001</v>
      </c>
      <c r="R211" s="26" t="n">
        <v>0</v>
      </c>
      <c r="S211" s="29" t="n">
        <v>1</v>
      </c>
      <c r="T211" s="24" t="inlineStr">
        <is>
          <t>soccer-poisson-dc-v1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108</v>
      </c>
      <c r="AA211" s="28" t="n">
        <v>0.48</v>
      </c>
      <c r="AB211" s="28" t="n">
        <v>-0.000769</v>
      </c>
      <c r="AC211" s="30" t="n">
        <v>-1</v>
      </c>
      <c r="AD211" s="24" t="inlineStr">
        <is>
          <t>2026-09-07T22:00:58.495161Z</t>
        </is>
      </c>
      <c r="AE211" s="31" t="inlineStr">
        <is>
          <t>Poisson-DC rates 1.31 (home) / 1.08 (away) from EWMA attack/defense strengths. Executable ask 0.4800 (atc-uru1-alb-pro-2026-09-05-alb).</t>
        </is>
      </c>
      <c r="AF211" s="31" t="inlineStr">
        <is>
          <t>Research-only soccer score model; draw-aware, but not yet locked-holdout qualified.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PAPER_CALL_MODEL_UNVALIDATED</t>
        </is>
      </c>
      <c r="AP211" s="24" t="inlineStr">
        <is>
          <t>Progreso</t>
        </is>
      </c>
      <c r="AQ211" s="24" t="inlineStr">
        <is>
          <t>Progreso</t>
        </is>
      </c>
      <c r="AR211" s="24" t="inlineStr">
        <is>
          <t>Progreso</t>
        </is>
      </c>
      <c r="AS211" s="24" t="inlineStr">
        <is>
          <t>Albion FC</t>
        </is>
      </c>
      <c r="AT211" s="24" t="inlineStr">
        <is>
          <t>Albion FC</t>
        </is>
      </c>
      <c r="AU211" s="24" t="inlineStr">
        <is>
          <t>Albion FC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e64f166eb03d5e657185abb04e25fff4830a8801f3dfa7f84e7c01a3f339baa9</t>
        </is>
      </c>
      <c r="BB211" s="24" t="inlineStr">
        <is>
          <t>poisson_dixon_coles</t>
        </is>
      </c>
      <c r="BC211" s="24" t="inlineStr">
        <is>
          <t>soccer-poisson-dc-v1</t>
        </is>
      </c>
      <c r="BD211" s="24" t="inlineStr">
        <is>
          <t>e64f166eb03d5e657185abb04e25fff4830a8801f3dfa7f84e7c01a3f339baa9</t>
        </is>
      </c>
      <c r="BE211" s="24" t="inlineStr">
        <is>
          <t>soccer-poisson-dc-v1</t>
        </is>
      </c>
      <c r="BF211" s="24" t="inlineStr">
        <is>
          <t>1</t>
        </is>
      </c>
      <c r="BG211" s="24" t="inlineStr">
        <is>
          <t>e64f166eb03d5e657185abb04e25fff4830a8801f3dfa7f84e7c01a3f339baa9</t>
        </is>
      </c>
      <c r="BH211" s="24" t="inlineStr">
        <is>
          <t>2026-09-07T16:02:18.849007Z</t>
        </is>
      </c>
      <c r="BI211" s="24" t="inlineStr">
        <is>
          <t>["same_event","same_team_same_day","same_league_same_day"]</t>
        </is>
      </c>
      <c r="BJ211" s="25" t="n"/>
      <c r="BK211" s="26" t="n">
        <v>108</v>
      </c>
      <c r="BL211" s="27" t="n">
        <v>2.08</v>
      </c>
      <c r="BM211" s="28" t="n">
        <v>0.480769</v>
      </c>
      <c r="BN211" s="28" t="n"/>
      <c r="BO211" s="28" t="n"/>
      <c r="BP211" s="25" t="n"/>
      <c r="BQ211" s="27" t="n">
        <v>2.08</v>
      </c>
      <c r="BR211" s="28" t="n">
        <v>0.48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-1</v>
      </c>
      <c r="BZ211" s="24" t="inlineStr">
        <is>
          <t>2026-09-07T22:00:58.495161Z</t>
        </is>
      </c>
      <c r="CA211" s="31" t="inlineStr">
        <is>
          <t>fixed one-unit hypothetical scoring; no real exposure or execution</t>
        </is>
      </c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0.480769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f43afe9da3944752</t>
        </is>
      </c>
      <c r="B212" s="24" t="inlineStr">
        <is>
          <t>2026-09-07T22:04:12.265598Z</t>
        </is>
      </c>
      <c r="C212" s="24" t="inlineStr">
        <is>
          <t>2026-09-08T00:00Z</t>
        </is>
      </c>
      <c r="D212" s="24" t="inlineStr">
        <is>
          <t>401859685</t>
        </is>
      </c>
      <c r="E212" s="24" t="inlineStr">
        <is>
          <t>SOCCER</t>
        </is>
      </c>
      <c r="F212" s="24" t="inlineStr">
        <is>
          <t>Manta F.C.</t>
        </is>
      </c>
      <c r="G212" s="24" t="inlineStr">
        <is>
          <t>Emelec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-144</v>
      </c>
      <c r="M212" s="27" t="n">
        <v>1.694444</v>
      </c>
      <c r="N212" s="28" t="n">
        <v>0.590164</v>
      </c>
      <c r="O212" s="28" t="n">
        <v>0.456135</v>
      </c>
      <c r="P212" s="28" t="n">
        <v>0.2</v>
      </c>
      <c r="Q212" s="28" t="n">
        <v>-0.134029</v>
      </c>
      <c r="R212" s="26" t="n">
        <v>0</v>
      </c>
      <c r="S212" s="29" t="n">
        <v>1</v>
      </c>
      <c r="T212" s="24" t="inlineStr">
        <is>
          <t>soccer-poisson-dc-v1</t>
        </is>
      </c>
      <c r="U212" s="24" t="inlineStr">
        <is>
          <t>settled</t>
        </is>
      </c>
      <c r="V212" s="24" t="inlineStr">
        <is>
          <t>win</t>
        </is>
      </c>
      <c r="W212" s="26" t="n">
        <v>0</v>
      </c>
      <c r="X212" s="26" t="n">
        <v>1</v>
      </c>
      <c r="Y212" s="25" t="n"/>
      <c r="Z212" s="26" t="n">
        <v>-144</v>
      </c>
      <c r="AA212" s="28" t="n">
        <v>0.59</v>
      </c>
      <c r="AB212" s="28" t="n">
        <v>-0.000164</v>
      </c>
      <c r="AC212" s="30" t="n">
        <v>0.6944</v>
      </c>
      <c r="AD212" s="24" t="inlineStr">
        <is>
          <t>2026-09-08T04:30:52.728663Z</t>
        </is>
      </c>
      <c r="AE212" s="31" t="inlineStr">
        <is>
          <t>Poisson-DC rates 1.64 (home) / 1.24 (away) from EWMA attack/defense strengths. Executable ask 0.5900 (atc-ecu1-cse-man-2026-09-06-cse).</t>
        </is>
      </c>
      <c r="AF212" s="31" t="inlineStr">
        <is>
          <t>Research-only soccer score model; draw-aware, but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PAPER_CALL_MODEL_UNVALIDATED</t>
        </is>
      </c>
      <c r="AP212" s="24" t="inlineStr">
        <is>
          <t>Manta F.C.</t>
        </is>
      </c>
      <c r="AQ212" s="24" t="inlineStr">
        <is>
          <t>Manta F.C.</t>
        </is>
      </c>
      <c r="AR212" s="24" t="inlineStr">
        <is>
          <t>Manta F.C.</t>
        </is>
      </c>
      <c r="AS212" s="24" t="inlineStr">
        <is>
          <t>Emelec</t>
        </is>
      </c>
      <c r="AT212" s="24" t="inlineStr">
        <is>
          <t>Emelec</t>
        </is>
      </c>
      <c r="AU212" s="24" t="inlineStr">
        <is>
          <t>Emelec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e64f166eb03d5e657185abb04e25fff4830a8801f3dfa7f84e7c01a3f339baa9</t>
        </is>
      </c>
      <c r="BB212" s="24" t="inlineStr">
        <is>
          <t>poisson_dixon_coles</t>
        </is>
      </c>
      <c r="BC212" s="24" t="inlineStr">
        <is>
          <t>soccer-poisson-dc-v1</t>
        </is>
      </c>
      <c r="BD212" s="24" t="inlineStr">
        <is>
          <t>e64f166eb03d5e657185abb04e25fff4830a8801f3dfa7f84e7c01a3f339baa9</t>
        </is>
      </c>
      <c r="BE212" s="24" t="inlineStr">
        <is>
          <t>soccer-poisson-dc-v1</t>
        </is>
      </c>
      <c r="BF212" s="24" t="inlineStr">
        <is>
          <t>1</t>
        </is>
      </c>
      <c r="BG212" s="24" t="inlineStr">
        <is>
          <t>e64f166eb03d5e657185abb04e25fff4830a8801f3dfa7f84e7c01a3f339baa9</t>
        </is>
      </c>
      <c r="BH212" s="24" t="inlineStr">
        <is>
          <t>2026-09-07T22:03:47.857084Z</t>
        </is>
      </c>
      <c r="BI212" s="24" t="inlineStr">
        <is>
          <t>["same_event","same_team_same_day","same_league_same_day"]</t>
        </is>
      </c>
      <c r="BJ212" s="25" t="n"/>
      <c r="BK212" s="26" t="n">
        <v>-144</v>
      </c>
      <c r="BL212" s="27" t="n">
        <v>1.694444</v>
      </c>
      <c r="BM212" s="28" t="n">
        <v>0.590164</v>
      </c>
      <c r="BN212" s="28" t="n"/>
      <c r="BO212" s="28" t="n"/>
      <c r="BP212" s="25" t="n"/>
      <c r="BQ212" s="27" t="n">
        <v>1.694444</v>
      </c>
      <c r="BR212" s="28" t="n">
        <v>0.59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0.694444</v>
      </c>
      <c r="BZ212" s="24" t="inlineStr">
        <is>
          <t>2026-09-08T04:30:52.728663Z</t>
        </is>
      </c>
      <c r="CA212" s="31" t="inlineStr">
        <is>
          <t>fixed one-unit hypothetical scoring; no real exposure or execution</t>
        </is>
      </c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0.590164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496d60785bba43e0</t>
        </is>
      </c>
      <c r="B213" s="24" t="inlineStr">
        <is>
          <t>2026-09-07T22:04:12.265598Z</t>
        </is>
      </c>
      <c r="C213" s="24" t="inlineStr">
        <is>
          <t>2026-09-08T00:00Z</t>
        </is>
      </c>
      <c r="D213" s="24" t="inlineStr">
        <is>
          <t>401859724</t>
        </is>
      </c>
      <c r="E213" s="24" t="inlineStr">
        <is>
          <t>SOCCER</t>
        </is>
      </c>
      <c r="F213" s="24" t="inlineStr">
        <is>
          <t>Leones</t>
        </is>
      </c>
      <c r="G213" s="24" t="inlineStr">
        <is>
          <t>Mushuc Runa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122</v>
      </c>
      <c r="M213" s="27" t="n">
        <v>2.22</v>
      </c>
      <c r="N213" s="28" t="n">
        <v>0.45045</v>
      </c>
      <c r="O213" s="28" t="n">
        <v>0.418807</v>
      </c>
      <c r="P213" s="28" t="n">
        <v>0.2</v>
      </c>
      <c r="Q213" s="28" t="n">
        <v>-0.031643</v>
      </c>
      <c r="R213" s="26" t="n">
        <v>0</v>
      </c>
      <c r="S213" s="29" t="n">
        <v>1</v>
      </c>
      <c r="T213" s="24" t="inlineStr">
        <is>
          <t>soccer-poisson-dc-v1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1</v>
      </c>
      <c r="Y213" s="25" t="n"/>
      <c r="Z213" s="26" t="n">
        <v>122</v>
      </c>
      <c r="AA213" s="28" t="n">
        <v>0.45</v>
      </c>
      <c r="AB213" s="28" t="n">
        <v>-0.00045</v>
      </c>
      <c r="AC213" s="30" t="n">
        <v>-1</v>
      </c>
      <c r="AD213" s="24" t="inlineStr">
        <is>
          <t>2026-09-08T04:30:54.937386Z</t>
        </is>
      </c>
      <c r="AE213" s="31" t="inlineStr">
        <is>
          <t>Poisson-DC rates 1.46 (home) / 1.20 (away) from EWMA attack/defense strengths. Executable ask 0.4500 (atc-ecu1-mur-leo-2026-09-06-mur).</t>
        </is>
      </c>
      <c r="AF213" s="31" t="inlineStr">
        <is>
          <t>Research-only soccer score model; draw-aware, but not yet locked-holdout qualified.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PAPER_CALL_MODEL_UNVALIDATED</t>
        </is>
      </c>
      <c r="AP213" s="24" t="inlineStr">
        <is>
          <t>Leones</t>
        </is>
      </c>
      <c r="AQ213" s="24" t="inlineStr">
        <is>
          <t>Leones</t>
        </is>
      </c>
      <c r="AR213" s="24" t="inlineStr">
        <is>
          <t>Leones</t>
        </is>
      </c>
      <c r="AS213" s="24" t="inlineStr">
        <is>
          <t>Mushuc Runa</t>
        </is>
      </c>
      <c r="AT213" s="24" t="inlineStr">
        <is>
          <t>Mushuc Runa</t>
        </is>
      </c>
      <c r="AU213" s="24" t="inlineStr">
        <is>
          <t>Mushuc Runa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e64f166eb03d5e657185abb04e25fff4830a8801f3dfa7f84e7c01a3f339baa9</t>
        </is>
      </c>
      <c r="BB213" s="24" t="inlineStr">
        <is>
          <t>poisson_dixon_coles</t>
        </is>
      </c>
      <c r="BC213" s="24" t="inlineStr">
        <is>
          <t>soccer-poisson-dc-v1</t>
        </is>
      </c>
      <c r="BD213" s="24" t="inlineStr">
        <is>
          <t>e64f166eb03d5e657185abb04e25fff4830a8801f3dfa7f84e7c01a3f339baa9</t>
        </is>
      </c>
      <c r="BE213" s="24" t="inlineStr">
        <is>
          <t>soccer-poisson-dc-v1</t>
        </is>
      </c>
      <c r="BF213" s="24" t="inlineStr">
        <is>
          <t>1</t>
        </is>
      </c>
      <c r="BG213" s="24" t="inlineStr">
        <is>
          <t>e64f166eb03d5e657185abb04e25fff4830a8801f3dfa7f84e7c01a3f339baa9</t>
        </is>
      </c>
      <c r="BH213" s="24" t="inlineStr">
        <is>
          <t>2026-09-07T22:03:47.925730Z</t>
        </is>
      </c>
      <c r="BI213" s="24" t="inlineStr">
        <is>
          <t>["same_event","same_team_same_day","same_league_same_day"]</t>
        </is>
      </c>
      <c r="BJ213" s="25" t="n"/>
      <c r="BK213" s="26" t="n">
        <v>122</v>
      </c>
      <c r="BL213" s="27" t="n">
        <v>2.22</v>
      </c>
      <c r="BM213" s="28" t="n">
        <v>0.45045</v>
      </c>
      <c r="BN213" s="28" t="n"/>
      <c r="BO213" s="28" t="n"/>
      <c r="BP213" s="25" t="n"/>
      <c r="BQ213" s="27" t="n">
        <v>2.22</v>
      </c>
      <c r="BR213" s="28" t="n">
        <v>0.45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-1</v>
      </c>
      <c r="BZ213" s="24" t="inlineStr">
        <is>
          <t>2026-09-08T04:30:54.937386Z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0.45045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b00bf03acdd94b2a</t>
        </is>
      </c>
      <c r="B214" s="24" t="inlineStr">
        <is>
          <t>2026-09-07T22:04:12.265598Z</t>
        </is>
      </c>
      <c r="C214" s="24" t="inlineStr">
        <is>
          <t>2026-09-08T00:00Z</t>
        </is>
      </c>
      <c r="D214" s="24" t="inlineStr">
        <is>
          <t>401859687</t>
        </is>
      </c>
      <c r="E214" s="24" t="inlineStr">
        <is>
          <t>SOCCER</t>
        </is>
      </c>
      <c r="F214" s="24" t="inlineStr">
        <is>
          <t>Guayaquil City FC</t>
        </is>
      </c>
      <c r="G214" s="24" t="inlineStr">
        <is>
          <t>Orense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117</v>
      </c>
      <c r="M214" s="27" t="n">
        <v>2.17</v>
      </c>
      <c r="N214" s="28" t="n">
        <v>0.460829</v>
      </c>
      <c r="O214" s="28" t="n">
        <v>0.398039</v>
      </c>
      <c r="P214" s="28" t="n">
        <v>0.2</v>
      </c>
      <c r="Q214" s="28" t="n">
        <v>-0.06279</v>
      </c>
      <c r="R214" s="26" t="n">
        <v>0</v>
      </c>
      <c r="S214" s="29" t="n">
        <v>1</v>
      </c>
      <c r="T214" s="24" t="inlineStr">
        <is>
          <t>soccer-poisson-dc-v1</t>
        </is>
      </c>
      <c r="U214" s="24" t="inlineStr">
        <is>
          <t>settled</t>
        </is>
      </c>
      <c r="V214" s="24" t="inlineStr">
        <is>
          <t>win</t>
        </is>
      </c>
      <c r="W214" s="26" t="n">
        <v>3</v>
      </c>
      <c r="X214" s="26" t="n">
        <v>4</v>
      </c>
      <c r="Y214" s="25" t="n"/>
      <c r="Z214" s="26" t="n">
        <v>117</v>
      </c>
      <c r="AA214" s="28" t="n">
        <v>0.46</v>
      </c>
      <c r="AB214" s="28" t="n">
        <v>-0.000829</v>
      </c>
      <c r="AC214" s="30" t="n">
        <v>1.17</v>
      </c>
      <c r="AD214" s="24" t="inlineStr">
        <is>
          <t>2026-09-08T04:30:57.066465Z</t>
        </is>
      </c>
      <c r="AE214" s="31" t="inlineStr">
        <is>
          <t>Poisson-DC rates 1.46 (home) / 1.30 (away) from EWMA attack/defense strengths. Executable ask 0.4600 (atc-ecu1-ore-gua-2026-09-06-ore).</t>
        </is>
      </c>
      <c r="AF214" s="31" t="inlineStr">
        <is>
          <t>Research-only soccer score model; draw-aware, but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PAPER_CALL_MODEL_UNVALIDATED</t>
        </is>
      </c>
      <c r="AP214" s="24" t="inlineStr">
        <is>
          <t>Guayaquil City FC</t>
        </is>
      </c>
      <c r="AQ214" s="24" t="inlineStr">
        <is>
          <t>Guayaquil City FC</t>
        </is>
      </c>
      <c r="AR214" s="24" t="inlineStr">
        <is>
          <t>Guayaquil City FC</t>
        </is>
      </c>
      <c r="AS214" s="24" t="inlineStr">
        <is>
          <t>Orense</t>
        </is>
      </c>
      <c r="AT214" s="24" t="inlineStr">
        <is>
          <t>Orense</t>
        </is>
      </c>
      <c r="AU214" s="24" t="inlineStr">
        <is>
          <t>Orense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e64f166eb03d5e657185abb04e25fff4830a8801f3dfa7f84e7c01a3f339baa9</t>
        </is>
      </c>
      <c r="BB214" s="24" t="inlineStr">
        <is>
          <t>poisson_dixon_coles</t>
        </is>
      </c>
      <c r="BC214" s="24" t="inlineStr">
        <is>
          <t>soccer-poisson-dc-v1</t>
        </is>
      </c>
      <c r="BD214" s="24" t="inlineStr">
        <is>
          <t>e64f166eb03d5e657185abb04e25fff4830a8801f3dfa7f84e7c01a3f339baa9</t>
        </is>
      </c>
      <c r="BE214" s="24" t="inlineStr">
        <is>
          <t>soccer-poisson-dc-v1</t>
        </is>
      </c>
      <c r="BF214" s="24" t="inlineStr">
        <is>
          <t>1</t>
        </is>
      </c>
      <c r="BG214" s="24" t="inlineStr">
        <is>
          <t>e64f166eb03d5e657185abb04e25fff4830a8801f3dfa7f84e7c01a3f339baa9</t>
        </is>
      </c>
      <c r="BH214" s="24" t="inlineStr">
        <is>
          <t>2026-09-07T22:03:47.900371Z</t>
        </is>
      </c>
      <c r="BI214" s="24" t="inlineStr">
        <is>
          <t>["same_event","same_team_same_day","same_league_same_day"]</t>
        </is>
      </c>
      <c r="BJ214" s="25" t="n"/>
      <c r="BK214" s="26" t="n">
        <v>117</v>
      </c>
      <c r="BL214" s="27" t="n">
        <v>2.17</v>
      </c>
      <c r="BM214" s="28" t="n">
        <v>0.460829</v>
      </c>
      <c r="BN214" s="28" t="n"/>
      <c r="BO214" s="28" t="n"/>
      <c r="BP214" s="25" t="n"/>
      <c r="BQ214" s="27" t="n">
        <v>2.17</v>
      </c>
      <c r="BR214" s="28" t="n">
        <v>0.46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1.170002</v>
      </c>
      <c r="BZ214" s="24" t="inlineStr">
        <is>
          <t>2026-09-08T04:30:57.066465Z</t>
        </is>
      </c>
      <c r="CA214" s="31" t="inlineStr">
        <is>
          <t>fixed one-unit hypothetical scoring; no real exposure or execution</t>
        </is>
      </c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0.460829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0494f4449cc34557</t>
        </is>
      </c>
      <c r="B215" s="24" t="inlineStr">
        <is>
          <t>2026-09-08T16:16:02.557649Z</t>
        </is>
      </c>
      <c r="C215" s="24" t="inlineStr">
        <is>
          <t>2026-09-08T16:45Z</t>
        </is>
      </c>
      <c r="D215" s="24" t="inlineStr">
        <is>
          <t>401915426</t>
        </is>
      </c>
      <c r="E215" s="24" t="inlineStr">
        <is>
          <t>SOCCER</t>
        </is>
      </c>
      <c r="F215" s="24" t="inlineStr">
        <is>
          <t>Aston Villa</t>
        </is>
      </c>
      <c r="G215" s="24" t="inlineStr">
        <is>
          <t>Club Brugge</t>
        </is>
      </c>
      <c r="H215" s="24" t="inlineStr">
        <is>
          <t>total</t>
        </is>
      </c>
      <c r="I215" s="24" t="inlineStr">
        <is>
          <t>over</t>
        </is>
      </c>
      <c r="J215" s="25" t="n">
        <v>2.5</v>
      </c>
      <c r="K215" s="24" t="inlineStr">
        <is>
          <t>polymarket_us</t>
        </is>
      </c>
      <c r="L215" s="26" t="n">
        <v>-138</v>
      </c>
      <c r="M215" s="27" t="n">
        <v>1.724638</v>
      </c>
      <c r="N215" s="28" t="n">
        <v>0.579832</v>
      </c>
      <c r="O215" s="28" t="n">
        <v>0.683258</v>
      </c>
      <c r="P215" s="28" t="n">
        <v>0.08</v>
      </c>
      <c r="Q215" s="28" t="n">
        <v>0.103426</v>
      </c>
      <c r="R215" s="26" t="n">
        <v>54</v>
      </c>
      <c r="S215" s="29" t="n">
        <v>1.25</v>
      </c>
      <c r="T215" s="24" t="inlineStr">
        <is>
          <t>soccer-poisson-dc-v1</t>
        </is>
      </c>
      <c r="U215" s="24" t="inlineStr">
        <is>
          <t>settled</t>
        </is>
      </c>
      <c r="V215" s="24" t="inlineStr">
        <is>
          <t>win</t>
        </is>
      </c>
      <c r="W215" s="26" t="n">
        <v>3</v>
      </c>
      <c r="X215" s="26" t="n">
        <v>2</v>
      </c>
      <c r="Y215" s="25" t="n"/>
      <c r="Z215" s="26" t="n">
        <v>-138</v>
      </c>
      <c r="AA215" s="28" t="n">
        <v>0.58</v>
      </c>
      <c r="AB215" s="28" t="n">
        <v>0.000168</v>
      </c>
      <c r="AC215" s="30" t="n">
        <v>0.9058</v>
      </c>
      <c r="AD215" s="24" t="inlineStr">
        <is>
          <t>2026-09-08T22:10:21.164351Z</t>
        </is>
      </c>
      <c r="AE215" s="31" t="inlineStr">
        <is>
          <t>Poisson-DC rates 1.54 (home) / 1.98 (away) from EWMA attack/defense strengths. Executable ask 0.5800 (tsc-ucl-bru-ast-2026-09-08-2pt5).</t>
        </is>
      </c>
      <c r="AF215" s="31" t="inlineStr">
        <is>
          <t>Research-only soccer score model; draw-aware, but not yet locked-holdout qualified.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Aston Villa</t>
        </is>
      </c>
      <c r="AQ215" s="24" t="inlineStr">
        <is>
          <t>Aston Villa</t>
        </is>
      </c>
      <c r="AR215" s="24" t="inlineStr">
        <is>
          <t>Aston Villa</t>
        </is>
      </c>
      <c r="AS215" s="24" t="inlineStr">
        <is>
          <t>Club Brugge</t>
        </is>
      </c>
      <c r="AT215" s="24" t="inlineStr">
        <is>
          <t>Club Brugge</t>
        </is>
      </c>
      <c r="AU215" s="24" t="inlineStr">
        <is>
          <t>Club Brugge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e64f166eb03d5e657185abb04e25fff4830a8801f3dfa7f84e7c01a3f339baa9</t>
        </is>
      </c>
      <c r="BB215" s="24" t="inlineStr">
        <is>
          <t>poisson_dixon_coles</t>
        </is>
      </c>
      <c r="BC215" s="24" t="inlineStr">
        <is>
          <t>soccer-poisson-dc-v1</t>
        </is>
      </c>
      <c r="BD215" s="24" t="inlineStr">
        <is>
          <t>e64f166eb03d5e657185abb04e25fff4830a8801f3dfa7f84e7c01a3f339baa9</t>
        </is>
      </c>
      <c r="BE215" s="24" t="inlineStr">
        <is>
          <t>soccer-poisson-dc-v1</t>
        </is>
      </c>
      <c r="BF215" s="24" t="inlineStr">
        <is>
          <t>1</t>
        </is>
      </c>
      <c r="BG215" s="24" t="inlineStr">
        <is>
          <t>e64f166eb03d5e657185abb04e25fff4830a8801f3dfa7f84e7c01a3f339baa9</t>
        </is>
      </c>
      <c r="BH215" s="24" t="inlineStr">
        <is>
          <t>2026-09-08T16:07:48.103113Z</t>
        </is>
      </c>
      <c r="BI215" s="24" t="inlineStr">
        <is>
          <t>["same_event","same_team_same_day","same_league_same_day"]</t>
        </is>
      </c>
      <c r="BJ215" s="25" t="n">
        <v>2.5</v>
      </c>
      <c r="BK215" s="26" t="n">
        <v>-138</v>
      </c>
      <c r="BL215" s="27" t="n">
        <v>1.724638</v>
      </c>
      <c r="BM215" s="28" t="n">
        <v>0.579832</v>
      </c>
      <c r="BN215" s="28" t="n"/>
      <c r="BO215" s="28" t="n"/>
      <c r="BP215" s="25" t="n"/>
      <c r="BQ215" s="27" t="n">
        <v>1.724638</v>
      </c>
      <c r="BR215" s="28" t="n">
        <v>0.58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0.579832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ded309021ef948ee</t>
        </is>
      </c>
      <c r="B216" s="24" t="inlineStr">
        <is>
          <t>2026-09-08T16:16:02.557649Z</t>
        </is>
      </c>
      <c r="C216" s="24" t="inlineStr">
        <is>
          <t>2026-09-08T19:00Z</t>
        </is>
      </c>
      <c r="D216" s="24" t="inlineStr">
        <is>
          <t>401915449</t>
        </is>
      </c>
      <c r="E216" s="24" t="inlineStr">
        <is>
          <t>SOCCER</t>
        </is>
      </c>
      <c r="F216" s="24" t="inlineStr">
        <is>
          <t>Villarreal</t>
        </is>
      </c>
      <c r="G216" s="24" t="inlineStr">
        <is>
          <t>Borussia Dortmund</t>
        </is>
      </c>
      <c r="H216" s="24" t="inlineStr">
        <is>
          <t>total</t>
        </is>
      </c>
      <c r="I216" s="24" t="inlineStr">
        <is>
          <t>over</t>
        </is>
      </c>
      <c r="J216" s="25" t="n">
        <v>2.5</v>
      </c>
      <c r="K216" s="24" t="inlineStr">
        <is>
          <t>polymarket_us</t>
        </is>
      </c>
      <c r="L216" s="26" t="n">
        <v>-194</v>
      </c>
      <c r="M216" s="27" t="n">
        <v>1.515464</v>
      </c>
      <c r="N216" s="28" t="n">
        <v>0.659864</v>
      </c>
      <c r="O216" s="28" t="n">
        <v>0.704319</v>
      </c>
      <c r="P216" s="28" t="n">
        <v>0.12</v>
      </c>
      <c r="Q216" s="28" t="n">
        <v>0.044455</v>
      </c>
      <c r="R216" s="26" t="n">
        <v>0</v>
      </c>
      <c r="S216" s="29" t="n">
        <v>1</v>
      </c>
      <c r="T216" s="24" t="inlineStr">
        <is>
          <t>soccer-poisson-dc-v1</t>
        </is>
      </c>
      <c r="U216" s="24" t="inlineStr">
        <is>
          <t>settled</t>
        </is>
      </c>
      <c r="V216" s="24" t="inlineStr">
        <is>
          <t>win</t>
        </is>
      </c>
      <c r="W216" s="26" t="n">
        <v>2</v>
      </c>
      <c r="X216" s="26" t="n">
        <v>3</v>
      </c>
      <c r="Y216" s="25" t="n"/>
      <c r="Z216" s="26" t="n">
        <v>-194</v>
      </c>
      <c r="AA216" s="28" t="n">
        <v>0.66</v>
      </c>
      <c r="AB216" s="28" t="n">
        <v>0.000136</v>
      </c>
      <c r="AC216" s="30" t="n">
        <v>0.5155</v>
      </c>
      <c r="AD216" s="24" t="inlineStr">
        <is>
          <t>2026-09-08T22:10:23.377047Z</t>
        </is>
      </c>
      <c r="AE216" s="31" t="inlineStr">
        <is>
          <t>Poisson-DC rates 2.61 (home) / 1.03 (away) from EWMA attack/defense strengths. Executable ask 0.6600 (tsc-ucl-bvb-vil-2026-09-08-2pt5).</t>
        </is>
      </c>
      <c r="AF216" s="31" t="inlineStr">
        <is>
          <t>Research-only soccer score model; draw-aware, but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PAPER_CALL_MODEL_UNVALIDATED</t>
        </is>
      </c>
      <c r="AP216" s="24" t="inlineStr">
        <is>
          <t>Villarreal</t>
        </is>
      </c>
      <c r="AQ216" s="24" t="inlineStr">
        <is>
          <t>Villarreal</t>
        </is>
      </c>
      <c r="AR216" s="24" t="inlineStr">
        <is>
          <t>Villarreal</t>
        </is>
      </c>
      <c r="AS216" s="24" t="inlineStr">
        <is>
          <t>Borussia Dortmund</t>
        </is>
      </c>
      <c r="AT216" s="24" t="inlineStr">
        <is>
          <t>Borussia Dortmund</t>
        </is>
      </c>
      <c r="AU216" s="24" t="inlineStr">
        <is>
          <t>Borussia Dortmund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e64f166eb03d5e657185abb04e25fff4830a8801f3dfa7f84e7c01a3f339baa9</t>
        </is>
      </c>
      <c r="BB216" s="24" t="inlineStr">
        <is>
          <t>poisson_dixon_coles</t>
        </is>
      </c>
      <c r="BC216" s="24" t="inlineStr">
        <is>
          <t>soccer-poisson-dc-v1</t>
        </is>
      </c>
      <c r="BD216" s="24" t="inlineStr">
        <is>
          <t>e64f166eb03d5e657185abb04e25fff4830a8801f3dfa7f84e7c01a3f339baa9</t>
        </is>
      </c>
      <c r="BE216" s="24" t="inlineStr">
        <is>
          <t>soccer-poisson-dc-v1</t>
        </is>
      </c>
      <c r="BF216" s="24" t="inlineStr">
        <is>
          <t>1</t>
        </is>
      </c>
      <c r="BG216" s="24" t="inlineStr">
        <is>
          <t>e64f166eb03d5e657185abb04e25fff4830a8801f3dfa7f84e7c01a3f339baa9</t>
        </is>
      </c>
      <c r="BH216" s="24" t="inlineStr">
        <is>
          <t>2026-09-08T16:07:48.543676Z</t>
        </is>
      </c>
      <c r="BI216" s="24" t="inlineStr">
        <is>
          <t>["same_event","same_team_same_day","same_league_same_day"]</t>
        </is>
      </c>
      <c r="BJ216" s="25" t="n">
        <v>2.5</v>
      </c>
      <c r="BK216" s="26" t="n">
        <v>-194</v>
      </c>
      <c r="BL216" s="27" t="n">
        <v>1.515464</v>
      </c>
      <c r="BM216" s="28" t="n">
        <v>0.659864</v>
      </c>
      <c r="BN216" s="28" t="n"/>
      <c r="BO216" s="28" t="n"/>
      <c r="BP216" s="25" t="n"/>
      <c r="BQ216" s="27" t="n">
        <v>1.515464</v>
      </c>
      <c r="BR216" s="28" t="n">
        <v>0.66</v>
      </c>
      <c r="BS216" s="28" t="n"/>
      <c r="BT216" s="28" t="n"/>
      <c r="BU216" s="25" t="n"/>
      <c r="BV216" s="29" t="n"/>
      <c r="BW216" s="24" t="n"/>
      <c r="BX216" s="30" t="n">
        <v>1</v>
      </c>
      <c r="BY216" s="27" t="n">
        <v>0.515464</v>
      </c>
      <c r="BZ216" s="24" t="inlineStr">
        <is>
          <t>2026-09-08T22:10:23.377047Z</t>
        </is>
      </c>
      <c r="CA216" s="31" t="inlineStr">
        <is>
          <t>fixed one-unit hypothetical scoring; no real exposure or execution</t>
        </is>
      </c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0.659864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129737b7f6144217</t>
        </is>
      </c>
      <c r="B217" s="24" t="inlineStr">
        <is>
          <t>2026-09-08T16:16:02.557649Z</t>
        </is>
      </c>
      <c r="C217" s="24" t="inlineStr">
        <is>
          <t>2026-09-08T19:00Z</t>
        </is>
      </c>
      <c r="D217" s="24" t="inlineStr">
        <is>
          <t>401915425</t>
        </is>
      </c>
      <c r="E217" s="24" t="inlineStr">
        <is>
          <t>SOCCER</t>
        </is>
      </c>
      <c r="F217" s="24" t="inlineStr">
        <is>
          <t>Manchester City</t>
        </is>
      </c>
      <c r="G217" s="24" t="inlineStr">
        <is>
          <t>FC Porto</t>
        </is>
      </c>
      <c r="H217" s="24" t="inlineStr">
        <is>
          <t>total</t>
        </is>
      </c>
      <c r="I217" s="24" t="inlineStr">
        <is>
          <t>over</t>
        </is>
      </c>
      <c r="J217" s="25" t="n">
        <v>2.5</v>
      </c>
      <c r="K217" s="24" t="inlineStr">
        <is>
          <t>polymarket_us</t>
        </is>
      </c>
      <c r="L217" s="26" t="n">
        <v>-138</v>
      </c>
      <c r="M217" s="27" t="n">
        <v>1.724638</v>
      </c>
      <c r="N217" s="28" t="n">
        <v>0.579832</v>
      </c>
      <c r="O217" s="28" t="n">
        <v>0.568179</v>
      </c>
      <c r="P217" s="28" t="n">
        <v>0.18</v>
      </c>
      <c r="Q217" s="28" t="n">
        <v>-0.011653</v>
      </c>
      <c r="R217" s="26" t="n">
        <v>0</v>
      </c>
      <c r="S217" s="29" t="n">
        <v>1</v>
      </c>
      <c r="T217" s="24" t="inlineStr">
        <is>
          <t>soccer-poisson-dc-v1</t>
        </is>
      </c>
      <c r="U217" s="24" t="inlineStr">
        <is>
          <t>settled</t>
        </is>
      </c>
      <c r="V217" s="24" t="inlineStr">
        <is>
          <t>loss</t>
        </is>
      </c>
      <c r="W217" s="26" t="n">
        <v>2</v>
      </c>
      <c r="X217" s="26" t="n">
        <v>0</v>
      </c>
      <c r="Y217" s="25" t="n"/>
      <c r="Z217" s="26" t="n">
        <v>-138</v>
      </c>
      <c r="AA217" s="28" t="n">
        <v>0.58</v>
      </c>
      <c r="AB217" s="28" t="n">
        <v>0.000168</v>
      </c>
      <c r="AC217" s="30" t="n">
        <v>-1</v>
      </c>
      <c r="AD217" s="24" t="inlineStr">
        <is>
          <t>2026-09-08T22:10:25.516996Z</t>
        </is>
      </c>
      <c r="AE217" s="31" t="inlineStr">
        <is>
          <t>Poisson-DC rates 1.67 (home) / 1.29 (away) from EWMA attack/defense strengths. Executable ask 0.5800 (tsc-ucl-por-mnc-2026-09-08-2pt5).</t>
        </is>
      </c>
      <c r="AF217" s="31" t="inlineStr">
        <is>
          <t>Research-only soccer score model; draw-aware, but not yet locked-holdout qualified.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PAPER_CALL_MODEL_UNVALIDATED</t>
        </is>
      </c>
      <c r="AP217" s="24" t="inlineStr">
        <is>
          <t>Manchester City</t>
        </is>
      </c>
      <c r="AQ217" s="24" t="inlineStr">
        <is>
          <t>Manchester City</t>
        </is>
      </c>
      <c r="AR217" s="24" t="inlineStr">
        <is>
          <t>Manchester City</t>
        </is>
      </c>
      <c r="AS217" s="24" t="inlineStr">
        <is>
          <t>FC Porto</t>
        </is>
      </c>
      <c r="AT217" s="24" t="inlineStr">
        <is>
          <t>FC Porto</t>
        </is>
      </c>
      <c r="AU217" s="24" t="inlineStr">
        <is>
          <t>FC Porto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e64f166eb03d5e657185abb04e25fff4830a8801f3dfa7f84e7c01a3f339baa9</t>
        </is>
      </c>
      <c r="BB217" s="24" t="inlineStr">
        <is>
          <t>poisson_dixon_coles</t>
        </is>
      </c>
      <c r="BC217" s="24" t="inlineStr">
        <is>
          <t>soccer-poisson-dc-v1</t>
        </is>
      </c>
      <c r="BD217" s="24" t="inlineStr">
        <is>
          <t>e64f166eb03d5e657185abb04e25fff4830a8801f3dfa7f84e7c01a3f339baa9</t>
        </is>
      </c>
      <c r="BE217" s="24" t="inlineStr">
        <is>
          <t>soccer-poisson-dc-v1</t>
        </is>
      </c>
      <c r="BF217" s="24" t="inlineStr">
        <is>
          <t>1</t>
        </is>
      </c>
      <c r="BG217" s="24" t="inlineStr">
        <is>
          <t>e64f166eb03d5e657185abb04e25fff4830a8801f3dfa7f84e7c01a3f339baa9</t>
        </is>
      </c>
      <c r="BH217" s="24" t="inlineStr">
        <is>
          <t>2026-09-08T16:07:48.379377Z</t>
        </is>
      </c>
      <c r="BI217" s="24" t="inlineStr">
        <is>
          <t>["same_event","same_team_same_day","same_league_same_day"]</t>
        </is>
      </c>
      <c r="BJ217" s="25" t="n">
        <v>2.5</v>
      </c>
      <c r="BK217" s="26" t="n">
        <v>-138</v>
      </c>
      <c r="BL217" s="27" t="n">
        <v>1.724638</v>
      </c>
      <c r="BM217" s="28" t="n">
        <v>0.579832</v>
      </c>
      <c r="BN217" s="28" t="n"/>
      <c r="BO217" s="28" t="n"/>
      <c r="BP217" s="25" t="n"/>
      <c r="BQ217" s="27" t="n">
        <v>1.724638</v>
      </c>
      <c r="BR217" s="28" t="n">
        <v>0.58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-1</v>
      </c>
      <c r="BZ217" s="24" t="inlineStr">
        <is>
          <t>2026-09-08T22:10:25.516996Z</t>
        </is>
      </c>
      <c r="CA217" s="31" t="inlineStr">
        <is>
          <t>fixed one-unit hypothetical scoring; no real exposure or execution</t>
        </is>
      </c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0.579832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024f0d9257884336</t>
        </is>
      </c>
      <c r="B218" s="24" t="inlineStr">
        <is>
          <t>2026-09-08T16:16:02.557649Z</t>
        </is>
      </c>
      <c r="C218" s="24" t="inlineStr">
        <is>
          <t>2026-09-08T19:00Z</t>
        </is>
      </c>
      <c r="D218" s="24" t="inlineStr">
        <is>
          <t>401915450</t>
        </is>
      </c>
      <c r="E218" s="24" t="inlineStr">
        <is>
          <t>SOCCER</t>
        </is>
      </c>
      <c r="F218" s="24" t="inlineStr">
        <is>
          <t>Real Betis</t>
        </is>
      </c>
      <c r="G218" s="24" t="inlineStr">
        <is>
          <t>Lille</t>
        </is>
      </c>
      <c r="H218" s="24" t="inlineStr">
        <is>
          <t>total</t>
        </is>
      </c>
      <c r="I218" s="24" t="inlineStr">
        <is>
          <t>over</t>
        </is>
      </c>
      <c r="J218" s="25" t="n">
        <v>2.5</v>
      </c>
      <c r="K218" s="24" t="inlineStr">
        <is>
          <t>polymarket_us</t>
        </is>
      </c>
      <c r="L218" s="26" t="n">
        <v>-122</v>
      </c>
      <c r="M218" s="27" t="n">
        <v>1.819672</v>
      </c>
      <c r="N218" s="28" t="n">
        <v>0.54955</v>
      </c>
      <c r="O218" s="28" t="n">
        <v>0.660018</v>
      </c>
      <c r="P218" s="28" t="n">
        <v>0.2</v>
      </c>
      <c r="Q218" s="28" t="n">
        <v>0.110468</v>
      </c>
      <c r="R218" s="26" t="n">
        <v>0</v>
      </c>
      <c r="S218" s="29" t="n">
        <v>1</v>
      </c>
      <c r="T218" s="24" t="inlineStr">
        <is>
          <t>soccer-poisson-dc-v1</t>
        </is>
      </c>
      <c r="U218" s="24" t="inlineStr">
        <is>
          <t>settled</t>
        </is>
      </c>
      <c r="V218" s="24" t="inlineStr">
        <is>
          <t>win</t>
        </is>
      </c>
      <c r="W218" s="26" t="n">
        <v>3</v>
      </c>
      <c r="X218" s="26" t="n">
        <v>2</v>
      </c>
      <c r="Y218" s="25" t="n"/>
      <c r="Z218" s="26" t="n">
        <v>-122</v>
      </c>
      <c r="AA218" s="28" t="n">
        <v>0.55</v>
      </c>
      <c r="AB218" s="28" t="n">
        <v>0.00045</v>
      </c>
      <c r="AC218" s="30" t="n">
        <v>0.8197</v>
      </c>
      <c r="AD218" s="24" t="inlineStr">
        <is>
          <t>2026-09-08T22:10:27.708913Z</t>
        </is>
      </c>
      <c r="AE218" s="31" t="inlineStr">
        <is>
          <t>Poisson-DC rates 2.11 (home) / 1.29 (away) from EWMA attack/defense strengths. Executable ask 0.5500 (tsc-ucl-lil-rbb-2026-09-08-2pt5).</t>
        </is>
      </c>
      <c r="AF218" s="31" t="inlineStr">
        <is>
          <t>Research-only soccer score model; draw-aware, but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PAPER_CALL_MODEL_UNVALIDATED</t>
        </is>
      </c>
      <c r="AP218" s="24" t="inlineStr">
        <is>
          <t>Real Betis</t>
        </is>
      </c>
      <c r="AQ218" s="24" t="inlineStr">
        <is>
          <t>Real Betis</t>
        </is>
      </c>
      <c r="AR218" s="24" t="inlineStr">
        <is>
          <t>Real Betis</t>
        </is>
      </c>
      <c r="AS218" s="24" t="inlineStr">
        <is>
          <t>Lille</t>
        </is>
      </c>
      <c r="AT218" s="24" t="inlineStr">
        <is>
          <t>Lille</t>
        </is>
      </c>
      <c r="AU218" s="24" t="inlineStr">
        <is>
          <t>Lille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e64f166eb03d5e657185abb04e25fff4830a8801f3dfa7f84e7c01a3f339baa9</t>
        </is>
      </c>
      <c r="BB218" s="24" t="inlineStr">
        <is>
          <t>poisson_dixon_coles</t>
        </is>
      </c>
      <c r="BC218" s="24" t="inlineStr">
        <is>
          <t>soccer-poisson-dc-v1</t>
        </is>
      </c>
      <c r="BD218" s="24" t="inlineStr">
        <is>
          <t>e64f166eb03d5e657185abb04e25fff4830a8801f3dfa7f84e7c01a3f339baa9</t>
        </is>
      </c>
      <c r="BE218" s="24" t="inlineStr">
        <is>
          <t>soccer-poisson-dc-v1</t>
        </is>
      </c>
      <c r="BF218" s="24" t="inlineStr">
        <is>
          <t>1</t>
        </is>
      </c>
      <c r="BG218" s="24" t="inlineStr">
        <is>
          <t>e64f166eb03d5e657185abb04e25fff4830a8801f3dfa7f84e7c01a3f339baa9</t>
        </is>
      </c>
      <c r="BH218" s="24" t="inlineStr">
        <is>
          <t>2026-09-08T16:07:48.281849Z</t>
        </is>
      </c>
      <c r="BI218" s="24" t="inlineStr">
        <is>
          <t>["same_event","same_team_same_day","same_league_same_day"]</t>
        </is>
      </c>
      <c r="BJ218" s="25" t="n">
        <v>2.5</v>
      </c>
      <c r="BK218" s="26" t="n">
        <v>-122</v>
      </c>
      <c r="BL218" s="27" t="n">
        <v>1.819672</v>
      </c>
      <c r="BM218" s="28" t="n">
        <v>0.54955</v>
      </c>
      <c r="BN218" s="28" t="n"/>
      <c r="BO218" s="28" t="n"/>
      <c r="BP218" s="25" t="n"/>
      <c r="BQ218" s="27" t="n">
        <v>1.819672</v>
      </c>
      <c r="BR218" s="28" t="n">
        <v>0.55</v>
      </c>
      <c r="BS218" s="28" t="n"/>
      <c r="BT218" s="28" t="n"/>
      <c r="BU218" s="25" t="n"/>
      <c r="BV218" s="29" t="n"/>
      <c r="BW218" s="24" t="n"/>
      <c r="BX218" s="30" t="n">
        <v>1</v>
      </c>
      <c r="BY218" s="27" t="n">
        <v>0.819671</v>
      </c>
      <c r="BZ218" s="24" t="inlineStr">
        <is>
          <t>2026-09-08T22:10:27.708913Z</t>
        </is>
      </c>
      <c r="CA218" s="31" t="inlineStr">
        <is>
          <t>fixed one-unit hypothetical scoring; no real exposure or execution</t>
        </is>
      </c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0.54955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daeac376579748e3</t>
        </is>
      </c>
      <c r="B219" s="24" t="inlineStr">
        <is>
          <t>2026-09-08T16:16:02.557649Z</t>
        </is>
      </c>
      <c r="C219" s="24" t="inlineStr">
        <is>
          <t>2026-09-08T19:00Z</t>
        </is>
      </c>
      <c r="D219" s="24" t="inlineStr">
        <is>
          <t>401915451</t>
        </is>
      </c>
      <c r="E219" s="24" t="inlineStr">
        <is>
          <t>SOCCER</t>
        </is>
      </c>
      <c r="F219" s="24" t="inlineStr">
        <is>
          <t>Internazionale</t>
        </is>
      </c>
      <c r="G219" s="24" t="inlineStr">
        <is>
          <t>Real Madrid</t>
        </is>
      </c>
      <c r="H219" s="24" t="inlineStr">
        <is>
          <t>total</t>
        </is>
      </c>
      <c r="I219" s="24" t="inlineStr">
        <is>
          <t>over</t>
        </is>
      </c>
      <c r="J219" s="25" t="n">
        <v>2.5</v>
      </c>
      <c r="K219" s="24" t="inlineStr">
        <is>
          <t>polymarket_us</t>
        </is>
      </c>
      <c r="L219" s="26" t="n">
        <v>-223</v>
      </c>
      <c r="M219" s="27" t="n">
        <v>1.44843</v>
      </c>
      <c r="N219" s="28" t="n">
        <v>0.690402</v>
      </c>
      <c r="O219" s="28" t="n">
        <v>0.668266</v>
      </c>
      <c r="P219" s="28" t="n">
        <v>0.04</v>
      </c>
      <c r="Q219" s="28" t="n">
        <v>-0.022136</v>
      </c>
      <c r="R219" s="26" t="n">
        <v>15</v>
      </c>
      <c r="S219" s="29" t="n">
        <v>1</v>
      </c>
      <c r="T219" s="24" t="inlineStr">
        <is>
          <t>soccer-poisson-dc-v1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2</v>
      </c>
      <c r="Y219" s="25" t="n"/>
      <c r="Z219" s="26" t="n">
        <v>-223</v>
      </c>
      <c r="AA219" s="28" t="n">
        <v>0.6899999999999999</v>
      </c>
      <c r="AB219" s="28" t="n">
        <v>-0.000402</v>
      </c>
      <c r="AC219" s="30" t="n">
        <v>0.4484</v>
      </c>
      <c r="AD219" s="24" t="inlineStr">
        <is>
          <t>2026-09-08T22:10:29.943066Z</t>
        </is>
      </c>
      <c r="AE219" s="31" t="inlineStr">
        <is>
          <t>Poisson-DC rates 2.09 (home) / 1.36 (away) from EWMA attack/defense strengths. Executable ask 0.6900 (tsc-ucl-rma-int-2026-09-08-2pt5).</t>
        </is>
      </c>
      <c r="AF219" s="31" t="inlineStr">
        <is>
          <t>Research-only soccer score model; draw-aware, but not yet locked-holdout qualified.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Internazionale</t>
        </is>
      </c>
      <c r="AQ219" s="24" t="inlineStr">
        <is>
          <t>Internazionale</t>
        </is>
      </c>
      <c r="AR219" s="24" t="inlineStr">
        <is>
          <t>Internazionale</t>
        </is>
      </c>
      <c r="AS219" s="24" t="inlineStr">
        <is>
          <t>Real Madrid</t>
        </is>
      </c>
      <c r="AT219" s="24" t="inlineStr">
        <is>
          <t>Real Madrid</t>
        </is>
      </c>
      <c r="AU219" s="24" t="inlineStr">
        <is>
          <t>Real Madrid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e64f166eb03d5e657185abb04e25fff4830a8801f3dfa7f84e7c01a3f339baa9</t>
        </is>
      </c>
      <c r="BB219" s="24" t="inlineStr">
        <is>
          <t>poisson_dixon_coles</t>
        </is>
      </c>
      <c r="BC219" s="24" t="inlineStr">
        <is>
          <t>soccer-poisson-dc-v1</t>
        </is>
      </c>
      <c r="BD219" s="24" t="inlineStr">
        <is>
          <t>e64f166eb03d5e657185abb04e25fff4830a8801f3dfa7f84e7c01a3f339baa9</t>
        </is>
      </c>
      <c r="BE219" s="24" t="inlineStr">
        <is>
          <t>soccer-poisson-dc-v1</t>
        </is>
      </c>
      <c r="BF219" s="24" t="inlineStr">
        <is>
          <t>1</t>
        </is>
      </c>
      <c r="BG219" s="24" t="inlineStr">
        <is>
          <t>e64f166eb03d5e657185abb04e25fff4830a8801f3dfa7f84e7c01a3f339baa9</t>
        </is>
      </c>
      <c r="BH219" s="24" t="inlineStr">
        <is>
          <t>2026-09-08T16:07:48.185300Z</t>
        </is>
      </c>
      <c r="BI219" s="24" t="inlineStr">
        <is>
          <t>["same_event","same_team_same_day","same_league_same_day"]</t>
        </is>
      </c>
      <c r="BJ219" s="25" t="n">
        <v>2.5</v>
      </c>
      <c r="BK219" s="26" t="n">
        <v>-223</v>
      </c>
      <c r="BL219" s="27" t="n">
        <v>1.44843</v>
      </c>
      <c r="BM219" s="28" t="n">
        <v>0.690402</v>
      </c>
      <c r="BN219" s="28" t="n"/>
      <c r="BO219" s="28" t="n"/>
      <c r="BP219" s="25" t="n"/>
      <c r="BQ219" s="27" t="n">
        <v>1.44843</v>
      </c>
      <c r="BR219" s="28" t="n">
        <v>0.6899999999999999</v>
      </c>
      <c r="BS219" s="28" t="n"/>
      <c r="BT219" s="28" t="n"/>
      <c r="BU219" s="25" t="n"/>
      <c r="BV219" s="29" t="n"/>
      <c r="BW219" s="24" t="n"/>
      <c r="BX219" s="30" t="n">
        <v>1</v>
      </c>
      <c r="BY219" s="27" t="n">
        <v>0.448431</v>
      </c>
      <c r="BZ219" s="24" t="inlineStr">
        <is>
          <t>2026-09-08T22:10:29.943066Z</t>
        </is>
      </c>
      <c r="CA219" s="31" t="inlineStr">
        <is>
          <t>fixed one-unit hypothetical scoring; no real exposure or execution</t>
        </is>
      </c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0.690402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0d53f4d2b5114519</t>
        </is>
      </c>
      <c r="B220" s="24" t="inlineStr">
        <is>
          <t>2026-09-08T16:16:02.557649Z</t>
        </is>
      </c>
      <c r="C220" s="24" t="inlineStr">
        <is>
          <t>2026-09-08T22:00Z</t>
        </is>
      </c>
      <c r="D220" s="24" t="inlineStr">
        <is>
          <t>401913960</t>
        </is>
      </c>
      <c r="E220" s="24" t="inlineStr">
        <is>
          <t>SOCCER</t>
        </is>
      </c>
      <c r="F220" s="24" t="inlineStr">
        <is>
          <t>Vasco da Gama</t>
        </is>
      </c>
      <c r="G220" s="24" t="inlineStr">
        <is>
          <t>Independiente Santa Fe</t>
        </is>
      </c>
      <c r="H220" s="24" t="inlineStr">
        <is>
          <t>total</t>
        </is>
      </c>
      <c r="I220" s="24" t="inlineStr">
        <is>
          <t>over</t>
        </is>
      </c>
      <c r="J220" s="25" t="n">
        <v>2.5</v>
      </c>
      <c r="K220" s="24" t="inlineStr">
        <is>
          <t>polymarket_us</t>
        </is>
      </c>
      <c r="L220" s="26" t="n">
        <v>212</v>
      </c>
      <c r="M220" s="27" t="n">
        <v>3.12</v>
      </c>
      <c r="N220" s="28" t="n">
        <v>0.320513</v>
      </c>
      <c r="O220" s="28" t="n">
        <v>0.550338</v>
      </c>
      <c r="P220" s="28" t="n">
        <v>0.2</v>
      </c>
      <c r="Q220" s="28" t="n">
        <v>0.229825</v>
      </c>
      <c r="R220" s="26" t="n">
        <v>45</v>
      </c>
      <c r="S220" s="29" t="n">
        <v>1.25</v>
      </c>
      <c r="T220" s="24" t="inlineStr">
        <is>
          <t>soccer-poisson-dc-v1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0</v>
      </c>
      <c r="Y220" s="25" t="n"/>
      <c r="Z220" s="26" t="n">
        <v>212</v>
      </c>
      <c r="AA220" s="28" t="n">
        <v>0.32</v>
      </c>
      <c r="AB220" s="28" t="n">
        <v>-0.000513</v>
      </c>
      <c r="AC220" s="30" t="n">
        <v>-1.25</v>
      </c>
      <c r="AD220" s="24" t="inlineStr">
        <is>
          <t>2026-09-09T04:30:34.944695Z</t>
        </is>
      </c>
      <c r="AE220" s="31" t="inlineStr">
        <is>
          <t>Poisson-DC rates 1.64 (home) / 1.24 (away) from EWMA attack/defense strengths. Executable ask 0.3200 (tsc-sud-isf-vas-2026-09-08-2pt5).</t>
        </is>
      </c>
      <c r="AF220" s="31" t="inlineStr">
        <is>
          <t>Research-only soccer score model; draw-aware, but not yet locked-holdout qualified.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PAPER_CALL_MODEL_UNVALIDATED</t>
        </is>
      </c>
      <c r="AP220" s="24" t="inlineStr">
        <is>
          <t>Vasco da Gama</t>
        </is>
      </c>
      <c r="AQ220" s="24" t="inlineStr">
        <is>
          <t>Vasco da Gama</t>
        </is>
      </c>
      <c r="AR220" s="24" t="inlineStr">
        <is>
          <t>Vasco da Gama</t>
        </is>
      </c>
      <c r="AS220" s="24" t="inlineStr">
        <is>
          <t>Independiente Santa Fe</t>
        </is>
      </c>
      <c r="AT220" s="24" t="inlineStr">
        <is>
          <t>Independiente Santa Fe</t>
        </is>
      </c>
      <c r="AU220" s="24" t="inlineStr">
        <is>
          <t>Independiente Santa Fe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e64f166eb03d5e657185abb04e25fff4830a8801f3dfa7f84e7c01a3f339baa9</t>
        </is>
      </c>
      <c r="BB220" s="24" t="inlineStr">
        <is>
          <t>poisson_dixon_coles</t>
        </is>
      </c>
      <c r="BC220" s="24" t="inlineStr">
        <is>
          <t>soccer-poisson-dc-v1</t>
        </is>
      </c>
      <c r="BD220" s="24" t="inlineStr">
        <is>
          <t>e64f166eb03d5e657185abb04e25fff4830a8801f3dfa7f84e7c01a3f339baa9</t>
        </is>
      </c>
      <c r="BE220" s="24" t="inlineStr">
        <is>
          <t>soccer-poisson-dc-v1</t>
        </is>
      </c>
      <c r="BF220" s="24" t="inlineStr">
        <is>
          <t>1</t>
        </is>
      </c>
      <c r="BG220" s="24" t="inlineStr">
        <is>
          <t>e64f166eb03d5e657185abb04e25fff4830a8801f3dfa7f84e7c01a3f339baa9</t>
        </is>
      </c>
      <c r="BH220" s="24" t="inlineStr">
        <is>
          <t>2026-09-08T16:07:48.654268Z</t>
        </is>
      </c>
      <c r="BI220" s="24" t="inlineStr">
        <is>
          <t>["same_event","same_team_same_day","same_league_same_day"]</t>
        </is>
      </c>
      <c r="BJ220" s="25" t="n">
        <v>2.5</v>
      </c>
      <c r="BK220" s="26" t="n">
        <v>212</v>
      </c>
      <c r="BL220" s="27" t="n">
        <v>3.12</v>
      </c>
      <c r="BM220" s="28" t="n">
        <v>0.320513</v>
      </c>
      <c r="BN220" s="28" t="n"/>
      <c r="BO220" s="28" t="n"/>
      <c r="BP220" s="25" t="n"/>
      <c r="BQ220" s="27" t="n">
        <v>3.12</v>
      </c>
      <c r="BR220" s="28" t="n">
        <v>0.32</v>
      </c>
      <c r="BS220" s="28" t="n"/>
      <c r="BT220" s="28" t="n"/>
      <c r="BU220" s="25" t="n"/>
      <c r="BV220" s="29" t="n"/>
      <c r="BW220" s="24" t="n"/>
      <c r="BX220" s="30" t="n">
        <v>1</v>
      </c>
      <c r="BY220" s="27" t="n">
        <v>-1</v>
      </c>
      <c r="BZ220" s="24" t="inlineStr">
        <is>
          <t>2026-09-09T04:30:34.944695Z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0.320513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96da7f91394849c7</t>
        </is>
      </c>
      <c r="B221" s="24" t="inlineStr">
        <is>
          <t>2026-09-08T16:16:02.557649Z</t>
        </is>
      </c>
      <c r="C221" s="24" t="inlineStr">
        <is>
          <t>2026-09-08T16:45Z</t>
        </is>
      </c>
      <c r="D221" s="24" t="inlineStr">
        <is>
          <t>401915426</t>
        </is>
      </c>
      <c r="E221" s="24" t="inlineStr">
        <is>
          <t>SOCCER</t>
        </is>
      </c>
      <c r="F221" s="24" t="inlineStr">
        <is>
          <t>Aston Villa</t>
        </is>
      </c>
      <c r="G221" s="24" t="inlineStr">
        <is>
          <t>Club Brugge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polymarket_us</t>
        </is>
      </c>
      <c r="L221" s="26" t="n">
        <v>178</v>
      </c>
      <c r="M221" s="27" t="n">
        <v>2.78</v>
      </c>
      <c r="N221" s="28" t="n">
        <v>0.359712</v>
      </c>
      <c r="O221" s="28" t="n">
        <v>0.471684</v>
      </c>
      <c r="P221" s="28" t="n">
        <v>0.08</v>
      </c>
      <c r="Q221" s="28" t="n">
        <v>0.111972</v>
      </c>
      <c r="R221" s="26" t="n">
        <v>58</v>
      </c>
      <c r="S221" s="29" t="n">
        <v>1.25</v>
      </c>
      <c r="T221" s="24" t="inlineStr">
        <is>
          <t>soccer-poisson-dc-v1</t>
        </is>
      </c>
      <c r="U221" s="24" t="inlineStr">
        <is>
          <t>settled</t>
        </is>
      </c>
      <c r="V221" s="24" t="inlineStr">
        <is>
          <t>win</t>
        </is>
      </c>
      <c r="W221" s="26" t="n">
        <v>3</v>
      </c>
      <c r="X221" s="26" t="n">
        <v>2</v>
      </c>
      <c r="Y221" s="25" t="n"/>
      <c r="Z221" s="26" t="n">
        <v>-186</v>
      </c>
      <c r="AA221" s="28" t="n">
        <v>0.65</v>
      </c>
      <c r="AB221" s="28" t="n">
        <v>0.290288</v>
      </c>
      <c r="AC221" s="30" t="n">
        <v>2.225</v>
      </c>
      <c r="AD221" s="24" t="inlineStr">
        <is>
          <t>2026-09-08T22:10:32.776649Z</t>
        </is>
      </c>
      <c r="AE221" s="31" t="inlineStr">
        <is>
          <t>Poisson-DC rates 1.54 (home) / 1.98 (away) from EWMA attack/defense strengths. Executable ask 0.3600 (atc-ucl-bru-ast-2026-09-08-ast).</t>
        </is>
      </c>
      <c r="AF221" s="31" t="inlineStr">
        <is>
          <t>Research-only soccer score model; draw-aware, but not yet locked-holdout qualified.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Aston Villa</t>
        </is>
      </c>
      <c r="AQ221" s="24" t="inlineStr">
        <is>
          <t>Aston Villa</t>
        </is>
      </c>
      <c r="AR221" s="24" t="inlineStr">
        <is>
          <t>Aston Villa</t>
        </is>
      </c>
      <c r="AS221" s="24" t="inlineStr">
        <is>
          <t>Club Brugge</t>
        </is>
      </c>
      <c r="AT221" s="24" t="inlineStr">
        <is>
          <t>Club Brugge</t>
        </is>
      </c>
      <c r="AU221" s="24" t="inlineStr">
        <is>
          <t>Club Brugge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e64f166eb03d5e657185abb04e25fff4830a8801f3dfa7f84e7c01a3f339baa9</t>
        </is>
      </c>
      <c r="BB221" s="24" t="inlineStr">
        <is>
          <t>poisson_dixon_coles</t>
        </is>
      </c>
      <c r="BC221" s="24" t="inlineStr">
        <is>
          <t>soccer-poisson-dc-v1</t>
        </is>
      </c>
      <c r="BD221" s="24" t="inlineStr">
        <is>
          <t>e64f166eb03d5e657185abb04e25fff4830a8801f3dfa7f84e7c01a3f339baa9</t>
        </is>
      </c>
      <c r="BE221" s="24" t="inlineStr">
        <is>
          <t>soccer-poisson-dc-v1</t>
        </is>
      </c>
      <c r="BF221" s="24" t="inlineStr">
        <is>
          <t>1</t>
        </is>
      </c>
      <c r="BG221" s="24" t="inlineStr">
        <is>
          <t>e64f166eb03d5e657185abb04e25fff4830a8801f3dfa7f84e7c01a3f339baa9</t>
        </is>
      </c>
      <c r="BH221" s="24" t="inlineStr">
        <is>
          <t>2026-09-08T16:07:48.102090Z</t>
        </is>
      </c>
      <c r="BI221" s="24" t="inlineStr">
        <is>
          <t>["same_event","same_team_same_day","same_league_same_day"]</t>
        </is>
      </c>
      <c r="BJ221" s="25" t="n"/>
      <c r="BK221" s="26" t="n">
        <v>178</v>
      </c>
      <c r="BL221" s="27" t="n">
        <v>2.78</v>
      </c>
      <c r="BM221" s="28" t="n">
        <v>0.359712</v>
      </c>
      <c r="BN221" s="28" t="n"/>
      <c r="BO221" s="28" t="n"/>
      <c r="BP221" s="25" t="n"/>
      <c r="BQ221" s="27" t="n">
        <v>1.537634</v>
      </c>
      <c r="BR221" s="28" t="n">
        <v>0.65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0.359712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b3b62b04c1414bf8</t>
        </is>
      </c>
      <c r="B222" s="24" t="inlineStr">
        <is>
          <t>2026-09-08T16:16:02.557649Z</t>
        </is>
      </c>
      <c r="C222" s="24" t="inlineStr">
        <is>
          <t>2026-09-08T19:00Z</t>
        </is>
      </c>
      <c r="D222" s="24" t="inlineStr">
        <is>
          <t>401915449</t>
        </is>
      </c>
      <c r="E222" s="24" t="inlineStr">
        <is>
          <t>SOCCER</t>
        </is>
      </c>
      <c r="F222" s="24" t="inlineStr">
        <is>
          <t>Villarreal</t>
        </is>
      </c>
      <c r="G222" s="24" t="inlineStr">
        <is>
          <t>Borussia Dortmund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-117</v>
      </c>
      <c r="M222" s="27" t="n">
        <v>1.854701</v>
      </c>
      <c r="N222" s="28" t="n">
        <v>0.539171</v>
      </c>
      <c r="O222" s="28" t="n">
        <v>0.7037600000000001</v>
      </c>
      <c r="P222" s="28" t="n">
        <v>0.12</v>
      </c>
      <c r="Q222" s="28" t="n">
        <v>0.164589</v>
      </c>
      <c r="R222" s="26" t="n">
        <v>60</v>
      </c>
      <c r="S222" s="29" t="n">
        <v>1.25</v>
      </c>
      <c r="T222" s="24" t="inlineStr">
        <is>
          <t>soccer-poisson-dc-v1</t>
        </is>
      </c>
      <c r="U222" s="24" t="inlineStr">
        <is>
          <t>settled</t>
        </is>
      </c>
      <c r="V222" s="24" t="inlineStr">
        <is>
          <t>win</t>
        </is>
      </c>
      <c r="W222" s="26" t="n">
        <v>2</v>
      </c>
      <c r="X222" s="26" t="n">
        <v>3</v>
      </c>
      <c r="Y222" s="25" t="n"/>
      <c r="Z222" s="26" t="n">
        <v>-117</v>
      </c>
      <c r="AA222" s="28" t="n">
        <v>0.54</v>
      </c>
      <c r="AB222" s="28" t="n">
        <v>0.000829</v>
      </c>
      <c r="AC222" s="30" t="n">
        <v>1.0684</v>
      </c>
      <c r="AD222" s="24" t="inlineStr">
        <is>
          <t>2026-09-08T22:10:35.388381Z</t>
        </is>
      </c>
      <c r="AE222" s="31" t="inlineStr">
        <is>
          <t>Poisson-DC rates 2.61 (home) / 1.03 (away) from EWMA attack/defense strengths. Executable ask 0.5400 (atc-ucl-bvb-vil-2026-09-08-bvb).</t>
        </is>
      </c>
      <c r="AF222" s="31" t="inlineStr">
        <is>
          <t>Research-only soccer score model; draw-aware, but not yet locked-holdout qualified.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PAPER_CALL_MODEL_UNVALIDATED</t>
        </is>
      </c>
      <c r="AP222" s="24" t="inlineStr">
        <is>
          <t>Villarreal</t>
        </is>
      </c>
      <c r="AQ222" s="24" t="inlineStr">
        <is>
          <t>Villarreal</t>
        </is>
      </c>
      <c r="AR222" s="24" t="inlineStr">
        <is>
          <t>Villarreal</t>
        </is>
      </c>
      <c r="AS222" s="24" t="inlineStr">
        <is>
          <t>Borussia Dortmund</t>
        </is>
      </c>
      <c r="AT222" s="24" t="inlineStr">
        <is>
          <t>Borussia Dortmund</t>
        </is>
      </c>
      <c r="AU222" s="24" t="inlineStr">
        <is>
          <t>Borussia Dortmund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e64f166eb03d5e657185abb04e25fff4830a8801f3dfa7f84e7c01a3f339baa9</t>
        </is>
      </c>
      <c r="BB222" s="24" t="inlineStr">
        <is>
          <t>poisson_dixon_coles</t>
        </is>
      </c>
      <c r="BC222" s="24" t="inlineStr">
        <is>
          <t>soccer-poisson-dc-v1</t>
        </is>
      </c>
      <c r="BD222" s="24" t="inlineStr">
        <is>
          <t>e64f166eb03d5e657185abb04e25fff4830a8801f3dfa7f84e7c01a3f339baa9</t>
        </is>
      </c>
      <c r="BE222" s="24" t="inlineStr">
        <is>
          <t>soccer-poisson-dc-v1</t>
        </is>
      </c>
      <c r="BF222" s="24" t="inlineStr">
        <is>
          <t>1</t>
        </is>
      </c>
      <c r="BG222" s="24" t="inlineStr">
        <is>
          <t>e64f166eb03d5e657185abb04e25fff4830a8801f3dfa7f84e7c01a3f339baa9</t>
        </is>
      </c>
      <c r="BH222" s="24" t="inlineStr">
        <is>
          <t>2026-09-08T16:07:48.440724Z</t>
        </is>
      </c>
      <c r="BI222" s="24" t="inlineStr">
        <is>
          <t>["same_event","same_team_same_day","same_league_same_day"]</t>
        </is>
      </c>
      <c r="BJ222" s="25" t="n"/>
      <c r="BK222" s="26" t="n">
        <v>-117</v>
      </c>
      <c r="BL222" s="27" t="n">
        <v>1.854701</v>
      </c>
      <c r="BM222" s="28" t="n">
        <v>0.539171</v>
      </c>
      <c r="BN222" s="28" t="n"/>
      <c r="BO222" s="28" t="n"/>
      <c r="BP222" s="25" t="n"/>
      <c r="BQ222" s="27" t="n">
        <v>1.854701</v>
      </c>
      <c r="BR222" s="28" t="n">
        <v>0.54</v>
      </c>
      <c r="BS222" s="28" t="n"/>
      <c r="BT222" s="28" t="n"/>
      <c r="BU222" s="25" t="n"/>
      <c r="BV222" s="29" t="n"/>
      <c r="BW222" s="24" t="n"/>
      <c r="BX222" s="30" t="n">
        <v>1</v>
      </c>
      <c r="BY222" s="27" t="n">
        <v>0.854699</v>
      </c>
      <c r="BZ222" s="24" t="inlineStr">
        <is>
          <t>2026-09-08T22:10:35.388381Z</t>
        </is>
      </c>
      <c r="CA222" s="31" t="inlineStr">
        <is>
          <t>fixed one-unit hypothetical scoring; no real exposure or execution</t>
        </is>
      </c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0.539171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bf734e0351ac4078</t>
        </is>
      </c>
      <c r="B223" s="24" t="inlineStr">
        <is>
          <t>2026-09-08T16:16:02.557649Z</t>
        </is>
      </c>
      <c r="C223" s="24" t="inlineStr">
        <is>
          <t>2026-09-08T19:00Z</t>
        </is>
      </c>
      <c r="D223" s="24" t="inlineStr">
        <is>
          <t>401915425</t>
        </is>
      </c>
      <c r="E223" s="24" t="inlineStr">
        <is>
          <t>SOCCER</t>
        </is>
      </c>
      <c r="F223" s="24" t="inlineStr">
        <is>
          <t>Manchester City</t>
        </is>
      </c>
      <c r="G223" s="24" t="inlineStr">
        <is>
          <t>FC Porto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426</v>
      </c>
      <c r="M223" s="27" t="n">
        <v>5.26</v>
      </c>
      <c r="N223" s="28" t="n">
        <v>0.190114</v>
      </c>
      <c r="O223" s="28" t="n">
        <v>0.454144</v>
      </c>
      <c r="P223" s="28" t="n">
        <v>0.18</v>
      </c>
      <c r="Q223" s="28" t="n">
        <v>0.26403</v>
      </c>
      <c r="R223" s="26" t="n">
        <v>74</v>
      </c>
      <c r="S223" s="29" t="n">
        <v>1.5</v>
      </c>
      <c r="T223" s="24" t="inlineStr">
        <is>
          <t>soccer-poisson-dc-v1</t>
        </is>
      </c>
      <c r="U223" s="24" t="inlineStr">
        <is>
          <t>settled</t>
        </is>
      </c>
      <c r="V223" s="24" t="inlineStr">
        <is>
          <t>loss</t>
        </is>
      </c>
      <c r="W223" s="26" t="n">
        <v>2</v>
      </c>
      <c r="X223" s="26" t="n">
        <v>0</v>
      </c>
      <c r="Y223" s="25" t="n"/>
      <c r="Z223" s="26" t="n">
        <v>426</v>
      </c>
      <c r="AA223" s="28" t="n">
        <v>0.19</v>
      </c>
      <c r="AB223" s="28" t="n">
        <v>-0.000114</v>
      </c>
      <c r="AC223" s="30" t="n">
        <v>-1.5</v>
      </c>
      <c r="AD223" s="24" t="inlineStr">
        <is>
          <t>2026-09-08T22:10:37.579976Z</t>
        </is>
      </c>
      <c r="AE223" s="31" t="inlineStr">
        <is>
          <t>Poisson-DC rates 1.67 (home) / 1.29 (away) from EWMA attack/defense strengths. Executable ask 0.1900 (atc-ucl-por-mnc-2026-09-08-por).</t>
        </is>
      </c>
      <c r="AF223" s="31" t="inlineStr">
        <is>
          <t>Research-only soccer score model; draw-aware, but not yet locked-holdout qualified.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PAPER_CALL_MODEL_UNVALIDATED</t>
        </is>
      </c>
      <c r="AP223" s="24" t="inlineStr">
        <is>
          <t>Manchester City</t>
        </is>
      </c>
      <c r="AQ223" s="24" t="inlineStr">
        <is>
          <t>Manchester City</t>
        </is>
      </c>
      <c r="AR223" s="24" t="inlineStr">
        <is>
          <t>Manchester City</t>
        </is>
      </c>
      <c r="AS223" s="24" t="inlineStr">
        <is>
          <t>FC Porto</t>
        </is>
      </c>
      <c r="AT223" s="24" t="inlineStr">
        <is>
          <t>FC Porto</t>
        </is>
      </c>
      <c r="AU223" s="24" t="inlineStr">
        <is>
          <t>FC Porto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e64f166eb03d5e657185abb04e25fff4830a8801f3dfa7f84e7c01a3f339baa9</t>
        </is>
      </c>
      <c r="BB223" s="24" t="inlineStr">
        <is>
          <t>poisson_dixon_coles</t>
        </is>
      </c>
      <c r="BC223" s="24" t="inlineStr">
        <is>
          <t>soccer-poisson-dc-v1</t>
        </is>
      </c>
      <c r="BD223" s="24" t="inlineStr">
        <is>
          <t>e64f166eb03d5e657185abb04e25fff4830a8801f3dfa7f84e7c01a3f339baa9</t>
        </is>
      </c>
      <c r="BE223" s="24" t="inlineStr">
        <is>
          <t>soccer-poisson-dc-v1</t>
        </is>
      </c>
      <c r="BF223" s="24" t="inlineStr">
        <is>
          <t>1</t>
        </is>
      </c>
      <c r="BG223" s="24" t="inlineStr">
        <is>
          <t>e64f166eb03d5e657185abb04e25fff4830a8801f3dfa7f84e7c01a3f339baa9</t>
        </is>
      </c>
      <c r="BH223" s="24" t="inlineStr">
        <is>
          <t>2026-09-08T16:07:48.360065Z</t>
        </is>
      </c>
      <c r="BI223" s="24" t="inlineStr">
        <is>
          <t>["same_event","same_team_same_day","same_league_same_day"]</t>
        </is>
      </c>
      <c r="BJ223" s="25" t="n"/>
      <c r="BK223" s="26" t="n">
        <v>426</v>
      </c>
      <c r="BL223" s="27" t="n">
        <v>5.26</v>
      </c>
      <c r="BM223" s="28" t="n">
        <v>0.190114</v>
      </c>
      <c r="BN223" s="28" t="n"/>
      <c r="BO223" s="28" t="n"/>
      <c r="BP223" s="25" t="n"/>
      <c r="BQ223" s="27" t="n">
        <v>5.26</v>
      </c>
      <c r="BR223" s="28" t="n">
        <v>0.19</v>
      </c>
      <c r="BS223" s="28" t="n"/>
      <c r="BT223" s="28" t="n"/>
      <c r="BU223" s="25" t="n"/>
      <c r="BV223" s="29" t="n"/>
      <c r="BW223" s="24" t="n"/>
      <c r="BX223" s="30" t="n">
        <v>1</v>
      </c>
      <c r="BY223" s="27" t="n">
        <v>-1</v>
      </c>
      <c r="BZ223" s="24" t="inlineStr">
        <is>
          <t>2026-09-08T22:10:37.579976Z</t>
        </is>
      </c>
      <c r="CA223" s="31" t="inlineStr">
        <is>
          <t>fixed one-unit hypothetical scoring; no real exposure or execution</t>
        </is>
      </c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0.190114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5b63688630094bd9</t>
        </is>
      </c>
      <c r="B224" s="24" t="inlineStr">
        <is>
          <t>2026-09-08T16:16:02.557649Z</t>
        </is>
      </c>
      <c r="C224" s="24" t="inlineStr">
        <is>
          <t>2026-09-08T19:00Z</t>
        </is>
      </c>
      <c r="D224" s="24" t="inlineStr">
        <is>
          <t>401915450</t>
        </is>
      </c>
      <c r="E224" s="24" t="inlineStr">
        <is>
          <t>SOCCER</t>
        </is>
      </c>
      <c r="F224" s="24" t="inlineStr">
        <is>
          <t>Real Betis</t>
        </is>
      </c>
      <c r="G224" s="24" t="inlineStr">
        <is>
          <t>Lille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127</v>
      </c>
      <c r="M224" s="27" t="n">
        <v>2.27</v>
      </c>
      <c r="N224" s="28" t="n">
        <v>0.440529</v>
      </c>
      <c r="O224" s="28" t="n">
        <v>0.553404</v>
      </c>
      <c r="P224" s="28" t="n">
        <v>0.2</v>
      </c>
      <c r="Q224" s="28" t="n">
        <v>0.112875</v>
      </c>
      <c r="R224" s="26" t="n">
        <v>0</v>
      </c>
      <c r="S224" s="29" t="n">
        <v>1</v>
      </c>
      <c r="T224" s="24" t="inlineStr">
        <is>
          <t>soccer-poisson-dc-v1</t>
        </is>
      </c>
      <c r="U224" s="24" t="inlineStr">
        <is>
          <t>settled</t>
        </is>
      </c>
      <c r="V224" s="24" t="inlineStr">
        <is>
          <t>loss</t>
        </is>
      </c>
      <c r="W224" s="26" t="n">
        <v>3</v>
      </c>
      <c r="X224" s="26" t="n">
        <v>2</v>
      </c>
      <c r="Y224" s="25" t="n"/>
      <c r="Z224" s="26" t="n">
        <v>127</v>
      </c>
      <c r="AA224" s="28" t="n">
        <v>0.44</v>
      </c>
      <c r="AB224" s="28" t="n">
        <v>-0.000529</v>
      </c>
      <c r="AC224" s="30" t="n">
        <v>-1</v>
      </c>
      <c r="AD224" s="24" t="inlineStr">
        <is>
          <t>2026-09-08T22:10:39.785040Z</t>
        </is>
      </c>
      <c r="AE224" s="31" t="inlineStr">
        <is>
          <t>Poisson-DC rates 2.11 (home) / 1.29 (away) from EWMA attack/defense strengths. Executable ask 0.4400 (atc-ucl-lil-rbb-2026-09-08-lil).</t>
        </is>
      </c>
      <c r="AF224" s="31" t="inlineStr">
        <is>
          <t>Research-only soccer score model; draw-aware, but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Real Betis</t>
        </is>
      </c>
      <c r="AQ224" s="24" t="inlineStr">
        <is>
          <t>Real Betis</t>
        </is>
      </c>
      <c r="AR224" s="24" t="inlineStr">
        <is>
          <t>Real Betis</t>
        </is>
      </c>
      <c r="AS224" s="24" t="inlineStr">
        <is>
          <t>Lille</t>
        </is>
      </c>
      <c r="AT224" s="24" t="inlineStr">
        <is>
          <t>Lille</t>
        </is>
      </c>
      <c r="AU224" s="24" t="inlineStr">
        <is>
          <t>Lille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e64f166eb03d5e657185abb04e25fff4830a8801f3dfa7f84e7c01a3f339baa9</t>
        </is>
      </c>
      <c r="BB224" s="24" t="inlineStr">
        <is>
          <t>poisson_dixon_coles</t>
        </is>
      </c>
      <c r="BC224" s="24" t="inlineStr">
        <is>
          <t>soccer-poisson-dc-v1</t>
        </is>
      </c>
      <c r="BD224" s="24" t="inlineStr">
        <is>
          <t>e64f166eb03d5e657185abb04e25fff4830a8801f3dfa7f84e7c01a3f339baa9</t>
        </is>
      </c>
      <c r="BE224" s="24" t="inlineStr">
        <is>
          <t>soccer-poisson-dc-v1</t>
        </is>
      </c>
      <c r="BF224" s="24" t="inlineStr">
        <is>
          <t>1</t>
        </is>
      </c>
      <c r="BG224" s="24" t="inlineStr">
        <is>
          <t>e64f166eb03d5e657185abb04e25fff4830a8801f3dfa7f84e7c01a3f339baa9</t>
        </is>
      </c>
      <c r="BH224" s="24" t="inlineStr">
        <is>
          <t>2026-09-08T16:07:48.252794Z</t>
        </is>
      </c>
      <c r="BI224" s="24" t="inlineStr">
        <is>
          <t>["same_event","same_team_same_day","same_league_same_day"]</t>
        </is>
      </c>
      <c r="BJ224" s="25" t="n"/>
      <c r="BK224" s="26" t="n">
        <v>127</v>
      </c>
      <c r="BL224" s="27" t="n">
        <v>2.27</v>
      </c>
      <c r="BM224" s="28" t="n">
        <v>0.440529</v>
      </c>
      <c r="BN224" s="28" t="n"/>
      <c r="BO224" s="28" t="n"/>
      <c r="BP224" s="25" t="n"/>
      <c r="BQ224" s="27" t="n">
        <v>2.27</v>
      </c>
      <c r="BR224" s="28" t="n">
        <v>0.44</v>
      </c>
      <c r="BS224" s="28" t="n"/>
      <c r="BT224" s="28" t="n"/>
      <c r="BU224" s="25" t="n"/>
      <c r="BV224" s="29" t="n"/>
      <c r="BW224" s="24" t="n"/>
      <c r="BX224" s="30" t="n">
        <v>1</v>
      </c>
      <c r="BY224" s="27" t="n">
        <v>-1</v>
      </c>
      <c r="BZ224" s="24" t="inlineStr">
        <is>
          <t>2026-09-08T22:10:39.785040Z</t>
        </is>
      </c>
      <c r="CA224" s="31" t="inlineStr">
        <is>
          <t>fixed one-unit hypothetical scoring; no real exposure or execution</t>
        </is>
      </c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0.440529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377d06cab3b04c40</t>
        </is>
      </c>
      <c r="B225" s="24" t="inlineStr">
        <is>
          <t>2026-09-08T16:16:02.557649Z</t>
        </is>
      </c>
      <c r="C225" s="24" t="inlineStr">
        <is>
          <t>2026-09-08T19:00Z</t>
        </is>
      </c>
      <c r="D225" s="24" t="inlineStr">
        <is>
          <t>401915451</t>
        </is>
      </c>
      <c r="E225" s="24" t="inlineStr">
        <is>
          <t>SOCCER</t>
        </is>
      </c>
      <c r="F225" s="24" t="inlineStr">
        <is>
          <t>Internazionale</t>
        </is>
      </c>
      <c r="G225" s="24" t="inlineStr">
        <is>
          <t>Real Madrid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-163</v>
      </c>
      <c r="M225" s="27" t="n">
        <v>1.613497</v>
      </c>
      <c r="N225" s="28" t="n">
        <v>0.619772</v>
      </c>
      <c r="O225" s="28" t="n">
        <v>0.534014</v>
      </c>
      <c r="P225" s="28" t="n">
        <v>0.04</v>
      </c>
      <c r="Q225" s="28" t="n">
        <v>-0.085758</v>
      </c>
      <c r="R225" s="26" t="n">
        <v>0</v>
      </c>
      <c r="S225" s="29" t="n">
        <v>1</v>
      </c>
      <c r="T225" s="24" t="inlineStr">
        <is>
          <t>soccer-poisson-dc-v1</t>
        </is>
      </c>
      <c r="U225" s="24" t="inlineStr">
        <is>
          <t>settled</t>
        </is>
      </c>
      <c r="V225" s="24" t="inlineStr">
        <is>
          <t>win</t>
        </is>
      </c>
      <c r="W225" s="26" t="n">
        <v>1</v>
      </c>
      <c r="X225" s="26" t="n">
        <v>2</v>
      </c>
      <c r="Y225" s="25" t="n"/>
      <c r="Z225" s="26" t="n">
        <v>-163</v>
      </c>
      <c r="AA225" s="28" t="n">
        <v>0.62</v>
      </c>
      <c r="AB225" s="28" t="n">
        <v>0.000228</v>
      </c>
      <c r="AC225" s="30" t="n">
        <v>0.6135</v>
      </c>
      <c r="AD225" s="24" t="inlineStr">
        <is>
          <t>2026-09-08T22:10:41.996323Z</t>
        </is>
      </c>
      <c r="AE225" s="31" t="inlineStr">
        <is>
          <t>Poisson-DC rates 2.09 (home) / 1.36 (away) from EWMA attack/defense strengths. Executable ask 0.6200 (atc-ucl-rma-int-2026-09-08-rma).</t>
        </is>
      </c>
      <c r="AF225" s="31" t="inlineStr">
        <is>
          <t>Research-only soccer score model; draw-aware, but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Internazionale</t>
        </is>
      </c>
      <c r="AQ225" s="24" t="inlineStr">
        <is>
          <t>Internazionale</t>
        </is>
      </c>
      <c r="AR225" s="24" t="inlineStr">
        <is>
          <t>Internazionale</t>
        </is>
      </c>
      <c r="AS225" s="24" t="inlineStr">
        <is>
          <t>Real Madrid</t>
        </is>
      </c>
      <c r="AT225" s="24" t="inlineStr">
        <is>
          <t>Real Madrid</t>
        </is>
      </c>
      <c r="AU225" s="24" t="inlineStr">
        <is>
          <t>Real Madrid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e64f166eb03d5e657185abb04e25fff4830a8801f3dfa7f84e7c01a3f339baa9</t>
        </is>
      </c>
      <c r="BB225" s="24" t="inlineStr">
        <is>
          <t>poisson_dixon_coles</t>
        </is>
      </c>
      <c r="BC225" s="24" t="inlineStr">
        <is>
          <t>soccer-poisson-dc-v1</t>
        </is>
      </c>
      <c r="BD225" s="24" t="inlineStr">
        <is>
          <t>e64f166eb03d5e657185abb04e25fff4830a8801f3dfa7f84e7c01a3f339baa9</t>
        </is>
      </c>
      <c r="BE225" s="24" t="inlineStr">
        <is>
          <t>soccer-poisson-dc-v1</t>
        </is>
      </c>
      <c r="BF225" s="24" t="inlineStr">
        <is>
          <t>1</t>
        </is>
      </c>
      <c r="BG225" s="24" t="inlineStr">
        <is>
          <t>e64f166eb03d5e657185abb04e25fff4830a8801f3dfa7f84e7c01a3f339baa9</t>
        </is>
      </c>
      <c r="BH225" s="24" t="inlineStr">
        <is>
          <t>2026-09-08T16:07:48.161053Z</t>
        </is>
      </c>
      <c r="BI225" s="24" t="inlineStr">
        <is>
          <t>["same_event","same_team_same_day","same_league_same_day"]</t>
        </is>
      </c>
      <c r="BJ225" s="25" t="n"/>
      <c r="BK225" s="26" t="n">
        <v>-163</v>
      </c>
      <c r="BL225" s="27" t="n">
        <v>1.613497</v>
      </c>
      <c r="BM225" s="28" t="n">
        <v>0.619772</v>
      </c>
      <c r="BN225" s="28" t="n"/>
      <c r="BO225" s="28" t="n"/>
      <c r="BP225" s="25" t="n"/>
      <c r="BQ225" s="27" t="n">
        <v>1.613497</v>
      </c>
      <c r="BR225" s="28" t="n">
        <v>0.62</v>
      </c>
      <c r="BS225" s="28" t="n"/>
      <c r="BT225" s="28" t="n"/>
      <c r="BU225" s="25" t="n"/>
      <c r="BV225" s="29" t="n"/>
      <c r="BW225" s="24" t="n"/>
      <c r="BX225" s="30" t="n">
        <v>1</v>
      </c>
      <c r="BY225" s="27" t="n">
        <v>0.613497</v>
      </c>
      <c r="BZ225" s="24" t="inlineStr">
        <is>
          <t>2026-09-08T22:10:41.996323Z</t>
        </is>
      </c>
      <c r="CA225" s="31" t="inlineStr">
        <is>
          <t>fixed one-unit hypothetical scoring; no real exposure or execution</t>
        </is>
      </c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0.619772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85b616e46ace40c3</t>
        </is>
      </c>
      <c r="B226" s="24" t="inlineStr">
        <is>
          <t>2026-09-08T16:16:02.557649Z</t>
        </is>
      </c>
      <c r="C226" s="24" t="inlineStr">
        <is>
          <t>2026-09-08T22:00Z</t>
        </is>
      </c>
      <c r="D226" s="24" t="inlineStr">
        <is>
          <t>401913960</t>
        </is>
      </c>
      <c r="E226" s="24" t="inlineStr">
        <is>
          <t>SOCCER</t>
        </is>
      </c>
      <c r="F226" s="24" t="inlineStr">
        <is>
          <t>Vasco da Gama</t>
        </is>
      </c>
      <c r="G226" s="24" t="inlineStr">
        <is>
          <t>Independiente Santa Fe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127</v>
      </c>
      <c r="M226" s="27" t="n">
        <v>2.27</v>
      </c>
      <c r="N226" s="28" t="n">
        <v>0.440529</v>
      </c>
      <c r="O226" s="28" t="n">
        <v>0.456135</v>
      </c>
      <c r="P226" s="28" t="n">
        <v>0.2</v>
      </c>
      <c r="Q226" s="28" t="n">
        <v>0.015606</v>
      </c>
      <c r="R226" s="26" t="n">
        <v>0</v>
      </c>
      <c r="S226" s="29" t="n">
        <v>1</v>
      </c>
      <c r="T226" s="24" t="inlineStr">
        <is>
          <t>soccer-poisson-dc-v1</t>
        </is>
      </c>
      <c r="U226" s="24" t="inlineStr">
        <is>
          <t>settled</t>
        </is>
      </c>
      <c r="V226" s="24" t="inlineStr">
        <is>
          <t>loss</t>
        </is>
      </c>
      <c r="W226" s="26" t="n">
        <v>0</v>
      </c>
      <c r="X226" s="26" t="n">
        <v>0</v>
      </c>
      <c r="Y226" s="25" t="n"/>
      <c r="Z226" s="26" t="n">
        <v>127</v>
      </c>
      <c r="AA226" s="28" t="n">
        <v>0.44</v>
      </c>
      <c r="AB226" s="28" t="n">
        <v>-0.000529</v>
      </c>
      <c r="AC226" s="30" t="n">
        <v>-1</v>
      </c>
      <c r="AD226" s="24" t="inlineStr">
        <is>
          <t>2026-09-09T04:30:36.004553Z</t>
        </is>
      </c>
      <c r="AE226" s="31" t="inlineStr">
        <is>
          <t>Poisson-DC rates 1.64 (home) / 1.24 (away) from EWMA attack/defense strengths. Executable ask 0.4400 (atc-sud-isf-vas-2026-09-08-isf).</t>
        </is>
      </c>
      <c r="AF226" s="31" t="inlineStr">
        <is>
          <t>Research-only soccer score model; draw-aware, but not yet locked-holdout qualified.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PAPER_CALL_MODEL_UNVALIDATED</t>
        </is>
      </c>
      <c r="AP226" s="24" t="inlineStr">
        <is>
          <t>Vasco da Gama</t>
        </is>
      </c>
      <c r="AQ226" s="24" t="inlineStr">
        <is>
          <t>Vasco da Gama</t>
        </is>
      </c>
      <c r="AR226" s="24" t="inlineStr">
        <is>
          <t>Vasco da Gama</t>
        </is>
      </c>
      <c r="AS226" s="24" t="inlineStr">
        <is>
          <t>Independiente Santa Fe</t>
        </is>
      </c>
      <c r="AT226" s="24" t="inlineStr">
        <is>
          <t>Independiente Santa Fe</t>
        </is>
      </c>
      <c r="AU226" s="24" t="inlineStr">
        <is>
          <t>Independiente Santa Fe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e64f166eb03d5e657185abb04e25fff4830a8801f3dfa7f84e7c01a3f339baa9</t>
        </is>
      </c>
      <c r="BB226" s="24" t="inlineStr">
        <is>
          <t>poisson_dixon_coles</t>
        </is>
      </c>
      <c r="BC226" s="24" t="inlineStr">
        <is>
          <t>soccer-poisson-dc-v1</t>
        </is>
      </c>
      <c r="BD226" s="24" t="inlineStr">
        <is>
          <t>e64f166eb03d5e657185abb04e25fff4830a8801f3dfa7f84e7c01a3f339baa9</t>
        </is>
      </c>
      <c r="BE226" s="24" t="inlineStr">
        <is>
          <t>soccer-poisson-dc-v1</t>
        </is>
      </c>
      <c r="BF226" s="24" t="inlineStr">
        <is>
          <t>1</t>
        </is>
      </c>
      <c r="BG226" s="24" t="inlineStr">
        <is>
          <t>e64f166eb03d5e657185abb04e25fff4830a8801f3dfa7f84e7c01a3f339baa9</t>
        </is>
      </c>
      <c r="BH226" s="24" t="inlineStr">
        <is>
          <t>2026-09-08T16:07:48.566857Z</t>
        </is>
      </c>
      <c r="BI226" s="24" t="inlineStr">
        <is>
          <t>["same_event","same_team_same_day","same_league_same_day"]</t>
        </is>
      </c>
      <c r="BJ226" s="25" t="n"/>
      <c r="BK226" s="26" t="n">
        <v>127</v>
      </c>
      <c r="BL226" s="27" t="n">
        <v>2.27</v>
      </c>
      <c r="BM226" s="28" t="n">
        <v>0.440529</v>
      </c>
      <c r="BN226" s="28" t="n"/>
      <c r="BO226" s="28" t="n"/>
      <c r="BP226" s="25" t="n"/>
      <c r="BQ226" s="27" t="n">
        <v>2.27</v>
      </c>
      <c r="BR226" s="28" t="n">
        <v>0.44</v>
      </c>
      <c r="BS226" s="28" t="n"/>
      <c r="BT226" s="28" t="n"/>
      <c r="BU226" s="25" t="n"/>
      <c r="BV226" s="29" t="n"/>
      <c r="BW226" s="24" t="n"/>
      <c r="BX226" s="30" t="n">
        <v>1</v>
      </c>
      <c r="BY226" s="27" t="n">
        <v>-1</v>
      </c>
      <c r="BZ226" s="24" t="inlineStr">
        <is>
          <t>2026-09-09T04:30:36.004553Z</t>
        </is>
      </c>
      <c r="CA226" s="31" t="inlineStr">
        <is>
          <t>fixed one-unit hypothetical scoring; no real exposure or execution</t>
        </is>
      </c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0.440529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0146400b81a44049</t>
        </is>
      </c>
      <c r="B227" s="24" t="inlineStr">
        <is>
          <t>2026-09-08T23:35:18.148835Z</t>
        </is>
      </c>
      <c r="C227" s="24" t="inlineStr">
        <is>
          <t>2026-09-09T00:30Z</t>
        </is>
      </c>
      <c r="D227" s="24" t="inlineStr">
        <is>
          <t>401912542</t>
        </is>
      </c>
      <c r="E227" s="24" t="inlineStr">
        <is>
          <t>SOCCER</t>
        </is>
      </c>
      <c r="F227" s="24" t="inlineStr">
        <is>
          <t>São Paulo</t>
        </is>
      </c>
      <c r="G227" s="24" t="inlineStr">
        <is>
          <t>Boca Juniors</t>
        </is>
      </c>
      <c r="H227" s="24" t="inlineStr">
        <is>
          <t>total</t>
        </is>
      </c>
      <c r="I227" s="24" t="inlineStr">
        <is>
          <t>over</t>
        </is>
      </c>
      <c r="J227" s="25" t="n">
        <v>2.5</v>
      </c>
      <c r="K227" s="24" t="inlineStr">
        <is>
          <t>polymarket_us</t>
        </is>
      </c>
      <c r="L227" s="26" t="n">
        <v>194</v>
      </c>
      <c r="M227" s="27" t="n">
        <v>2.94</v>
      </c>
      <c r="N227" s="28" t="n">
        <v>0.340136</v>
      </c>
      <c r="O227" s="28" t="n">
        <v>0.5351</v>
      </c>
      <c r="P227" s="28" t="n">
        <v>0.2</v>
      </c>
      <c r="Q227" s="28" t="n">
        <v>0.194964</v>
      </c>
      <c r="R227" s="26" t="n">
        <v>27</v>
      </c>
      <c r="S227" s="29" t="n">
        <v>1</v>
      </c>
      <c r="T227" s="24" t="inlineStr">
        <is>
          <t>soccer-poisson-dc-v1</t>
        </is>
      </c>
      <c r="U227" s="24" t="inlineStr">
        <is>
          <t>settled</t>
        </is>
      </c>
      <c r="V227" s="24" t="inlineStr">
        <is>
          <t>loss</t>
        </is>
      </c>
      <c r="W227" s="26" t="n">
        <v>0</v>
      </c>
      <c r="X227" s="26" t="n">
        <v>1</v>
      </c>
      <c r="Y227" s="25" t="n"/>
      <c r="Z227" s="26" t="n">
        <v>194</v>
      </c>
      <c r="AA227" s="28" t="n">
        <v>0.34</v>
      </c>
      <c r="AB227" s="28" t="n">
        <v>-0.000136</v>
      </c>
      <c r="AC227" s="30" t="n">
        <v>-1</v>
      </c>
      <c r="AD227" s="24" t="inlineStr">
        <is>
          <t>2026-09-09T04:31:03.232879Z</t>
        </is>
      </c>
      <c r="AE227" s="31" t="inlineStr">
        <is>
          <t>Poisson-DC rates 1.72 (home) / 1.10 (away) from EWMA attack/defense strengths. Executable ask 0.3400 (tsc-sud-boc-sao-2026-09-08-2pt5).</t>
        </is>
      </c>
      <c r="AF227" s="31" t="inlineStr">
        <is>
          <t>Research-only soccer score model; draw-aware, but not yet locked-holdout qualified.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São Paulo</t>
        </is>
      </c>
      <c r="AQ227" s="24" t="inlineStr">
        <is>
          <t>São Paulo</t>
        </is>
      </c>
      <c r="AR227" s="24" t="inlineStr">
        <is>
          <t>São Paulo</t>
        </is>
      </c>
      <c r="AS227" s="24" t="inlineStr">
        <is>
          <t>Boca Juniors</t>
        </is>
      </c>
      <c r="AT227" s="24" t="inlineStr">
        <is>
          <t>Boca Juniors</t>
        </is>
      </c>
      <c r="AU227" s="24" t="inlineStr">
        <is>
          <t>Boca Juniors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e64f166eb03d5e657185abb04e25fff4830a8801f3dfa7f84e7c01a3f339baa9</t>
        </is>
      </c>
      <c r="BB227" s="24" t="inlineStr">
        <is>
          <t>poisson_dixon_coles</t>
        </is>
      </c>
      <c r="BC227" s="24" t="inlineStr">
        <is>
          <t>soccer-poisson-dc-v1</t>
        </is>
      </c>
      <c r="BD227" s="24" t="inlineStr">
        <is>
          <t>e64f166eb03d5e657185abb04e25fff4830a8801f3dfa7f84e7c01a3f339baa9</t>
        </is>
      </c>
      <c r="BE227" s="24" t="inlineStr">
        <is>
          <t>soccer-poisson-dc-v1</t>
        </is>
      </c>
      <c r="BF227" s="24" t="inlineStr">
        <is>
          <t>1</t>
        </is>
      </c>
      <c r="BG227" s="24" t="inlineStr">
        <is>
          <t>e64f166eb03d5e657185abb04e25fff4830a8801f3dfa7f84e7c01a3f339baa9</t>
        </is>
      </c>
      <c r="BH227" s="24" t="inlineStr">
        <is>
          <t>2026-09-08T23:18:51.040904Z</t>
        </is>
      </c>
      <c r="BI227" s="24" t="inlineStr">
        <is>
          <t>["same_event","same_team_same_day","same_league_same_day"]</t>
        </is>
      </c>
      <c r="BJ227" s="25" t="n">
        <v>2.5</v>
      </c>
      <c r="BK227" s="26" t="n">
        <v>194</v>
      </c>
      <c r="BL227" s="27" t="n">
        <v>2.94</v>
      </c>
      <c r="BM227" s="28" t="n">
        <v>0.340136</v>
      </c>
      <c r="BN227" s="28" t="n"/>
      <c r="BO227" s="28" t="n"/>
      <c r="BP227" s="25" t="n"/>
      <c r="BQ227" s="27" t="n">
        <v>2.94</v>
      </c>
      <c r="BR227" s="28" t="n">
        <v>0.34</v>
      </c>
      <c r="BS227" s="28" t="n"/>
      <c r="BT227" s="28" t="n"/>
      <c r="BU227" s="25" t="n"/>
      <c r="BV227" s="29" t="n"/>
      <c r="BW227" s="24" t="n"/>
      <c r="BX227" s="30" t="n">
        <v>1</v>
      </c>
      <c r="BY227" s="27" t="n">
        <v>-1</v>
      </c>
      <c r="BZ227" s="24" t="inlineStr">
        <is>
          <t>2026-09-09T04:31:03.232879Z</t>
        </is>
      </c>
      <c r="CA227" s="31" t="inlineStr">
        <is>
          <t>fixed one-unit hypothetical scoring; no real exposure or execution</t>
        </is>
      </c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0.340136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5b912ebf58444507</t>
        </is>
      </c>
      <c r="B228" s="24" t="inlineStr">
        <is>
          <t>2026-09-08T23:35:18.148835Z</t>
        </is>
      </c>
      <c r="C228" s="24" t="inlineStr">
        <is>
          <t>2026-09-09T00:30Z</t>
        </is>
      </c>
      <c r="D228" s="24" t="inlineStr">
        <is>
          <t>401912542</t>
        </is>
      </c>
      <c r="E228" s="24" t="inlineStr">
        <is>
          <t>SOCCER</t>
        </is>
      </c>
      <c r="F228" s="24" t="inlineStr">
        <is>
          <t>São Paulo</t>
        </is>
      </c>
      <c r="G228" s="24" t="inlineStr">
        <is>
          <t>Boca Juniors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-108</v>
      </c>
      <c r="M228" s="27" t="n">
        <v>1.925926</v>
      </c>
      <c r="N228" s="28" t="n">
        <v>0.519231</v>
      </c>
      <c r="O228" s="28" t="n">
        <v>0.505507</v>
      </c>
      <c r="P228" s="28" t="n">
        <v>0.2</v>
      </c>
      <c r="Q228" s="28" t="n">
        <v>-0.013724</v>
      </c>
      <c r="R228" s="26" t="n">
        <v>0</v>
      </c>
      <c r="S228" s="29" t="n">
        <v>1</v>
      </c>
      <c r="T228" s="24" t="inlineStr">
        <is>
          <t>soccer-poisson-dc-v1</t>
        </is>
      </c>
      <c r="U228" s="24" t="inlineStr">
        <is>
          <t>settled</t>
        </is>
      </c>
      <c r="V228" s="24" t="inlineStr">
        <is>
          <t>win</t>
        </is>
      </c>
      <c r="W228" s="26" t="n">
        <v>0</v>
      </c>
      <c r="X228" s="26" t="n">
        <v>1</v>
      </c>
      <c r="Y228" s="25" t="n"/>
      <c r="Z228" s="26" t="n">
        <v>-108</v>
      </c>
      <c r="AA228" s="28" t="n">
        <v>0.52</v>
      </c>
      <c r="AB228" s="28" t="n">
        <v>0.000769</v>
      </c>
      <c r="AC228" s="30" t="n">
        <v>0.9258999999999999</v>
      </c>
      <c r="AD228" s="24" t="inlineStr">
        <is>
          <t>2026-09-09T04:31:04.324164Z</t>
        </is>
      </c>
      <c r="AE228" s="31" t="inlineStr">
        <is>
          <t>Poisson-DC rates 1.72 (home) / 1.10 (away) from EWMA attack/defense strengths. Executable ask 0.5200 (atc-sud-boc-sao-2026-09-08-boc).</t>
        </is>
      </c>
      <c r="AF228" s="31" t="inlineStr">
        <is>
          <t>Research-only soccer score model; draw-aware, but not yet locked-holdout qualified.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PAPER_CALL_MODEL_UNVALIDATED</t>
        </is>
      </c>
      <c r="AP228" s="24" t="inlineStr">
        <is>
          <t>São Paulo</t>
        </is>
      </c>
      <c r="AQ228" s="24" t="inlineStr">
        <is>
          <t>São Paulo</t>
        </is>
      </c>
      <c r="AR228" s="24" t="inlineStr">
        <is>
          <t>São Paulo</t>
        </is>
      </c>
      <c r="AS228" s="24" t="inlineStr">
        <is>
          <t>Boca Juniors</t>
        </is>
      </c>
      <c r="AT228" s="24" t="inlineStr">
        <is>
          <t>Boca Juniors</t>
        </is>
      </c>
      <c r="AU228" s="24" t="inlineStr">
        <is>
          <t>Boca Juniors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e64f166eb03d5e657185abb04e25fff4830a8801f3dfa7f84e7c01a3f339baa9</t>
        </is>
      </c>
      <c r="BB228" s="24" t="inlineStr">
        <is>
          <t>poisson_dixon_coles</t>
        </is>
      </c>
      <c r="BC228" s="24" t="inlineStr">
        <is>
          <t>soccer-poisson-dc-v1</t>
        </is>
      </c>
      <c r="BD228" s="24" t="inlineStr">
        <is>
          <t>e64f166eb03d5e657185abb04e25fff4830a8801f3dfa7f84e7c01a3f339baa9</t>
        </is>
      </c>
      <c r="BE228" s="24" t="inlineStr">
        <is>
          <t>soccer-poisson-dc-v1</t>
        </is>
      </c>
      <c r="BF228" s="24" t="inlineStr">
        <is>
          <t>1</t>
        </is>
      </c>
      <c r="BG228" s="24" t="inlineStr">
        <is>
          <t>e64f166eb03d5e657185abb04e25fff4830a8801f3dfa7f84e7c01a3f339baa9</t>
        </is>
      </c>
      <c r="BH228" s="24" t="inlineStr">
        <is>
          <t>2026-09-08T23:18:51.123720Z</t>
        </is>
      </c>
      <c r="BI228" s="24" t="inlineStr">
        <is>
          <t>["same_event","same_team_same_day","same_league_same_day"]</t>
        </is>
      </c>
      <c r="BJ228" s="25" t="n"/>
      <c r="BK228" s="26" t="n">
        <v>-108</v>
      </c>
      <c r="BL228" s="27" t="n">
        <v>1.925926</v>
      </c>
      <c r="BM228" s="28" t="n">
        <v>0.519231</v>
      </c>
      <c r="BN228" s="28" t="n"/>
      <c r="BO228" s="28" t="n"/>
      <c r="BP228" s="25" t="n"/>
      <c r="BQ228" s="27" t="n">
        <v>1.925926</v>
      </c>
      <c r="BR228" s="28" t="n">
        <v>0.52</v>
      </c>
      <c r="BS228" s="28" t="n"/>
      <c r="BT228" s="28" t="n"/>
      <c r="BU228" s="25" t="n"/>
      <c r="BV228" s="29" t="n"/>
      <c r="BW228" s="24" t="n"/>
      <c r="BX228" s="30" t="n">
        <v>1</v>
      </c>
      <c r="BY228" s="27" t="n">
        <v>0.925925</v>
      </c>
      <c r="BZ228" s="24" t="inlineStr">
        <is>
          <t>2026-09-09T04:31:04.324164Z</t>
        </is>
      </c>
      <c r="CA228" s="31" t="inlineStr">
        <is>
          <t>fixed one-unit hypothetical scoring; no real exposure or execution</t>
        </is>
      </c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0.519231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aeecb746869b4af0</t>
        </is>
      </c>
      <c r="B229" s="24" t="inlineStr">
        <is>
          <t>2026-09-09T16:03:55.669858Z</t>
        </is>
      </c>
      <c r="C229" s="24" t="inlineStr">
        <is>
          <t>2026-09-09T16:45Z</t>
        </is>
      </c>
      <c r="D229" s="24" t="inlineStr">
        <is>
          <t>401915424</t>
        </is>
      </c>
      <c r="E229" s="24" t="inlineStr">
        <is>
          <t>SOCCER</t>
        </is>
      </c>
      <c r="F229" s="24" t="inlineStr">
        <is>
          <t>Feyenoord Rotterdam</t>
        </is>
      </c>
      <c r="G229" s="24" t="inlineStr">
        <is>
          <t>Barcelona</t>
        </is>
      </c>
      <c r="H229" s="24" t="inlineStr">
        <is>
          <t>total</t>
        </is>
      </c>
      <c r="I229" s="24" t="inlineStr">
        <is>
          <t>over</t>
        </is>
      </c>
      <c r="J229" s="25" t="n">
        <v>2.5</v>
      </c>
      <c r="K229" s="24" t="inlineStr">
        <is>
          <t>polymarket_us</t>
        </is>
      </c>
      <c r="L229" s="26" t="n">
        <v>-669</v>
      </c>
      <c r="M229" s="27" t="n">
        <v>1.149477</v>
      </c>
      <c r="N229" s="28" t="n">
        <v>0.869961</v>
      </c>
      <c r="O229" s="28" t="n">
        <v>0.856889</v>
      </c>
      <c r="P229" s="28" t="n">
        <v>0.08</v>
      </c>
      <c r="Q229" s="28" t="n">
        <v>-0.013072</v>
      </c>
      <c r="R229" s="26" t="n">
        <v>0</v>
      </c>
      <c r="S229" s="29" t="n">
        <v>1</v>
      </c>
      <c r="T229" s="24" t="inlineStr">
        <is>
          <t>soccer-poisson-dc-v1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5</v>
      </c>
      <c r="Y229" s="25" t="n"/>
      <c r="Z229" s="26" t="n">
        <v>-669</v>
      </c>
      <c r="AA229" s="28" t="n">
        <v>0.87</v>
      </c>
      <c r="AB229" s="28" t="n">
        <v>3.9e-05</v>
      </c>
      <c r="AC229" s="30" t="n">
        <v>0.1495</v>
      </c>
      <c r="AD229" s="24" t="inlineStr">
        <is>
          <t>2026-09-09T22:00:35.231262Z</t>
        </is>
      </c>
      <c r="AE229" s="31" t="inlineStr">
        <is>
          <t>Poisson-DC rates 3.32 (home) / 1.48 (away) from EWMA attack/defense strengths. Executable ask 0.8700 (tsc-ucl-fcb-fey-2026-09-09-2pt5).</t>
        </is>
      </c>
      <c r="AF229" s="31" t="inlineStr">
        <is>
          <t>Research-only soccer score model; draw-aware, but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Feyenoord Rotterdam</t>
        </is>
      </c>
      <c r="AQ229" s="24" t="inlineStr">
        <is>
          <t>Feyenoord Rotterdam</t>
        </is>
      </c>
      <c r="AR229" s="24" t="inlineStr">
        <is>
          <t>Feyenoord Rotterdam</t>
        </is>
      </c>
      <c r="AS229" s="24" t="inlineStr">
        <is>
          <t>Barcelona</t>
        </is>
      </c>
      <c r="AT229" s="24" t="inlineStr">
        <is>
          <t>Barcelona</t>
        </is>
      </c>
      <c r="AU229" s="24" t="inlineStr">
        <is>
          <t>Barcelona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9c072f5f9cf71a972f86e4222ffca6b72422789e9356ec3b1e371da1132584dd</t>
        </is>
      </c>
      <c r="BB229" s="24" t="inlineStr">
        <is>
          <t>poisson_dixon_coles</t>
        </is>
      </c>
      <c r="BC229" s="24" t="inlineStr">
        <is>
          <t>soccer-poisson-dc-v1</t>
        </is>
      </c>
      <c r="BD229" s="24" t="inlineStr">
        <is>
          <t>9c072f5f9cf71a972f86e4222ffca6b72422789e9356ec3b1e371da1132584dd</t>
        </is>
      </c>
      <c r="BE229" s="24" t="inlineStr">
        <is>
          <t>soccer-poisson-dc-v1</t>
        </is>
      </c>
      <c r="BF229" s="24" t="inlineStr">
        <is>
          <t>1</t>
        </is>
      </c>
      <c r="BG229" s="24" t="inlineStr">
        <is>
          <t>9c072f5f9cf71a972f86e4222ffca6b72422789e9356ec3b1e371da1132584dd</t>
        </is>
      </c>
      <c r="BH229" s="24" t="inlineStr">
        <is>
          <t>2026-09-09T16:03:08.417590Z</t>
        </is>
      </c>
      <c r="BI229" s="24" t="inlineStr">
        <is>
          <t>["same_event","same_team_same_day","same_league_same_day"]</t>
        </is>
      </c>
      <c r="BJ229" s="25" t="n">
        <v>2.5</v>
      </c>
      <c r="BK229" s="26" t="n">
        <v>-669</v>
      </c>
      <c r="BL229" s="27" t="n">
        <v>1.149477</v>
      </c>
      <c r="BM229" s="28" t="n">
        <v>0.869961</v>
      </c>
      <c r="BN229" s="28" t="n"/>
      <c r="BO229" s="28" t="n"/>
      <c r="BP229" s="25" t="n"/>
      <c r="BQ229" s="27" t="n">
        <v>1.149477</v>
      </c>
      <c r="BR229" s="28" t="n">
        <v>0.87</v>
      </c>
      <c r="BS229" s="28" t="n"/>
      <c r="BT229" s="28" t="n"/>
      <c r="BU229" s="25" t="n"/>
      <c r="BV229" s="29" t="n"/>
      <c r="BW229" s="24" t="n"/>
      <c r="BX229" s="30" t="n">
        <v>1</v>
      </c>
      <c r="BY229" s="27" t="n">
        <v>0.149477</v>
      </c>
      <c r="BZ229" s="24" t="inlineStr">
        <is>
          <t>2026-09-09T22:00:35.231262Z</t>
        </is>
      </c>
      <c r="CA229" s="31" t="inlineStr">
        <is>
          <t>fixed one-unit hypothetical scoring; no real exposure or execution</t>
        </is>
      </c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0.869961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f98afa7465884f3c</t>
        </is>
      </c>
      <c r="B230" s="24" t="inlineStr">
        <is>
          <t>2026-09-09T16:03:55.669858Z</t>
        </is>
      </c>
      <c r="C230" s="24" t="inlineStr">
        <is>
          <t>2026-09-09T16:45Z</t>
        </is>
      </c>
      <c r="D230" s="24" t="inlineStr">
        <is>
          <t>401915448</t>
        </is>
      </c>
      <c r="E230" s="24" t="inlineStr">
        <is>
          <t>SOCCER</t>
        </is>
      </c>
      <c r="F230" s="24" t="inlineStr">
        <is>
          <t>Viking FK</t>
        </is>
      </c>
      <c r="G230" s="24" t="inlineStr">
        <is>
          <t>VfB Stuttgart</t>
        </is>
      </c>
      <c r="H230" s="24" t="inlineStr">
        <is>
          <t>total</t>
        </is>
      </c>
      <c r="I230" s="24" t="inlineStr">
        <is>
          <t>over</t>
        </is>
      </c>
      <c r="J230" s="25" t="n">
        <v>2.5</v>
      </c>
      <c r="K230" s="24" t="inlineStr">
        <is>
          <t>polymarket_us</t>
        </is>
      </c>
      <c r="L230" s="26" t="n">
        <v>-376</v>
      </c>
      <c r="M230" s="27" t="n">
        <v>1.265957</v>
      </c>
      <c r="N230" s="28" t="n">
        <v>0.789916</v>
      </c>
      <c r="O230" s="28" t="n">
        <v>0.700315</v>
      </c>
      <c r="P230" s="28" t="n">
        <v>0.2</v>
      </c>
      <c r="Q230" s="28" t="n">
        <v>-0.089601</v>
      </c>
      <c r="R230" s="26" t="n">
        <v>0</v>
      </c>
      <c r="S230" s="29" t="n">
        <v>1</v>
      </c>
      <c r="T230" s="24" t="inlineStr">
        <is>
          <t>soccer-poisson-dc-v1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3</v>
      </c>
      <c r="Y230" s="25" t="n"/>
      <c r="Z230" s="26" t="n">
        <v>-376</v>
      </c>
      <c r="AA230" s="28" t="n">
        <v>0.79</v>
      </c>
      <c r="AB230" s="28" t="n">
        <v>8.4e-05</v>
      </c>
      <c r="AC230" s="30" t="n">
        <v>0.266</v>
      </c>
      <c r="AD230" s="24" t="inlineStr">
        <is>
          <t>2026-09-09T22:00:37.501099Z</t>
        </is>
      </c>
      <c r="AE230" s="31" t="inlineStr">
        <is>
          <t>Poisson-DC rates 1.95 (home) / 1.67 (away) from EWMA attack/defense strengths. Executable ask 0.7900 (tsc-ucl-stu-vik1-2026-09-09-2pt5).</t>
        </is>
      </c>
      <c r="AF230" s="31" t="inlineStr">
        <is>
          <t>Research-only soccer score model; draw-aware, but not yet locked-holdout qualified.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PAPER_CALL_MODEL_UNVALIDATED</t>
        </is>
      </c>
      <c r="AP230" s="24" t="inlineStr">
        <is>
          <t>Viking FK</t>
        </is>
      </c>
      <c r="AQ230" s="24" t="inlineStr">
        <is>
          <t>Viking FK</t>
        </is>
      </c>
      <c r="AR230" s="24" t="inlineStr">
        <is>
          <t>Viking FK</t>
        </is>
      </c>
      <c r="AS230" s="24" t="inlineStr">
        <is>
          <t>VfB Stuttgart</t>
        </is>
      </c>
      <c r="AT230" s="24" t="inlineStr">
        <is>
          <t>VfB Stuttgart</t>
        </is>
      </c>
      <c r="AU230" s="24" t="inlineStr">
        <is>
          <t>VfB Stuttgart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9c072f5f9cf71a972f86e4222ffca6b72422789e9356ec3b1e371da1132584dd</t>
        </is>
      </c>
      <c r="BB230" s="24" t="inlineStr">
        <is>
          <t>poisson_dixon_coles</t>
        </is>
      </c>
      <c r="BC230" s="24" t="inlineStr">
        <is>
          <t>soccer-poisson-dc-v1</t>
        </is>
      </c>
      <c r="BD230" s="24" t="inlineStr">
        <is>
          <t>9c072f5f9cf71a972f86e4222ffca6b72422789e9356ec3b1e371da1132584dd</t>
        </is>
      </c>
      <c r="BE230" s="24" t="inlineStr">
        <is>
          <t>soccer-poisson-dc-v1</t>
        </is>
      </c>
      <c r="BF230" s="24" t="inlineStr">
        <is>
          <t>1</t>
        </is>
      </c>
      <c r="BG230" s="24" t="inlineStr">
        <is>
          <t>9c072f5f9cf71a972f86e4222ffca6b72422789e9356ec3b1e371da1132584dd</t>
        </is>
      </c>
      <c r="BH230" s="24" t="inlineStr">
        <is>
          <t>2026-09-09T16:03:08.327265Z</t>
        </is>
      </c>
      <c r="BI230" s="24" t="inlineStr">
        <is>
          <t>["same_event","same_team_same_day","same_league_same_day"]</t>
        </is>
      </c>
      <c r="BJ230" s="25" t="n">
        <v>2.5</v>
      </c>
      <c r="BK230" s="26" t="n">
        <v>-376</v>
      </c>
      <c r="BL230" s="27" t="n">
        <v>1.265957</v>
      </c>
      <c r="BM230" s="28" t="n">
        <v>0.789916</v>
      </c>
      <c r="BN230" s="28" t="n"/>
      <c r="BO230" s="28" t="n"/>
      <c r="BP230" s="25" t="n"/>
      <c r="BQ230" s="27" t="n">
        <v>1.265957</v>
      </c>
      <c r="BR230" s="28" t="n">
        <v>0.79</v>
      </c>
      <c r="BS230" s="28" t="n"/>
      <c r="BT230" s="28" t="n"/>
      <c r="BU230" s="25" t="n"/>
      <c r="BV230" s="29" t="n"/>
      <c r="BW230" s="24" t="n"/>
      <c r="BX230" s="30" t="n">
        <v>1</v>
      </c>
      <c r="BY230" s="27" t="n">
        <v>0.265957</v>
      </c>
      <c r="BZ230" s="24" t="inlineStr">
        <is>
          <t>2026-09-09T22:00:37.501099Z</t>
        </is>
      </c>
      <c r="CA230" s="31" t="inlineStr">
        <is>
          <t>fixed one-unit hypothetical scoring; no real exposure or execution</t>
        </is>
      </c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0.789916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e0ead4e9725d43b5</t>
        </is>
      </c>
      <c r="B231" s="24" t="inlineStr">
        <is>
          <t>2026-09-09T16:03:55.669858Z</t>
        </is>
      </c>
      <c r="C231" s="24" t="inlineStr">
        <is>
          <t>2026-09-09T19:00Z</t>
        </is>
      </c>
      <c r="D231" s="24" t="inlineStr">
        <is>
          <t>401915423</t>
        </is>
      </c>
      <c r="E231" s="24" t="inlineStr">
        <is>
          <t>SOCCER</t>
        </is>
      </c>
      <c r="F231" s="24" t="inlineStr">
        <is>
          <t>Arsenal</t>
        </is>
      </c>
      <c r="G231" s="24" t="inlineStr">
        <is>
          <t>Napoli</t>
        </is>
      </c>
      <c r="H231" s="24" t="inlineStr">
        <is>
          <t>total</t>
        </is>
      </c>
      <c r="I231" s="24" t="inlineStr">
        <is>
          <t>under</t>
        </is>
      </c>
      <c r="J231" s="25" t="n">
        <v>2.5</v>
      </c>
      <c r="K231" s="24" t="inlineStr">
        <is>
          <t>polymarket_us</t>
        </is>
      </c>
      <c r="L231" s="26" t="n">
        <v>-108</v>
      </c>
      <c r="M231" s="27" t="n">
        <v>1.925926</v>
      </c>
      <c r="N231" s="28" t="n">
        <v>0.519231</v>
      </c>
      <c r="O231" s="28" t="n">
        <v>0.557413</v>
      </c>
      <c r="P231" s="28" t="n">
        <v>0.1</v>
      </c>
      <c r="Q231" s="28" t="n">
        <v>0.038182</v>
      </c>
      <c r="R231" s="26" t="n">
        <v>9</v>
      </c>
      <c r="S231" s="29" t="n">
        <v>1</v>
      </c>
      <c r="T231" s="24" t="inlineStr">
        <is>
          <t>soccer-poisson-dc-v1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-108</v>
      </c>
      <c r="AA231" s="28" t="n">
        <v>0.52</v>
      </c>
      <c r="AB231" s="28" t="n">
        <v>0.000769</v>
      </c>
      <c r="AC231" s="30" t="n">
        <v>0.9258999999999999</v>
      </c>
      <c r="AD231" s="24" t="inlineStr">
        <is>
          <t>2026-09-09T22:00:39.842971Z</t>
        </is>
      </c>
      <c r="AE231" s="31" t="inlineStr">
        <is>
          <t>Poisson-DC rates 0.76 (home) / 1.68 (away) from EWMA attack/defense strengths. Executable ask 0.5200 (tsc-ucl-nap-ars-2026-09-09-2pt5).</t>
        </is>
      </c>
      <c r="AF231" s="31" t="inlineStr">
        <is>
          <t>Research-only soccer score model; draw-aware, but not yet locked-holdout qualified.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Arsenal</t>
        </is>
      </c>
      <c r="AQ231" s="24" t="inlineStr">
        <is>
          <t>Arsenal</t>
        </is>
      </c>
      <c r="AR231" s="24" t="inlineStr">
        <is>
          <t>Arsenal</t>
        </is>
      </c>
      <c r="AS231" s="24" t="inlineStr">
        <is>
          <t>Napoli</t>
        </is>
      </c>
      <c r="AT231" s="24" t="inlineStr">
        <is>
          <t>Napoli</t>
        </is>
      </c>
      <c r="AU231" s="24" t="inlineStr">
        <is>
          <t>Napoli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9c072f5f9cf71a972f86e4222ffca6b72422789e9356ec3b1e371da1132584dd</t>
        </is>
      </c>
      <c r="BB231" s="24" t="inlineStr">
        <is>
          <t>poisson_dixon_coles</t>
        </is>
      </c>
      <c r="BC231" s="24" t="inlineStr">
        <is>
          <t>soccer-poisson-dc-v1</t>
        </is>
      </c>
      <c r="BD231" s="24" t="inlineStr">
        <is>
          <t>9c072f5f9cf71a972f86e4222ffca6b72422789e9356ec3b1e371da1132584dd</t>
        </is>
      </c>
      <c r="BE231" s="24" t="inlineStr">
        <is>
          <t>soccer-poisson-dc-v1</t>
        </is>
      </c>
      <c r="BF231" s="24" t="inlineStr">
        <is>
          <t>1</t>
        </is>
      </c>
      <c r="BG231" s="24" t="inlineStr">
        <is>
          <t>9c072f5f9cf71a972f86e4222ffca6b72422789e9356ec3b1e371da1132584dd</t>
        </is>
      </c>
      <c r="BH231" s="24" t="inlineStr">
        <is>
          <t>2026-09-09T16:03:08.691663Z</t>
        </is>
      </c>
      <c r="BI231" s="24" t="inlineStr">
        <is>
          <t>["same_event","same_team_same_day","same_league_same_day"]</t>
        </is>
      </c>
      <c r="BJ231" s="25" t="n">
        <v>2.5</v>
      </c>
      <c r="BK231" s="26" t="n">
        <v>-108</v>
      </c>
      <c r="BL231" s="27" t="n">
        <v>1.925926</v>
      </c>
      <c r="BM231" s="28" t="n">
        <v>0.519231</v>
      </c>
      <c r="BN231" s="28" t="n"/>
      <c r="BO231" s="28" t="n"/>
      <c r="BP231" s="25" t="n"/>
      <c r="BQ231" s="27" t="n">
        <v>1.925926</v>
      </c>
      <c r="BR231" s="28" t="n">
        <v>0.52</v>
      </c>
      <c r="BS231" s="28" t="n"/>
      <c r="BT231" s="28" t="n"/>
      <c r="BU231" s="25" t="n"/>
      <c r="BV231" s="29" t="n"/>
      <c r="BW231" s="24" t="n"/>
      <c r="BX231" s="30" t="n">
        <v>1</v>
      </c>
      <c r="BY231" s="27" t="n">
        <v>0.925925</v>
      </c>
      <c r="BZ231" s="24" t="inlineStr">
        <is>
          <t>2026-09-09T22:00:39.842971Z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0.519231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8597ce7c96984b70</t>
        </is>
      </c>
      <c r="B232" s="24" t="inlineStr">
        <is>
          <t>2026-09-09T16:03:55.669858Z</t>
        </is>
      </c>
      <c r="C232" s="24" t="inlineStr">
        <is>
          <t>2026-09-09T19:00Z</t>
        </is>
      </c>
      <c r="D232" s="24" t="inlineStr">
        <is>
          <t>401915445</t>
        </is>
      </c>
      <c r="E232" s="24" t="inlineStr">
        <is>
          <t>SOCCER</t>
        </is>
      </c>
      <c r="F232" s="24" t="inlineStr">
        <is>
          <t>Slovan Bratislava</t>
        </is>
      </c>
      <c r="G232" s="24" t="inlineStr">
        <is>
          <t>Paris Saint-Germain</t>
        </is>
      </c>
      <c r="H232" s="24" t="inlineStr">
        <is>
          <t>total</t>
        </is>
      </c>
      <c r="I232" s="24" t="inlineStr">
        <is>
          <t>over</t>
        </is>
      </c>
      <c r="J232" s="25" t="n">
        <v>2.5</v>
      </c>
      <c r="K232" s="24" t="inlineStr">
        <is>
          <t>polymarket_us</t>
        </is>
      </c>
      <c r="L232" s="26" t="n">
        <v>-614</v>
      </c>
      <c r="M232" s="27" t="n">
        <v>1.162866</v>
      </c>
      <c r="N232" s="28" t="n">
        <v>0.859944</v>
      </c>
      <c r="O232" s="28" t="n">
        <v>0.865031</v>
      </c>
      <c r="P232" s="28" t="n">
        <v>0.12</v>
      </c>
      <c r="Q232" s="28" t="n">
        <v>0.005087</v>
      </c>
      <c r="R232" s="26" t="n">
        <v>0</v>
      </c>
      <c r="S232" s="29" t="n">
        <v>1</v>
      </c>
      <c r="T232" s="24" t="inlineStr">
        <is>
          <t>soccer-poisson-dc-v1</t>
        </is>
      </c>
      <c r="U232" s="24" t="inlineStr">
        <is>
          <t>settled</t>
        </is>
      </c>
      <c r="V232" s="24" t="inlineStr">
        <is>
          <t>win</t>
        </is>
      </c>
      <c r="W232" s="26" t="n">
        <v>1</v>
      </c>
      <c r="X232" s="26" t="n">
        <v>6</v>
      </c>
      <c r="Y232" s="25" t="n"/>
      <c r="Z232" s="26" t="n">
        <v>-614</v>
      </c>
      <c r="AA232" s="28" t="n">
        <v>0.86</v>
      </c>
      <c r="AB232" s="28" t="n">
        <v>5.6e-05</v>
      </c>
      <c r="AC232" s="30" t="n">
        <v>0.1629</v>
      </c>
      <c r="AD232" s="24" t="inlineStr">
        <is>
          <t>2026-09-09T22:00:42.172032Z</t>
        </is>
      </c>
      <c r="AE232" s="31" t="inlineStr">
        <is>
          <t>Poisson-DC rates 4.01 (home) / 0.87 (away) from EWMA attack/defense strengths. Executable ask 0.8600 (tsc-ucl-psg-sba-2026-09-09-2pt5).</t>
        </is>
      </c>
      <c r="AF232" s="31" t="inlineStr">
        <is>
          <t>Research-only soccer score model; draw-aware, but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Slovan Bratislava</t>
        </is>
      </c>
      <c r="AQ232" s="24" t="inlineStr">
        <is>
          <t>Slovan Bratislava</t>
        </is>
      </c>
      <c r="AR232" s="24" t="inlineStr">
        <is>
          <t>Slovan Bratislava</t>
        </is>
      </c>
      <c r="AS232" s="24" t="inlineStr">
        <is>
          <t>Paris Saint-Germain</t>
        </is>
      </c>
      <c r="AT232" s="24" t="inlineStr">
        <is>
          <t>Paris Saint-Germain</t>
        </is>
      </c>
      <c r="AU232" s="24" t="inlineStr">
        <is>
          <t>Paris Saint-Germain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9c072f5f9cf71a972f86e4222ffca6b72422789e9356ec3b1e371da1132584dd</t>
        </is>
      </c>
      <c r="BB232" s="24" t="inlineStr">
        <is>
          <t>poisson_dixon_coles</t>
        </is>
      </c>
      <c r="BC232" s="24" t="inlineStr">
        <is>
          <t>soccer-poisson-dc-v1</t>
        </is>
      </c>
      <c r="BD232" s="24" t="inlineStr">
        <is>
          <t>9c072f5f9cf71a972f86e4222ffca6b72422789e9356ec3b1e371da1132584dd</t>
        </is>
      </c>
      <c r="BE232" s="24" t="inlineStr">
        <is>
          <t>soccer-poisson-dc-v1</t>
        </is>
      </c>
      <c r="BF232" s="24" t="inlineStr">
        <is>
          <t>1</t>
        </is>
      </c>
      <c r="BG232" s="24" t="inlineStr">
        <is>
          <t>9c072f5f9cf71a972f86e4222ffca6b72422789e9356ec3b1e371da1132584dd</t>
        </is>
      </c>
      <c r="BH232" s="24" t="inlineStr">
        <is>
          <t>2026-09-09T16:03:08.509364Z</t>
        </is>
      </c>
      <c r="BI232" s="24" t="inlineStr">
        <is>
          <t>["same_event","same_team_same_day","same_league_same_day"]</t>
        </is>
      </c>
      <c r="BJ232" s="25" t="n">
        <v>2.5</v>
      </c>
      <c r="BK232" s="26" t="n">
        <v>-614</v>
      </c>
      <c r="BL232" s="27" t="n">
        <v>1.162866</v>
      </c>
      <c r="BM232" s="28" t="n">
        <v>0.859944</v>
      </c>
      <c r="BN232" s="28" t="n"/>
      <c r="BO232" s="28" t="n"/>
      <c r="BP232" s="25" t="n"/>
      <c r="BQ232" s="27" t="n">
        <v>1.162866</v>
      </c>
      <c r="BR232" s="28" t="n">
        <v>0.86</v>
      </c>
      <c r="BS232" s="28" t="n"/>
      <c r="BT232" s="28" t="n"/>
      <c r="BU232" s="25" t="n"/>
      <c r="BV232" s="29" t="n"/>
      <c r="BW232" s="24" t="n"/>
      <c r="BX232" s="30" t="n">
        <v>1</v>
      </c>
      <c r="BY232" s="27" t="n">
        <v>0.162866</v>
      </c>
      <c r="BZ232" s="24" t="inlineStr">
        <is>
          <t>2026-09-09T22:00:42.172032Z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0.859944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ebf062978c5748aa</t>
        </is>
      </c>
      <c r="B233" s="24" t="inlineStr">
        <is>
          <t>2026-09-09T16:03:55.669858Z</t>
        </is>
      </c>
      <c r="C233" s="24" t="inlineStr">
        <is>
          <t>2026-09-09T19:00Z</t>
        </is>
      </c>
      <c r="D233" s="24" t="inlineStr">
        <is>
          <t>401915447</t>
        </is>
      </c>
      <c r="E233" s="24" t="inlineStr">
        <is>
          <t>SOCCER</t>
        </is>
      </c>
      <c r="F233" s="24" t="inlineStr">
        <is>
          <t>Galatasaray</t>
        </is>
      </c>
      <c r="G233" s="24" t="inlineStr">
        <is>
          <t>Sporting CP</t>
        </is>
      </c>
      <c r="H233" s="24" t="inlineStr">
        <is>
          <t>total</t>
        </is>
      </c>
      <c r="I233" s="24" t="inlineStr">
        <is>
          <t>over</t>
        </is>
      </c>
      <c r="J233" s="25" t="n">
        <v>2.5</v>
      </c>
      <c r="K233" s="24" t="inlineStr">
        <is>
          <t>polymarket_us</t>
        </is>
      </c>
      <c r="L233" s="26" t="n">
        <v>-194</v>
      </c>
      <c r="M233" s="27" t="n">
        <v>1.515464</v>
      </c>
      <c r="N233" s="28" t="n">
        <v>0.659864</v>
      </c>
      <c r="O233" s="28" t="n">
        <v>0.571333</v>
      </c>
      <c r="P233" s="28" t="n">
        <v>0.08</v>
      </c>
      <c r="Q233" s="28" t="n">
        <v>-0.088531</v>
      </c>
      <c r="R233" s="26" t="n">
        <v>0</v>
      </c>
      <c r="S233" s="29" t="n">
        <v>1</v>
      </c>
      <c r="T233" s="24" t="inlineStr">
        <is>
          <t>soccer-poisson-dc-v1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3</v>
      </c>
      <c r="Y233" s="25" t="n"/>
      <c r="Z233" s="26" t="n">
        <v>-194</v>
      </c>
      <c r="AA233" s="28" t="n">
        <v>0.66</v>
      </c>
      <c r="AB233" s="28" t="n">
        <v>0.000136</v>
      </c>
      <c r="AC233" s="30" t="n">
        <v>0.5155</v>
      </c>
      <c r="AD233" s="24" t="inlineStr">
        <is>
          <t>2026-09-09T22:00:44.506636Z</t>
        </is>
      </c>
      <c r="AE233" s="31" t="inlineStr">
        <is>
          <t>Poisson-DC rates 1.88 (home) / 1.10 (away) from EWMA attack/defense strengths. Executable ask 0.6600 (tsc-ucl-spo-gal-2026-09-09-2pt5).</t>
        </is>
      </c>
      <c r="AF233" s="31" t="inlineStr">
        <is>
          <t>Research-only soccer score model; draw-aware, but not yet locked-holdout qualified.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paper_call</t>
        </is>
      </c>
      <c r="AL233" s="26" t="n">
        <v>4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PAPER_CALL_LOW_EDGE</t>
        </is>
      </c>
      <c r="AP233" s="24" t="inlineStr">
        <is>
          <t>Galatasaray</t>
        </is>
      </c>
      <c r="AQ233" s="24" t="inlineStr">
        <is>
          <t>Galatasaray</t>
        </is>
      </c>
      <c r="AR233" s="24" t="inlineStr">
        <is>
          <t>Galatasaray</t>
        </is>
      </c>
      <c r="AS233" s="24" t="inlineStr">
        <is>
          <t>Sporting CP</t>
        </is>
      </c>
      <c r="AT233" s="24" t="inlineStr">
        <is>
          <t>Sporting CP</t>
        </is>
      </c>
      <c r="AU233" s="24" t="inlineStr">
        <is>
          <t>Sporting CP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9c072f5f9cf71a972f86e4222ffca6b72422789e9356ec3b1e371da1132584dd</t>
        </is>
      </c>
      <c r="BB233" s="24" t="inlineStr">
        <is>
          <t>poisson_dixon_coles</t>
        </is>
      </c>
      <c r="BC233" s="24" t="inlineStr">
        <is>
          <t>soccer-poisson-dc-v1</t>
        </is>
      </c>
      <c r="BD233" s="24" t="inlineStr">
        <is>
          <t>9c072f5f9cf71a972f86e4222ffca6b72422789e9356ec3b1e371da1132584dd</t>
        </is>
      </c>
      <c r="BE233" s="24" t="inlineStr">
        <is>
          <t>soccer-poisson-dc-v1</t>
        </is>
      </c>
      <c r="BF233" s="24" t="inlineStr">
        <is>
          <t>1</t>
        </is>
      </c>
      <c r="BG233" s="24" t="inlineStr">
        <is>
          <t>9c072f5f9cf71a972f86e4222ffca6b72422789e9356ec3b1e371da1132584dd</t>
        </is>
      </c>
      <c r="BH233" s="24" t="inlineStr">
        <is>
          <t>2026-09-09T16:03:08.599255Z</t>
        </is>
      </c>
      <c r="BI233" s="24" t="inlineStr">
        <is>
          <t>["same_event","same_team_same_day","same_league_same_day"]</t>
        </is>
      </c>
      <c r="BJ233" s="25" t="n">
        <v>2.5</v>
      </c>
      <c r="BK233" s="26" t="n">
        <v>-194</v>
      </c>
      <c r="BL233" s="27" t="n">
        <v>1.515464</v>
      </c>
      <c r="BM233" s="28" t="n">
        <v>0.659864</v>
      </c>
      <c r="BN233" s="28" t="n"/>
      <c r="BO233" s="28" t="n"/>
      <c r="BP233" s="25" t="n"/>
      <c r="BQ233" s="27" t="n">
        <v>1.515464</v>
      </c>
      <c r="BR233" s="28" t="n">
        <v>0.66</v>
      </c>
      <c r="BS233" s="28" t="n"/>
      <c r="BT233" s="28" t="n"/>
      <c r="BU233" s="25" t="n"/>
      <c r="BV233" s="29" t="n"/>
      <c r="BW233" s="24" t="n"/>
      <c r="BX233" s="30" t="n">
        <v>1</v>
      </c>
      <c r="BY233" s="27" t="n">
        <v>0.515464</v>
      </c>
      <c r="BZ233" s="24" t="inlineStr">
        <is>
          <t>2026-09-09T22:00:44.506636Z</t>
        </is>
      </c>
      <c r="CA233" s="31" t="inlineStr">
        <is>
          <t>fixed one-unit hypothetical scoring; no real exposure or execution</t>
        </is>
      </c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0.659864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e3e09d6089c041b3</t>
        </is>
      </c>
      <c r="B234" s="24" t="inlineStr">
        <is>
          <t>2026-09-09T16:03:55.669858Z</t>
        </is>
      </c>
      <c r="C234" s="24" t="inlineStr">
        <is>
          <t>2026-09-09T16:45Z</t>
        </is>
      </c>
      <c r="D234" s="24" t="inlineStr">
        <is>
          <t>401915424</t>
        </is>
      </c>
      <c r="E234" s="24" t="inlineStr">
        <is>
          <t>SOCCER</t>
        </is>
      </c>
      <c r="F234" s="24" t="inlineStr">
        <is>
          <t>Feyenoord Rotterdam</t>
        </is>
      </c>
      <c r="G234" s="24" t="inlineStr">
        <is>
          <t>Barcelona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-1150</v>
      </c>
      <c r="M234" s="27" t="n">
        <v>1.086957</v>
      </c>
      <c r="N234" s="28" t="n">
        <v>0.92</v>
      </c>
      <c r="O234" s="28" t="n">
        <v>0.725822</v>
      </c>
      <c r="P234" s="28" t="n">
        <v>0.08</v>
      </c>
      <c r="Q234" s="28" t="n">
        <v>-0.194178</v>
      </c>
      <c r="R234" s="26" t="n">
        <v>0</v>
      </c>
      <c r="S234" s="29" t="n">
        <v>1</v>
      </c>
      <c r="T234" s="24" t="inlineStr">
        <is>
          <t>soccer-poisson-dc-v1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5</v>
      </c>
      <c r="Y234" s="25" t="n"/>
      <c r="Z234" s="26" t="n">
        <v>-1150</v>
      </c>
      <c r="AA234" s="28" t="n">
        <v>0.92</v>
      </c>
      <c r="AB234" s="28" t="n">
        <v>0</v>
      </c>
      <c r="AC234" s="30" t="n">
        <v>0.08699999999999999</v>
      </c>
      <c r="AD234" s="24" t="inlineStr">
        <is>
          <t>2026-09-09T22:00:46.806243Z</t>
        </is>
      </c>
      <c r="AE234" s="31" t="inlineStr">
        <is>
          <t>Poisson-DC rates 3.32 (home) / 1.48 (away) from EWMA attack/defense strengths. Executable ask 0.9200 (atc-ucl-fcb-fey-2026-09-09-fcb).</t>
        </is>
      </c>
      <c r="AF234" s="31" t="inlineStr">
        <is>
          <t>Research-only soccer score model; draw-aware, but not yet locked-holdout qualified.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Feyenoord Rotterdam</t>
        </is>
      </c>
      <c r="AQ234" s="24" t="inlineStr">
        <is>
          <t>Feyenoord Rotterdam</t>
        </is>
      </c>
      <c r="AR234" s="24" t="inlineStr">
        <is>
          <t>Feyenoord Rotterdam</t>
        </is>
      </c>
      <c r="AS234" s="24" t="inlineStr">
        <is>
          <t>Barcelona</t>
        </is>
      </c>
      <c r="AT234" s="24" t="inlineStr">
        <is>
          <t>Barcelona</t>
        </is>
      </c>
      <c r="AU234" s="24" t="inlineStr">
        <is>
          <t>Barcelona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9c072f5f9cf71a972f86e4222ffca6b72422789e9356ec3b1e371da1132584dd</t>
        </is>
      </c>
      <c r="BB234" s="24" t="inlineStr">
        <is>
          <t>poisson_dixon_coles</t>
        </is>
      </c>
      <c r="BC234" s="24" t="inlineStr">
        <is>
          <t>soccer-poisson-dc-v1</t>
        </is>
      </c>
      <c r="BD234" s="24" t="inlineStr">
        <is>
          <t>9c072f5f9cf71a972f86e4222ffca6b72422789e9356ec3b1e371da1132584dd</t>
        </is>
      </c>
      <c r="BE234" s="24" t="inlineStr">
        <is>
          <t>soccer-poisson-dc-v1</t>
        </is>
      </c>
      <c r="BF234" s="24" t="inlineStr">
        <is>
          <t>1</t>
        </is>
      </c>
      <c r="BG234" s="24" t="inlineStr">
        <is>
          <t>9c072f5f9cf71a972f86e4222ffca6b72422789e9356ec3b1e371da1132584dd</t>
        </is>
      </c>
      <c r="BH234" s="24" t="inlineStr">
        <is>
          <t>2026-09-09T16:03:08.419313Z</t>
        </is>
      </c>
      <c r="BI234" s="24" t="inlineStr">
        <is>
          <t>["same_event","same_team_same_day","same_league_same_day"]</t>
        </is>
      </c>
      <c r="BJ234" s="25" t="n"/>
      <c r="BK234" s="26" t="n">
        <v>-1150</v>
      </c>
      <c r="BL234" s="27" t="n">
        <v>1.086957</v>
      </c>
      <c r="BM234" s="28" t="n">
        <v>0.92</v>
      </c>
      <c r="BN234" s="28" t="n"/>
      <c r="BO234" s="28" t="n"/>
      <c r="BP234" s="25" t="n"/>
      <c r="BQ234" s="27" t="n">
        <v>1.086957</v>
      </c>
      <c r="BR234" s="28" t="n">
        <v>0.92</v>
      </c>
      <c r="BS234" s="28" t="n"/>
      <c r="BT234" s="28" t="n"/>
      <c r="BU234" s="25" t="n"/>
      <c r="BV234" s="29" t="n"/>
      <c r="BW234" s="24" t="n"/>
      <c r="BX234" s="30" t="n">
        <v>1</v>
      </c>
      <c r="BY234" s="27" t="n">
        <v>0.08695700000000001</v>
      </c>
      <c r="BZ234" s="24" t="inlineStr">
        <is>
          <t>2026-09-09T22:00:46.806243Z</t>
        </is>
      </c>
      <c r="CA234" s="31" t="inlineStr">
        <is>
          <t>fixed one-unit hypothetical scoring; no real exposure or execution</t>
        </is>
      </c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0.92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4ea4190ccbcc4d96</t>
        </is>
      </c>
      <c r="B235" s="24" t="inlineStr">
        <is>
          <t>2026-09-09T16:03:55.669858Z</t>
        </is>
      </c>
      <c r="C235" s="24" t="inlineStr">
        <is>
          <t>2026-09-09T16:45Z</t>
        </is>
      </c>
      <c r="D235" s="24" t="inlineStr">
        <is>
          <t>401915448</t>
        </is>
      </c>
      <c r="E235" s="24" t="inlineStr">
        <is>
          <t>SOCCER</t>
        </is>
      </c>
      <c r="F235" s="24" t="inlineStr">
        <is>
          <t>Viking FK</t>
        </is>
      </c>
      <c r="G235" s="24" t="inlineStr">
        <is>
          <t>VfB Stuttgart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-355</v>
      </c>
      <c r="M235" s="27" t="n">
        <v>1.28169</v>
      </c>
      <c r="N235" s="28" t="n">
        <v>0.78022</v>
      </c>
      <c r="O235" s="28" t="n">
        <v>0.437894</v>
      </c>
      <c r="P235" s="28" t="n">
        <v>0.2</v>
      </c>
      <c r="Q235" s="28" t="n">
        <v>-0.342326</v>
      </c>
      <c r="R235" s="26" t="n">
        <v>0</v>
      </c>
      <c r="S235" s="29" t="n">
        <v>1</v>
      </c>
      <c r="T235" s="24" t="inlineStr">
        <is>
          <t>soccer-poisson-dc-v1</t>
        </is>
      </c>
      <c r="U235" s="24" t="inlineStr">
        <is>
          <t>settled</t>
        </is>
      </c>
      <c r="V235" s="24" t="inlineStr">
        <is>
          <t>win</t>
        </is>
      </c>
      <c r="W235" s="26" t="n">
        <v>1</v>
      </c>
      <c r="X235" s="26" t="n">
        <v>3</v>
      </c>
      <c r="Y235" s="25" t="n"/>
      <c r="Z235" s="26" t="n">
        <v>-355</v>
      </c>
      <c r="AA235" s="28" t="n">
        <v>0.78</v>
      </c>
      <c r="AB235" s="28" t="n">
        <v>-0.00022</v>
      </c>
      <c r="AC235" s="30" t="n">
        <v>0.2817</v>
      </c>
      <c r="AD235" s="24" t="inlineStr">
        <is>
          <t>2026-09-09T22:00:49.107220Z</t>
        </is>
      </c>
      <c r="AE235" s="31" t="inlineStr">
        <is>
          <t>Poisson-DC rates 1.95 (home) / 1.67 (away) from EWMA attack/defense strengths. Executable ask 0.7800 (atc-ucl-stu-vik1-2026-09-09-stu).</t>
        </is>
      </c>
      <c r="AF235" s="31" t="inlineStr">
        <is>
          <t>Research-only soccer score model; draw-aware, but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PAPER_CALL_MODEL_UNVALIDATED</t>
        </is>
      </c>
      <c r="AP235" s="24" t="inlineStr">
        <is>
          <t>Viking FK</t>
        </is>
      </c>
      <c r="AQ235" s="24" t="inlineStr">
        <is>
          <t>Viking FK</t>
        </is>
      </c>
      <c r="AR235" s="24" t="inlineStr">
        <is>
          <t>Viking FK</t>
        </is>
      </c>
      <c r="AS235" s="24" t="inlineStr">
        <is>
          <t>VfB Stuttgart</t>
        </is>
      </c>
      <c r="AT235" s="24" t="inlineStr">
        <is>
          <t>VfB Stuttgart</t>
        </is>
      </c>
      <c r="AU235" s="24" t="inlineStr">
        <is>
          <t>VfB Stuttgart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9c072f5f9cf71a972f86e4222ffca6b72422789e9356ec3b1e371da1132584dd</t>
        </is>
      </c>
      <c r="BB235" s="24" t="inlineStr">
        <is>
          <t>poisson_dixon_coles</t>
        </is>
      </c>
      <c r="BC235" s="24" t="inlineStr">
        <is>
          <t>soccer-poisson-dc-v1</t>
        </is>
      </c>
      <c r="BD235" s="24" t="inlineStr">
        <is>
          <t>9c072f5f9cf71a972f86e4222ffca6b72422789e9356ec3b1e371da1132584dd</t>
        </is>
      </c>
      <c r="BE235" s="24" t="inlineStr">
        <is>
          <t>soccer-poisson-dc-v1</t>
        </is>
      </c>
      <c r="BF235" s="24" t="inlineStr">
        <is>
          <t>1</t>
        </is>
      </c>
      <c r="BG235" s="24" t="inlineStr">
        <is>
          <t>9c072f5f9cf71a972f86e4222ffca6b72422789e9356ec3b1e371da1132584dd</t>
        </is>
      </c>
      <c r="BH235" s="24" t="inlineStr">
        <is>
          <t>2026-09-09T16:03:08.257066Z</t>
        </is>
      </c>
      <c r="BI235" s="24" t="inlineStr">
        <is>
          <t>["same_event","same_team_same_day","same_league_same_day"]</t>
        </is>
      </c>
      <c r="BJ235" s="25" t="n"/>
      <c r="BK235" s="26" t="n">
        <v>-355</v>
      </c>
      <c r="BL235" s="27" t="n">
        <v>1.28169</v>
      </c>
      <c r="BM235" s="28" t="n">
        <v>0.78022</v>
      </c>
      <c r="BN235" s="28" t="n"/>
      <c r="BO235" s="28" t="n"/>
      <c r="BP235" s="25" t="n"/>
      <c r="BQ235" s="27" t="n">
        <v>1.28169</v>
      </c>
      <c r="BR235" s="28" t="n">
        <v>0.78</v>
      </c>
      <c r="BS235" s="28" t="n"/>
      <c r="BT235" s="28" t="n"/>
      <c r="BU235" s="25" t="n"/>
      <c r="BV235" s="29" t="n"/>
      <c r="BW235" s="24" t="n"/>
      <c r="BX235" s="30" t="n">
        <v>1</v>
      </c>
      <c r="BY235" s="27" t="n">
        <v>0.28169</v>
      </c>
      <c r="BZ235" s="24" t="inlineStr">
        <is>
          <t>2026-09-09T22:00:49.107220Z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0.78022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4d9790b2f5674949</t>
        </is>
      </c>
      <c r="B236" s="24" t="inlineStr">
        <is>
          <t>2026-09-09T16:03:55.669858Z</t>
        </is>
      </c>
      <c r="C236" s="24" t="inlineStr">
        <is>
          <t>2026-09-09T19:00Z</t>
        </is>
      </c>
      <c r="D236" s="24" t="inlineStr">
        <is>
          <t>401915423</t>
        </is>
      </c>
      <c r="E236" s="24" t="inlineStr">
        <is>
          <t>SOCCER</t>
        </is>
      </c>
      <c r="F236" s="24" t="inlineStr">
        <is>
          <t>Arsenal</t>
        </is>
      </c>
      <c r="G236" s="24" t="inlineStr">
        <is>
          <t>Napoli</t>
        </is>
      </c>
      <c r="H236" s="24" t="inlineStr">
        <is>
          <t>moneyline</t>
        </is>
      </c>
      <c r="I236" s="24" t="inlineStr">
        <is>
          <t>away</t>
        </is>
      </c>
      <c r="J236" s="25" t="n"/>
      <c r="K236" s="24" t="inlineStr">
        <is>
          <t>polymarket_us</t>
        </is>
      </c>
      <c r="L236" s="26" t="n">
        <v>-163</v>
      </c>
      <c r="M236" s="27" t="n">
        <v>1.613497</v>
      </c>
      <c r="N236" s="28" t="n">
        <v>0.619772</v>
      </c>
      <c r="O236" s="28" t="n">
        <v>0.583243</v>
      </c>
      <c r="P236" s="28" t="n">
        <v>0.1</v>
      </c>
      <c r="Q236" s="28" t="n">
        <v>-0.036529</v>
      </c>
      <c r="R236" s="26" t="n">
        <v>0</v>
      </c>
      <c r="S236" s="29" t="n">
        <v>1</v>
      </c>
      <c r="T236" s="24" t="inlineStr">
        <is>
          <t>soccer-poisson-dc-v1</t>
        </is>
      </c>
      <c r="U236" s="24" t="inlineStr">
        <is>
          <t>settled</t>
        </is>
      </c>
      <c r="V236" s="24" t="inlineStr">
        <is>
          <t>win</t>
        </is>
      </c>
      <c r="W236" s="26" t="n">
        <v>1</v>
      </c>
      <c r="X236" s="26" t="n">
        <v>0</v>
      </c>
      <c r="Y236" s="25" t="n"/>
      <c r="Z236" s="26" t="n">
        <v>156</v>
      </c>
      <c r="AA236" s="28" t="n">
        <v>0.39</v>
      </c>
      <c r="AB236" s="28" t="n">
        <v>-0.229772</v>
      </c>
      <c r="AC236" s="30" t="n">
        <v>0.6135</v>
      </c>
      <c r="AD236" s="24" t="inlineStr">
        <is>
          <t>2026-09-09T22:00:51.422787Z</t>
        </is>
      </c>
      <c r="AE236" s="31" t="inlineStr">
        <is>
          <t>Poisson-DC rates 0.76 (home) / 1.68 (away) from EWMA attack/defense strengths. Executable ask 0.6200 (atc-ucl-nap-ars-2026-09-09-ars).</t>
        </is>
      </c>
      <c r="AF236" s="31" t="inlineStr">
        <is>
          <t>Research-only soccer score model; draw-aware, but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Arsenal</t>
        </is>
      </c>
      <c r="AQ236" s="24" t="inlineStr">
        <is>
          <t>Arsenal</t>
        </is>
      </c>
      <c r="AR236" s="24" t="inlineStr">
        <is>
          <t>Arsenal</t>
        </is>
      </c>
      <c r="AS236" s="24" t="inlineStr">
        <is>
          <t>Napoli</t>
        </is>
      </c>
      <c r="AT236" s="24" t="inlineStr">
        <is>
          <t>Napoli</t>
        </is>
      </c>
      <c r="AU236" s="24" t="inlineStr">
        <is>
          <t>Napoli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9c072f5f9cf71a972f86e4222ffca6b72422789e9356ec3b1e371da1132584dd</t>
        </is>
      </c>
      <c r="BB236" s="24" t="inlineStr">
        <is>
          <t>poisson_dixon_coles</t>
        </is>
      </c>
      <c r="BC236" s="24" t="inlineStr">
        <is>
          <t>soccer-poisson-dc-v1</t>
        </is>
      </c>
      <c r="BD236" s="24" t="inlineStr">
        <is>
          <t>9c072f5f9cf71a972f86e4222ffca6b72422789e9356ec3b1e371da1132584dd</t>
        </is>
      </c>
      <c r="BE236" s="24" t="inlineStr">
        <is>
          <t>soccer-poisson-dc-v1</t>
        </is>
      </c>
      <c r="BF236" s="24" t="inlineStr">
        <is>
          <t>1</t>
        </is>
      </c>
      <c r="BG236" s="24" t="inlineStr">
        <is>
          <t>9c072f5f9cf71a972f86e4222ffca6b72422789e9356ec3b1e371da1132584dd</t>
        </is>
      </c>
      <c r="BH236" s="24" t="inlineStr">
        <is>
          <t>2026-09-09T16:03:08.645906Z</t>
        </is>
      </c>
      <c r="BI236" s="24" t="inlineStr">
        <is>
          <t>["same_event","same_team_same_day","same_league_same_day"]</t>
        </is>
      </c>
      <c r="BJ236" s="25" t="n"/>
      <c r="BK236" s="26" t="n">
        <v>-163</v>
      </c>
      <c r="BL236" s="27" t="n">
        <v>1.613497</v>
      </c>
      <c r="BM236" s="28" t="n">
        <v>0.619772</v>
      </c>
      <c r="BN236" s="28" t="n"/>
      <c r="BO236" s="28" t="n"/>
      <c r="BP236" s="25" t="n"/>
      <c r="BQ236" s="27" t="n">
        <v>2.56</v>
      </c>
      <c r="BR236" s="28" t="n">
        <v>0.39</v>
      </c>
      <c r="BS236" s="28" t="n"/>
      <c r="BT236" s="28" t="n"/>
      <c r="BU236" s="25" t="n"/>
      <c r="BV236" s="29" t="n"/>
      <c r="BW236" s="24" t="n"/>
      <c r="BX236" s="30" t="n">
        <v>1</v>
      </c>
      <c r="BY236" s="27" t="n">
        <v>0.613497</v>
      </c>
      <c r="BZ236" s="24" t="inlineStr">
        <is>
          <t>2026-09-09T22:00:51.422787Z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0.619772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76a3442e686a4684</t>
        </is>
      </c>
      <c r="B237" s="24" t="inlineStr">
        <is>
          <t>2026-09-09T16:03:55.669858Z</t>
        </is>
      </c>
      <c r="C237" s="24" t="inlineStr">
        <is>
          <t>2026-09-09T19:00Z</t>
        </is>
      </c>
      <c r="D237" s="24" t="inlineStr">
        <is>
          <t>401915445</t>
        </is>
      </c>
      <c r="E237" s="24" t="inlineStr">
        <is>
          <t>SOCCER</t>
        </is>
      </c>
      <c r="F237" s="24" t="inlineStr">
        <is>
          <t>Slovan Bratislava</t>
        </is>
      </c>
      <c r="G237" s="24" t="inlineStr">
        <is>
          <t>Paris Saint-Germain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-1900</v>
      </c>
      <c r="M237" s="27" t="n">
        <v>1.052632</v>
      </c>
      <c r="N237" s="28" t="n">
        <v>0.95</v>
      </c>
      <c r="O237" s="28" t="n">
        <v>0.890958</v>
      </c>
      <c r="P237" s="28" t="n">
        <v>0.12</v>
      </c>
      <c r="Q237" s="28" t="n">
        <v>-0.059042</v>
      </c>
      <c r="R237" s="26" t="n">
        <v>0</v>
      </c>
      <c r="S237" s="29" t="n">
        <v>1</v>
      </c>
      <c r="T237" s="24" t="inlineStr">
        <is>
          <t>soccer-poisson-dc-v1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6</v>
      </c>
      <c r="Y237" s="25" t="n"/>
      <c r="Z237" s="26" t="n">
        <v>-1900</v>
      </c>
      <c r="AA237" s="28" t="n">
        <v>0.95</v>
      </c>
      <c r="AB237" s="28" t="n">
        <v>0</v>
      </c>
      <c r="AC237" s="30" t="n">
        <v>0.0526</v>
      </c>
      <c r="AD237" s="24" t="inlineStr">
        <is>
          <t>2026-09-09T22:00:53.820420Z</t>
        </is>
      </c>
      <c r="AE237" s="31" t="inlineStr">
        <is>
          <t>Poisson-DC rates 4.01 (home) / 0.87 (away) from EWMA attack/defense strengths. Executable ask 0.9500 (atc-ucl-psg-sba-2026-09-09-psg).</t>
        </is>
      </c>
      <c r="AF237" s="31" t="inlineStr">
        <is>
          <t>Research-only soccer score model; draw-aware, but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PAPER_CALL_MODEL_UNVALIDATED</t>
        </is>
      </c>
      <c r="AP237" s="24" t="inlineStr">
        <is>
          <t>Slovan Bratislava</t>
        </is>
      </c>
      <c r="AQ237" s="24" t="inlineStr">
        <is>
          <t>Slovan Bratislava</t>
        </is>
      </c>
      <c r="AR237" s="24" t="inlineStr">
        <is>
          <t>Slovan Bratislava</t>
        </is>
      </c>
      <c r="AS237" s="24" t="inlineStr">
        <is>
          <t>Paris Saint-Germain</t>
        </is>
      </c>
      <c r="AT237" s="24" t="inlineStr">
        <is>
          <t>Paris Saint-Germain</t>
        </is>
      </c>
      <c r="AU237" s="24" t="inlineStr">
        <is>
          <t>Paris Saint-Germain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9c072f5f9cf71a972f86e4222ffca6b72422789e9356ec3b1e371da1132584dd</t>
        </is>
      </c>
      <c r="BB237" s="24" t="inlineStr">
        <is>
          <t>poisson_dixon_coles</t>
        </is>
      </c>
      <c r="BC237" s="24" t="inlineStr">
        <is>
          <t>soccer-poisson-dc-v1</t>
        </is>
      </c>
      <c r="BD237" s="24" t="inlineStr">
        <is>
          <t>9c072f5f9cf71a972f86e4222ffca6b72422789e9356ec3b1e371da1132584dd</t>
        </is>
      </c>
      <c r="BE237" s="24" t="inlineStr">
        <is>
          <t>soccer-poisson-dc-v1</t>
        </is>
      </c>
      <c r="BF237" s="24" t="inlineStr">
        <is>
          <t>1</t>
        </is>
      </c>
      <c r="BG237" s="24" t="inlineStr">
        <is>
          <t>9c072f5f9cf71a972f86e4222ffca6b72422789e9356ec3b1e371da1132584dd</t>
        </is>
      </c>
      <c r="BH237" s="24" t="inlineStr">
        <is>
          <t>2026-09-09T16:03:08.435070Z</t>
        </is>
      </c>
      <c r="BI237" s="24" t="inlineStr">
        <is>
          <t>["same_event","same_team_same_day","same_league_same_day"]</t>
        </is>
      </c>
      <c r="BJ237" s="25" t="n"/>
      <c r="BK237" s="26" t="n">
        <v>-1900</v>
      </c>
      <c r="BL237" s="27" t="n">
        <v>1.052632</v>
      </c>
      <c r="BM237" s="28" t="n">
        <v>0.95</v>
      </c>
      <c r="BN237" s="28" t="n"/>
      <c r="BO237" s="28" t="n"/>
      <c r="BP237" s="25" t="n"/>
      <c r="BQ237" s="27" t="n">
        <v>1.052632</v>
      </c>
      <c r="BR237" s="28" t="n">
        <v>0.95</v>
      </c>
      <c r="BS237" s="28" t="n"/>
      <c r="BT237" s="28" t="n"/>
      <c r="BU237" s="25" t="n"/>
      <c r="BV237" s="29" t="n"/>
      <c r="BW237" s="24" t="n"/>
      <c r="BX237" s="30" t="n">
        <v>1</v>
      </c>
      <c r="BY237" s="27" t="n">
        <v>0.052632</v>
      </c>
      <c r="BZ237" s="24" t="inlineStr">
        <is>
          <t>2026-09-09T22:00:53.820420Z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0.95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fecbc1df3b484434</t>
        </is>
      </c>
      <c r="B238" s="24" t="inlineStr">
        <is>
          <t>2026-09-09T16:03:55.669858Z</t>
        </is>
      </c>
      <c r="C238" s="24" t="inlineStr">
        <is>
          <t>2026-09-09T19:00Z</t>
        </is>
      </c>
      <c r="D238" s="24" t="inlineStr">
        <is>
          <t>401915447</t>
        </is>
      </c>
      <c r="E238" s="24" t="inlineStr">
        <is>
          <t>SOCCER</t>
        </is>
      </c>
      <c r="F238" s="24" t="inlineStr">
        <is>
          <t>Galatasaray</t>
        </is>
      </c>
      <c r="G238" s="24" t="inlineStr">
        <is>
          <t>Sporting CP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-138</v>
      </c>
      <c r="M238" s="27" t="n">
        <v>1.724638</v>
      </c>
      <c r="N238" s="28" t="n">
        <v>0.579832</v>
      </c>
      <c r="O238" s="28" t="n">
        <v>0.546042</v>
      </c>
      <c r="P238" s="28" t="n">
        <v>0.08</v>
      </c>
      <c r="Q238" s="28" t="n">
        <v>-0.03379</v>
      </c>
      <c r="R238" s="26" t="n">
        <v>0</v>
      </c>
      <c r="S238" s="29" t="n">
        <v>1</v>
      </c>
      <c r="T238" s="24" t="inlineStr">
        <is>
          <t>soccer-poisson-dc-v1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3</v>
      </c>
      <c r="Y238" s="25" t="n"/>
      <c r="Z238" s="26" t="n">
        <v>-138</v>
      </c>
      <c r="AA238" s="28" t="n">
        <v>0.58</v>
      </c>
      <c r="AB238" s="28" t="n">
        <v>0.000168</v>
      </c>
      <c r="AC238" s="30" t="n">
        <v>0.7246</v>
      </c>
      <c r="AD238" s="24" t="inlineStr">
        <is>
          <t>2026-09-09T22:00:56.135327Z</t>
        </is>
      </c>
      <c r="AE238" s="31" t="inlineStr">
        <is>
          <t>Poisson-DC rates 1.88 (home) / 1.10 (away) from EWMA attack/defense strengths. Executable ask 0.5800 (atc-ucl-spo-gal-2026-09-09-spo).</t>
        </is>
      </c>
      <c r="AF238" s="31" t="inlineStr">
        <is>
          <t>Research-only soccer score model; draw-aware, but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Galatasaray</t>
        </is>
      </c>
      <c r="AQ238" s="24" t="inlineStr">
        <is>
          <t>Galatasaray</t>
        </is>
      </c>
      <c r="AR238" s="24" t="inlineStr">
        <is>
          <t>Galatasaray</t>
        </is>
      </c>
      <c r="AS238" s="24" t="inlineStr">
        <is>
          <t>Sporting CP</t>
        </is>
      </c>
      <c r="AT238" s="24" t="inlineStr">
        <is>
          <t>Sporting CP</t>
        </is>
      </c>
      <c r="AU238" s="24" t="inlineStr">
        <is>
          <t>Sporting CP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9c072f5f9cf71a972f86e4222ffca6b72422789e9356ec3b1e371da1132584dd</t>
        </is>
      </c>
      <c r="BB238" s="24" t="inlineStr">
        <is>
          <t>poisson_dixon_coles</t>
        </is>
      </c>
      <c r="BC238" s="24" t="inlineStr">
        <is>
          <t>soccer-poisson-dc-v1</t>
        </is>
      </c>
      <c r="BD238" s="24" t="inlineStr">
        <is>
          <t>9c072f5f9cf71a972f86e4222ffca6b72422789e9356ec3b1e371da1132584dd</t>
        </is>
      </c>
      <c r="BE238" s="24" t="inlineStr">
        <is>
          <t>soccer-poisson-dc-v1</t>
        </is>
      </c>
      <c r="BF238" s="24" t="inlineStr">
        <is>
          <t>1</t>
        </is>
      </c>
      <c r="BG238" s="24" t="inlineStr">
        <is>
          <t>9c072f5f9cf71a972f86e4222ffca6b72422789e9356ec3b1e371da1132584dd</t>
        </is>
      </c>
      <c r="BH238" s="24" t="inlineStr">
        <is>
          <t>2026-09-09T16:03:08.517325Z</t>
        </is>
      </c>
      <c r="BI238" s="24" t="inlineStr">
        <is>
          <t>["same_event","same_team_same_day","same_league_same_day"]</t>
        </is>
      </c>
      <c r="BJ238" s="25" t="n"/>
      <c r="BK238" s="26" t="n">
        <v>-138</v>
      </c>
      <c r="BL238" s="27" t="n">
        <v>1.724638</v>
      </c>
      <c r="BM238" s="28" t="n">
        <v>0.579832</v>
      </c>
      <c r="BN238" s="28" t="n"/>
      <c r="BO238" s="28" t="n"/>
      <c r="BP238" s="25" t="n"/>
      <c r="BQ238" s="27" t="n">
        <v>1.724638</v>
      </c>
      <c r="BR238" s="28" t="n">
        <v>0.58</v>
      </c>
      <c r="BS238" s="28" t="n"/>
      <c r="BT238" s="28" t="n"/>
      <c r="BU238" s="25" t="n"/>
      <c r="BV238" s="29" t="n"/>
      <c r="BW238" s="24" t="n"/>
      <c r="BX238" s="30" t="n">
        <v>1</v>
      </c>
      <c r="BY238" s="27" t="n">
        <v>0.724637</v>
      </c>
      <c r="BZ238" s="24" t="inlineStr">
        <is>
          <t>2026-09-09T22:00:56.135327Z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0.579832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8f8a675d54e14557</t>
        </is>
      </c>
      <c r="B239" s="24" t="inlineStr">
        <is>
          <t>2026-09-09T16:03:55.669858Z</t>
        </is>
      </c>
      <c r="C239" s="24" t="inlineStr">
        <is>
          <t>2026-09-09T18:30Z</t>
        </is>
      </c>
      <c r="D239" s="24" t="inlineStr">
        <is>
          <t>401843983</t>
        </is>
      </c>
      <c r="E239" s="24" t="inlineStr">
        <is>
          <t>SOCCER</t>
        </is>
      </c>
      <c r="F239" s="24" t="inlineStr">
        <is>
          <t>Los Andes</t>
        </is>
      </c>
      <c r="G239" s="24" t="inlineStr">
        <is>
          <t>Defensores de Belgrano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150</v>
      </c>
      <c r="M239" s="27" t="n">
        <v>2.5</v>
      </c>
      <c r="N239" s="28" t="n">
        <v>0.4</v>
      </c>
      <c r="O239" s="28" t="n">
        <v>0.456135</v>
      </c>
      <c r="P239" s="28" t="n">
        <v>0.2</v>
      </c>
      <c r="Q239" s="28" t="n">
        <v>0.056135</v>
      </c>
      <c r="R239" s="26" t="n">
        <v>0</v>
      </c>
      <c r="S239" s="29" t="n">
        <v>1</v>
      </c>
      <c r="T239" s="24" t="inlineStr">
        <is>
          <t>soccer-poisson-dc-v1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1</v>
      </c>
      <c r="Y239" s="25" t="n"/>
      <c r="Z239" s="26" t="n">
        <v>150</v>
      </c>
      <c r="AA239" s="28" t="n">
        <v>0.4</v>
      </c>
      <c r="AB239" s="28" t="n">
        <v>0</v>
      </c>
      <c r="AC239" s="30" t="n">
        <v>-1</v>
      </c>
      <c r="AD239" s="24" t="inlineStr">
        <is>
          <t>2026-09-09T22:00:58.830784Z</t>
        </is>
      </c>
      <c r="AE239" s="31" t="inlineStr">
        <is>
          <t>Poisson-DC rates 1.64 (home) / 1.24 (away) from EWMA attack/defense strengths. Executable ask 0.4000 (atc-arg2-ddb-ala-2026-09-09-ddb).</t>
        </is>
      </c>
      <c r="AF239" s="31" t="inlineStr">
        <is>
          <t>Research-only soccer score model; draw-aware, but not yet locked-holdout qualified.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PAPER_CALL_MODEL_UNVALIDATED</t>
        </is>
      </c>
      <c r="AP239" s="24" t="inlineStr">
        <is>
          <t>Los Andes</t>
        </is>
      </c>
      <c r="AQ239" s="24" t="inlineStr">
        <is>
          <t>Los Andes</t>
        </is>
      </c>
      <c r="AR239" s="24" t="inlineStr">
        <is>
          <t>Los Andes</t>
        </is>
      </c>
      <c r="AS239" s="24" t="inlineStr">
        <is>
          <t>Defensores de Belgrano</t>
        </is>
      </c>
      <c r="AT239" s="24" t="inlineStr">
        <is>
          <t>Defensores de Belgrano</t>
        </is>
      </c>
      <c r="AU239" s="24" t="inlineStr">
        <is>
          <t>Defensores de Belgrano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9c072f5f9cf71a972f86e4222ffca6b72422789e9356ec3b1e371da1132584dd</t>
        </is>
      </c>
      <c r="BB239" s="24" t="inlineStr">
        <is>
          <t>poisson_dixon_coles</t>
        </is>
      </c>
      <c r="BC239" s="24" t="inlineStr">
        <is>
          <t>soccer-poisson-dc-v1</t>
        </is>
      </c>
      <c r="BD239" s="24" t="inlineStr">
        <is>
          <t>9c072f5f9cf71a972f86e4222ffca6b72422789e9356ec3b1e371da1132584dd</t>
        </is>
      </c>
      <c r="BE239" s="24" t="inlineStr">
        <is>
          <t>soccer-poisson-dc-v1</t>
        </is>
      </c>
      <c r="BF239" s="24" t="inlineStr">
        <is>
          <t>1</t>
        </is>
      </c>
      <c r="BG239" s="24" t="inlineStr">
        <is>
          <t>9c072f5f9cf71a972f86e4222ffca6b72422789e9356ec3b1e371da1132584dd</t>
        </is>
      </c>
      <c r="BH239" s="24" t="inlineStr">
        <is>
          <t>2026-09-09T16:03:10.119255Z</t>
        </is>
      </c>
      <c r="BI239" s="24" t="inlineStr">
        <is>
          <t>["same_event","same_team_same_day","same_league_same_day"]</t>
        </is>
      </c>
      <c r="BJ239" s="25" t="n"/>
      <c r="BK239" s="26" t="n">
        <v>150</v>
      </c>
      <c r="BL239" s="27" t="n">
        <v>2.5</v>
      </c>
      <c r="BM239" s="28" t="n">
        <v>0.4</v>
      </c>
      <c r="BN239" s="28" t="n"/>
      <c r="BO239" s="28" t="n"/>
      <c r="BP239" s="25" t="n"/>
      <c r="BQ239" s="27" t="n">
        <v>2.5</v>
      </c>
      <c r="BR239" s="28" t="n">
        <v>0.4</v>
      </c>
      <c r="BS239" s="28" t="n"/>
      <c r="BT239" s="28" t="n"/>
      <c r="BU239" s="25" t="n"/>
      <c r="BV239" s="29" t="n"/>
      <c r="BW239" s="24" t="n"/>
      <c r="BX239" s="30" t="n">
        <v>1</v>
      </c>
      <c r="BY239" s="27" t="n">
        <v>-1</v>
      </c>
      <c r="BZ239" s="24" t="inlineStr">
        <is>
          <t>2026-09-09T22:00:58.830784Z</t>
        </is>
      </c>
      <c r="CA239" s="31" t="inlineStr">
        <is>
          <t>fixed one-unit hypothetical scoring; no real exposure or execution</t>
        </is>
      </c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0.4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586b63159b3645ea</t>
        </is>
      </c>
      <c r="B240" s="24" t="inlineStr">
        <is>
          <t>2026-09-09T22:06:21.332951Z</t>
        </is>
      </c>
      <c r="C240" s="24" t="inlineStr">
        <is>
          <t>2026-09-09T23:30Z</t>
        </is>
      </c>
      <c r="D240" s="24" t="inlineStr">
        <is>
          <t>761787</t>
        </is>
      </c>
      <c r="E240" s="24" t="inlineStr">
        <is>
          <t>SOCCER</t>
        </is>
      </c>
      <c r="F240" s="24" t="inlineStr">
        <is>
          <t>Orlando City SC</t>
        </is>
      </c>
      <c r="G240" s="24" t="inlineStr">
        <is>
          <t>Atlanta United FC</t>
        </is>
      </c>
      <c r="H240" s="24" t="inlineStr">
        <is>
          <t>total</t>
        </is>
      </c>
      <c r="I240" s="24" t="inlineStr">
        <is>
          <t>over</t>
        </is>
      </c>
      <c r="J240" s="25" t="n">
        <v>2.5</v>
      </c>
      <c r="K240" s="24" t="inlineStr">
        <is>
          <t>polymarket_us</t>
        </is>
      </c>
      <c r="L240" s="26" t="n">
        <v>-213</v>
      </c>
      <c r="M240" s="27" t="n">
        <v>1.469484</v>
      </c>
      <c r="N240" s="28" t="n">
        <v>0.680511</v>
      </c>
      <c r="O240" s="28" t="n">
        <v>0.656058</v>
      </c>
      <c r="P240" s="28" t="n">
        <v>0.04</v>
      </c>
      <c r="Q240" s="28" t="n">
        <v>-0.024453</v>
      </c>
      <c r="R240" s="26" t="n">
        <v>14</v>
      </c>
      <c r="S240" s="29" t="n">
        <v>1</v>
      </c>
      <c r="T240" s="24" t="inlineStr">
        <is>
          <t>soccer-poisson-dc-v1</t>
        </is>
      </c>
      <c r="U240" s="24" t="inlineStr">
        <is>
          <t>settled</t>
        </is>
      </c>
      <c r="V240" s="24" t="inlineStr">
        <is>
          <t>win</t>
        </is>
      </c>
      <c r="W240" s="26" t="n">
        <v>3</v>
      </c>
      <c r="X240" s="26" t="n">
        <v>2</v>
      </c>
      <c r="Y240" s="25" t="n"/>
      <c r="Z240" s="26" t="n">
        <v>-213</v>
      </c>
      <c r="AA240" s="28" t="n">
        <v>0.68</v>
      </c>
      <c r="AB240" s="28" t="n">
        <v>-0.000511</v>
      </c>
      <c r="AC240" s="30" t="n">
        <v>0.4695</v>
      </c>
      <c r="AD240" s="24" t="inlineStr">
        <is>
          <t>2026-09-10T04:31:12.192832Z</t>
        </is>
      </c>
      <c r="AE240" s="31" t="inlineStr">
        <is>
          <t>Poisson-DC rates 1.82 (home) / 1.55 (away) from EWMA attack/defense strengths. Executable ask 0.6800 (tsc-mls-atl-orl-2026-09-09-2pt5).</t>
        </is>
      </c>
      <c r="AF240" s="31" t="inlineStr">
        <is>
          <t>Research-only soccer score model; draw-aware, but not yet locked-holdout qualified.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Orlando City SC</t>
        </is>
      </c>
      <c r="AQ240" s="24" t="inlineStr">
        <is>
          <t>Orlando City SC</t>
        </is>
      </c>
      <c r="AR240" s="24" t="inlineStr">
        <is>
          <t>Orlando City SC</t>
        </is>
      </c>
      <c r="AS240" s="24" t="inlineStr">
        <is>
          <t>Atlanta United FC</t>
        </is>
      </c>
      <c r="AT240" s="24" t="inlineStr">
        <is>
          <t>Atlanta United FC</t>
        </is>
      </c>
      <c r="AU240" s="24" t="inlineStr">
        <is>
          <t>Atlanta United FC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9c072f5f9cf71a972f86e4222ffca6b72422789e9356ec3b1e371da1132584dd</t>
        </is>
      </c>
      <c r="BB240" s="24" t="inlineStr">
        <is>
          <t>poisson_dixon_coles</t>
        </is>
      </c>
      <c r="BC240" s="24" t="inlineStr">
        <is>
          <t>soccer-poisson-dc-v1</t>
        </is>
      </c>
      <c r="BD240" s="24" t="inlineStr">
        <is>
          <t>9c072f5f9cf71a972f86e4222ffca6b72422789e9356ec3b1e371da1132584dd</t>
        </is>
      </c>
      <c r="BE240" s="24" t="inlineStr">
        <is>
          <t>soccer-poisson-dc-v1</t>
        </is>
      </c>
      <c r="BF240" s="24" t="inlineStr">
        <is>
          <t>1</t>
        </is>
      </c>
      <c r="BG240" s="24" t="inlineStr">
        <is>
          <t>9c072f5f9cf71a972f86e4222ffca6b72422789e9356ec3b1e371da1132584dd</t>
        </is>
      </c>
      <c r="BH240" s="24" t="inlineStr">
        <is>
          <t>2026-09-09T22:05:10.066204Z</t>
        </is>
      </c>
      <c r="BI240" s="24" t="inlineStr">
        <is>
          <t>["same_event","same_team_same_day","same_league_same_day"]</t>
        </is>
      </c>
      <c r="BJ240" s="25" t="n">
        <v>2.5</v>
      </c>
      <c r="BK240" s="26" t="n">
        <v>-213</v>
      </c>
      <c r="BL240" s="27" t="n">
        <v>1.469484</v>
      </c>
      <c r="BM240" s="28" t="n">
        <v>0.680511</v>
      </c>
      <c r="BN240" s="28" t="n"/>
      <c r="BO240" s="28" t="n"/>
      <c r="BP240" s="25" t="n"/>
      <c r="BQ240" s="27" t="n">
        <v>1.469484</v>
      </c>
      <c r="BR240" s="28" t="n">
        <v>0.68</v>
      </c>
      <c r="BS240" s="28" t="n"/>
      <c r="BT240" s="28" t="n"/>
      <c r="BU240" s="25" t="n"/>
      <c r="BV240" s="29" t="n"/>
      <c r="BW240" s="24" t="n"/>
      <c r="BX240" s="30" t="n">
        <v>1</v>
      </c>
      <c r="BY240" s="27" t="n">
        <v>0.469484</v>
      </c>
      <c r="BZ240" s="24" t="inlineStr">
        <is>
          <t>2026-09-10T04:31:12.192832Z</t>
        </is>
      </c>
      <c r="CA240" s="31" t="inlineStr">
        <is>
          <t>fixed one-unit hypothetical scoring; no real exposure or execution</t>
        </is>
      </c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0.680511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15201decbabd4aac</t>
        </is>
      </c>
      <c r="B241" s="24" t="inlineStr">
        <is>
          <t>2026-09-09T22:06:21.332951Z</t>
        </is>
      </c>
      <c r="C241" s="24" t="inlineStr">
        <is>
          <t>2026-09-09T23:30Z</t>
        </is>
      </c>
      <c r="D241" s="24" t="inlineStr">
        <is>
          <t>761789</t>
        </is>
      </c>
      <c r="E241" s="24" t="inlineStr">
        <is>
          <t>SOCCER</t>
        </is>
      </c>
      <c r="F241" s="24" t="inlineStr">
        <is>
          <t>Columbus Crew</t>
        </is>
      </c>
      <c r="G241" s="24" t="inlineStr">
        <is>
          <t>D.C. United</t>
        </is>
      </c>
      <c r="H241" s="24" t="inlineStr">
        <is>
          <t>total</t>
        </is>
      </c>
      <c r="I241" s="24" t="inlineStr">
        <is>
          <t>over</t>
        </is>
      </c>
      <c r="J241" s="25" t="n">
        <v>2.5</v>
      </c>
      <c r="K241" s="24" t="inlineStr">
        <is>
          <t>polymarket_us</t>
        </is>
      </c>
      <c r="L241" s="26" t="n">
        <v>-138</v>
      </c>
      <c r="M241" s="27" t="n">
        <v>1.724638</v>
      </c>
      <c r="N241" s="28" t="n">
        <v>0.579832</v>
      </c>
      <c r="O241" s="28" t="n">
        <v>0.606079</v>
      </c>
      <c r="P241" s="28" t="n">
        <v>0.04</v>
      </c>
      <c r="Q241" s="28" t="n">
        <v>0.026247</v>
      </c>
      <c r="R241" s="26" t="n">
        <v>39</v>
      </c>
      <c r="S241" s="29" t="n">
        <v>1</v>
      </c>
      <c r="T241" s="24" t="inlineStr">
        <is>
          <t>soccer-poisson-dc-v1</t>
        </is>
      </c>
      <c r="U241" s="24" t="inlineStr">
        <is>
          <t>settled</t>
        </is>
      </c>
      <c r="V241" s="24" t="inlineStr">
        <is>
          <t>win</t>
        </is>
      </c>
      <c r="W241" s="26" t="n">
        <v>1</v>
      </c>
      <c r="X241" s="26" t="n">
        <v>2</v>
      </c>
      <c r="Y241" s="25" t="n"/>
      <c r="Z241" s="26" t="n">
        <v>-138</v>
      </c>
      <c r="AA241" s="28" t="n">
        <v>0.58</v>
      </c>
      <c r="AB241" s="28" t="n">
        <v>0.000168</v>
      </c>
      <c r="AC241" s="30" t="n">
        <v>0.7246</v>
      </c>
      <c r="AD241" s="24" t="inlineStr">
        <is>
          <t>2026-09-10T04:31:13.637435Z</t>
        </is>
      </c>
      <c r="AE241" s="31" t="inlineStr">
        <is>
          <t>Poisson-DC rates 1.55 (home) / 1.58 (away) from EWMA attack/defense strengths. Executable ask 0.5800 (tsc-mls-dcu-clb-2026-09-09-2pt5).</t>
        </is>
      </c>
      <c r="AF241" s="31" t="inlineStr">
        <is>
          <t>Research-only soccer score model; draw-aware, but not yet locked-holdout qualified.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Columbus Crew</t>
        </is>
      </c>
      <c r="AQ241" s="24" t="inlineStr">
        <is>
          <t>Columbus Crew</t>
        </is>
      </c>
      <c r="AR241" s="24" t="inlineStr">
        <is>
          <t>Columbus Crew</t>
        </is>
      </c>
      <c r="AS241" s="24" t="inlineStr">
        <is>
          <t>D.C. United</t>
        </is>
      </c>
      <c r="AT241" s="24" t="inlineStr">
        <is>
          <t>D.C. United</t>
        </is>
      </c>
      <c r="AU241" s="24" t="inlineStr">
        <is>
          <t>D.C. United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9c072f5f9cf71a972f86e4222ffca6b72422789e9356ec3b1e371da1132584dd</t>
        </is>
      </c>
      <c r="BB241" s="24" t="inlineStr">
        <is>
          <t>poisson_dixon_coles</t>
        </is>
      </c>
      <c r="BC241" s="24" t="inlineStr">
        <is>
          <t>soccer-poisson-dc-v1</t>
        </is>
      </c>
      <c r="BD241" s="24" t="inlineStr">
        <is>
          <t>9c072f5f9cf71a972f86e4222ffca6b72422789e9356ec3b1e371da1132584dd</t>
        </is>
      </c>
      <c r="BE241" s="24" t="inlineStr">
        <is>
          <t>soccer-poisson-dc-v1</t>
        </is>
      </c>
      <c r="BF241" s="24" t="inlineStr">
        <is>
          <t>1</t>
        </is>
      </c>
      <c r="BG241" s="24" t="inlineStr">
        <is>
          <t>9c072f5f9cf71a972f86e4222ffca6b72422789e9356ec3b1e371da1132584dd</t>
        </is>
      </c>
      <c r="BH241" s="24" t="inlineStr">
        <is>
          <t>2026-09-09T22:05:10.023412Z</t>
        </is>
      </c>
      <c r="BI241" s="24" t="inlineStr">
        <is>
          <t>["same_event","same_team_same_day","same_league_same_day"]</t>
        </is>
      </c>
      <c r="BJ241" s="25" t="n">
        <v>2.5</v>
      </c>
      <c r="BK241" s="26" t="n">
        <v>-138</v>
      </c>
      <c r="BL241" s="27" t="n">
        <v>1.724638</v>
      </c>
      <c r="BM241" s="28" t="n">
        <v>0.579832</v>
      </c>
      <c r="BN241" s="28" t="n"/>
      <c r="BO241" s="28" t="n"/>
      <c r="BP241" s="25" t="n"/>
      <c r="BQ241" s="27" t="n">
        <v>1.724638</v>
      </c>
      <c r="BR241" s="28" t="n">
        <v>0.58</v>
      </c>
      <c r="BS241" s="28" t="n"/>
      <c r="BT241" s="28" t="n"/>
      <c r="BU241" s="25" t="n"/>
      <c r="BV241" s="29" t="n"/>
      <c r="BW241" s="24" t="n"/>
      <c r="BX241" s="30" t="n">
        <v>1</v>
      </c>
      <c r="BY241" s="27" t="n">
        <v>0.724637</v>
      </c>
      <c r="BZ241" s="24" t="inlineStr">
        <is>
          <t>2026-09-10T04:31:13.637435Z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0.579832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823de987226f499d</t>
        </is>
      </c>
      <c r="B242" s="24" t="inlineStr">
        <is>
          <t>2026-09-09T22:06:21.332951Z</t>
        </is>
      </c>
      <c r="C242" s="24" t="inlineStr">
        <is>
          <t>2026-09-09T23:30Z</t>
        </is>
      </c>
      <c r="D242" s="24" t="inlineStr">
        <is>
          <t>761790</t>
        </is>
      </c>
      <c r="E242" s="24" t="inlineStr">
        <is>
          <t>SOCCER</t>
        </is>
      </c>
      <c r="F242" s="24" t="inlineStr">
        <is>
          <t>Nashville SC</t>
        </is>
      </c>
      <c r="G242" s="24" t="inlineStr">
        <is>
          <t>Toronto FC</t>
        </is>
      </c>
      <c r="H242" s="24" t="inlineStr">
        <is>
          <t>total</t>
        </is>
      </c>
      <c r="I242" s="24" t="inlineStr">
        <is>
          <t>over</t>
        </is>
      </c>
      <c r="J242" s="25" t="n">
        <v>2.5</v>
      </c>
      <c r="K242" s="24" t="inlineStr">
        <is>
          <t>polymarket_us</t>
        </is>
      </c>
      <c r="L242" s="26" t="n">
        <v>-133</v>
      </c>
      <c r="M242" s="27" t="n">
        <v>1.75188</v>
      </c>
      <c r="N242" s="28" t="n">
        <v>0.570815</v>
      </c>
      <c r="O242" s="28" t="n">
        <v>0.564385</v>
      </c>
      <c r="P242" s="28" t="n">
        <v>0.04</v>
      </c>
      <c r="Q242" s="28" t="n">
        <v>-0.00643</v>
      </c>
      <c r="R242" s="26" t="n">
        <v>23</v>
      </c>
      <c r="S242" s="29" t="n">
        <v>1</v>
      </c>
      <c r="T242" s="24" t="inlineStr">
        <is>
          <t>soccer-poisson-dc-v1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2</v>
      </c>
      <c r="Y242" s="25" t="n"/>
      <c r="Z242" s="26" t="n">
        <v>-133</v>
      </c>
      <c r="AA242" s="28" t="n">
        <v>0.57</v>
      </c>
      <c r="AB242" s="28" t="n">
        <v>-0.000815</v>
      </c>
      <c r="AC242" s="30" t="n">
        <v>0.7519</v>
      </c>
      <c r="AD242" s="24" t="inlineStr">
        <is>
          <t>2026-09-10T04:31:14.990924Z</t>
        </is>
      </c>
      <c r="AE242" s="31" t="inlineStr">
        <is>
          <t>Poisson-DC rates 1.16 (home) / 1.79 (away) from EWMA attack/defense strengths. Executable ask 0.5700 (tsc-mls-tor-nas-2026-09-09-2pt5).</t>
        </is>
      </c>
      <c r="AF242" s="31" t="inlineStr">
        <is>
          <t>Research-only soccer score model; draw-aware, but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PAPER_CALL_LOW_EDGE</t>
        </is>
      </c>
      <c r="AP242" s="24" t="inlineStr">
        <is>
          <t>Nashville SC</t>
        </is>
      </c>
      <c r="AQ242" s="24" t="inlineStr">
        <is>
          <t>Nashville SC</t>
        </is>
      </c>
      <c r="AR242" s="24" t="inlineStr">
        <is>
          <t>Nashville SC</t>
        </is>
      </c>
      <c r="AS242" s="24" t="inlineStr">
        <is>
          <t>Toronto FC</t>
        </is>
      </c>
      <c r="AT242" s="24" t="inlineStr">
        <is>
          <t>Toronto FC</t>
        </is>
      </c>
      <c r="AU242" s="24" t="inlineStr">
        <is>
          <t>Toronto FC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9c072f5f9cf71a972f86e4222ffca6b72422789e9356ec3b1e371da1132584dd</t>
        </is>
      </c>
      <c r="BB242" s="24" t="inlineStr">
        <is>
          <t>poisson_dixon_coles</t>
        </is>
      </c>
      <c r="BC242" s="24" t="inlineStr">
        <is>
          <t>soccer-poisson-dc-v1</t>
        </is>
      </c>
      <c r="BD242" s="24" t="inlineStr">
        <is>
          <t>9c072f5f9cf71a972f86e4222ffca6b72422789e9356ec3b1e371da1132584dd</t>
        </is>
      </c>
      <c r="BE242" s="24" t="inlineStr">
        <is>
          <t>soccer-poisson-dc-v1</t>
        </is>
      </c>
      <c r="BF242" s="24" t="inlineStr">
        <is>
          <t>1</t>
        </is>
      </c>
      <c r="BG242" s="24" t="inlineStr">
        <is>
          <t>9c072f5f9cf71a972f86e4222ffca6b72422789e9356ec3b1e371da1132584dd</t>
        </is>
      </c>
      <c r="BH242" s="24" t="inlineStr">
        <is>
          <t>2026-09-09T22:05:10.203965Z</t>
        </is>
      </c>
      <c r="BI242" s="24" t="inlineStr">
        <is>
          <t>["same_event","same_team_same_day","same_league_same_day"]</t>
        </is>
      </c>
      <c r="BJ242" s="25" t="n">
        <v>2.5</v>
      </c>
      <c r="BK242" s="26" t="n">
        <v>-133</v>
      </c>
      <c r="BL242" s="27" t="n">
        <v>1.75188</v>
      </c>
      <c r="BM242" s="28" t="n">
        <v>0.570815</v>
      </c>
      <c r="BN242" s="28" t="n"/>
      <c r="BO242" s="28" t="n"/>
      <c r="BP242" s="25" t="n"/>
      <c r="BQ242" s="27" t="n">
        <v>1.75188</v>
      </c>
      <c r="BR242" s="28" t="n">
        <v>0.57</v>
      </c>
      <c r="BS242" s="28" t="n"/>
      <c r="BT242" s="28" t="n"/>
      <c r="BU242" s="25" t="n"/>
      <c r="BV242" s="29" t="n"/>
      <c r="BW242" s="24" t="n"/>
      <c r="BX242" s="30" t="n">
        <v>1</v>
      </c>
      <c r="BY242" s="27" t="n">
        <v>0.751881</v>
      </c>
      <c r="BZ242" s="24" t="inlineStr">
        <is>
          <t>2026-09-10T04:31:14.990924Z</t>
        </is>
      </c>
      <c r="CA242" s="31" t="inlineStr">
        <is>
          <t>fixed one-unit hypothetical scoring; no real exposure or execution</t>
        </is>
      </c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0.570815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43ee6587cdf34edd</t>
        </is>
      </c>
      <c r="B243" s="24" t="inlineStr">
        <is>
          <t>2026-09-09T22:06:21.332951Z</t>
        </is>
      </c>
      <c r="C243" s="24" t="inlineStr">
        <is>
          <t>2026-09-09T23:45Z</t>
        </is>
      </c>
      <c r="D243" s="24" t="inlineStr">
        <is>
          <t>761786</t>
        </is>
      </c>
      <c r="E243" s="24" t="inlineStr">
        <is>
          <t>SOCCER</t>
        </is>
      </c>
      <c r="F243" s="24" t="inlineStr">
        <is>
          <t>FC Cincinnati</t>
        </is>
      </c>
      <c r="G243" s="24" t="inlineStr">
        <is>
          <t>Philadelphia Union</t>
        </is>
      </c>
      <c r="H243" s="24" t="inlineStr">
        <is>
          <t>total</t>
        </is>
      </c>
      <c r="I243" s="24" t="inlineStr">
        <is>
          <t>over</t>
        </is>
      </c>
      <c r="J243" s="25" t="n">
        <v>2.5</v>
      </c>
      <c r="K243" s="24" t="inlineStr">
        <is>
          <t>polymarket_us</t>
        </is>
      </c>
      <c r="L243" s="26" t="n">
        <v>-285</v>
      </c>
      <c r="M243" s="27" t="n">
        <v>1.350877</v>
      </c>
      <c r="N243" s="28" t="n">
        <v>0.74026</v>
      </c>
      <c r="O243" s="28" t="n">
        <v>0.8213009999999999</v>
      </c>
      <c r="P243" s="28" t="n">
        <v>0.04</v>
      </c>
      <c r="Q243" s="28" t="n">
        <v>0.081041</v>
      </c>
      <c r="R243" s="26" t="n">
        <v>67</v>
      </c>
      <c r="S243" s="29" t="n">
        <v>1.25</v>
      </c>
      <c r="T243" s="24" t="inlineStr">
        <is>
          <t>soccer-poisson-dc-v1</t>
        </is>
      </c>
      <c r="U243" s="24" t="inlineStr">
        <is>
          <t>settled</t>
        </is>
      </c>
      <c r="V243" s="24" t="inlineStr">
        <is>
          <t>win</t>
        </is>
      </c>
      <c r="W243" s="26" t="n">
        <v>0</v>
      </c>
      <c r="X243" s="26" t="n">
        <v>5</v>
      </c>
      <c r="Y243" s="25" t="n"/>
      <c r="Z243" s="26" t="n">
        <v>-285</v>
      </c>
      <c r="AA243" s="28" t="n">
        <v>0.74</v>
      </c>
      <c r="AB243" s="28" t="n">
        <v>-0.00026</v>
      </c>
      <c r="AC243" s="30" t="n">
        <v>0.4386</v>
      </c>
      <c r="AD243" s="24" t="inlineStr">
        <is>
          <t>2026-09-10T04:31:16.293349Z</t>
        </is>
      </c>
      <c r="AE243" s="31" t="inlineStr">
        <is>
          <t>Poisson-DC rates 2.29 (home) / 2.17 (away) from EWMA attack/defense strengths. Executable ask 0.7400 (tsc-mls-phi-fcc-2026-09-09-2pt5).</t>
        </is>
      </c>
      <c r="AF243" s="31" t="inlineStr">
        <is>
          <t>Research-only soccer score model; draw-aware, but not yet locked-holdout qualified.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FC Cincinnati</t>
        </is>
      </c>
      <c r="AQ243" s="24" t="inlineStr">
        <is>
          <t>FC Cincinnati</t>
        </is>
      </c>
      <c r="AR243" s="24" t="inlineStr">
        <is>
          <t>FC Cincinnati</t>
        </is>
      </c>
      <c r="AS243" s="24" t="inlineStr">
        <is>
          <t>Philadelphia Union</t>
        </is>
      </c>
      <c r="AT243" s="24" t="inlineStr">
        <is>
          <t>Philadelphia Union</t>
        </is>
      </c>
      <c r="AU243" s="24" t="inlineStr">
        <is>
          <t>Philadelphia Union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9c072f5f9cf71a972f86e4222ffca6b72422789e9356ec3b1e371da1132584dd</t>
        </is>
      </c>
      <c r="BB243" s="24" t="inlineStr">
        <is>
          <t>poisson_dixon_coles</t>
        </is>
      </c>
      <c r="BC243" s="24" t="inlineStr">
        <is>
          <t>soccer-poisson-dc-v1</t>
        </is>
      </c>
      <c r="BD243" s="24" t="inlineStr">
        <is>
          <t>9c072f5f9cf71a972f86e4222ffca6b72422789e9356ec3b1e371da1132584dd</t>
        </is>
      </c>
      <c r="BE243" s="24" t="inlineStr">
        <is>
          <t>soccer-poisson-dc-v1</t>
        </is>
      </c>
      <c r="BF243" s="24" t="inlineStr">
        <is>
          <t>1</t>
        </is>
      </c>
      <c r="BG243" s="24" t="inlineStr">
        <is>
          <t>9c072f5f9cf71a972f86e4222ffca6b72422789e9356ec3b1e371da1132584dd</t>
        </is>
      </c>
      <c r="BH243" s="24" t="inlineStr">
        <is>
          <t>2026-09-09T22:05:10.300724Z</t>
        </is>
      </c>
      <c r="BI243" s="24" t="inlineStr">
        <is>
          <t>["same_event","same_team_same_day","same_league_same_day"]</t>
        </is>
      </c>
      <c r="BJ243" s="25" t="n">
        <v>2.5</v>
      </c>
      <c r="BK243" s="26" t="n">
        <v>-285</v>
      </c>
      <c r="BL243" s="27" t="n">
        <v>1.350877</v>
      </c>
      <c r="BM243" s="28" t="n">
        <v>0.74026</v>
      </c>
      <c r="BN243" s="28" t="n"/>
      <c r="BO243" s="28" t="n"/>
      <c r="BP243" s="25" t="n"/>
      <c r="BQ243" s="27" t="n">
        <v>1.350877</v>
      </c>
      <c r="BR243" s="28" t="n">
        <v>0.74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0.74026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2ef42bb15b0c40bc</t>
        </is>
      </c>
      <c r="B244" s="24" t="inlineStr">
        <is>
          <t>2026-09-09T22:06:21.332951Z</t>
        </is>
      </c>
      <c r="C244" s="24" t="inlineStr">
        <is>
          <t>2026-09-10T00:00Z</t>
        </is>
      </c>
      <c r="D244" s="24" t="inlineStr">
        <is>
          <t>761788</t>
        </is>
      </c>
      <c r="E244" s="24" t="inlineStr">
        <is>
          <t>SOCCER</t>
        </is>
      </c>
      <c r="F244" s="24" t="inlineStr">
        <is>
          <t>New England Revolution</t>
        </is>
      </c>
      <c r="G244" s="24" t="inlineStr">
        <is>
          <t>New York City FC</t>
        </is>
      </c>
      <c r="H244" s="24" t="inlineStr">
        <is>
          <t>total</t>
        </is>
      </c>
      <c r="I244" s="24" t="inlineStr">
        <is>
          <t>over</t>
        </is>
      </c>
      <c r="J244" s="25" t="n">
        <v>2.5</v>
      </c>
      <c r="K244" s="24" t="inlineStr">
        <is>
          <t>polymarket_us</t>
        </is>
      </c>
      <c r="L244" s="26" t="n">
        <v>-138</v>
      </c>
      <c r="M244" s="27" t="n">
        <v>1.724638</v>
      </c>
      <c r="N244" s="28" t="n">
        <v>0.579832</v>
      </c>
      <c r="O244" s="28" t="n">
        <v>0.514256</v>
      </c>
      <c r="P244" s="28" t="n">
        <v>0.04</v>
      </c>
      <c r="Q244" s="28" t="n">
        <v>-0.065576</v>
      </c>
      <c r="R244" s="26" t="n">
        <v>0</v>
      </c>
      <c r="S244" s="29" t="n">
        <v>1</v>
      </c>
      <c r="T244" s="24" t="inlineStr">
        <is>
          <t>soccer-poisson-dc-v1</t>
        </is>
      </c>
      <c r="U244" s="24" t="inlineStr">
        <is>
          <t>settled</t>
        </is>
      </c>
      <c r="V244" s="24" t="inlineStr">
        <is>
          <t>win</t>
        </is>
      </c>
      <c r="W244" s="26" t="n">
        <v>2</v>
      </c>
      <c r="X244" s="26" t="n">
        <v>1</v>
      </c>
      <c r="Y244" s="25" t="n"/>
      <c r="Z244" s="26" t="n">
        <v>-138</v>
      </c>
      <c r="AA244" s="28" t="n">
        <v>0.58</v>
      </c>
      <c r="AB244" s="28" t="n">
        <v>0.000168</v>
      </c>
      <c r="AC244" s="30" t="n">
        <v>0.7246</v>
      </c>
      <c r="AD244" s="24" t="inlineStr">
        <is>
          <t>2026-09-10T04:31:17.676267Z</t>
        </is>
      </c>
      <c r="AE244" s="31" t="inlineStr">
        <is>
          <t>Poisson-DC rates 1.61 (home) / 1.12 (away) from EWMA attack/defense strengths. Executable ask 0.5800 (tsc-mls-nyc-ner-2026-09-09-2pt5).</t>
        </is>
      </c>
      <c r="AF244" s="31" t="inlineStr">
        <is>
          <t>Research-only soccer score model; draw-aware, but not yet locked-holdout qualified.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New England Revolution</t>
        </is>
      </c>
      <c r="AQ244" s="24" t="inlineStr">
        <is>
          <t>New England Revolution</t>
        </is>
      </c>
      <c r="AR244" s="24" t="inlineStr">
        <is>
          <t>New England Revolution</t>
        </is>
      </c>
      <c r="AS244" s="24" t="inlineStr">
        <is>
          <t>New York City FC</t>
        </is>
      </c>
      <c r="AT244" s="24" t="inlineStr">
        <is>
          <t>New York City FC</t>
        </is>
      </c>
      <c r="AU244" s="24" t="inlineStr">
        <is>
          <t>New York City FC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9c072f5f9cf71a972f86e4222ffca6b72422789e9356ec3b1e371da1132584dd</t>
        </is>
      </c>
      <c r="BB244" s="24" t="inlineStr">
        <is>
          <t>poisson_dixon_coles</t>
        </is>
      </c>
      <c r="BC244" s="24" t="inlineStr">
        <is>
          <t>soccer-poisson-dc-v1</t>
        </is>
      </c>
      <c r="BD244" s="24" t="inlineStr">
        <is>
          <t>9c072f5f9cf71a972f86e4222ffca6b72422789e9356ec3b1e371da1132584dd</t>
        </is>
      </c>
      <c r="BE244" s="24" t="inlineStr">
        <is>
          <t>soccer-poisson-dc-v1</t>
        </is>
      </c>
      <c r="BF244" s="24" t="inlineStr">
        <is>
          <t>1</t>
        </is>
      </c>
      <c r="BG244" s="24" t="inlineStr">
        <is>
          <t>9c072f5f9cf71a972f86e4222ffca6b72422789e9356ec3b1e371da1132584dd</t>
        </is>
      </c>
      <c r="BH244" s="24" t="inlineStr">
        <is>
          <t>2026-09-09T22:05:10.442686Z</t>
        </is>
      </c>
      <c r="BI244" s="24" t="inlineStr">
        <is>
          <t>["same_event","same_team_same_day","same_league_same_day"]</t>
        </is>
      </c>
      <c r="BJ244" s="25" t="n">
        <v>2.5</v>
      </c>
      <c r="BK244" s="26" t="n">
        <v>-138</v>
      </c>
      <c r="BL244" s="27" t="n">
        <v>1.724638</v>
      </c>
      <c r="BM244" s="28" t="n">
        <v>0.579832</v>
      </c>
      <c r="BN244" s="28" t="n"/>
      <c r="BO244" s="28" t="n"/>
      <c r="BP244" s="25" t="n"/>
      <c r="BQ244" s="27" t="n">
        <v>1.724638</v>
      </c>
      <c r="BR244" s="28" t="n">
        <v>0.58</v>
      </c>
      <c r="BS244" s="28" t="n"/>
      <c r="BT244" s="28" t="n"/>
      <c r="BU244" s="25" t="n"/>
      <c r="BV244" s="29" t="n"/>
      <c r="BW244" s="24" t="n"/>
      <c r="BX244" s="30" t="n">
        <v>1</v>
      </c>
      <c r="BY244" s="27" t="n">
        <v>0.724637</v>
      </c>
      <c r="BZ244" s="24" t="inlineStr">
        <is>
          <t>2026-09-10T04:31:17.676267Z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0.579832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7a51df8cb5ee4a89</t>
        </is>
      </c>
      <c r="B245" s="24" t="inlineStr">
        <is>
          <t>2026-09-09T22:06:21.332951Z</t>
        </is>
      </c>
      <c r="C245" s="24" t="inlineStr">
        <is>
          <t>2026-09-10T00:30Z</t>
        </is>
      </c>
      <c r="D245" s="24" t="inlineStr">
        <is>
          <t>761794</t>
        </is>
      </c>
      <c r="E245" s="24" t="inlineStr">
        <is>
          <t>SOCCER</t>
        </is>
      </c>
      <c r="F245" s="24" t="inlineStr">
        <is>
          <t>Colorado Rapids</t>
        </is>
      </c>
      <c r="G245" s="24" t="inlineStr">
        <is>
          <t>Austin FC</t>
        </is>
      </c>
      <c r="H245" s="24" t="inlineStr">
        <is>
          <t>total</t>
        </is>
      </c>
      <c r="I245" s="24" t="inlineStr">
        <is>
          <t>over</t>
        </is>
      </c>
      <c r="J245" s="25" t="n">
        <v>2.5</v>
      </c>
      <c r="K245" s="24" t="inlineStr">
        <is>
          <t>polymarket_us</t>
        </is>
      </c>
      <c r="L245" s="26" t="n">
        <v>-108</v>
      </c>
      <c r="M245" s="27" t="n">
        <v>1.925926</v>
      </c>
      <c r="N245" s="28" t="n">
        <v>0.519231</v>
      </c>
      <c r="O245" s="28" t="n">
        <v>0.606703</v>
      </c>
      <c r="P245" s="28" t="n">
        <v>0.04</v>
      </c>
      <c r="Q245" s="28" t="n">
        <v>0.08747199999999999</v>
      </c>
      <c r="R245" s="26" t="n">
        <v>70</v>
      </c>
      <c r="S245" s="29" t="n">
        <v>1.25</v>
      </c>
      <c r="T245" s="24" t="inlineStr">
        <is>
          <t>soccer-poisson-dc-v1</t>
        </is>
      </c>
      <c r="U245" s="24" t="inlineStr">
        <is>
          <t>settled</t>
        </is>
      </c>
      <c r="V245" s="24" t="inlineStr">
        <is>
          <t>loss</t>
        </is>
      </c>
      <c r="W245" s="26" t="n">
        <v>1</v>
      </c>
      <c r="X245" s="26" t="n">
        <v>1</v>
      </c>
      <c r="Y245" s="25" t="n"/>
      <c r="Z245" s="26" t="n">
        <v>-108</v>
      </c>
      <c r="AA245" s="28" t="n">
        <v>0.52</v>
      </c>
      <c r="AB245" s="28" t="n">
        <v>0.000769</v>
      </c>
      <c r="AC245" s="30" t="n">
        <v>-1.25</v>
      </c>
      <c r="AD245" s="24" t="inlineStr">
        <is>
          <t>2026-09-10T04:31:18.984204Z</t>
        </is>
      </c>
      <c r="AE245" s="31" t="inlineStr">
        <is>
          <t>Poisson-DC rates 1.53 (home) / 1.61 (away) from EWMA attack/defense strengths. Executable ask 0.5200 (tsc-mls-aus-col-2026-09-09-2pt5).</t>
        </is>
      </c>
      <c r="AF245" s="31" t="inlineStr">
        <is>
          <t>Research-only soccer score model; draw-aware, but not yet locked-holdout qualified.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Colorado Rapids</t>
        </is>
      </c>
      <c r="AQ245" s="24" t="inlineStr">
        <is>
          <t>Colorado Rapids</t>
        </is>
      </c>
      <c r="AR245" s="24" t="inlineStr">
        <is>
          <t>Colorado Rapids</t>
        </is>
      </c>
      <c r="AS245" s="24" t="inlineStr">
        <is>
          <t>Austin FC</t>
        </is>
      </c>
      <c r="AT245" s="24" t="inlineStr">
        <is>
          <t>Austin FC</t>
        </is>
      </c>
      <c r="AU245" s="24" t="inlineStr">
        <is>
          <t>Austin FC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9c072f5f9cf71a972f86e4222ffca6b72422789e9356ec3b1e371da1132584dd</t>
        </is>
      </c>
      <c r="BB245" s="24" t="inlineStr">
        <is>
          <t>poisson_dixon_coles</t>
        </is>
      </c>
      <c r="BC245" s="24" t="inlineStr">
        <is>
          <t>soccer-poisson-dc-v1</t>
        </is>
      </c>
      <c r="BD245" s="24" t="inlineStr">
        <is>
          <t>9c072f5f9cf71a972f86e4222ffca6b72422789e9356ec3b1e371da1132584dd</t>
        </is>
      </c>
      <c r="BE245" s="24" t="inlineStr">
        <is>
          <t>soccer-poisson-dc-v1</t>
        </is>
      </c>
      <c r="BF245" s="24" t="inlineStr">
        <is>
          <t>1</t>
        </is>
      </c>
      <c r="BG245" s="24" t="inlineStr">
        <is>
          <t>9c072f5f9cf71a972f86e4222ffca6b72422789e9356ec3b1e371da1132584dd</t>
        </is>
      </c>
      <c r="BH245" s="24" t="inlineStr">
        <is>
          <t>2026-09-09T22:05:10.533914Z</t>
        </is>
      </c>
      <c r="BI245" s="24" t="inlineStr">
        <is>
          <t>["same_event","same_team_same_day","same_league_same_day"]</t>
        </is>
      </c>
      <c r="BJ245" s="25" t="n">
        <v>2.5</v>
      </c>
      <c r="BK245" s="26" t="n">
        <v>-108</v>
      </c>
      <c r="BL245" s="27" t="n">
        <v>1.925926</v>
      </c>
      <c r="BM245" s="28" t="n">
        <v>0.519231</v>
      </c>
      <c r="BN245" s="28" t="n"/>
      <c r="BO245" s="28" t="n"/>
      <c r="BP245" s="25" t="n"/>
      <c r="BQ245" s="27" t="n">
        <v>1.925926</v>
      </c>
      <c r="BR245" s="28" t="n">
        <v>0.52</v>
      </c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2026-09-10T04:31:18.984204Z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0.519231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801455dcc2b44a04</t>
        </is>
      </c>
      <c r="B246" s="24" t="inlineStr">
        <is>
          <t>2026-09-09T22:06:21.332951Z</t>
        </is>
      </c>
      <c r="C246" s="24" t="inlineStr">
        <is>
          <t>2026-09-10T00:30Z</t>
        </is>
      </c>
      <c r="D246" s="24" t="inlineStr">
        <is>
          <t>761792</t>
        </is>
      </c>
      <c r="E246" s="24" t="inlineStr">
        <is>
          <t>SOCCER</t>
        </is>
      </c>
      <c r="F246" s="24" t="inlineStr">
        <is>
          <t>Inter Miami CF</t>
        </is>
      </c>
      <c r="G246" s="24" t="inlineStr">
        <is>
          <t>Chicago Fire FC</t>
        </is>
      </c>
      <c r="H246" s="24" t="inlineStr">
        <is>
          <t>total</t>
        </is>
      </c>
      <c r="I246" s="24" t="inlineStr">
        <is>
          <t>over</t>
        </is>
      </c>
      <c r="J246" s="25" t="n">
        <v>2.5</v>
      </c>
      <c r="K246" s="24" t="inlineStr">
        <is>
          <t>polymarket_us</t>
        </is>
      </c>
      <c r="L246" s="26" t="n">
        <v>-355</v>
      </c>
      <c r="M246" s="27" t="n">
        <v>1.28169</v>
      </c>
      <c r="N246" s="28" t="n">
        <v>0.78022</v>
      </c>
      <c r="O246" s="28" t="n">
        <v>0.850643</v>
      </c>
      <c r="P246" s="28" t="n">
        <v>0.04</v>
      </c>
      <c r="Q246" s="28" t="n">
        <v>0.070423</v>
      </c>
      <c r="R246" s="26" t="n">
        <v>61</v>
      </c>
      <c r="S246" s="29" t="n">
        <v>1.25</v>
      </c>
      <c r="T246" s="24" t="inlineStr">
        <is>
          <t>soccer-poisson-dc-v1</t>
        </is>
      </c>
      <c r="U246" s="24" t="inlineStr">
        <is>
          <t>settled</t>
        </is>
      </c>
      <c r="V246" s="24" t="inlineStr">
        <is>
          <t>loss</t>
        </is>
      </c>
      <c r="W246" s="26" t="n">
        <v>1</v>
      </c>
      <c r="X246" s="26" t="n">
        <v>1</v>
      </c>
      <c r="Y246" s="25" t="n"/>
      <c r="Z246" s="26" t="n">
        <v>-355</v>
      </c>
      <c r="AA246" s="28" t="n">
        <v>0.78</v>
      </c>
      <c r="AB246" s="28" t="n">
        <v>-0.00022</v>
      </c>
      <c r="AC246" s="30" t="n">
        <v>-1.25</v>
      </c>
      <c r="AD246" s="24" t="inlineStr">
        <is>
          <t>2026-09-10T04:31:20.243217Z</t>
        </is>
      </c>
      <c r="AE246" s="31" t="inlineStr">
        <is>
          <t>Poisson-DC rates 2.50 (home) / 2.23 (away) from EWMA attack/defense strengths. Executable ask 0.7800 (tsc-mls-chi-mia-2026-09-09-2pt5).</t>
        </is>
      </c>
      <c r="AF246" s="31" t="inlineStr">
        <is>
          <t>Research-only soccer score model; draw-aware, but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Inter Miami CF</t>
        </is>
      </c>
      <c r="AQ246" s="24" t="inlineStr">
        <is>
          <t>Inter Miami CF</t>
        </is>
      </c>
      <c r="AR246" s="24" t="inlineStr">
        <is>
          <t>Inter Miami CF</t>
        </is>
      </c>
      <c r="AS246" s="24" t="inlineStr">
        <is>
          <t>Chicago Fire FC</t>
        </is>
      </c>
      <c r="AT246" s="24" t="inlineStr">
        <is>
          <t>Chicago Fire FC</t>
        </is>
      </c>
      <c r="AU246" s="24" t="inlineStr">
        <is>
          <t>Chicago Fire FC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9c072f5f9cf71a972f86e4222ffca6b72422789e9356ec3b1e371da1132584dd</t>
        </is>
      </c>
      <c r="BB246" s="24" t="inlineStr">
        <is>
          <t>poisson_dixon_coles</t>
        </is>
      </c>
      <c r="BC246" s="24" t="inlineStr">
        <is>
          <t>soccer-poisson-dc-v1</t>
        </is>
      </c>
      <c r="BD246" s="24" t="inlineStr">
        <is>
          <t>9c072f5f9cf71a972f86e4222ffca6b72422789e9356ec3b1e371da1132584dd</t>
        </is>
      </c>
      <c r="BE246" s="24" t="inlineStr">
        <is>
          <t>soccer-poisson-dc-v1</t>
        </is>
      </c>
      <c r="BF246" s="24" t="inlineStr">
        <is>
          <t>1</t>
        </is>
      </c>
      <c r="BG246" s="24" t="inlineStr">
        <is>
          <t>9c072f5f9cf71a972f86e4222ffca6b72422789e9356ec3b1e371da1132584dd</t>
        </is>
      </c>
      <c r="BH246" s="24" t="inlineStr">
        <is>
          <t>2026-09-09T22:05:10.824176Z</t>
        </is>
      </c>
      <c r="BI246" s="24" t="inlineStr">
        <is>
          <t>["same_event","same_team_same_day","same_league_same_day"]</t>
        </is>
      </c>
      <c r="BJ246" s="25" t="n">
        <v>2.5</v>
      </c>
      <c r="BK246" s="26" t="n">
        <v>-355</v>
      </c>
      <c r="BL246" s="27" t="n">
        <v>1.28169</v>
      </c>
      <c r="BM246" s="28" t="n">
        <v>0.78022</v>
      </c>
      <c r="BN246" s="28" t="n"/>
      <c r="BO246" s="28" t="n"/>
      <c r="BP246" s="25" t="n"/>
      <c r="BQ246" s="27" t="n">
        <v>1.28169</v>
      </c>
      <c r="BR246" s="28" t="n">
        <v>0.78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0.78022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e4669810b2ec4767</t>
        </is>
      </c>
      <c r="B247" s="24" t="inlineStr">
        <is>
          <t>2026-09-09T22:06:21.332951Z</t>
        </is>
      </c>
      <c r="C247" s="24" t="inlineStr">
        <is>
          <t>2026-09-10T00:30Z</t>
        </is>
      </c>
      <c r="D247" s="24" t="inlineStr">
        <is>
          <t>761791</t>
        </is>
      </c>
      <c r="E247" s="24" t="inlineStr">
        <is>
          <t>SOCCER</t>
        </is>
      </c>
      <c r="F247" s="24" t="inlineStr">
        <is>
          <t>Real Salt Lake</t>
        </is>
      </c>
      <c r="G247" s="24" t="inlineStr">
        <is>
          <t>Houston Dynamo FC</t>
        </is>
      </c>
      <c r="H247" s="24" t="inlineStr">
        <is>
          <t>total</t>
        </is>
      </c>
      <c r="I247" s="24" t="inlineStr">
        <is>
          <t>over</t>
        </is>
      </c>
      <c r="J247" s="25" t="n">
        <v>2.5</v>
      </c>
      <c r="K247" s="24" t="inlineStr">
        <is>
          <t>polymarket_us</t>
        </is>
      </c>
      <c r="L247" s="26" t="n">
        <v>-133</v>
      </c>
      <c r="M247" s="27" t="n">
        <v>1.75188</v>
      </c>
      <c r="N247" s="28" t="n">
        <v>0.570815</v>
      </c>
      <c r="O247" s="28" t="n">
        <v>0.5291</v>
      </c>
      <c r="P247" s="28" t="n">
        <v>0.04</v>
      </c>
      <c r="Q247" s="28" t="n">
        <v>-0.041715</v>
      </c>
      <c r="R247" s="26" t="n">
        <v>5</v>
      </c>
      <c r="S247" s="29" t="n">
        <v>1</v>
      </c>
      <c r="T247" s="24" t="inlineStr">
        <is>
          <t>soccer-poisson-dc-v1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2</v>
      </c>
      <c r="Y247" s="25" t="n"/>
      <c r="Z247" s="26" t="n">
        <v>-133</v>
      </c>
      <c r="AA247" s="28" t="n">
        <v>0.57</v>
      </c>
      <c r="AB247" s="28" t="n">
        <v>-0.000815</v>
      </c>
      <c r="AC247" s="30" t="n">
        <v>0.7519</v>
      </c>
      <c r="AD247" s="24" t="inlineStr">
        <is>
          <t>2026-09-10T04:31:21.494637Z</t>
        </is>
      </c>
      <c r="AE247" s="31" t="inlineStr">
        <is>
          <t>Poisson-DC rates 1.40 (home) / 1.40 (away) from EWMA attack/defense strengths. Executable ask 0.5700 (tsc-mls-hou-rsl-2026-09-09-2pt5).</t>
        </is>
      </c>
      <c r="AF247" s="31" t="inlineStr">
        <is>
          <t>Research-only soccer score model; draw-aware, but not yet locked-holdout qualified.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Real Salt Lake</t>
        </is>
      </c>
      <c r="AQ247" s="24" t="inlineStr">
        <is>
          <t>Real Salt Lake</t>
        </is>
      </c>
      <c r="AR247" s="24" t="inlineStr">
        <is>
          <t>Real Salt Lake</t>
        </is>
      </c>
      <c r="AS247" s="24" t="inlineStr">
        <is>
          <t>Houston Dynamo FC</t>
        </is>
      </c>
      <c r="AT247" s="24" t="inlineStr">
        <is>
          <t>Houston Dynamo FC</t>
        </is>
      </c>
      <c r="AU247" s="24" t="inlineStr">
        <is>
          <t>Houston Dynamo FC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9c072f5f9cf71a972f86e4222ffca6b72422789e9356ec3b1e371da1132584dd</t>
        </is>
      </c>
      <c r="BB247" s="24" t="inlineStr">
        <is>
          <t>poisson_dixon_coles</t>
        </is>
      </c>
      <c r="BC247" s="24" t="inlineStr">
        <is>
          <t>soccer-poisson-dc-v1</t>
        </is>
      </c>
      <c r="BD247" s="24" t="inlineStr">
        <is>
          <t>9c072f5f9cf71a972f86e4222ffca6b72422789e9356ec3b1e371da1132584dd</t>
        </is>
      </c>
      <c r="BE247" s="24" t="inlineStr">
        <is>
          <t>soccer-poisson-dc-v1</t>
        </is>
      </c>
      <c r="BF247" s="24" t="inlineStr">
        <is>
          <t>1</t>
        </is>
      </c>
      <c r="BG247" s="24" t="inlineStr">
        <is>
          <t>9c072f5f9cf71a972f86e4222ffca6b72422789e9356ec3b1e371da1132584dd</t>
        </is>
      </c>
      <c r="BH247" s="24" t="inlineStr">
        <is>
          <t>2026-09-09T22:05:10.589598Z</t>
        </is>
      </c>
      <c r="BI247" s="24" t="inlineStr">
        <is>
          <t>["same_event","same_team_same_day","same_league_same_day"]</t>
        </is>
      </c>
      <c r="BJ247" s="25" t="n">
        <v>2.5</v>
      </c>
      <c r="BK247" s="26" t="n">
        <v>-133</v>
      </c>
      <c r="BL247" s="27" t="n">
        <v>1.75188</v>
      </c>
      <c r="BM247" s="28" t="n">
        <v>0.570815</v>
      </c>
      <c r="BN247" s="28" t="n"/>
      <c r="BO247" s="28" t="n"/>
      <c r="BP247" s="25" t="n"/>
      <c r="BQ247" s="27" t="n">
        <v>1.75188</v>
      </c>
      <c r="BR247" s="28" t="n">
        <v>0.57</v>
      </c>
      <c r="BS247" s="28" t="n"/>
      <c r="BT247" s="28" t="n"/>
      <c r="BU247" s="25" t="n"/>
      <c r="BV247" s="29" t="n"/>
      <c r="BW247" s="24" t="n"/>
      <c r="BX247" s="30" t="n">
        <v>1</v>
      </c>
      <c r="BY247" s="27" t="n">
        <v>0.751881</v>
      </c>
      <c r="BZ247" s="24" t="inlineStr">
        <is>
          <t>2026-09-10T04:31:21.494637Z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0.570815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31f0f68aecb54645</t>
        </is>
      </c>
      <c r="B248" s="24" t="inlineStr">
        <is>
          <t>2026-09-09T22:06:21.332951Z</t>
        </is>
      </c>
      <c r="C248" s="24" t="inlineStr">
        <is>
          <t>2026-09-10T00:30Z</t>
        </is>
      </c>
      <c r="D248" s="24" t="inlineStr">
        <is>
          <t>761793</t>
        </is>
      </c>
      <c r="E248" s="24" t="inlineStr">
        <is>
          <t>SOCCER</t>
        </is>
      </c>
      <c r="F248" s="24" t="inlineStr">
        <is>
          <t>FC Dallas</t>
        </is>
      </c>
      <c r="G248" s="24" t="inlineStr">
        <is>
          <t>Minnesota United FC</t>
        </is>
      </c>
      <c r="H248" s="24" t="inlineStr">
        <is>
          <t>total</t>
        </is>
      </c>
      <c r="I248" s="24" t="inlineStr">
        <is>
          <t>over</t>
        </is>
      </c>
      <c r="J248" s="25" t="n">
        <v>2.5</v>
      </c>
      <c r="K248" s="24" t="inlineStr">
        <is>
          <t>polymarket_us</t>
        </is>
      </c>
      <c r="L248" s="26" t="n">
        <v>-170</v>
      </c>
      <c r="M248" s="27" t="n">
        <v>1.588235</v>
      </c>
      <c r="N248" s="28" t="n">
        <v>0.62963</v>
      </c>
      <c r="O248" s="28" t="n">
        <v>0.568713</v>
      </c>
      <c r="P248" s="28" t="n">
        <v>0.04</v>
      </c>
      <c r="Q248" s="28" t="n">
        <v>-0.060917</v>
      </c>
      <c r="R248" s="26" t="n">
        <v>0</v>
      </c>
      <c r="S248" s="29" t="n">
        <v>1</v>
      </c>
      <c r="T248" s="24" t="inlineStr">
        <is>
          <t>soccer-poisson-dc-v1</t>
        </is>
      </c>
      <c r="U248" s="24" t="inlineStr">
        <is>
          <t>settled</t>
        </is>
      </c>
      <c r="V248" s="24" t="inlineStr">
        <is>
          <t>win</t>
        </is>
      </c>
      <c r="W248" s="26" t="n">
        <v>2</v>
      </c>
      <c r="X248" s="26" t="n">
        <v>1</v>
      </c>
      <c r="Y248" s="25" t="n"/>
      <c r="Z248" s="26" t="n">
        <v>-170</v>
      </c>
      <c r="AA248" s="28" t="n">
        <v>0.63</v>
      </c>
      <c r="AB248" s="28" t="n">
        <v>0.00037</v>
      </c>
      <c r="AC248" s="30" t="n">
        <v>0.5881999999999999</v>
      </c>
      <c r="AD248" s="24" t="inlineStr">
        <is>
          <t>2026-09-10T04:31:22.746986Z</t>
        </is>
      </c>
      <c r="AE248" s="31" t="inlineStr">
        <is>
          <t>Poisson-DC rates 1.50 (home) / 1.46 (away) from EWMA attack/defense strengths. Executable ask 0.6300 (tsc-mls-min-dal-2026-09-09-2pt5).</t>
        </is>
      </c>
      <c r="AF248" s="31" t="inlineStr">
        <is>
          <t>Research-only soccer score model; draw-aware, but not yet locked-holdout qualified.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4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FC Dallas</t>
        </is>
      </c>
      <c r="AQ248" s="24" t="inlineStr">
        <is>
          <t>FC Dallas</t>
        </is>
      </c>
      <c r="AR248" s="24" t="inlineStr">
        <is>
          <t>FC Dallas</t>
        </is>
      </c>
      <c r="AS248" s="24" t="inlineStr">
        <is>
          <t>Minnesota United FC</t>
        </is>
      </c>
      <c r="AT248" s="24" t="inlineStr">
        <is>
          <t>Minnesota United FC</t>
        </is>
      </c>
      <c r="AU248" s="24" t="inlineStr">
        <is>
          <t>Minnesota United FC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9c072f5f9cf71a972f86e4222ffca6b72422789e9356ec3b1e371da1132584dd</t>
        </is>
      </c>
      <c r="BB248" s="24" t="inlineStr">
        <is>
          <t>poisson_dixon_coles</t>
        </is>
      </c>
      <c r="BC248" s="24" t="inlineStr">
        <is>
          <t>soccer-poisson-dc-v1</t>
        </is>
      </c>
      <c r="BD248" s="24" t="inlineStr">
        <is>
          <t>9c072f5f9cf71a972f86e4222ffca6b72422789e9356ec3b1e371da1132584dd</t>
        </is>
      </c>
      <c r="BE248" s="24" t="inlineStr">
        <is>
          <t>soccer-poisson-dc-v1</t>
        </is>
      </c>
      <c r="BF248" s="24" t="inlineStr">
        <is>
          <t>1</t>
        </is>
      </c>
      <c r="BG248" s="24" t="inlineStr">
        <is>
          <t>9c072f5f9cf71a972f86e4222ffca6b72422789e9356ec3b1e371da1132584dd</t>
        </is>
      </c>
      <c r="BH248" s="24" t="inlineStr">
        <is>
          <t>2026-09-09T22:05:10.774530Z</t>
        </is>
      </c>
      <c r="BI248" s="24" t="inlineStr">
        <is>
          <t>["same_event","same_team_same_day","same_league_same_day"]</t>
        </is>
      </c>
      <c r="BJ248" s="25" t="n">
        <v>2.5</v>
      </c>
      <c r="BK248" s="26" t="n">
        <v>-170</v>
      </c>
      <c r="BL248" s="27" t="n">
        <v>1.588235</v>
      </c>
      <c r="BM248" s="28" t="n">
        <v>0.62963</v>
      </c>
      <c r="BN248" s="28" t="n"/>
      <c r="BO248" s="28" t="n"/>
      <c r="BP248" s="25" t="n"/>
      <c r="BQ248" s="27" t="n">
        <v>1.588235</v>
      </c>
      <c r="BR248" s="28" t="n">
        <v>0.63</v>
      </c>
      <c r="BS248" s="28" t="n"/>
      <c r="BT248" s="28" t="n"/>
      <c r="BU248" s="25" t="n"/>
      <c r="BV248" s="29" t="n"/>
      <c r="BW248" s="24" t="n"/>
      <c r="BX248" s="30" t="n">
        <v>1</v>
      </c>
      <c r="BY248" s="27" t="n">
        <v>0.588234</v>
      </c>
      <c r="BZ248" s="24" t="inlineStr">
        <is>
          <t>2026-09-10T04:31:22.746986Z</t>
        </is>
      </c>
      <c r="CA248" s="31" t="inlineStr">
        <is>
          <t>fixed one-unit hypothetical scoring; no real exposure or execution</t>
        </is>
      </c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0.62963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f1ab91966b224b38</t>
        </is>
      </c>
      <c r="B249" s="24" t="inlineStr">
        <is>
          <t>2026-09-09T22:06:21.332951Z</t>
        </is>
      </c>
      <c r="C249" s="24" t="inlineStr">
        <is>
          <t>2026-09-10T02:30Z</t>
        </is>
      </c>
      <c r="D249" s="24" t="inlineStr">
        <is>
          <t>761796</t>
        </is>
      </c>
      <c r="E249" s="24" t="inlineStr">
        <is>
          <t>SOCCER</t>
        </is>
      </c>
      <c r="F249" s="24" t="inlineStr">
        <is>
          <t>St. Louis CITY SC</t>
        </is>
      </c>
      <c r="G249" s="24" t="inlineStr">
        <is>
          <t>Portland Timbers</t>
        </is>
      </c>
      <c r="H249" s="24" t="inlineStr">
        <is>
          <t>total</t>
        </is>
      </c>
      <c r="I249" s="24" t="inlineStr">
        <is>
          <t>over</t>
        </is>
      </c>
      <c r="J249" s="25" t="n">
        <v>2.5</v>
      </c>
      <c r="K249" s="24" t="inlineStr">
        <is>
          <t>polymarket_us</t>
        </is>
      </c>
      <c r="L249" s="26" t="n">
        <v>-223</v>
      </c>
      <c r="M249" s="27" t="n">
        <v>1.44843</v>
      </c>
      <c r="N249" s="28" t="n">
        <v>0.690402</v>
      </c>
      <c r="O249" s="28" t="n">
        <v>0.6606109999999999</v>
      </c>
      <c r="P249" s="28" t="n">
        <v>0.04</v>
      </c>
      <c r="Q249" s="28" t="n">
        <v>-0.029791</v>
      </c>
      <c r="R249" s="26" t="n">
        <v>11</v>
      </c>
      <c r="S249" s="29" t="n">
        <v>1</v>
      </c>
      <c r="T249" s="24" t="inlineStr">
        <is>
          <t>soccer-poisson-dc-v1</t>
        </is>
      </c>
      <c r="U249" s="24" t="inlineStr">
        <is>
          <t>settled</t>
        </is>
      </c>
      <c r="V249" s="24" t="inlineStr">
        <is>
          <t>win</t>
        </is>
      </c>
      <c r="W249" s="26" t="n">
        <v>2</v>
      </c>
      <c r="X249" s="26" t="n">
        <v>2</v>
      </c>
      <c r="Y249" s="25" t="n"/>
      <c r="Z249" s="26" t="n">
        <v>-223</v>
      </c>
      <c r="AA249" s="28" t="n">
        <v>0.6899999999999999</v>
      </c>
      <c r="AB249" s="28" t="n">
        <v>-0.000402</v>
      </c>
      <c r="AC249" s="30" t="n">
        <v>0.4484</v>
      </c>
      <c r="AD249" s="24" t="inlineStr">
        <is>
          <t>2026-09-10T10:00:15.315650Z</t>
        </is>
      </c>
      <c r="AE249" s="31" t="inlineStr">
        <is>
          <t>Poisson-DC rates 1.91 (home) / 1.49 (away) from EWMA attack/defense strengths. Executable ask 0.6900 (tsc-mls-por-stl-2026-09-09-2pt5).</t>
        </is>
      </c>
      <c r="AF249" s="31" t="inlineStr">
        <is>
          <t>Research-only soccer score model; draw-aware, but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St. Louis CITY SC</t>
        </is>
      </c>
      <c r="AQ249" s="24" t="inlineStr">
        <is>
          <t>St. Louis CITY SC</t>
        </is>
      </c>
      <c r="AR249" s="24" t="inlineStr">
        <is>
          <t>St. Louis CITY SC</t>
        </is>
      </c>
      <c r="AS249" s="24" t="inlineStr">
        <is>
          <t>Portland Timbers</t>
        </is>
      </c>
      <c r="AT249" s="24" t="inlineStr">
        <is>
          <t>Portland Timbers</t>
        </is>
      </c>
      <c r="AU249" s="24" t="inlineStr">
        <is>
          <t>Portland Timbers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9c072f5f9cf71a972f86e4222ffca6b72422789e9356ec3b1e371da1132584dd</t>
        </is>
      </c>
      <c r="BB249" s="24" t="inlineStr">
        <is>
          <t>poisson_dixon_coles</t>
        </is>
      </c>
      <c r="BC249" s="24" t="inlineStr">
        <is>
          <t>soccer-poisson-dc-v1</t>
        </is>
      </c>
      <c r="BD249" s="24" t="inlineStr">
        <is>
          <t>9c072f5f9cf71a972f86e4222ffca6b72422789e9356ec3b1e371da1132584dd</t>
        </is>
      </c>
      <c r="BE249" s="24" t="inlineStr">
        <is>
          <t>soccer-poisson-dc-v1</t>
        </is>
      </c>
      <c r="BF249" s="24" t="inlineStr">
        <is>
          <t>1</t>
        </is>
      </c>
      <c r="BG249" s="24" t="inlineStr">
        <is>
          <t>9c072f5f9cf71a972f86e4222ffca6b72422789e9356ec3b1e371da1132584dd</t>
        </is>
      </c>
      <c r="BH249" s="24" t="inlineStr">
        <is>
          <t>2026-09-09T22:05:11.195730Z</t>
        </is>
      </c>
      <c r="BI249" s="24" t="inlineStr">
        <is>
          <t>["same_event","same_team_same_day","same_league_same_day"]</t>
        </is>
      </c>
      <c r="BJ249" s="25" t="n">
        <v>2.5</v>
      </c>
      <c r="BK249" s="26" t="n">
        <v>-223</v>
      </c>
      <c r="BL249" s="27" t="n">
        <v>1.44843</v>
      </c>
      <c r="BM249" s="28" t="n">
        <v>0.690402</v>
      </c>
      <c r="BN249" s="28" t="n"/>
      <c r="BO249" s="28" t="n"/>
      <c r="BP249" s="25" t="n"/>
      <c r="BQ249" s="27" t="n">
        <v>1.44843</v>
      </c>
      <c r="BR249" s="28" t="n">
        <v>0.6899999999999999</v>
      </c>
      <c r="BS249" s="28" t="n"/>
      <c r="BT249" s="28" t="n"/>
      <c r="BU249" s="25" t="n"/>
      <c r="BV249" s="29" t="n"/>
      <c r="BW249" s="24" t="n"/>
      <c r="BX249" s="30" t="n">
        <v>1</v>
      </c>
      <c r="BY249" s="27" t="n">
        <v>0.448431</v>
      </c>
      <c r="BZ249" s="24" t="inlineStr">
        <is>
          <t>2026-09-10T10:00:15.315650Z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0.690402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640c98833e7d440c</t>
        </is>
      </c>
      <c r="B250" s="24" t="inlineStr">
        <is>
          <t>2026-09-09T22:06:21.332951Z</t>
        </is>
      </c>
      <c r="C250" s="24" t="inlineStr">
        <is>
          <t>2026-09-10T02:30Z</t>
        </is>
      </c>
      <c r="D250" s="24" t="inlineStr">
        <is>
          <t>761797</t>
        </is>
      </c>
      <c r="E250" s="24" t="inlineStr">
        <is>
          <t>SOCCER</t>
        </is>
      </c>
      <c r="F250" s="24" t="inlineStr">
        <is>
          <t>San Jose Earthquakes</t>
        </is>
      </c>
      <c r="G250" s="24" t="inlineStr">
        <is>
          <t>San Diego FC</t>
        </is>
      </c>
      <c r="H250" s="24" t="inlineStr">
        <is>
          <t>total</t>
        </is>
      </c>
      <c r="I250" s="24" t="inlineStr">
        <is>
          <t>over</t>
        </is>
      </c>
      <c r="J250" s="25" t="n">
        <v>2.5</v>
      </c>
      <c r="K250" s="24" t="inlineStr">
        <is>
          <t>polymarket_us</t>
        </is>
      </c>
      <c r="L250" s="26" t="n">
        <v>-233</v>
      </c>
      <c r="M250" s="27" t="n">
        <v>1.429185</v>
      </c>
      <c r="N250" s="28" t="n">
        <v>0.6997</v>
      </c>
      <c r="O250" s="28" t="n">
        <v>0.764666</v>
      </c>
      <c r="P250" s="28" t="n">
        <v>0.04</v>
      </c>
      <c r="Q250" s="28" t="n">
        <v>0.064966</v>
      </c>
      <c r="R250" s="26" t="n">
        <v>58</v>
      </c>
      <c r="S250" s="29" t="n">
        <v>1.25</v>
      </c>
      <c r="T250" s="24" t="inlineStr">
        <is>
          <t>soccer-poisson-dc-v1</t>
        </is>
      </c>
      <c r="U250" s="24" t="inlineStr">
        <is>
          <t>settled</t>
        </is>
      </c>
      <c r="V250" s="24" t="inlineStr">
        <is>
          <t>win</t>
        </is>
      </c>
      <c r="W250" s="26" t="n">
        <v>3</v>
      </c>
      <c r="X250" s="26" t="n">
        <v>2</v>
      </c>
      <c r="Y250" s="25" t="n"/>
      <c r="Z250" s="26" t="n">
        <v>-233</v>
      </c>
      <c r="AA250" s="28" t="n">
        <v>0.7</v>
      </c>
      <c r="AB250" s="28" t="n">
        <v>0.0003</v>
      </c>
      <c r="AC250" s="30" t="n">
        <v>0.5365</v>
      </c>
      <c r="AD250" s="24" t="inlineStr">
        <is>
          <t>2026-09-10T10:00:16.388591Z</t>
        </is>
      </c>
      <c r="AE250" s="31" t="inlineStr">
        <is>
          <t>Poisson-DC rates 2.15 (home) / 1.87 (away) from EWMA attack/defense strengths. Executable ask 0.7000 (tsc-mls-sdg-sje-2026-09-09-2pt5).</t>
        </is>
      </c>
      <c r="AF250" s="31" t="inlineStr">
        <is>
          <t>Research-only soccer score model; draw-aware, but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San Jose Earthquakes</t>
        </is>
      </c>
      <c r="AQ250" s="24" t="inlineStr">
        <is>
          <t>San Jose Earthquakes</t>
        </is>
      </c>
      <c r="AR250" s="24" t="inlineStr">
        <is>
          <t>San Jose Earthquakes</t>
        </is>
      </c>
      <c r="AS250" s="24" t="inlineStr">
        <is>
          <t>San Diego FC</t>
        </is>
      </c>
      <c r="AT250" s="24" t="inlineStr">
        <is>
          <t>San Diego FC</t>
        </is>
      </c>
      <c r="AU250" s="24" t="inlineStr">
        <is>
          <t>San Diego FC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9c072f5f9cf71a972f86e4222ffca6b72422789e9356ec3b1e371da1132584dd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9c072f5f9cf71a972f86e4222ffca6b72422789e9356ec3b1e371da1132584dd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9c072f5f9cf71a972f86e4222ffca6b72422789e9356ec3b1e371da1132584dd</t>
        </is>
      </c>
      <c r="BH250" s="24" t="inlineStr">
        <is>
          <t>2026-09-09T22:05:11.265986Z</t>
        </is>
      </c>
      <c r="BI250" s="24" t="inlineStr">
        <is>
          <t>["same_event","same_team_same_day","same_league_same_day"]</t>
        </is>
      </c>
      <c r="BJ250" s="25" t="n">
        <v>2.5</v>
      </c>
      <c r="BK250" s="26" t="n">
        <v>-233</v>
      </c>
      <c r="BL250" s="27" t="n">
        <v>1.429185</v>
      </c>
      <c r="BM250" s="28" t="n">
        <v>0.6997</v>
      </c>
      <c r="BN250" s="28" t="n"/>
      <c r="BO250" s="28" t="n"/>
      <c r="BP250" s="25" t="n"/>
      <c r="BQ250" s="27" t="n">
        <v>1.429185</v>
      </c>
      <c r="BR250" s="28" t="n">
        <v>0.7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0.6997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4b0b23f374e147ae</t>
        </is>
      </c>
      <c r="B251" s="24" t="inlineStr">
        <is>
          <t>2026-09-09T22:06:21.332951Z</t>
        </is>
      </c>
      <c r="C251" s="24" t="inlineStr">
        <is>
          <t>2026-09-10T02:30Z</t>
        </is>
      </c>
      <c r="D251" s="24" t="inlineStr">
        <is>
          <t>761799</t>
        </is>
      </c>
      <c r="E251" s="24" t="inlineStr">
        <is>
          <t>SOCCER</t>
        </is>
      </c>
      <c r="F251" s="24" t="inlineStr">
        <is>
          <t>LA Galaxy</t>
        </is>
      </c>
      <c r="G251" s="24" t="inlineStr">
        <is>
          <t>Vancouver Whitecaps</t>
        </is>
      </c>
      <c r="H251" s="24" t="inlineStr">
        <is>
          <t>total</t>
        </is>
      </c>
      <c r="I251" s="24" t="inlineStr">
        <is>
          <t>over</t>
        </is>
      </c>
      <c r="J251" s="25" t="n">
        <v>2.5</v>
      </c>
      <c r="K251" s="24" t="inlineStr">
        <is>
          <t>polymarket_us</t>
        </is>
      </c>
      <c r="L251" s="26" t="n">
        <v>-285</v>
      </c>
      <c r="M251" s="27" t="n">
        <v>1.350877</v>
      </c>
      <c r="N251" s="28" t="n">
        <v>0.74026</v>
      </c>
      <c r="O251" s="28" t="n">
        <v>0.685873</v>
      </c>
      <c r="P251" s="28" t="n">
        <v>0.04</v>
      </c>
      <c r="Q251" s="28" t="n">
        <v>-0.054387</v>
      </c>
      <c r="R251" s="26" t="n">
        <v>0</v>
      </c>
      <c r="S251" s="29" t="n">
        <v>1</v>
      </c>
      <c r="T251" s="24" t="inlineStr">
        <is>
          <t>soccer-poisson-dc-v1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3</v>
      </c>
      <c r="Y251" s="25" t="n"/>
      <c r="Z251" s="26" t="n">
        <v>-285</v>
      </c>
      <c r="AA251" s="28" t="n">
        <v>0.74</v>
      </c>
      <c r="AB251" s="28" t="n">
        <v>-0.00026</v>
      </c>
      <c r="AC251" s="30" t="n">
        <v>0.3509</v>
      </c>
      <c r="AD251" s="24" t="inlineStr">
        <is>
          <t>2026-09-10T10:00:17.466053Z</t>
        </is>
      </c>
      <c r="AE251" s="31" t="inlineStr">
        <is>
          <t>Poisson-DC rates 2.61 (home) / 0.93 (away) from EWMA attack/defense strengths. Executable ask 0.7400 (tsc-mls-vwh-lag-2026-09-09-2pt5).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LA Galaxy</t>
        </is>
      </c>
      <c r="AQ251" s="24" t="inlineStr">
        <is>
          <t>LA Galaxy</t>
        </is>
      </c>
      <c r="AR251" s="24" t="inlineStr">
        <is>
          <t>LA Galaxy</t>
        </is>
      </c>
      <c r="AS251" s="24" t="inlineStr">
        <is>
          <t>Vancouver Whitecaps</t>
        </is>
      </c>
      <c r="AT251" s="24" t="inlineStr">
        <is>
          <t>Vancouver Whitecaps</t>
        </is>
      </c>
      <c r="AU251" s="24" t="inlineStr">
        <is>
          <t>Vancouver Whitecaps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9c072f5f9cf71a972f86e4222ffca6b72422789e9356ec3b1e371da1132584dd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9c072f5f9cf71a972f86e4222ffca6b72422789e9356ec3b1e371da1132584dd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9c072f5f9cf71a972f86e4222ffca6b72422789e9356ec3b1e371da1132584dd</t>
        </is>
      </c>
      <c r="BH251" s="24" t="inlineStr">
        <is>
          <t>2026-09-09T22:05:10.871957Z</t>
        </is>
      </c>
      <c r="BI251" s="24" t="inlineStr">
        <is>
          <t>["same_event","same_team_same_day","same_league_same_day"]</t>
        </is>
      </c>
      <c r="BJ251" s="25" t="n">
        <v>2.5</v>
      </c>
      <c r="BK251" s="26" t="n">
        <v>-285</v>
      </c>
      <c r="BL251" s="27" t="n">
        <v>1.350877</v>
      </c>
      <c r="BM251" s="28" t="n">
        <v>0.74026</v>
      </c>
      <c r="BN251" s="28" t="n"/>
      <c r="BO251" s="28" t="n"/>
      <c r="BP251" s="25" t="n"/>
      <c r="BQ251" s="27" t="n">
        <v>1.350877</v>
      </c>
      <c r="BR251" s="28" t="n">
        <v>0.74</v>
      </c>
      <c r="BS251" s="28" t="n"/>
      <c r="BT251" s="28" t="n"/>
      <c r="BU251" s="25" t="n"/>
      <c r="BV251" s="29" t="n"/>
      <c r="BW251" s="24" t="n"/>
      <c r="BX251" s="30" t="n">
        <v>1</v>
      </c>
      <c r="BY251" s="27" t="n">
        <v>0.350877</v>
      </c>
      <c r="BZ251" s="24" t="inlineStr">
        <is>
          <t>2026-09-10T10:00:17.466053Z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0.74026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4d278b5a1745486a</t>
        </is>
      </c>
      <c r="B252" s="24" t="inlineStr">
        <is>
          <t>2026-09-09T22:06:21.332951Z</t>
        </is>
      </c>
      <c r="C252" s="24" t="inlineStr">
        <is>
          <t>2026-09-09T23:30Z</t>
        </is>
      </c>
      <c r="D252" s="24" t="inlineStr">
        <is>
          <t>761787</t>
        </is>
      </c>
      <c r="E252" s="24" t="inlineStr">
        <is>
          <t>SOCCER</t>
        </is>
      </c>
      <c r="F252" s="24" t="inlineStr">
        <is>
          <t>Orlando City SC</t>
        </is>
      </c>
      <c r="G252" s="24" t="inlineStr">
        <is>
          <t>Atlanta United FC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138</v>
      </c>
      <c r="M252" s="27" t="n">
        <v>2.38</v>
      </c>
      <c r="N252" s="28" t="n">
        <v>0.420168</v>
      </c>
      <c r="O252" s="28" t="n">
        <v>0.433865</v>
      </c>
      <c r="P252" s="28" t="n">
        <v>0.04</v>
      </c>
      <c r="Q252" s="28" t="n">
        <v>0.013697</v>
      </c>
      <c r="R252" s="26" t="n">
        <v>33</v>
      </c>
      <c r="S252" s="29" t="n">
        <v>1</v>
      </c>
      <c r="T252" s="24" t="inlineStr">
        <is>
          <t>soccer-poisson-dc-v1</t>
        </is>
      </c>
      <c r="U252" s="24" t="inlineStr">
        <is>
          <t>settled</t>
        </is>
      </c>
      <c r="V252" s="24" t="inlineStr">
        <is>
          <t>loss</t>
        </is>
      </c>
      <c r="W252" s="26" t="n">
        <v>3</v>
      </c>
      <c r="X252" s="26" t="n">
        <v>2</v>
      </c>
      <c r="Y252" s="25" t="n"/>
      <c r="Z252" s="26" t="n">
        <v>138</v>
      </c>
      <c r="AA252" s="28" t="n">
        <v>0.42</v>
      </c>
      <c r="AB252" s="28" t="n">
        <v>-0.000168</v>
      </c>
      <c r="AC252" s="30" t="n">
        <v>-1</v>
      </c>
      <c r="AD252" s="24" t="inlineStr">
        <is>
          <t>2026-09-10T04:31:24.035889Z</t>
        </is>
      </c>
      <c r="AE252" s="31" t="inlineStr">
        <is>
          <t>Poisson-DC rates 1.82 (home) / 1.55 (away) from EWMA attack/defense strengths. Executable ask 0.4200 (atc-mls-atl-orl-2026-09-09-atl).</t>
        </is>
      </c>
      <c r="AF252" s="31" t="inlineStr">
        <is>
          <t>Research-only soccer score model; draw-aware, but not yet locked-holdout qualified.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Orlando City SC</t>
        </is>
      </c>
      <c r="AQ252" s="24" t="inlineStr">
        <is>
          <t>Orlando City SC</t>
        </is>
      </c>
      <c r="AR252" s="24" t="inlineStr">
        <is>
          <t>Orlando City SC</t>
        </is>
      </c>
      <c r="AS252" s="24" t="inlineStr">
        <is>
          <t>Atlanta United FC</t>
        </is>
      </c>
      <c r="AT252" s="24" t="inlineStr">
        <is>
          <t>Atlanta United FC</t>
        </is>
      </c>
      <c r="AU252" s="24" t="inlineStr">
        <is>
          <t>Atlanta United FC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9c072f5f9cf71a972f86e4222ffca6b72422789e9356ec3b1e371da1132584dd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9c072f5f9cf71a972f86e4222ffca6b72422789e9356ec3b1e371da1132584dd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9c072f5f9cf71a972f86e4222ffca6b72422789e9356ec3b1e371da1132584dd</t>
        </is>
      </c>
      <c r="BH252" s="24" t="inlineStr">
        <is>
          <t>2026-09-09T22:05:10.036216Z</t>
        </is>
      </c>
      <c r="BI252" s="24" t="inlineStr">
        <is>
          <t>["same_event","same_team_same_day","same_league_same_day"]</t>
        </is>
      </c>
      <c r="BJ252" s="25" t="n"/>
      <c r="BK252" s="26" t="n">
        <v>138</v>
      </c>
      <c r="BL252" s="27" t="n">
        <v>2.38</v>
      </c>
      <c r="BM252" s="28" t="n">
        <v>0.420168</v>
      </c>
      <c r="BN252" s="28" t="n"/>
      <c r="BO252" s="28" t="n"/>
      <c r="BP252" s="25" t="n"/>
      <c r="BQ252" s="27" t="n">
        <v>2.38</v>
      </c>
      <c r="BR252" s="28" t="n">
        <v>0.42</v>
      </c>
      <c r="BS252" s="28" t="n"/>
      <c r="BT252" s="28" t="n"/>
      <c r="BU252" s="25" t="n"/>
      <c r="BV252" s="29" t="n"/>
      <c r="BW252" s="24" t="n"/>
      <c r="BX252" s="30" t="n">
        <v>1</v>
      </c>
      <c r="BY252" s="27" t="n">
        <v>-1</v>
      </c>
      <c r="BZ252" s="24" t="inlineStr">
        <is>
          <t>2026-09-10T04:31:24.035889Z</t>
        </is>
      </c>
      <c r="CA252" s="31" t="inlineStr">
        <is>
          <t>fixed one-unit hypothetical scoring; no real exposure or execution</t>
        </is>
      </c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0.420168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21c23ccdd1a74343</t>
        </is>
      </c>
      <c r="B253" s="24" t="inlineStr">
        <is>
          <t>2026-09-09T22:06:21.332951Z</t>
        </is>
      </c>
      <c r="C253" s="24" t="inlineStr">
        <is>
          <t>2026-09-09T23:30Z</t>
        </is>
      </c>
      <c r="D253" s="24" t="inlineStr">
        <is>
          <t>761789</t>
        </is>
      </c>
      <c r="E253" s="24" t="inlineStr">
        <is>
          <t>SOCCER</t>
        </is>
      </c>
      <c r="F253" s="24" t="inlineStr">
        <is>
          <t>Columbus Crew</t>
        </is>
      </c>
      <c r="G253" s="24" t="inlineStr">
        <is>
          <t>D.C. United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170</v>
      </c>
      <c r="M253" s="27" t="n">
        <v>2.7</v>
      </c>
      <c r="N253" s="28" t="n">
        <v>0.37037</v>
      </c>
      <c r="O253" s="28" t="n">
        <v>0.376932</v>
      </c>
      <c r="P253" s="28" t="n">
        <v>0.04</v>
      </c>
      <c r="Q253" s="28" t="n">
        <v>0.006562</v>
      </c>
      <c r="R253" s="26" t="n">
        <v>29</v>
      </c>
      <c r="S253" s="29" t="n">
        <v>1</v>
      </c>
      <c r="T253" s="24" t="inlineStr">
        <is>
          <t>soccer-poisson-dc-v1</t>
        </is>
      </c>
      <c r="U253" s="24" t="inlineStr">
        <is>
          <t>settled</t>
        </is>
      </c>
      <c r="V253" s="24" t="inlineStr">
        <is>
          <t>loss</t>
        </is>
      </c>
      <c r="W253" s="26" t="n">
        <v>1</v>
      </c>
      <c r="X253" s="26" t="n">
        <v>2</v>
      </c>
      <c r="Y253" s="25" t="n"/>
      <c r="Z253" s="26" t="n">
        <v>-178</v>
      </c>
      <c r="AA253" s="28" t="n">
        <v>0.64</v>
      </c>
      <c r="AB253" s="28" t="n">
        <v>0.26963</v>
      </c>
      <c r="AC253" s="30" t="n">
        <v>-1</v>
      </c>
      <c r="AD253" s="24" t="inlineStr">
        <is>
          <t>2026-09-10T04:31:25.241920Z</t>
        </is>
      </c>
      <c r="AE253" s="31" t="inlineStr">
        <is>
          <t>Poisson-DC rates 1.55 (home) / 1.58 (away) from EWMA attack/defense strengths. Executable ask 0.3700 (atc-mls-dcu-clb-2026-09-09-clb).</t>
        </is>
      </c>
      <c r="AF253" s="31" t="inlineStr">
        <is>
          <t>Research-only soccer score model; draw-aware, but not yet locked-holdout qualified.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4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PAPER_CALL_LOW_EDGE</t>
        </is>
      </c>
      <c r="AP253" s="24" t="inlineStr">
        <is>
          <t>Columbus Crew</t>
        </is>
      </c>
      <c r="AQ253" s="24" t="inlineStr">
        <is>
          <t>Columbus Crew</t>
        </is>
      </c>
      <c r="AR253" s="24" t="inlineStr">
        <is>
          <t>Columbus Crew</t>
        </is>
      </c>
      <c r="AS253" s="24" t="inlineStr">
        <is>
          <t>D.C. United</t>
        </is>
      </c>
      <c r="AT253" s="24" t="inlineStr">
        <is>
          <t>D.C. United</t>
        </is>
      </c>
      <c r="AU253" s="24" t="inlineStr">
        <is>
          <t>D.C. United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9c072f5f9cf71a972f86e4222ffca6b72422789e9356ec3b1e371da1132584dd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9c072f5f9cf71a972f86e4222ffca6b72422789e9356ec3b1e371da1132584dd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9c072f5f9cf71a972f86e4222ffca6b72422789e9356ec3b1e371da1132584dd</t>
        </is>
      </c>
      <c r="BH253" s="24" t="inlineStr">
        <is>
          <t>2026-09-09T22:05:09.956521Z</t>
        </is>
      </c>
      <c r="BI253" s="24" t="inlineStr">
        <is>
          <t>["same_event","same_team_same_day","same_league_same_day"]</t>
        </is>
      </c>
      <c r="BJ253" s="25" t="n"/>
      <c r="BK253" s="26" t="n">
        <v>170</v>
      </c>
      <c r="BL253" s="27" t="n">
        <v>2.7</v>
      </c>
      <c r="BM253" s="28" t="n">
        <v>0.37037</v>
      </c>
      <c r="BN253" s="28" t="n"/>
      <c r="BO253" s="28" t="n"/>
      <c r="BP253" s="25" t="n"/>
      <c r="BQ253" s="27" t="n">
        <v>1.561798</v>
      </c>
      <c r="BR253" s="28" t="n">
        <v>0.64</v>
      </c>
      <c r="BS253" s="28" t="n"/>
      <c r="BT253" s="28" t="n"/>
      <c r="BU253" s="25" t="n"/>
      <c r="BV253" s="29" t="n"/>
      <c r="BW253" s="24" t="n"/>
      <c r="BX253" s="30" t="n">
        <v>1</v>
      </c>
      <c r="BY253" s="27" t="n">
        <v>-1</v>
      </c>
      <c r="BZ253" s="24" t="inlineStr">
        <is>
          <t>2026-09-10T04:31:25.241920Z</t>
        </is>
      </c>
      <c r="CA253" s="31" t="inlineStr">
        <is>
          <t>fixed one-unit hypothetical scoring; no real exposure or execution</t>
        </is>
      </c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0.37037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9c1e32397885467b</t>
        </is>
      </c>
      <c r="B254" s="24" t="inlineStr">
        <is>
          <t>2026-09-09T22:06:21.332951Z</t>
        </is>
      </c>
      <c r="C254" s="24" t="inlineStr">
        <is>
          <t>2026-09-09T23:30Z</t>
        </is>
      </c>
      <c r="D254" s="24" t="inlineStr">
        <is>
          <t>761790</t>
        </is>
      </c>
      <c r="E254" s="24" t="inlineStr">
        <is>
          <t>SOCCER</t>
        </is>
      </c>
      <c r="F254" s="24" t="inlineStr">
        <is>
          <t>Nashville SC</t>
        </is>
      </c>
      <c r="G254" s="24" t="inlineStr">
        <is>
          <t>Toronto FC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104</v>
      </c>
      <c r="M254" s="27" t="n">
        <v>2.04</v>
      </c>
      <c r="N254" s="28" t="n">
        <v>0.490196</v>
      </c>
      <c r="O254" s="28" t="n">
        <v>0.510574</v>
      </c>
      <c r="P254" s="28" t="n">
        <v>0.04</v>
      </c>
      <c r="Q254" s="28" t="n">
        <v>0.020378</v>
      </c>
      <c r="R254" s="26" t="n">
        <v>36</v>
      </c>
      <c r="S254" s="29" t="n">
        <v>1</v>
      </c>
      <c r="T254" s="24" t="inlineStr">
        <is>
          <t>soccer-poisson-dc-v1</t>
        </is>
      </c>
      <c r="U254" s="24" t="inlineStr">
        <is>
          <t>settled</t>
        </is>
      </c>
      <c r="V254" s="24" t="inlineStr">
        <is>
          <t>loss</t>
        </is>
      </c>
      <c r="W254" s="26" t="n">
        <v>1</v>
      </c>
      <c r="X254" s="26" t="n">
        <v>2</v>
      </c>
      <c r="Y254" s="25" t="n"/>
      <c r="Z254" s="26" t="n">
        <v>-108</v>
      </c>
      <c r="AA254" s="28" t="n">
        <v>0.52</v>
      </c>
      <c r="AB254" s="28" t="n">
        <v>0.029804</v>
      </c>
      <c r="AC254" s="30" t="n">
        <v>-1</v>
      </c>
      <c r="AD254" s="24" t="inlineStr">
        <is>
          <t>2026-09-10T04:31:26.597902Z</t>
        </is>
      </c>
      <c r="AE254" s="31" t="inlineStr">
        <is>
          <t>Poisson-DC rates 1.16 (home) / 1.79 (away) from EWMA attack/defense strengths. Executable ask 0.4900 (atc-mls-tor-nas-2026-09-09-nas).</t>
        </is>
      </c>
      <c r="AF254" s="31" t="inlineStr">
        <is>
          <t>Research-only soccer score model; draw-aware, but not yet locked-holdout qualified.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Nashville SC</t>
        </is>
      </c>
      <c r="AQ254" s="24" t="inlineStr">
        <is>
          <t>Nashville SC</t>
        </is>
      </c>
      <c r="AR254" s="24" t="inlineStr">
        <is>
          <t>Nashville SC</t>
        </is>
      </c>
      <c r="AS254" s="24" t="inlineStr">
        <is>
          <t>Toronto FC</t>
        </is>
      </c>
      <c r="AT254" s="24" t="inlineStr">
        <is>
          <t>Toronto FC</t>
        </is>
      </c>
      <c r="AU254" s="24" t="inlineStr">
        <is>
          <t>Toronto FC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9c072f5f9cf71a972f86e4222ffca6b72422789e9356ec3b1e371da1132584dd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9c072f5f9cf71a972f86e4222ffca6b72422789e9356ec3b1e371da1132584dd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9c072f5f9cf71a972f86e4222ffca6b72422789e9356ec3b1e371da1132584dd</t>
        </is>
      </c>
      <c r="BH254" s="24" t="inlineStr">
        <is>
          <t>2026-09-09T22:05:10.178771Z</t>
        </is>
      </c>
      <c r="BI254" s="24" t="inlineStr">
        <is>
          <t>["same_event","same_team_same_day","same_league_same_day"]</t>
        </is>
      </c>
      <c r="BJ254" s="25" t="n"/>
      <c r="BK254" s="26" t="n">
        <v>104</v>
      </c>
      <c r="BL254" s="27" t="n">
        <v>2.04</v>
      </c>
      <c r="BM254" s="28" t="n">
        <v>0.490196</v>
      </c>
      <c r="BN254" s="28" t="n"/>
      <c r="BO254" s="28" t="n"/>
      <c r="BP254" s="25" t="n"/>
      <c r="BQ254" s="27" t="n">
        <v>1.925926</v>
      </c>
      <c r="BR254" s="28" t="n">
        <v>0.52</v>
      </c>
      <c r="BS254" s="28" t="n"/>
      <c r="BT254" s="28" t="n"/>
      <c r="BU254" s="25" t="n"/>
      <c r="BV254" s="29" t="n"/>
      <c r="BW254" s="24" t="n"/>
      <c r="BX254" s="30" t="n">
        <v>1</v>
      </c>
      <c r="BY254" s="27" t="n">
        <v>-1</v>
      </c>
      <c r="BZ254" s="24" t="inlineStr">
        <is>
          <t>2026-09-10T04:31:26.597902Z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0.490196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97a09a2f90a441f9</t>
        </is>
      </c>
      <c r="B255" s="24" t="inlineStr">
        <is>
          <t>2026-09-09T22:06:21.332951Z</t>
        </is>
      </c>
      <c r="C255" s="24" t="inlineStr">
        <is>
          <t>2026-09-09T23:45Z</t>
        </is>
      </c>
      <c r="D255" s="24" t="inlineStr">
        <is>
          <t>761786</t>
        </is>
      </c>
      <c r="E255" s="24" t="inlineStr">
        <is>
          <t>SOCCER</t>
        </is>
      </c>
      <c r="F255" s="24" t="inlineStr">
        <is>
          <t>FC Cincinnati</t>
        </is>
      </c>
      <c r="G255" s="24" t="inlineStr">
        <is>
          <t>Philadelphia Union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0.419374</v>
      </c>
      <c r="P255" s="28" t="n">
        <v>0.04</v>
      </c>
      <c r="Q255" s="28" t="n">
        <v>-0.17079</v>
      </c>
      <c r="R255" s="26" t="n">
        <v>0</v>
      </c>
      <c r="S255" s="29" t="n">
        <v>1</v>
      </c>
      <c r="T255" s="24" t="inlineStr">
        <is>
          <t>soccer-poisson-dc-v1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5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0.6944</v>
      </c>
      <c r="AD255" s="24" t="inlineStr">
        <is>
          <t>2026-09-10T04:31:28.104897Z</t>
        </is>
      </c>
      <c r="AE255" s="31" t="inlineStr">
        <is>
          <t>Poisson-DC rates 2.29 (home) / 2.17 (away) from EWMA attack/defense strengths. Executable ask 0.5900 (atc-mls-phi-fcc-2026-09-09-phi).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FC Cincinnati</t>
        </is>
      </c>
      <c r="AQ255" s="24" t="inlineStr">
        <is>
          <t>FC Cincinnati</t>
        </is>
      </c>
      <c r="AR255" s="24" t="inlineStr">
        <is>
          <t>FC Cincinnati</t>
        </is>
      </c>
      <c r="AS255" s="24" t="inlineStr">
        <is>
          <t>Philadelphia Union</t>
        </is>
      </c>
      <c r="AT255" s="24" t="inlineStr">
        <is>
          <t>Philadelphia Union</t>
        </is>
      </c>
      <c r="AU255" s="24" t="inlineStr">
        <is>
          <t>Philadelphia Union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9c072f5f9cf71a972f86e4222ffca6b72422789e9356ec3b1e371da1132584dd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9c072f5f9cf71a972f86e4222ffca6b72422789e9356ec3b1e371da1132584dd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9c072f5f9cf71a972f86e4222ffca6b72422789e9356ec3b1e371da1132584dd</t>
        </is>
      </c>
      <c r="BH255" s="24" t="inlineStr">
        <is>
          <t>2026-09-09T22:05:10.256111Z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>
        <v>1</v>
      </c>
      <c r="BY255" s="27" t="n">
        <v>0.694444</v>
      </c>
      <c r="BZ255" s="24" t="inlineStr">
        <is>
          <t>2026-09-10T04:31:28.104897Z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acfacfcf25c84656</t>
        </is>
      </c>
      <c r="B256" s="24" t="inlineStr">
        <is>
          <t>2026-09-09T22:06:21.332951Z</t>
        </is>
      </c>
      <c r="C256" s="24" t="inlineStr">
        <is>
          <t>2026-09-10T00:00Z</t>
        </is>
      </c>
      <c r="D256" s="24" t="inlineStr">
        <is>
          <t>761788</t>
        </is>
      </c>
      <c r="E256" s="24" t="inlineStr">
        <is>
          <t>SOCCER</t>
        </is>
      </c>
      <c r="F256" s="24" t="inlineStr">
        <is>
          <t>New England Revolution</t>
        </is>
      </c>
      <c r="G256" s="24" t="inlineStr">
        <is>
          <t>New York City FC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163</v>
      </c>
      <c r="M256" s="27" t="n">
        <v>2.63</v>
      </c>
      <c r="N256" s="28" t="n">
        <v>0.380228</v>
      </c>
      <c r="O256" s="28" t="n">
        <v>0.476751</v>
      </c>
      <c r="P256" s="28" t="n">
        <v>0.04</v>
      </c>
      <c r="Q256" s="28" t="n">
        <v>0.096523</v>
      </c>
      <c r="R256" s="26" t="n">
        <v>74</v>
      </c>
      <c r="S256" s="29" t="n">
        <v>1.5</v>
      </c>
      <c r="T256" s="24" t="inlineStr">
        <is>
          <t>soccer-poisson-dc-v1</t>
        </is>
      </c>
      <c r="U256" s="24" t="inlineStr">
        <is>
          <t>settled</t>
        </is>
      </c>
      <c r="V256" s="24" t="inlineStr">
        <is>
          <t>loss</t>
        </is>
      </c>
      <c r="W256" s="26" t="n">
        <v>2</v>
      </c>
      <c r="X256" s="26" t="n">
        <v>1</v>
      </c>
      <c r="Y256" s="25" t="n"/>
      <c r="Z256" s="26" t="n">
        <v>163</v>
      </c>
      <c r="AA256" s="28" t="n">
        <v>0.38</v>
      </c>
      <c r="AB256" s="28" t="n">
        <v>-0.000228</v>
      </c>
      <c r="AC256" s="30" t="n">
        <v>-1.5</v>
      </c>
      <c r="AD256" s="24" t="inlineStr">
        <is>
          <t>2026-09-10T04:31:29.631053Z</t>
        </is>
      </c>
      <c r="AE256" s="31" t="inlineStr">
        <is>
          <t>Poisson-DC rates 1.61 (home) / 1.12 (away) from EWMA attack/defense strengths. Executable ask 0.3800 (atc-mls-nyc-ner-2026-09-09-nyc).</t>
        </is>
      </c>
      <c r="AF256" s="31" t="inlineStr">
        <is>
          <t>Research-only soccer score model; draw-aware, but not yet locked-holdout qualified.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New England Revolution</t>
        </is>
      </c>
      <c r="AQ256" s="24" t="inlineStr">
        <is>
          <t>New England Revolution</t>
        </is>
      </c>
      <c r="AR256" s="24" t="inlineStr">
        <is>
          <t>New England Revolution</t>
        </is>
      </c>
      <c r="AS256" s="24" t="inlineStr">
        <is>
          <t>New York City FC</t>
        </is>
      </c>
      <c r="AT256" s="24" t="inlineStr">
        <is>
          <t>New York City FC</t>
        </is>
      </c>
      <c r="AU256" s="24" t="inlineStr">
        <is>
          <t>New York City FC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9c072f5f9cf71a972f86e4222ffca6b72422789e9356ec3b1e371da1132584dd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9c072f5f9cf71a972f86e4222ffca6b72422789e9356ec3b1e371da1132584dd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9c072f5f9cf71a972f86e4222ffca6b72422789e9356ec3b1e371da1132584dd</t>
        </is>
      </c>
      <c r="BH256" s="24" t="inlineStr">
        <is>
          <t>2026-09-09T22:05:10.353590Z</t>
        </is>
      </c>
      <c r="BI256" s="24" t="inlineStr">
        <is>
          <t>["same_event","same_team_same_day","same_league_same_day"]</t>
        </is>
      </c>
      <c r="BJ256" s="25" t="n"/>
      <c r="BK256" s="26" t="n">
        <v>163</v>
      </c>
      <c r="BL256" s="27" t="n">
        <v>2.63</v>
      </c>
      <c r="BM256" s="28" t="n">
        <v>0.380228</v>
      </c>
      <c r="BN256" s="28" t="n"/>
      <c r="BO256" s="28" t="n"/>
      <c r="BP256" s="25" t="n"/>
      <c r="BQ256" s="27" t="n">
        <v>2.63</v>
      </c>
      <c r="BR256" s="28" t="n">
        <v>0.38</v>
      </c>
      <c r="BS256" s="28" t="n"/>
      <c r="BT256" s="28" t="n"/>
      <c r="BU256" s="25" t="n"/>
      <c r="BV256" s="29" t="n"/>
      <c r="BW256" s="24" t="n"/>
      <c r="BX256" s="30" t="n">
        <v>1</v>
      </c>
      <c r="BY256" s="27" t="n">
        <v>-1</v>
      </c>
      <c r="BZ256" s="24" t="inlineStr">
        <is>
          <t>2026-09-10T04:31:29.631053Z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0.380228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e18af7be55f44b0f</t>
        </is>
      </c>
      <c r="B257" s="24" t="inlineStr">
        <is>
          <t>2026-09-09T22:06:21.332951Z</t>
        </is>
      </c>
      <c r="C257" s="24" t="inlineStr">
        <is>
          <t>2026-09-10T00:30Z</t>
        </is>
      </c>
      <c r="D257" s="24" t="inlineStr">
        <is>
          <t>761794</t>
        </is>
      </c>
      <c r="E257" s="24" t="inlineStr">
        <is>
          <t>SOCCER</t>
        </is>
      </c>
      <c r="F257" s="24" t="inlineStr">
        <is>
          <t>Colorado Rapids</t>
        </is>
      </c>
      <c r="G257" s="24" t="inlineStr">
        <is>
          <t>Austin FC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194</v>
      </c>
      <c r="M257" s="27" t="n">
        <v>2.94</v>
      </c>
      <c r="N257" s="28" t="n">
        <v>0.340136</v>
      </c>
      <c r="O257" s="28" t="n">
        <v>0.387844</v>
      </c>
      <c r="P257" s="28" t="n">
        <v>0.04</v>
      </c>
      <c r="Q257" s="28" t="n">
        <v>0.047708</v>
      </c>
      <c r="R257" s="26" t="n">
        <v>50</v>
      </c>
      <c r="S257" s="29" t="n">
        <v>1</v>
      </c>
      <c r="T257" s="24" t="inlineStr">
        <is>
          <t>soccer-poisson-dc-v1</t>
        </is>
      </c>
      <c r="U257" s="24" t="inlineStr">
        <is>
          <t>settled</t>
        </is>
      </c>
      <c r="V257" s="24" t="inlineStr">
        <is>
          <t>loss</t>
        </is>
      </c>
      <c r="W257" s="26" t="n">
        <v>1</v>
      </c>
      <c r="X257" s="26" t="n">
        <v>1</v>
      </c>
      <c r="Y257" s="25" t="n"/>
      <c r="Z257" s="26" t="n">
        <v>-203</v>
      </c>
      <c r="AA257" s="28" t="n">
        <v>0.67</v>
      </c>
      <c r="AB257" s="28" t="n">
        <v>0.329864</v>
      </c>
      <c r="AC257" s="30" t="n">
        <v>-1</v>
      </c>
      <c r="AD257" s="24" t="inlineStr">
        <is>
          <t>2026-09-10T04:31:30.953167Z</t>
        </is>
      </c>
      <c r="AE257" s="31" t="inlineStr">
        <is>
          <t>Poisson-DC rates 1.53 (home) / 1.61 (away) from EWMA attack/defense strengths. Executable ask 0.3400 (atc-mls-aus-col-2026-09-09-col).</t>
        </is>
      </c>
      <c r="AF257" s="31" t="inlineStr">
        <is>
          <t>Research-only soccer score model; draw-aware, but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Colorado Rapids</t>
        </is>
      </c>
      <c r="AQ257" s="24" t="inlineStr">
        <is>
          <t>Colorado Rapids</t>
        </is>
      </c>
      <c r="AR257" s="24" t="inlineStr">
        <is>
          <t>Colorado Rapids</t>
        </is>
      </c>
      <c r="AS257" s="24" t="inlineStr">
        <is>
          <t>Austin FC</t>
        </is>
      </c>
      <c r="AT257" s="24" t="inlineStr">
        <is>
          <t>Austin FC</t>
        </is>
      </c>
      <c r="AU257" s="24" t="inlineStr">
        <is>
          <t>Austin FC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9c072f5f9cf71a972f86e4222ffca6b72422789e9356ec3b1e371da1132584dd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9c072f5f9cf71a972f86e4222ffca6b72422789e9356ec3b1e371da1132584dd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9c072f5f9cf71a972f86e4222ffca6b72422789e9356ec3b1e371da1132584dd</t>
        </is>
      </c>
      <c r="BH257" s="24" t="inlineStr">
        <is>
          <t>2026-09-09T22:05:10.472051Z</t>
        </is>
      </c>
      <c r="BI257" s="24" t="inlineStr">
        <is>
          <t>["same_event","same_team_same_day","same_league_same_day"]</t>
        </is>
      </c>
      <c r="BJ257" s="25" t="n"/>
      <c r="BK257" s="26" t="n">
        <v>194</v>
      </c>
      <c r="BL257" s="27" t="n">
        <v>2.94</v>
      </c>
      <c r="BM257" s="28" t="n">
        <v>0.340136</v>
      </c>
      <c r="BN257" s="28" t="n"/>
      <c r="BO257" s="28" t="n"/>
      <c r="BP257" s="25" t="n"/>
      <c r="BQ257" s="27" t="n">
        <v>1.492611</v>
      </c>
      <c r="BR257" s="28" t="n">
        <v>0.67</v>
      </c>
      <c r="BS257" s="28" t="n"/>
      <c r="BT257" s="28" t="n"/>
      <c r="BU257" s="25" t="n"/>
      <c r="BV257" s="29" t="n"/>
      <c r="BW257" s="24" t="n"/>
      <c r="BX257" s="30" t="n">
        <v>1</v>
      </c>
      <c r="BY257" s="27" t="n">
        <v>-1</v>
      </c>
      <c r="BZ257" s="24" t="inlineStr">
        <is>
          <t>2026-09-10T04:31:30.953167Z</t>
        </is>
      </c>
      <c r="CA257" s="31" t="inlineStr">
        <is>
          <t>fixed one-unit hypothetical scoring; no real exposure or execution</t>
        </is>
      </c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0.340136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4a1b5732d3b34942</t>
        </is>
      </c>
      <c r="B258" s="24" t="inlineStr">
        <is>
          <t>2026-09-09T22:06:21.332951Z</t>
        </is>
      </c>
      <c r="C258" s="24" t="inlineStr">
        <is>
          <t>2026-09-10T00:30Z</t>
        </is>
      </c>
      <c r="D258" s="24" t="inlineStr">
        <is>
          <t>761792</t>
        </is>
      </c>
      <c r="E258" s="24" t="inlineStr">
        <is>
          <t>SOCCER</t>
        </is>
      </c>
      <c r="F258" s="24" t="inlineStr">
        <is>
          <t>Inter Miami CF</t>
        </is>
      </c>
      <c r="G258" s="24" t="inlineStr">
        <is>
          <t>Chicago Fire FC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138</v>
      </c>
      <c r="M258" s="27" t="n">
        <v>2.38</v>
      </c>
      <c r="N258" s="28" t="n">
        <v>0.420168</v>
      </c>
      <c r="O258" s="28" t="n">
        <v>0.449354</v>
      </c>
      <c r="P258" s="28" t="n">
        <v>0.04</v>
      </c>
      <c r="Q258" s="28" t="n">
        <v>0.029186</v>
      </c>
      <c r="R258" s="26" t="n">
        <v>41</v>
      </c>
      <c r="S258" s="29" t="n">
        <v>1</v>
      </c>
      <c r="T258" s="24" t="inlineStr">
        <is>
          <t>soccer-poisson-dc-v1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1</v>
      </c>
      <c r="Y258" s="25" t="n"/>
      <c r="Z258" s="26" t="n">
        <v>138</v>
      </c>
      <c r="AA258" s="28" t="n">
        <v>0.42</v>
      </c>
      <c r="AB258" s="28" t="n">
        <v>-0.000168</v>
      </c>
      <c r="AC258" s="30" t="n">
        <v>-1</v>
      </c>
      <c r="AD258" s="24" t="inlineStr">
        <is>
          <t>2026-09-10T04:31:32.295300Z</t>
        </is>
      </c>
      <c r="AE258" s="31" t="inlineStr">
        <is>
          <t>Poisson-DC rates 2.50 (home) / 2.23 (away) from EWMA attack/defense strengths. Executable ask 0.4200 (atc-mls-chi-mia-2026-09-09-chi).</t>
        </is>
      </c>
      <c r="AF258" s="31" t="inlineStr">
        <is>
          <t>Research-only soccer score model; draw-aware, but not yet locked-holdout qualified.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Inter Miami CF</t>
        </is>
      </c>
      <c r="AQ258" s="24" t="inlineStr">
        <is>
          <t>Inter Miami CF</t>
        </is>
      </c>
      <c r="AR258" s="24" t="inlineStr">
        <is>
          <t>Inter Miami CF</t>
        </is>
      </c>
      <c r="AS258" s="24" t="inlineStr">
        <is>
          <t>Chicago Fire FC</t>
        </is>
      </c>
      <c r="AT258" s="24" t="inlineStr">
        <is>
          <t>Chicago Fire FC</t>
        </is>
      </c>
      <c r="AU258" s="24" t="inlineStr">
        <is>
          <t>Chicago Fire FC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9c072f5f9cf71a972f86e4222ffca6b72422789e9356ec3b1e371da1132584dd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9c072f5f9cf71a972f86e4222ffca6b72422789e9356ec3b1e371da1132584dd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9c072f5f9cf71a972f86e4222ffca6b72422789e9356ec3b1e371da1132584dd</t>
        </is>
      </c>
      <c r="BH258" s="24" t="inlineStr">
        <is>
          <t>2026-09-09T22:05:10.753695Z</t>
        </is>
      </c>
      <c r="BI258" s="24" t="inlineStr">
        <is>
          <t>["same_event","same_team_same_day","same_league_same_day"]</t>
        </is>
      </c>
      <c r="BJ258" s="25" t="n"/>
      <c r="BK258" s="26" t="n">
        <v>138</v>
      </c>
      <c r="BL258" s="27" t="n">
        <v>2.38</v>
      </c>
      <c r="BM258" s="28" t="n">
        <v>0.420168</v>
      </c>
      <c r="BN258" s="28" t="n"/>
      <c r="BO258" s="28" t="n"/>
      <c r="BP258" s="25" t="n"/>
      <c r="BQ258" s="27" t="n">
        <v>2.38</v>
      </c>
      <c r="BR258" s="28" t="n">
        <v>0.42</v>
      </c>
      <c r="BS258" s="28" t="n"/>
      <c r="BT258" s="28" t="n"/>
      <c r="BU258" s="25" t="n"/>
      <c r="BV258" s="29" t="n"/>
      <c r="BW258" s="24" t="n"/>
      <c r="BX258" s="30" t="n">
        <v>1</v>
      </c>
      <c r="BY258" s="27" t="n">
        <v>-1</v>
      </c>
      <c r="BZ258" s="24" t="inlineStr">
        <is>
          <t>2026-09-10T04:31:32.295300Z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0.420168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b594a7238b2b4c9d</t>
        </is>
      </c>
      <c r="B259" s="24" t="inlineStr">
        <is>
          <t>2026-09-09T22:06:21.332951Z</t>
        </is>
      </c>
      <c r="C259" s="24" t="inlineStr">
        <is>
          <t>2026-09-10T00:30Z</t>
        </is>
      </c>
      <c r="D259" s="24" t="inlineStr">
        <is>
          <t>761791</t>
        </is>
      </c>
      <c r="E259" s="24" t="inlineStr">
        <is>
          <t>SOCCER</t>
        </is>
      </c>
      <c r="F259" s="24" t="inlineStr">
        <is>
          <t>Real Salt Lake</t>
        </is>
      </c>
      <c r="G259" s="24" t="inlineStr">
        <is>
          <t>Houston Dynamo FC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285</v>
      </c>
      <c r="M259" s="27" t="n">
        <v>3.85</v>
      </c>
      <c r="N259" s="28" t="n">
        <v>0.25974</v>
      </c>
      <c r="O259" s="28" t="n">
        <v>0.36166</v>
      </c>
      <c r="P259" s="28" t="n">
        <v>0.04</v>
      </c>
      <c r="Q259" s="28" t="n">
        <v>0.10192</v>
      </c>
      <c r="R259" s="26" t="n">
        <v>77</v>
      </c>
      <c r="S259" s="29" t="n">
        <v>1.5</v>
      </c>
      <c r="T259" s="24" t="inlineStr">
        <is>
          <t>soccer-poisson-dc-v1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2</v>
      </c>
      <c r="Y259" s="25" t="n"/>
      <c r="Z259" s="26" t="n">
        <v>-300</v>
      </c>
      <c r="AA259" s="28" t="n">
        <v>0.75</v>
      </c>
      <c r="AB259" s="28" t="n">
        <v>0.49026</v>
      </c>
      <c r="AC259" s="30" t="n">
        <v>-1.5</v>
      </c>
      <c r="AD259" s="24" t="inlineStr">
        <is>
          <t>2026-09-10T04:31:33.678433Z</t>
        </is>
      </c>
      <c r="AE259" s="31" t="inlineStr">
        <is>
          <t>Poisson-DC rates 1.40 (home) / 1.40 (away) from EWMA attack/defense strengths. Executable ask 0.2600 (atc-mls-hou-rsl-2026-09-09-rsl).</t>
        </is>
      </c>
      <c r="AF259" s="31" t="inlineStr">
        <is>
          <t>Research-only soccer score model; draw-aware, but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Real Salt Lake</t>
        </is>
      </c>
      <c r="AQ259" s="24" t="inlineStr">
        <is>
          <t>Real Salt Lake</t>
        </is>
      </c>
      <c r="AR259" s="24" t="inlineStr">
        <is>
          <t>Real Salt Lake</t>
        </is>
      </c>
      <c r="AS259" s="24" t="inlineStr">
        <is>
          <t>Houston Dynamo FC</t>
        </is>
      </c>
      <c r="AT259" s="24" t="inlineStr">
        <is>
          <t>Houston Dynamo FC</t>
        </is>
      </c>
      <c r="AU259" s="24" t="inlineStr">
        <is>
          <t>Houston Dynamo FC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9c072f5f9cf71a972f86e4222ffca6b72422789e9356ec3b1e371da1132584dd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9c072f5f9cf71a972f86e4222ffca6b72422789e9356ec3b1e371da1132584dd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9c072f5f9cf71a972f86e4222ffca6b72422789e9356ec3b1e371da1132584dd</t>
        </is>
      </c>
      <c r="BH259" s="24" t="inlineStr">
        <is>
          <t>2026-09-09T22:05:10.549255Z</t>
        </is>
      </c>
      <c r="BI259" s="24" t="inlineStr">
        <is>
          <t>["same_event","same_team_same_day","same_league_same_day"]</t>
        </is>
      </c>
      <c r="BJ259" s="25" t="n"/>
      <c r="BK259" s="26" t="n">
        <v>285</v>
      </c>
      <c r="BL259" s="27" t="n">
        <v>3.85</v>
      </c>
      <c r="BM259" s="28" t="n">
        <v>0.25974</v>
      </c>
      <c r="BN259" s="28" t="n"/>
      <c r="BO259" s="28" t="n"/>
      <c r="BP259" s="25" t="n"/>
      <c r="BQ259" s="27" t="n">
        <v>1.333333</v>
      </c>
      <c r="BR259" s="28" t="n">
        <v>0.75</v>
      </c>
      <c r="BS259" s="28" t="n"/>
      <c r="BT259" s="28" t="n"/>
      <c r="BU259" s="25" t="n"/>
      <c r="BV259" s="29" t="n"/>
      <c r="BW259" s="24" t="n"/>
      <c r="BX259" s="30" t="n">
        <v>1</v>
      </c>
      <c r="BY259" s="27" t="n">
        <v>-1</v>
      </c>
      <c r="BZ259" s="24" t="inlineStr">
        <is>
          <t>2026-09-10T04:31:33.678433Z</t>
        </is>
      </c>
      <c r="CA259" s="31" t="inlineStr">
        <is>
          <t>fixed one-unit hypothetical scoring; no real exposure or execution</t>
        </is>
      </c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0.25974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c01bbe0d5f1543e2</t>
        </is>
      </c>
      <c r="B260" s="24" t="inlineStr">
        <is>
          <t>2026-09-09T22:06:21.332951Z</t>
        </is>
      </c>
      <c r="C260" s="24" t="inlineStr">
        <is>
          <t>2026-09-10T00:30Z</t>
        </is>
      </c>
      <c r="D260" s="24" t="inlineStr">
        <is>
          <t>761793</t>
        </is>
      </c>
      <c r="E260" s="24" t="inlineStr">
        <is>
          <t>SOCCER</t>
        </is>
      </c>
      <c r="F260" s="24" t="inlineStr">
        <is>
          <t>FC Dallas</t>
        </is>
      </c>
      <c r="G260" s="24" t="inlineStr">
        <is>
          <t>Minnesota United FC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100</v>
      </c>
      <c r="M260" s="27" t="n">
        <v>2</v>
      </c>
      <c r="N260" s="28" t="n">
        <v>0.5</v>
      </c>
      <c r="O260" s="28" t="n">
        <v>0.375738</v>
      </c>
      <c r="P260" s="28" t="n">
        <v>0.04</v>
      </c>
      <c r="Q260" s="28" t="n">
        <v>-0.124262</v>
      </c>
      <c r="R260" s="26" t="n">
        <v>0</v>
      </c>
      <c r="S260" s="29" t="n">
        <v>1</v>
      </c>
      <c r="T260" s="24" t="inlineStr">
        <is>
          <t>soccer-poisson-dc-v1</t>
        </is>
      </c>
      <c r="U260" s="24" t="inlineStr">
        <is>
          <t>settled</t>
        </is>
      </c>
      <c r="V260" s="24" t="inlineStr">
        <is>
          <t>loss</t>
        </is>
      </c>
      <c r="W260" s="26" t="n">
        <v>2</v>
      </c>
      <c r="X260" s="26" t="n">
        <v>1</v>
      </c>
      <c r="Y260" s="25" t="n"/>
      <c r="Z260" s="26" t="n">
        <v>100</v>
      </c>
      <c r="AA260" s="28" t="n">
        <v>0.5</v>
      </c>
      <c r="AB260" s="28" t="n">
        <v>0</v>
      </c>
      <c r="AC260" s="30" t="n">
        <v>-1</v>
      </c>
      <c r="AD260" s="24" t="inlineStr">
        <is>
          <t>2026-09-10T04:31:35.036653Z</t>
        </is>
      </c>
      <c r="AE260" s="31" t="inlineStr">
        <is>
          <t>Poisson-DC rates 1.50 (home) / 1.46 (away) from EWMA attack/defense strengths. Executable ask 0.5000 (atc-mls-min-dal-2026-09-09-min).</t>
        </is>
      </c>
      <c r="AF260" s="31" t="inlineStr">
        <is>
          <t>Research-only soccer score model; draw-aware, but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FC Dallas</t>
        </is>
      </c>
      <c r="AQ260" s="24" t="inlineStr">
        <is>
          <t>FC Dallas</t>
        </is>
      </c>
      <c r="AR260" s="24" t="inlineStr">
        <is>
          <t>FC Dallas</t>
        </is>
      </c>
      <c r="AS260" s="24" t="inlineStr">
        <is>
          <t>Minnesota United FC</t>
        </is>
      </c>
      <c r="AT260" s="24" t="inlineStr">
        <is>
          <t>Minnesota United FC</t>
        </is>
      </c>
      <c r="AU260" s="24" t="inlineStr">
        <is>
          <t>Minnesota United FC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9c072f5f9cf71a972f86e4222ffca6b72422789e9356ec3b1e371da1132584dd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9c072f5f9cf71a972f86e4222ffca6b72422789e9356ec3b1e371da1132584dd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9c072f5f9cf71a972f86e4222ffca6b72422789e9356ec3b1e371da1132584dd</t>
        </is>
      </c>
      <c r="BH260" s="24" t="inlineStr">
        <is>
          <t>2026-09-09T22:05:10.672761Z</t>
        </is>
      </c>
      <c r="BI260" s="24" t="inlineStr">
        <is>
          <t>["same_event","same_team_same_day","same_league_same_day"]</t>
        </is>
      </c>
      <c r="BJ260" s="25" t="n"/>
      <c r="BK260" s="26" t="n">
        <v>100</v>
      </c>
      <c r="BL260" s="27" t="n">
        <v>2</v>
      </c>
      <c r="BM260" s="28" t="n">
        <v>0.5</v>
      </c>
      <c r="BN260" s="28" t="n"/>
      <c r="BO260" s="28" t="n"/>
      <c r="BP260" s="25" t="n"/>
      <c r="BQ260" s="27" t="n">
        <v>2</v>
      </c>
      <c r="BR260" s="28" t="n">
        <v>0.5</v>
      </c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2026-09-10T04:31:35.036653Z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f1ca90314a64440c</t>
        </is>
      </c>
      <c r="B261" s="24" t="inlineStr">
        <is>
          <t>2026-09-09T22:06:21.332951Z</t>
        </is>
      </c>
      <c r="C261" s="24" t="inlineStr">
        <is>
          <t>2026-09-10T02:30Z</t>
        </is>
      </c>
      <c r="D261" s="24" t="inlineStr">
        <is>
          <t>761796</t>
        </is>
      </c>
      <c r="E261" s="24" t="inlineStr">
        <is>
          <t>SOCCER</t>
        </is>
      </c>
      <c r="F261" s="24" t="inlineStr">
        <is>
          <t>St. Louis CITY SC</t>
        </is>
      </c>
      <c r="G261" s="24" t="inlineStr">
        <is>
          <t>Portland Timbers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150</v>
      </c>
      <c r="M261" s="27" t="n">
        <v>2.5</v>
      </c>
      <c r="N261" s="28" t="n">
        <v>0.4</v>
      </c>
      <c r="O261" s="28" t="n">
        <v>0.465508</v>
      </c>
      <c r="P261" s="28" t="n">
        <v>0.04</v>
      </c>
      <c r="Q261" s="28" t="n">
        <v>0.065508</v>
      </c>
      <c r="R261" s="26" t="n">
        <v>59</v>
      </c>
      <c r="S261" s="29" t="n">
        <v>1.25</v>
      </c>
      <c r="T261" s="24" t="inlineStr">
        <is>
          <t>soccer-poisson-dc-v1</t>
        </is>
      </c>
      <c r="U261" s="24" t="inlineStr">
        <is>
          <t>settled</t>
        </is>
      </c>
      <c r="V261" s="24" t="inlineStr">
        <is>
          <t>loss</t>
        </is>
      </c>
      <c r="W261" s="26" t="n">
        <v>2</v>
      </c>
      <c r="X261" s="26" t="n">
        <v>2</v>
      </c>
      <c r="Y261" s="25" t="n"/>
      <c r="Z261" s="26" t="n">
        <v>150</v>
      </c>
      <c r="AA261" s="28" t="n">
        <v>0.4</v>
      </c>
      <c r="AB261" s="28" t="n">
        <v>0</v>
      </c>
      <c r="AC261" s="30" t="n">
        <v>-1.25</v>
      </c>
      <c r="AD261" s="24" t="inlineStr">
        <is>
          <t>2026-09-10T10:00:18.555674Z</t>
        </is>
      </c>
      <c r="AE261" s="31" t="inlineStr">
        <is>
          <t>Poisson-DC rates 1.91 (home) / 1.49 (away) from EWMA attack/defense strengths. Executable ask 0.4000 (atc-mls-por-stl-2026-09-09-por).</t>
        </is>
      </c>
      <c r="AF261" s="31" t="inlineStr">
        <is>
          <t>Research-only soccer score model; draw-aware, but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St. Louis CITY SC</t>
        </is>
      </c>
      <c r="AQ261" s="24" t="inlineStr">
        <is>
          <t>St. Louis CITY SC</t>
        </is>
      </c>
      <c r="AR261" s="24" t="inlineStr">
        <is>
          <t>St. Louis CITY SC</t>
        </is>
      </c>
      <c r="AS261" s="24" t="inlineStr">
        <is>
          <t>Portland Timbers</t>
        </is>
      </c>
      <c r="AT261" s="24" t="inlineStr">
        <is>
          <t>Portland Timbers</t>
        </is>
      </c>
      <c r="AU261" s="24" t="inlineStr">
        <is>
          <t>Portland Timbers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9c072f5f9cf71a972f86e4222ffca6b72422789e9356ec3b1e371da1132584dd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9c072f5f9cf71a972f86e4222ffca6b72422789e9356ec3b1e371da1132584dd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9c072f5f9cf71a972f86e4222ffca6b72422789e9356ec3b1e371da1132584dd</t>
        </is>
      </c>
      <c r="BH261" s="24" t="inlineStr">
        <is>
          <t>2026-09-09T22:05:11.079527Z</t>
        </is>
      </c>
      <c r="BI261" s="24" t="inlineStr">
        <is>
          <t>["same_event","same_team_same_day","same_league_same_day"]</t>
        </is>
      </c>
      <c r="BJ261" s="25" t="n"/>
      <c r="BK261" s="26" t="n">
        <v>150</v>
      </c>
      <c r="BL261" s="27" t="n">
        <v>2.5</v>
      </c>
      <c r="BM261" s="28" t="n">
        <v>0.4</v>
      </c>
      <c r="BN261" s="28" t="n"/>
      <c r="BO261" s="28" t="n"/>
      <c r="BP261" s="25" t="n"/>
      <c r="BQ261" s="27" t="n">
        <v>2.5</v>
      </c>
      <c r="BR261" s="28" t="n">
        <v>0.4</v>
      </c>
      <c r="BS261" s="28" t="n"/>
      <c r="BT261" s="28" t="n"/>
      <c r="BU261" s="25" t="n"/>
      <c r="BV261" s="29" t="n"/>
      <c r="BW261" s="24" t="n"/>
      <c r="BX261" s="30" t="n">
        <v>1</v>
      </c>
      <c r="BY261" s="27" t="n">
        <v>-1</v>
      </c>
      <c r="BZ261" s="24" t="inlineStr">
        <is>
          <t>2026-09-10T10:00:18.555674Z</t>
        </is>
      </c>
      <c r="CA261" s="31" t="inlineStr">
        <is>
          <t>fixed one-unit hypothetical scoring; no real exposure or execution</t>
        </is>
      </c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0.4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42c909f1e9ea4da5</t>
        </is>
      </c>
      <c r="B262" s="24" t="inlineStr">
        <is>
          <t>2026-09-09T22:06:21.332951Z</t>
        </is>
      </c>
      <c r="C262" s="24" t="inlineStr">
        <is>
          <t>2026-09-10T02:30Z</t>
        </is>
      </c>
      <c r="D262" s="24" t="inlineStr">
        <is>
          <t>761797</t>
        </is>
      </c>
      <c r="E262" s="24" t="inlineStr">
        <is>
          <t>SOCCER</t>
        </is>
      </c>
      <c r="F262" s="24" t="inlineStr">
        <is>
          <t>San Jose Earthquakes</t>
        </is>
      </c>
      <c r="G262" s="24" t="inlineStr">
        <is>
          <t>San Diego FC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-127</v>
      </c>
      <c r="M262" s="27" t="n">
        <v>1.787402</v>
      </c>
      <c r="N262" s="28" t="n">
        <v>0.5594710000000001</v>
      </c>
      <c r="O262" s="28" t="n">
        <v>0.443033</v>
      </c>
      <c r="P262" s="28" t="n">
        <v>0.04</v>
      </c>
      <c r="Q262" s="28" t="n">
        <v>-0.116438</v>
      </c>
      <c r="R262" s="26" t="n">
        <v>0</v>
      </c>
      <c r="S262" s="29" t="n">
        <v>1</v>
      </c>
      <c r="T262" s="24" t="inlineStr">
        <is>
          <t>soccer-poisson-dc-v1</t>
        </is>
      </c>
      <c r="U262" s="24" t="inlineStr">
        <is>
          <t>settled</t>
        </is>
      </c>
      <c r="V262" s="24" t="inlineStr">
        <is>
          <t>loss</t>
        </is>
      </c>
      <c r="W262" s="26" t="n">
        <v>3</v>
      </c>
      <c r="X262" s="26" t="n">
        <v>2</v>
      </c>
      <c r="Y262" s="25" t="n"/>
      <c r="Z262" s="26" t="n">
        <v>-127</v>
      </c>
      <c r="AA262" s="28" t="n">
        <v>0.5600000000000001</v>
      </c>
      <c r="AB262" s="28" t="n">
        <v>0.000529</v>
      </c>
      <c r="AC262" s="30" t="n">
        <v>-1</v>
      </c>
      <c r="AD262" s="24" t="inlineStr">
        <is>
          <t>2026-09-10T10:00:19.634930Z</t>
        </is>
      </c>
      <c r="AE262" s="31" t="inlineStr">
        <is>
          <t>Poisson-DC rates 2.15 (home) / 1.87 (away) from EWMA attack/defense strengths. Executable ask 0.5600 (atc-mls-sdg-sje-2026-09-09-sdg).</t>
        </is>
      </c>
      <c r="AF262" s="31" t="inlineStr">
        <is>
          <t>Research-only soccer score model; draw-aware, but not yet locked-holdout qualified.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San Jose Earthquakes</t>
        </is>
      </c>
      <c r="AQ262" s="24" t="inlineStr">
        <is>
          <t>San Jose Earthquakes</t>
        </is>
      </c>
      <c r="AR262" s="24" t="inlineStr">
        <is>
          <t>San Jose Earthquakes</t>
        </is>
      </c>
      <c r="AS262" s="24" t="inlineStr">
        <is>
          <t>San Diego FC</t>
        </is>
      </c>
      <c r="AT262" s="24" t="inlineStr">
        <is>
          <t>San Diego FC</t>
        </is>
      </c>
      <c r="AU262" s="24" t="inlineStr">
        <is>
          <t>San Diego FC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9c072f5f9cf71a972f86e4222ffca6b72422789e9356ec3b1e371da1132584dd</t>
        </is>
      </c>
      <c r="BB262" s="24" t="inlineStr">
        <is>
          <t>poisson_dixon_coles</t>
        </is>
      </c>
      <c r="BC262" s="24" t="inlineStr">
        <is>
          <t>soccer-poisson-dc-v1</t>
        </is>
      </c>
      <c r="BD262" s="24" t="inlineStr">
        <is>
          <t>9c072f5f9cf71a972f86e4222ffca6b72422789e9356ec3b1e371da1132584dd</t>
        </is>
      </c>
      <c r="BE262" s="24" t="inlineStr">
        <is>
          <t>soccer-poisson-dc-v1</t>
        </is>
      </c>
      <c r="BF262" s="24" t="inlineStr">
        <is>
          <t>1</t>
        </is>
      </c>
      <c r="BG262" s="24" t="inlineStr">
        <is>
          <t>9c072f5f9cf71a972f86e4222ffca6b72422789e9356ec3b1e371da1132584dd</t>
        </is>
      </c>
      <c r="BH262" s="24" t="inlineStr">
        <is>
          <t>2026-09-09T22:05:11.189214Z</t>
        </is>
      </c>
      <c r="BI262" s="24" t="inlineStr">
        <is>
          <t>["same_event","same_team_same_day","same_league_same_day"]</t>
        </is>
      </c>
      <c r="BJ262" s="25" t="n"/>
      <c r="BK262" s="26" t="n">
        <v>-127</v>
      </c>
      <c r="BL262" s="27" t="n">
        <v>1.787402</v>
      </c>
      <c r="BM262" s="28" t="n">
        <v>0.5594710000000001</v>
      </c>
      <c r="BN262" s="28" t="n"/>
      <c r="BO262" s="28" t="n"/>
      <c r="BP262" s="25" t="n"/>
      <c r="BQ262" s="27" t="n">
        <v>1.787402</v>
      </c>
      <c r="BR262" s="28" t="n">
        <v>0.5600000000000001</v>
      </c>
      <c r="BS262" s="28" t="n"/>
      <c r="BT262" s="28" t="n"/>
      <c r="BU262" s="25" t="n"/>
      <c r="BV262" s="29" t="n"/>
      <c r="BW262" s="24" t="n"/>
      <c r="BX262" s="30" t="n">
        <v>1</v>
      </c>
      <c r="BY262" s="27" t="n">
        <v>-1</v>
      </c>
      <c r="BZ262" s="24" t="inlineStr">
        <is>
          <t>2026-09-10T10:00:19.634930Z</t>
        </is>
      </c>
      <c r="CA262" s="31" t="inlineStr">
        <is>
          <t>fixed one-unit hypothetical scoring; no real exposure or execution</t>
        </is>
      </c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0.559471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ea086df393cf42df</t>
        </is>
      </c>
      <c r="B263" s="24" t="inlineStr">
        <is>
          <t>2026-09-09T22:06:21.332951Z</t>
        </is>
      </c>
      <c r="C263" s="24" t="inlineStr">
        <is>
          <t>2026-09-10T02:30Z</t>
        </is>
      </c>
      <c r="D263" s="24" t="inlineStr">
        <is>
          <t>761799</t>
        </is>
      </c>
      <c r="E263" s="24" t="inlineStr">
        <is>
          <t>SOCCER</t>
        </is>
      </c>
      <c r="F263" s="24" t="inlineStr">
        <is>
          <t>LA Galaxy</t>
        </is>
      </c>
      <c r="G263" s="24" t="inlineStr">
        <is>
          <t>Vancouver Whitecaps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-285</v>
      </c>
      <c r="M263" s="27" t="n">
        <v>1.350877</v>
      </c>
      <c r="N263" s="28" t="n">
        <v>0.74026</v>
      </c>
      <c r="O263" s="28" t="n">
        <v>0.725503</v>
      </c>
      <c r="P263" s="28" t="n">
        <v>0.04</v>
      </c>
      <c r="Q263" s="28" t="n">
        <v>-0.014757</v>
      </c>
      <c r="R263" s="26" t="n">
        <v>19</v>
      </c>
      <c r="S263" s="29" t="n">
        <v>1</v>
      </c>
      <c r="T263" s="24" t="inlineStr">
        <is>
          <t>soccer-poisson-dc-v1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3</v>
      </c>
      <c r="Y263" s="25" t="n"/>
      <c r="Z263" s="26" t="n">
        <v>-285</v>
      </c>
      <c r="AA263" s="28" t="n">
        <v>0.74</v>
      </c>
      <c r="AB263" s="28" t="n">
        <v>-0.00026</v>
      </c>
      <c r="AC263" s="30" t="n">
        <v>0.3509</v>
      </c>
      <c r="AD263" s="24" t="inlineStr">
        <is>
          <t>2026-09-10T10:00:20.731318Z</t>
        </is>
      </c>
      <c r="AE263" s="31" t="inlineStr">
        <is>
          <t>Poisson-DC rates 2.61 (home) / 0.93 (away) from EWMA attack/defense strengths. Executable ask 0.7400 (atc-mls-vwh-lag-2026-09-09-vwh).</t>
        </is>
      </c>
      <c r="AF263" s="31" t="inlineStr">
        <is>
          <t>Research-only soccer score model; draw-aware, but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LA Galaxy</t>
        </is>
      </c>
      <c r="AQ263" s="24" t="inlineStr">
        <is>
          <t>LA Galaxy</t>
        </is>
      </c>
      <c r="AR263" s="24" t="inlineStr">
        <is>
          <t>LA Galaxy</t>
        </is>
      </c>
      <c r="AS263" s="24" t="inlineStr">
        <is>
          <t>Vancouver Whitecaps</t>
        </is>
      </c>
      <c r="AT263" s="24" t="inlineStr">
        <is>
          <t>Vancouver Whitecaps</t>
        </is>
      </c>
      <c r="AU263" s="24" t="inlineStr">
        <is>
          <t>Vancouver Whitecaps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9c072f5f9cf71a972f86e4222ffca6b72422789e9356ec3b1e371da1132584dd</t>
        </is>
      </c>
      <c r="BB263" s="24" t="inlineStr">
        <is>
          <t>poisson_dixon_coles</t>
        </is>
      </c>
      <c r="BC263" s="24" t="inlineStr">
        <is>
          <t>soccer-poisson-dc-v1</t>
        </is>
      </c>
      <c r="BD263" s="24" t="inlineStr">
        <is>
          <t>9c072f5f9cf71a972f86e4222ffca6b72422789e9356ec3b1e371da1132584dd</t>
        </is>
      </c>
      <c r="BE263" s="24" t="inlineStr">
        <is>
          <t>soccer-poisson-dc-v1</t>
        </is>
      </c>
      <c r="BF263" s="24" t="inlineStr">
        <is>
          <t>1</t>
        </is>
      </c>
      <c r="BG263" s="24" t="inlineStr">
        <is>
          <t>9c072f5f9cf71a972f86e4222ffca6b72422789e9356ec3b1e371da1132584dd</t>
        </is>
      </c>
      <c r="BH263" s="24" t="inlineStr">
        <is>
          <t>2026-09-09T22:05:10.865654Z</t>
        </is>
      </c>
      <c r="BI263" s="24" t="inlineStr">
        <is>
          <t>["same_event","same_team_same_day","same_league_same_day"]</t>
        </is>
      </c>
      <c r="BJ263" s="25" t="n"/>
      <c r="BK263" s="26" t="n">
        <v>-285</v>
      </c>
      <c r="BL263" s="27" t="n">
        <v>1.350877</v>
      </c>
      <c r="BM263" s="28" t="n">
        <v>0.74026</v>
      </c>
      <c r="BN263" s="28" t="n"/>
      <c r="BO263" s="28" t="n"/>
      <c r="BP263" s="25" t="n"/>
      <c r="BQ263" s="27" t="n">
        <v>1.350877</v>
      </c>
      <c r="BR263" s="28" t="n">
        <v>0.74</v>
      </c>
      <c r="BS263" s="28" t="n"/>
      <c r="BT263" s="28" t="n"/>
      <c r="BU263" s="25" t="n"/>
      <c r="BV263" s="29" t="n"/>
      <c r="BW263" s="24" t="n"/>
      <c r="BX263" s="30" t="n">
        <v>1</v>
      </c>
      <c r="BY263" s="27" t="n">
        <v>0.350877</v>
      </c>
      <c r="BZ263" s="24" t="inlineStr">
        <is>
          <t>2026-09-10T10:00:20.731318Z</t>
        </is>
      </c>
      <c r="CA263" s="31" t="inlineStr">
        <is>
          <t>fixed one-unit hypothetical scoring; no real exposure or execution</t>
        </is>
      </c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0.74026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74ba4ed6384a4b78</t>
        </is>
      </c>
      <c r="B264" s="24" t="inlineStr">
        <is>
          <t>2026-09-09T22:06:21.332951Z</t>
        </is>
      </c>
      <c r="C264" s="24" t="inlineStr">
        <is>
          <t>2026-09-09T22:30Z</t>
        </is>
      </c>
      <c r="D264" s="24" t="inlineStr">
        <is>
          <t>401860329</t>
        </is>
      </c>
      <c r="E264" s="24" t="inlineStr">
        <is>
          <t>SOCCER</t>
        </is>
      </c>
      <c r="F264" s="24" t="inlineStr">
        <is>
          <t>Novorizontino</t>
        </is>
      </c>
      <c r="G264" s="24" t="inlineStr">
        <is>
          <t>Botafogo-SP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270</v>
      </c>
      <c r="M264" s="27" t="n">
        <v>3.7</v>
      </c>
      <c r="N264" s="28" t="n">
        <v>0.27027</v>
      </c>
      <c r="O264" s="28" t="n">
        <v>0.456135</v>
      </c>
      <c r="P264" s="28" t="n">
        <v>0.2</v>
      </c>
      <c r="Q264" s="28" t="n">
        <v>0.185865</v>
      </c>
      <c r="R264" s="26" t="n">
        <v>23</v>
      </c>
      <c r="S264" s="29" t="n">
        <v>1</v>
      </c>
      <c r="T264" s="24" t="inlineStr">
        <is>
          <t>soccer-poisson-dc-v1</t>
        </is>
      </c>
      <c r="U264" s="24" t="inlineStr">
        <is>
          <t>settled</t>
        </is>
      </c>
      <c r="V264" s="24" t="inlineStr">
        <is>
          <t>loss</t>
        </is>
      </c>
      <c r="W264" s="26" t="n">
        <v>3</v>
      </c>
      <c r="X264" s="26" t="n">
        <v>1</v>
      </c>
      <c r="Y264" s="25" t="n"/>
      <c r="Z264" s="26" t="n">
        <v>270</v>
      </c>
      <c r="AA264" s="28" t="n">
        <v>0.27</v>
      </c>
      <c r="AB264" s="28" t="n">
        <v>-0.00027</v>
      </c>
      <c r="AC264" s="30" t="n">
        <v>-1</v>
      </c>
      <c r="AD264" s="24" t="inlineStr">
        <is>
          <t>2026-09-10T04:31:36.826676Z</t>
        </is>
      </c>
      <c r="AE264" s="31" t="inlineStr">
        <is>
          <t>Poisson-DC rates 1.64 (home) / 1.24 (away) from EWMA attack/defense strengths. Executable ask 0.2700 (atc-brb-bot-nov-2026-09-09-bot).</t>
        </is>
      </c>
      <c r="AF264" s="31" t="inlineStr">
        <is>
          <t>Research-only soccer score model; draw-aware, but not yet locked-holdout qualified.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PAPER_CALL_MODEL_UNVALIDATED</t>
        </is>
      </c>
      <c r="AP264" s="24" t="inlineStr">
        <is>
          <t>Novorizontino</t>
        </is>
      </c>
      <c r="AQ264" s="24" t="inlineStr">
        <is>
          <t>Novorizontino</t>
        </is>
      </c>
      <c r="AR264" s="24" t="inlineStr">
        <is>
          <t>Novorizontino</t>
        </is>
      </c>
      <c r="AS264" s="24" t="inlineStr">
        <is>
          <t>Botafogo-SP</t>
        </is>
      </c>
      <c r="AT264" s="24" t="inlineStr">
        <is>
          <t>Botafogo-SP</t>
        </is>
      </c>
      <c r="AU264" s="24" t="inlineStr">
        <is>
          <t>Botafogo-SP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9c072f5f9cf71a972f86e4222ffca6b72422789e9356ec3b1e371da1132584dd</t>
        </is>
      </c>
      <c r="BB264" s="24" t="inlineStr">
        <is>
          <t>poisson_dixon_coles</t>
        </is>
      </c>
      <c r="BC264" s="24" t="inlineStr">
        <is>
          <t>soccer-poisson-dc-v1</t>
        </is>
      </c>
      <c r="BD264" s="24" t="inlineStr">
        <is>
          <t>9c072f5f9cf71a972f86e4222ffca6b72422789e9356ec3b1e371da1132584dd</t>
        </is>
      </c>
      <c r="BE264" s="24" t="inlineStr">
        <is>
          <t>soccer-poisson-dc-v1</t>
        </is>
      </c>
      <c r="BF264" s="24" t="inlineStr">
        <is>
          <t>1</t>
        </is>
      </c>
      <c r="BG264" s="24" t="inlineStr">
        <is>
          <t>9c072f5f9cf71a972f86e4222ffca6b72422789e9356ec3b1e371da1132584dd</t>
        </is>
      </c>
      <c r="BH264" s="24" t="inlineStr">
        <is>
          <t>2026-09-09T22:05:11.336263Z</t>
        </is>
      </c>
      <c r="BI264" s="24" t="inlineStr">
        <is>
          <t>["same_event","same_team_same_day","same_league_same_day"]</t>
        </is>
      </c>
      <c r="BJ264" s="25" t="n"/>
      <c r="BK264" s="26" t="n">
        <v>270</v>
      </c>
      <c r="BL264" s="27" t="n">
        <v>3.7</v>
      </c>
      <c r="BM264" s="28" t="n">
        <v>0.27027</v>
      </c>
      <c r="BN264" s="28" t="n"/>
      <c r="BO264" s="28" t="n"/>
      <c r="BP264" s="25" t="n"/>
      <c r="BQ264" s="27" t="n">
        <v>3.7</v>
      </c>
      <c r="BR264" s="28" t="n">
        <v>0.27</v>
      </c>
      <c r="BS264" s="28" t="n"/>
      <c r="BT264" s="28" t="n"/>
      <c r="BU264" s="25" t="n"/>
      <c r="BV264" s="29" t="n"/>
      <c r="BW264" s="24" t="n"/>
      <c r="BX264" s="30" t="n">
        <v>1</v>
      </c>
      <c r="BY264" s="27" t="n">
        <v>-1</v>
      </c>
      <c r="BZ264" s="24" t="inlineStr">
        <is>
          <t>2026-09-10T04:31:36.826676Z</t>
        </is>
      </c>
      <c r="CA264" s="31" t="inlineStr">
        <is>
          <t>fixed one-unit hypothetical scoring; no real exposure or execution</t>
        </is>
      </c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0.27027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49d0ae1dbc6f4ea3</t>
        </is>
      </c>
      <c r="B265" s="24" t="inlineStr">
        <is>
          <t>2026-09-09T22:06:21.332951Z</t>
        </is>
      </c>
      <c r="C265" s="24" t="inlineStr">
        <is>
          <t>2026-09-09T22:30Z</t>
        </is>
      </c>
      <c r="D265" s="24" t="inlineStr">
        <is>
          <t>401860331</t>
        </is>
      </c>
      <c r="E265" s="24" t="inlineStr">
        <is>
          <t>SOCCER</t>
        </is>
      </c>
      <c r="F265" s="24" t="inlineStr">
        <is>
          <t>Avaí</t>
        </is>
      </c>
      <c r="G265" s="24" t="inlineStr">
        <is>
          <t>Fortaleza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-178</v>
      </c>
      <c r="M265" s="27" t="n">
        <v>1.561798</v>
      </c>
      <c r="N265" s="28" t="n">
        <v>0.640288</v>
      </c>
      <c r="O265" s="28" t="n">
        <v>0.440521</v>
      </c>
      <c r="P265" s="28" t="n">
        <v>0.2</v>
      </c>
      <c r="Q265" s="28" t="n">
        <v>-0.199767</v>
      </c>
      <c r="R265" s="26" t="n">
        <v>0</v>
      </c>
      <c r="S265" s="29" t="n">
        <v>1</v>
      </c>
      <c r="T265" s="24" t="inlineStr">
        <is>
          <t>soccer-poisson-dc-v1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-178</v>
      </c>
      <c r="AA265" s="28" t="n">
        <v>0.64</v>
      </c>
      <c r="AB265" s="28" t="n">
        <v>-0.000288</v>
      </c>
      <c r="AC265" s="30" t="n">
        <v>0.5618</v>
      </c>
      <c r="AD265" s="24" t="inlineStr">
        <is>
          <t>2026-09-10T04:31:38.261521Z</t>
        </is>
      </c>
      <c r="AE265" s="31" t="inlineStr">
        <is>
          <t>Poisson-DC rates 1.46 (home) / 1.10 (away) from EWMA attack/defense strengths. Executable ask 0.6400 (atc-brb-fec-ava-2026-09-09-fec).</t>
        </is>
      </c>
      <c r="AF265" s="31" t="inlineStr">
        <is>
          <t>Research-only soccer score model; draw-aware, but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Avaí</t>
        </is>
      </c>
      <c r="AQ265" s="24" t="inlineStr">
        <is>
          <t>Avaí</t>
        </is>
      </c>
      <c r="AR265" s="24" t="inlineStr">
        <is>
          <t>Avaí</t>
        </is>
      </c>
      <c r="AS265" s="24" t="inlineStr">
        <is>
          <t>Fortaleza</t>
        </is>
      </c>
      <c r="AT265" s="24" t="inlineStr">
        <is>
          <t>Fortaleza</t>
        </is>
      </c>
      <c r="AU265" s="24" t="inlineStr">
        <is>
          <t>Fortaleza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9c072f5f9cf71a972f86e4222ffca6b72422789e9356ec3b1e371da1132584dd</t>
        </is>
      </c>
      <c r="BB265" s="24" t="inlineStr">
        <is>
          <t>poisson_dixon_coles</t>
        </is>
      </c>
      <c r="BC265" s="24" t="inlineStr">
        <is>
          <t>soccer-poisson-dc-v1</t>
        </is>
      </c>
      <c r="BD265" s="24" t="inlineStr">
        <is>
          <t>9c072f5f9cf71a972f86e4222ffca6b72422789e9356ec3b1e371da1132584dd</t>
        </is>
      </c>
      <c r="BE265" s="24" t="inlineStr">
        <is>
          <t>soccer-poisson-dc-v1</t>
        </is>
      </c>
      <c r="BF265" s="24" t="inlineStr">
        <is>
          <t>1</t>
        </is>
      </c>
      <c r="BG265" s="24" t="inlineStr">
        <is>
          <t>9c072f5f9cf71a972f86e4222ffca6b72422789e9356ec3b1e371da1132584dd</t>
        </is>
      </c>
      <c r="BH265" s="24" t="inlineStr">
        <is>
          <t>2026-09-09T22:05:11.361410Z</t>
        </is>
      </c>
      <c r="BI265" s="24" t="inlineStr">
        <is>
          <t>["same_event","same_team_same_day","same_league_same_day"]</t>
        </is>
      </c>
      <c r="BJ265" s="25" t="n"/>
      <c r="BK265" s="26" t="n">
        <v>-178</v>
      </c>
      <c r="BL265" s="27" t="n">
        <v>1.561798</v>
      </c>
      <c r="BM265" s="28" t="n">
        <v>0.640288</v>
      </c>
      <c r="BN265" s="28" t="n"/>
      <c r="BO265" s="28" t="n"/>
      <c r="BP265" s="25" t="n"/>
      <c r="BQ265" s="27" t="n">
        <v>1.561798</v>
      </c>
      <c r="BR265" s="28" t="n">
        <v>0.64</v>
      </c>
      <c r="BS265" s="28" t="n"/>
      <c r="BT265" s="28" t="n"/>
      <c r="BU265" s="25" t="n"/>
      <c r="BV265" s="29" t="n"/>
      <c r="BW265" s="24" t="n"/>
      <c r="BX265" s="30" t="n">
        <v>1</v>
      </c>
      <c r="BY265" s="27" t="n">
        <v>0.561797</v>
      </c>
      <c r="BZ265" s="24" t="inlineStr">
        <is>
          <t>2026-09-10T04:31:38.261521Z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0.640288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b23ba6e5d2d54a28</t>
        </is>
      </c>
      <c r="B266" s="24" t="inlineStr">
        <is>
          <t>2026-09-10T22:04:01.536997Z</t>
        </is>
      </c>
      <c r="C266" s="24" t="inlineStr">
        <is>
          <t>2026-09-10T22:30Z</t>
        </is>
      </c>
      <c r="D266" s="24" t="inlineStr">
        <is>
          <t>401860323</t>
        </is>
      </c>
      <c r="E266" s="24" t="inlineStr">
        <is>
          <t>SOCCER</t>
        </is>
      </c>
      <c r="F266" s="24" t="inlineStr">
        <is>
          <t>Londrina</t>
        </is>
      </c>
      <c r="G266" s="24" t="inlineStr">
        <is>
          <t>São Bernardo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-150</v>
      </c>
      <c r="M266" s="27" t="n">
        <v>1.666667</v>
      </c>
      <c r="N266" s="28" t="n">
        <v>0.6</v>
      </c>
      <c r="O266" s="28" t="n">
        <v>0.456135</v>
      </c>
      <c r="P266" s="28" t="n">
        <v>0.2</v>
      </c>
      <c r="Q266" s="28" t="n">
        <v>-0.143865</v>
      </c>
      <c r="R266" s="26" t="n">
        <v>0</v>
      </c>
      <c r="S266" s="29" t="n">
        <v>1</v>
      </c>
      <c r="T266" s="24" t="inlineStr">
        <is>
          <t>soccer-poisson-dc-v1</t>
        </is>
      </c>
      <c r="U266" s="24" t="inlineStr">
        <is>
          <t>settled</t>
        </is>
      </c>
      <c r="V266" s="24" t="inlineStr">
        <is>
          <t>loss</t>
        </is>
      </c>
      <c r="W266" s="26" t="n">
        <v>2</v>
      </c>
      <c r="X266" s="26" t="n">
        <v>1</v>
      </c>
      <c r="Y266" s="25" t="n"/>
      <c r="Z266" s="26" t="n">
        <v>-150</v>
      </c>
      <c r="AA266" s="28" t="n">
        <v>0.6</v>
      </c>
      <c r="AB266" s="28" t="n">
        <v>0</v>
      </c>
      <c r="AC266" s="30" t="n">
        <v>-1</v>
      </c>
      <c r="AD266" s="24" t="inlineStr">
        <is>
          <t>2026-09-11T04:30:19.702691Z</t>
        </is>
      </c>
      <c r="AE266" s="31" t="inlineStr">
        <is>
          <t>Poisson-DC rates 1.64 (home) / 1.24 (away) from EWMA attack/defense strengths. Executable ask 0.6000 (atc-brb-ber-lon-2026-09-10-ber).</t>
        </is>
      </c>
      <c r="AF266" s="31" t="inlineStr">
        <is>
          <t>Research-only soccer score model; draw-aware, but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PAPER_CALL_MODEL_UNVALIDATED</t>
        </is>
      </c>
      <c r="AP266" s="24" t="inlineStr">
        <is>
          <t>Londrina</t>
        </is>
      </c>
      <c r="AQ266" s="24" t="inlineStr">
        <is>
          <t>Londrina</t>
        </is>
      </c>
      <c r="AR266" s="24" t="inlineStr">
        <is>
          <t>Londrina</t>
        </is>
      </c>
      <c r="AS266" s="24" t="inlineStr">
        <is>
          <t>São Bernardo</t>
        </is>
      </c>
      <c r="AT266" s="24" t="inlineStr">
        <is>
          <t>São Bernardo</t>
        </is>
      </c>
      <c r="AU266" s="24" t="inlineStr">
        <is>
          <t>São Bernardo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3d16277c2cfc0628d7ec79d04feee92735e5c503a3be195cb225c7c52d024308</t>
        </is>
      </c>
      <c r="BB266" s="24" t="inlineStr">
        <is>
          <t>poisson_dixon_coles</t>
        </is>
      </c>
      <c r="BC266" s="24" t="inlineStr">
        <is>
          <t>soccer-poisson-dc-v1</t>
        </is>
      </c>
      <c r="BD266" s="24" t="inlineStr">
        <is>
          <t>3d16277c2cfc0628d7ec79d04feee92735e5c503a3be195cb225c7c52d024308</t>
        </is>
      </c>
      <c r="BE266" s="24" t="inlineStr">
        <is>
          <t>soccer-poisson-dc-v1</t>
        </is>
      </c>
      <c r="BF266" s="24" t="inlineStr">
        <is>
          <t>1</t>
        </is>
      </c>
      <c r="BG266" s="24" t="inlineStr">
        <is>
          <t>3d16277c2cfc0628d7ec79d04feee92735e5c503a3be195cb225c7c52d024308</t>
        </is>
      </c>
      <c r="BH266" s="24" t="inlineStr">
        <is>
          <t>2026-09-10T22:03:47.411692Z</t>
        </is>
      </c>
      <c r="BI266" s="24" t="inlineStr">
        <is>
          <t>["same_event","same_team_same_day","same_league_same_day"]</t>
        </is>
      </c>
      <c r="BJ266" s="25" t="n"/>
      <c r="BK266" s="26" t="n">
        <v>-150</v>
      </c>
      <c r="BL266" s="27" t="n">
        <v>1.666667</v>
      </c>
      <c r="BM266" s="28" t="n">
        <v>0.6</v>
      </c>
      <c r="BN266" s="28" t="n"/>
      <c r="BO266" s="28" t="n"/>
      <c r="BP266" s="25" t="n"/>
      <c r="BQ266" s="27" t="n">
        <v>1.666667</v>
      </c>
      <c r="BR266" s="28" t="n">
        <v>0.6</v>
      </c>
      <c r="BS266" s="28" t="n"/>
      <c r="BT266" s="28" t="n"/>
      <c r="BU266" s="25" t="n"/>
      <c r="BV266" s="29" t="n"/>
      <c r="BW266" s="24" t="n"/>
      <c r="BX266" s="30" t="n">
        <v>1</v>
      </c>
      <c r="BY266" s="27" t="n">
        <v>-1</v>
      </c>
      <c r="BZ266" s="24" t="inlineStr">
        <is>
          <t>2026-09-11T04:30:19.702691Z</t>
        </is>
      </c>
      <c r="CA266" s="31" t="inlineStr">
        <is>
          <t>fixed one-unit hypothetical scoring; no real exposure or execution</t>
        </is>
      </c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</t>
        </is>
      </c>
      <c r="DK266" s="24" t="n"/>
      <c r="DL266" s="24" t="n"/>
      <c r="DM266" s="24" t="n"/>
      <c r="DN266" s="24" t="n"/>
      <c r="DO266" s="24" t="n"/>
      <c r="DP266" s="24" t="n"/>
      <c r="DQ266" s="24" t="inlineStr">
        <is>
          <t>{"artifact_hash": "3d16277c2cfc0628d7ec79d04feee92735e5c503a3be195cb225c7c52d024308", "away_team": "Londrina", "event_id": "401860323", "event_start_utc": "2026-09-10T22:30Z", "features": {"away_goal_rate": 1.2418, "history_games": 9181, "home_goal_rate": 1.6423, "league_goals_per_team": 1.4281, "min_team_games": 0.0}, "historical_source_observation_times_verified": false, "home_team": "S\u00e3o Bernardo",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"2026-09-10T22:04:00.628744+00:00", "probabilities": {"away": 0.278015, "draw": 0.265851, "home": 0.456135}, "replay_scope": "Exact full-precision serving state and rounding; upstream historical observation times are not certified.", "schema": "coded-moneyline-replay-v1", "snapshot_hash": "6759f6d3655781355d8c35e1326771b43fa1a336a841de484ee078f8f16da6a9", "sport": "SOCCER"}</t>
        </is>
      </c>
    </row>
    <row r="267" ht="36" customHeight="1">
      <c r="A267" s="24" t="inlineStr">
        <is>
          <t>5584fc76f15a4d9d</t>
        </is>
      </c>
      <c r="B267" s="24" t="inlineStr">
        <is>
          <t>2026-09-11T16:04:36.820754Z</t>
        </is>
      </c>
      <c r="C267" s="24" t="inlineStr">
        <is>
          <t>2026-09-11T19:00Z</t>
        </is>
      </c>
      <c r="D267" s="24" t="inlineStr">
        <is>
          <t>401882878</t>
        </is>
      </c>
      <c r="E267" s="24" t="inlineStr">
        <is>
          <t>SOCCER</t>
        </is>
      </c>
      <c r="F267" s="24" t="inlineStr">
        <is>
          <t>Valencia</t>
        </is>
      </c>
      <c r="G267" s="24" t="inlineStr">
        <is>
          <t>Sevilla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355</v>
      </c>
      <c r="M267" s="27" t="n">
        <v>4.55</v>
      </c>
      <c r="N267" s="28" t="n">
        <v>0.21978</v>
      </c>
      <c r="O267" s="28" t="n">
        <v>0.378028</v>
      </c>
      <c r="P267" s="28" t="n">
        <v>0.04</v>
      </c>
      <c r="Q267" s="28" t="n">
        <v>0.158248</v>
      </c>
      <c r="R267" s="26" t="n">
        <v>100</v>
      </c>
      <c r="S267" s="29" t="n">
        <v>1.75</v>
      </c>
      <c r="T267" s="24" t="inlineStr">
        <is>
          <t>soccer-poisson-dc-v1</t>
        </is>
      </c>
      <c r="U267" s="24" t="inlineStr">
        <is>
          <t>settled</t>
        </is>
      </c>
      <c r="V267" s="24" t="inlineStr">
        <is>
          <t>loss</t>
        </is>
      </c>
      <c r="W267" s="26" t="n">
        <v>0</v>
      </c>
      <c r="X267" s="26" t="n">
        <v>1</v>
      </c>
      <c r="Y267" s="25" t="n"/>
      <c r="Z267" s="26" t="n">
        <v>-376</v>
      </c>
      <c r="AA267" s="28" t="n">
        <v>0.79</v>
      </c>
      <c r="AB267" s="28" t="n">
        <v>0.5702199999999999</v>
      </c>
      <c r="AC267" s="30" t="n">
        <v>-1.75</v>
      </c>
      <c r="AD267" s="24" t="inlineStr">
        <is>
          <t>2026-09-11T22:00:19.478118Z</t>
        </is>
      </c>
      <c r="AE267" s="31" t="inlineStr">
        <is>
          <t>Poisson-DC rates 1.31 (home) / 1.39 (away) from EWMA attack/defense strengths. Executable ask 0.2200 (atc-lal-sev-val-2026-09-11-val).</t>
        </is>
      </c>
      <c r="AF267" s="31" t="inlineStr">
        <is>
          <t>Research-only soccer score model; draw-aware, but not yet locked-holdout qualified.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Valencia</t>
        </is>
      </c>
      <c r="AQ267" s="24" t="inlineStr">
        <is>
          <t>Valencia</t>
        </is>
      </c>
      <c r="AR267" s="24" t="inlineStr">
        <is>
          <t>Valencia</t>
        </is>
      </c>
      <c r="AS267" s="24" t="inlineStr">
        <is>
          <t>Sevilla</t>
        </is>
      </c>
      <c r="AT267" s="24" t="inlineStr">
        <is>
          <t>Sevilla</t>
        </is>
      </c>
      <c r="AU267" s="24" t="inlineStr">
        <is>
          <t>Sevilla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3d16277c2cfc0628d7ec79d04feee92735e5c503a3be195cb225c7c52d024308</t>
        </is>
      </c>
      <c r="BB267" s="24" t="inlineStr">
        <is>
          <t>poisson_dixon_coles</t>
        </is>
      </c>
      <c r="BC267" s="24" t="inlineStr">
        <is>
          <t>soccer-poisson-dc-v1</t>
        </is>
      </c>
      <c r="BD267" s="24" t="inlineStr">
        <is>
          <t>3d16277c2cfc0628d7ec79d04feee92735e5c503a3be195cb225c7c52d024308</t>
        </is>
      </c>
      <c r="BE267" s="24" t="inlineStr">
        <is>
          <t>soccer-poisson-dc-v1</t>
        </is>
      </c>
      <c r="BF267" s="24" t="inlineStr">
        <is>
          <t>1</t>
        </is>
      </c>
      <c r="BG267" s="24" t="inlineStr">
        <is>
          <t>3d16277c2cfc0628d7ec79d04feee92735e5c503a3be195cb225c7c52d024308</t>
        </is>
      </c>
      <c r="BH267" s="24" t="inlineStr">
        <is>
          <t>2026-09-11T16:03:34.012203Z</t>
        </is>
      </c>
      <c r="BI267" s="24" t="inlineStr">
        <is>
          <t>["same_event","same_team_same_day","same_league_same_day"]</t>
        </is>
      </c>
      <c r="BJ267" s="25" t="n"/>
      <c r="BK267" s="26" t="n">
        <v>355</v>
      </c>
      <c r="BL267" s="27" t="n">
        <v>4.55</v>
      </c>
      <c r="BM267" s="28" t="n">
        <v>0.21978</v>
      </c>
      <c r="BN267" s="28" t="n"/>
      <c r="BO267" s="28" t="n"/>
      <c r="BP267" s="25" t="n"/>
      <c r="BQ267" s="27" t="n">
        <v>1.265957</v>
      </c>
      <c r="BR267" s="28" t="n">
        <v>0.79</v>
      </c>
      <c r="BS267" s="28" t="n"/>
      <c r="BT267" s="28" t="n"/>
      <c r="BU267" s="25" t="n"/>
      <c r="BV267" s="29" t="n"/>
      <c r="BW267" s="24" t="n"/>
      <c r="BX267" s="30" t="n">
        <v>1</v>
      </c>
      <c r="BY267" s="27" t="n">
        <v>-1</v>
      </c>
      <c r="BZ267" s="24" t="inlineStr">
        <is>
          <t>2026-09-11T22:00:19.478118Z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0.21978</t>
        </is>
      </c>
      <c r="DK267" s="24" t="n"/>
      <c r="DL267" s="24" t="n"/>
      <c r="DM267" s="24" t="n"/>
      <c r="DN267" s="24" t="n"/>
      <c r="DO267" s="24" t="n"/>
      <c r="DP267" s="24" t="n"/>
      <c r="DQ267" s="24" t="inlineStr">
        <is>
          <t>{"artifact_hash": "3d16277c2cfc0628d7ec79d04feee92735e5c503a3be195cb225c7c52d024308", "away_team": "Valencia", "event_id": "401882878", "event_start_utc": "2026-09-11T19:00Z", "features": {"away_goal_rate": 1.391, "history_games": 9181, "home_goal_rate": 1.3074, "league_goals_per_team": 1.325, "min_team_games": 96.0}, "historical_source_observation_times_verified": false, "home_team": "Sevilla", "inference_inputs": {"away_rate": 1.3910353205175674, "code_sha256": {"models/soccer.py": "3d16277c2cfc0628d7ec79d04feee92735e5c503a3be195cb225c7c52d024308"}, "home_rate": 1.3074001333945688, "sport": "SOCCER"}, "market_type": "moneyline", "model_version": "soccer-poisson-dc-v1", "observed_at_utc": "2026-09-11T16:04:36.029419+00:00", "probabilities": {"away": 0.378028, "draw": 0.282487, "home": 0.339484}, "replay_scope": "Exact full-precision serving state and rounding; upstream historical observation times are not certified.", "schema": "coded-moneyline-replay-v1", "snapshot_hash": "5bb7338891a94d303d78a64b5f61bf9f01817b90308b73b7f077081a0d9a211d", "sport": "SOCCER"}</t>
        </is>
      </c>
    </row>
    <row r="268" ht="36" customHeight="1">
      <c r="A268" s="24" t="inlineStr">
        <is>
          <t>083222f68fd148b7</t>
        </is>
      </c>
      <c r="B268" s="24" t="inlineStr">
        <is>
          <t>2026-09-11T16:04:36.820754Z</t>
        </is>
      </c>
      <c r="C268" s="24" t="inlineStr">
        <is>
          <t>2026-09-11T18:30Z</t>
        </is>
      </c>
      <c r="D268" s="24" t="inlineStr">
        <is>
          <t>401884793</t>
        </is>
      </c>
      <c r="E268" s="24" t="inlineStr">
        <is>
          <t>SOCCER</t>
        </is>
      </c>
      <c r="F268" s="24" t="inlineStr">
        <is>
          <t>Schalke 04</t>
        </is>
      </c>
      <c r="G268" s="24" t="inlineStr">
        <is>
          <t>1. FC Union Berlin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150</v>
      </c>
      <c r="M268" s="27" t="n">
        <v>2.5</v>
      </c>
      <c r="N268" s="28" t="n">
        <v>0.4</v>
      </c>
      <c r="O268" s="28" t="n">
        <v>0.404635</v>
      </c>
      <c r="P268" s="28" t="n">
        <v>0.2</v>
      </c>
      <c r="Q268" s="28" t="n">
        <v>0.004635</v>
      </c>
      <c r="R268" s="26" t="n">
        <v>0</v>
      </c>
      <c r="S268" s="29" t="n">
        <v>1</v>
      </c>
      <c r="T268" s="24" t="inlineStr">
        <is>
          <t>soccer-poisson-dc-v1</t>
        </is>
      </c>
      <c r="U268" s="24" t="inlineStr">
        <is>
          <t>settled</t>
        </is>
      </c>
      <c r="V268" s="24" t="inlineStr">
        <is>
          <t>loss</t>
        </is>
      </c>
      <c r="W268" s="26" t="n">
        <v>3</v>
      </c>
      <c r="X268" s="26" t="n">
        <v>1</v>
      </c>
      <c r="Y268" s="25" t="n"/>
      <c r="Z268" s="26" t="n">
        <v>150</v>
      </c>
      <c r="AA268" s="28" t="n">
        <v>0.4</v>
      </c>
      <c r="AB268" s="28" t="n">
        <v>0</v>
      </c>
      <c r="AC268" s="30" t="n">
        <v>-1</v>
      </c>
      <c r="AD268" s="24" t="inlineStr">
        <is>
          <t>2026-09-11T22:00:20.599739Z</t>
        </is>
      </c>
      <c r="AE268" s="31" t="inlineStr">
        <is>
          <t>Poisson-DC rates 1.64 (home) / 1.48 (away) from EWMA attack/defense strengths. Executable ask 0.4000 (atc-bun-unb-s04-2026-09-11-unb).</t>
        </is>
      </c>
      <c r="AF268" s="31" t="inlineStr">
        <is>
          <t>Research-only soccer score model; draw-aware, but not yet locked-holdout qualified.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Schalke 04</t>
        </is>
      </c>
      <c r="AQ268" s="24" t="inlineStr">
        <is>
          <t>Schalke 04</t>
        </is>
      </c>
      <c r="AR268" s="24" t="inlineStr">
        <is>
          <t>Schalke 04</t>
        </is>
      </c>
      <c r="AS268" s="24" t="inlineStr">
        <is>
          <t>1. FC Union Berlin</t>
        </is>
      </c>
      <c r="AT268" s="24" t="inlineStr">
        <is>
          <t>1. FC Union Berlin</t>
        </is>
      </c>
      <c r="AU268" s="24" t="inlineStr">
        <is>
          <t>1. FC Union Berlin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3d16277c2cfc0628d7ec79d04feee92735e5c503a3be195cb225c7c52d024308</t>
        </is>
      </c>
      <c r="BB268" s="24" t="inlineStr">
        <is>
          <t>poisson_dixon_coles</t>
        </is>
      </c>
      <c r="BC268" s="24" t="inlineStr">
        <is>
          <t>soccer-poisson-dc-v1</t>
        </is>
      </c>
      <c r="BD268" s="24" t="inlineStr">
        <is>
          <t>3d16277c2cfc0628d7ec79d04feee92735e5c503a3be195cb225c7c52d024308</t>
        </is>
      </c>
      <c r="BE268" s="24" t="inlineStr">
        <is>
          <t>soccer-poisson-dc-v1</t>
        </is>
      </c>
      <c r="BF268" s="24" t="inlineStr">
        <is>
          <t>1</t>
        </is>
      </c>
      <c r="BG268" s="24" t="inlineStr">
        <is>
          <t>3d16277c2cfc0628d7ec79d04feee92735e5c503a3be195cb225c7c52d024308</t>
        </is>
      </c>
      <c r="BH268" s="24" t="inlineStr">
        <is>
          <t>2026-09-11T16:03:34.144166Z</t>
        </is>
      </c>
      <c r="BI268" s="24" t="inlineStr">
        <is>
          <t>["same_event","same_team_same_day","same_league_same_day"]</t>
        </is>
      </c>
      <c r="BJ268" s="25" t="n"/>
      <c r="BK268" s="26" t="n">
        <v>150</v>
      </c>
      <c r="BL268" s="27" t="n">
        <v>2.5</v>
      </c>
      <c r="BM268" s="28" t="n">
        <v>0.4</v>
      </c>
      <c r="BN268" s="28" t="n"/>
      <c r="BO268" s="28" t="n"/>
      <c r="BP268" s="25" t="n"/>
      <c r="BQ268" s="27" t="n">
        <v>2.5</v>
      </c>
      <c r="BR268" s="28" t="n">
        <v>0.4</v>
      </c>
      <c r="BS268" s="28" t="n"/>
      <c r="BT268" s="28" t="n"/>
      <c r="BU268" s="25" t="n"/>
      <c r="BV268" s="29" t="n"/>
      <c r="BW268" s="24" t="n"/>
      <c r="BX268" s="30" t="n">
        <v>1</v>
      </c>
      <c r="BY268" s="27" t="n">
        <v>-1</v>
      </c>
      <c r="BZ268" s="24" t="inlineStr">
        <is>
          <t>2026-09-11T22:00:20.599739Z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0.4</t>
        </is>
      </c>
      <c r="DK268" s="24" t="n"/>
      <c r="DL268" s="24" t="n"/>
      <c r="DM268" s="24" t="n"/>
      <c r="DN268" s="24" t="n"/>
      <c r="DO268" s="24" t="n"/>
      <c r="DP268" s="24" t="n"/>
      <c r="DQ268" s="24" t="inlineStr">
        <is>
          <t>{"artifact_hash": "3d16277c2cfc0628d7ec79d04feee92735e5c503a3be195cb225c7c52d024308", "away_team": "Schalke 04", "event_id": "401884793", "event_start_utc": "2026-09-11T18:30Z", "features": {"away_goal_rate": 1.4801, "history_games": 9181, "home_goal_rate": 1.6369, "league_goals_per_team": 1.5832, "min_team_games": 0.0}, "historical_source_observation_times_verified": false, "home_team": "1. FC Union Berlin", "inference_inputs": {"away_rate": 1.4800589250782934, "code_sha256": {"models/soccer.py": "3d16277c2cfc0628d7ec79d04feee92735e5c503a3be195cb225c7c52d024308"}, "home_rate": 1.6368898643269902, "sport": "SOCCER"}, "market_type": "moneyline", "model_version": "soccer-poisson-dc-v1", "observed_at_utc": "2026-09-11T16:04:36.029419+00:00", "probabilities": {"away": 0.336894, "draw": 0.258472, "home": 0.404635}, "replay_scope": "Exact full-precision serving state and rounding; upstream historical observation times are not certified.", "schema": "coded-moneyline-replay-v1", "snapshot_hash": "3e60e67d768492e49ff1993dd00b2890d9463cf61775f34e464894328c7a3da0", "sport": "SOCCER"}</t>
        </is>
      </c>
    </row>
    <row r="269" ht="36" customHeight="1">
      <c r="A269" s="24" t="inlineStr">
        <is>
          <t>5b3dee24c746486a</t>
        </is>
      </c>
      <c r="B269" s="24" t="inlineStr">
        <is>
          <t>2026-09-11T16:04:36.820754Z</t>
        </is>
      </c>
      <c r="C269" s="24" t="inlineStr">
        <is>
          <t>2026-09-11T18:45Z</t>
        </is>
      </c>
      <c r="D269" s="24" t="inlineStr">
        <is>
          <t>401874759</t>
        </is>
      </c>
      <c r="E269" s="24" t="inlineStr">
        <is>
          <t>SOCCER</t>
        </is>
      </c>
      <c r="F269" s="24" t="inlineStr">
        <is>
          <t>Fiorentina</t>
        </is>
      </c>
      <c r="G269" s="24" t="inlineStr">
        <is>
          <t>Venezia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163</v>
      </c>
      <c r="M269" s="27" t="n">
        <v>2.63</v>
      </c>
      <c r="N269" s="28" t="n">
        <v>0.380228</v>
      </c>
      <c r="O269" s="28" t="n">
        <v>0.366366</v>
      </c>
      <c r="P269" s="28" t="n">
        <v>0.04</v>
      </c>
      <c r="Q269" s="28" t="n">
        <v>-0.013862</v>
      </c>
      <c r="R269" s="26" t="n">
        <v>19</v>
      </c>
      <c r="S269" s="29" t="n">
        <v>1</v>
      </c>
      <c r="T269" s="24" t="inlineStr">
        <is>
          <t>soccer-poisson-dc-v1</t>
        </is>
      </c>
      <c r="U269" s="24" t="inlineStr">
        <is>
          <t>settled</t>
        </is>
      </c>
      <c r="V269" s="24" t="inlineStr">
        <is>
          <t>win</t>
        </is>
      </c>
      <c r="W269" s="26" t="n">
        <v>4</v>
      </c>
      <c r="X269" s="26" t="n">
        <v>2</v>
      </c>
      <c r="Y269" s="25" t="n"/>
      <c r="Z269" s="26" t="n">
        <v>-170</v>
      </c>
      <c r="AA269" s="28" t="n">
        <v>0.63</v>
      </c>
      <c r="AB269" s="28" t="n">
        <v>0.249772</v>
      </c>
      <c r="AC269" s="30" t="n">
        <v>1.63</v>
      </c>
      <c r="AD269" s="24" t="inlineStr">
        <is>
          <t>2026-09-11T22:00:21.737780Z</t>
        </is>
      </c>
      <c r="AE269" s="31" t="inlineStr">
        <is>
          <t>Poisson-DC rates 0.95 (home) / 1.07 (away) from EWMA attack/defense strengths. Executable ask 0.3800 (atc-sea-ven-fio-2026-09-11-fio).</t>
        </is>
      </c>
      <c r="AF269" s="31" t="inlineStr">
        <is>
          <t>Research-only soccer score model; draw-aware, but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Fiorentina</t>
        </is>
      </c>
      <c r="AQ269" s="24" t="inlineStr">
        <is>
          <t>Fiorentina</t>
        </is>
      </c>
      <c r="AR269" s="24" t="inlineStr">
        <is>
          <t>Fiorentina</t>
        </is>
      </c>
      <c r="AS269" s="24" t="inlineStr">
        <is>
          <t>Venezia</t>
        </is>
      </c>
      <c r="AT269" s="24" t="inlineStr">
        <is>
          <t>Venezia</t>
        </is>
      </c>
      <c r="AU269" s="24" t="inlineStr">
        <is>
          <t>Venezia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3d16277c2cfc0628d7ec79d04feee92735e5c503a3be195cb225c7c52d024308</t>
        </is>
      </c>
      <c r="BB269" s="24" t="inlineStr">
        <is>
          <t>poisson_dixon_coles</t>
        </is>
      </c>
      <c r="BC269" s="24" t="inlineStr">
        <is>
          <t>soccer-poisson-dc-v1</t>
        </is>
      </c>
      <c r="BD269" s="24" t="inlineStr">
        <is>
          <t>3d16277c2cfc0628d7ec79d04feee92735e5c503a3be195cb225c7c52d024308</t>
        </is>
      </c>
      <c r="BE269" s="24" t="inlineStr">
        <is>
          <t>soccer-poisson-dc-v1</t>
        </is>
      </c>
      <c r="BF269" s="24" t="inlineStr">
        <is>
          <t>1</t>
        </is>
      </c>
      <c r="BG269" s="24" t="inlineStr">
        <is>
          <t>3d16277c2cfc0628d7ec79d04feee92735e5c503a3be195cb225c7c52d024308</t>
        </is>
      </c>
      <c r="BH269" s="24" t="inlineStr">
        <is>
          <t>2026-09-11T16:03:34.326698Z</t>
        </is>
      </c>
      <c r="BI269" s="24" t="inlineStr">
        <is>
          <t>["same_event","same_team_same_day","same_league_same_day"]</t>
        </is>
      </c>
      <c r="BJ269" s="25" t="n"/>
      <c r="BK269" s="26" t="n">
        <v>163</v>
      </c>
      <c r="BL269" s="27" t="n">
        <v>2.63</v>
      </c>
      <c r="BM269" s="28" t="n">
        <v>0.380228</v>
      </c>
      <c r="BN269" s="28" t="n"/>
      <c r="BO269" s="28" t="n"/>
      <c r="BP269" s="25" t="n"/>
      <c r="BQ269" s="27" t="n">
        <v>1.588235</v>
      </c>
      <c r="BR269" s="28" t="n">
        <v>0.63</v>
      </c>
      <c r="BS269" s="28" t="n"/>
      <c r="BT269" s="28" t="n"/>
      <c r="BU269" s="25" t="n"/>
      <c r="BV269" s="29" t="n"/>
      <c r="BW269" s="24" t="n"/>
      <c r="BX269" s="30" t="n">
        <v>1</v>
      </c>
      <c r="BY269" s="27" t="n">
        <v>1.630001</v>
      </c>
      <c r="BZ269" s="24" t="inlineStr">
        <is>
          <t>2026-09-11T22:00:21.737780Z</t>
        </is>
      </c>
      <c r="CA269" s="31" t="inlineStr">
        <is>
          <t>fixed one-unit hypothetical scoring; no real exposure or execution</t>
        </is>
      </c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0.380228</t>
        </is>
      </c>
      <c r="DK269" s="24" t="n"/>
      <c r="DL269" s="24" t="n"/>
      <c r="DM269" s="24" t="n"/>
      <c r="DN269" s="24" t="n"/>
      <c r="DO269" s="24" t="n"/>
      <c r="DP269" s="24" t="n"/>
      <c r="DQ269" s="24" t="inlineStr">
        <is>
          <t>{"artifact_hash": "3d16277c2cfc0628d7ec79d04feee92735e5c503a3be195cb225c7c52d024308", "away_team": "Fiorentina", "event_id": "401874759", "event_start_utc": "2026-09-11T18:45Z", "features": {"away_goal_rate": 1.0722, "history_games": 9181, "home_goal_rate": 0.9463, "league_goals_per_team": 1.2703, "min_team_games": 38.0}, "historical_source_observation_times_verified": false, "home_team": "Venezia", "inference_inputs": {"away_rate": 1.0721707293471707, "code_sha256": {"models/soccer.py": "3d16277c2cfc0628d7ec79d04feee92735e5c503a3be195cb225c7c52d024308"}, "home_rate": 0.9462557173792293, "sport": "SOCCER"}, "market_type": "moneyline", "model_version": "soccer-poisson-dc-v1", "observed_at_utc": "2026-09-11T16:04:36.029419+00:00", "probabilities": {"away": 0.366366, "draw": 0.332919, "home": 0.300714}, "replay_scope": "Exact full-precision serving state and rounding; upstream historical observation times are not certified.", "schema": "coded-moneyline-replay-v1", "snapshot_hash": "2afd6be4ce768a675b1fef3269398ad967b7a097484b6b243a7abda87108cd30", "sport": "SOCCER"}</t>
        </is>
      </c>
    </row>
    <row r="270" ht="36" customHeight="1">
      <c r="A270" s="24" t="inlineStr">
        <is>
          <t>06b6091ab05149cc</t>
        </is>
      </c>
      <c r="B270" s="24" t="inlineStr">
        <is>
          <t>2026-09-11T22:03:44.334780Z</t>
        </is>
      </c>
      <c r="C270" s="24" t="inlineStr">
        <is>
          <t>2026-09-11T22:15Z</t>
        </is>
      </c>
      <c r="D270" s="24" t="inlineStr">
        <is>
          <t>401841556</t>
        </is>
      </c>
      <c r="E270" s="24" t="inlineStr">
        <is>
          <t>SOCCER</t>
        </is>
      </c>
      <c r="F270" s="24" t="inlineStr">
        <is>
          <t>Gimnasia (Mendoza)</t>
        </is>
      </c>
      <c r="G270" s="24" t="inlineStr">
        <is>
          <t>Defensa y Justicia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104</v>
      </c>
      <c r="M270" s="27" t="n">
        <v>2.04</v>
      </c>
      <c r="N270" s="28" t="n">
        <v>0.490196</v>
      </c>
      <c r="O270" s="28" t="n">
        <v>0.456135</v>
      </c>
      <c r="P270" s="28" t="n">
        <v>0.2</v>
      </c>
      <c r="Q270" s="28" t="n">
        <v>-0.034061</v>
      </c>
      <c r="R270" s="26" t="n">
        <v>0</v>
      </c>
      <c r="S270" s="29" t="n">
        <v>1</v>
      </c>
      <c r="T270" s="24" t="inlineStr">
        <is>
          <t>soccer-poisson-dc-v1</t>
        </is>
      </c>
      <c r="U270" s="24" t="inlineStr">
        <is>
          <t>settled</t>
        </is>
      </c>
      <c r="V270" s="24" t="inlineStr">
        <is>
          <t>win</t>
        </is>
      </c>
      <c r="W270" s="26" t="n">
        <v>0</v>
      </c>
      <c r="X270" s="26" t="n">
        <v>2</v>
      </c>
      <c r="Y270" s="25" t="n"/>
      <c r="Z270" s="26" t="n">
        <v>104</v>
      </c>
      <c r="AA270" s="28" t="n">
        <v>0.49</v>
      </c>
      <c r="AB270" s="28" t="n">
        <v>-0.000196</v>
      </c>
      <c r="AC270" s="30" t="n">
        <v>1.04</v>
      </c>
      <c r="AD270" s="24" t="inlineStr">
        <is>
          <t>2026-09-12T04:30:55.943657Z</t>
        </is>
      </c>
      <c r="AE270" s="31" t="inlineStr">
        <is>
          <t>Poisson-DC rates 1.64 (home) / 1.24 (away) from EWMA attack/defense strengths. Executable ask 0.4900 (atc-lpa-def-gye-2026-09-11-def).</t>
        </is>
      </c>
      <c r="AF270" s="31" t="inlineStr">
        <is>
          <t>Research-only soccer score model; draw-aware, but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PAPER_CALL_MODEL_UNVALIDATED</t>
        </is>
      </c>
      <c r="AP270" s="24" t="inlineStr">
        <is>
          <t>Gimnasia (Mendoza)</t>
        </is>
      </c>
      <c r="AQ270" s="24" t="inlineStr">
        <is>
          <t>Gimnasia (Mendoza)</t>
        </is>
      </c>
      <c r="AR270" s="24" t="inlineStr">
        <is>
          <t>Gimnasia (Mendoza)</t>
        </is>
      </c>
      <c r="AS270" s="24" t="inlineStr">
        <is>
          <t>Defensa y Justicia</t>
        </is>
      </c>
      <c r="AT270" s="24" t="inlineStr">
        <is>
          <t>Defensa y Justicia</t>
        </is>
      </c>
      <c r="AU270" s="24" t="inlineStr">
        <is>
          <t>Defensa y Justicia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3d16277c2cfc0628d7ec79d04feee92735e5c503a3be195cb225c7c52d024308</t>
        </is>
      </c>
      <c r="BB270" s="24" t="inlineStr">
        <is>
          <t>poisson_dixon_coles</t>
        </is>
      </c>
      <c r="BC270" s="24" t="inlineStr">
        <is>
          <t>soccer-poisson-dc-v1</t>
        </is>
      </c>
      <c r="BD270" s="24" t="inlineStr">
        <is>
          <t>3d16277c2cfc0628d7ec79d04feee92735e5c503a3be195cb225c7c52d024308</t>
        </is>
      </c>
      <c r="BE270" s="24" t="inlineStr">
        <is>
          <t>soccer-poisson-dc-v1</t>
        </is>
      </c>
      <c r="BF270" s="24" t="inlineStr">
        <is>
          <t>1</t>
        </is>
      </c>
      <c r="BG270" s="24" t="inlineStr">
        <is>
          <t>3d16277c2cfc0628d7ec79d04feee92735e5c503a3be195cb225c7c52d024308</t>
        </is>
      </c>
      <c r="BH270" s="24" t="inlineStr">
        <is>
          <t>2026-09-11T22:03:02.240623Z</t>
        </is>
      </c>
      <c r="BI270" s="24" t="inlineStr">
        <is>
          <t>["same_event","same_team_same_day","same_league_same_day"]</t>
        </is>
      </c>
      <c r="BJ270" s="25" t="n"/>
      <c r="BK270" s="26" t="n">
        <v>104</v>
      </c>
      <c r="BL270" s="27" t="n">
        <v>2.04</v>
      </c>
      <c r="BM270" s="28" t="n">
        <v>0.490196</v>
      </c>
      <c r="BN270" s="28" t="n"/>
      <c r="BO270" s="28" t="n"/>
      <c r="BP270" s="25" t="n"/>
      <c r="BQ270" s="27" t="n">
        <v>2.04</v>
      </c>
      <c r="BR270" s="28" t="n">
        <v>0.49</v>
      </c>
      <c r="BS270" s="28" t="n"/>
      <c r="BT270" s="28" t="n"/>
      <c r="BU270" s="25" t="n"/>
      <c r="BV270" s="29" t="n"/>
      <c r="BW270" s="24" t="n"/>
      <c r="BX270" s="30" t="n">
        <v>1</v>
      </c>
      <c r="BY270" s="27" t="n">
        <v>1.04</v>
      </c>
      <c r="BZ270" s="24" t="inlineStr">
        <is>
          <t>2026-09-12T04:30:55.943657Z</t>
        </is>
      </c>
      <c r="CA270" s="31" t="inlineStr">
        <is>
          <t>fixed one-unit hypothetical scoring; no real exposure or execution</t>
        </is>
      </c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0.490196</t>
        </is>
      </c>
      <c r="DK270" s="24" t="n"/>
      <c r="DL270" s="24" t="n"/>
      <c r="DM270" s="24" t="n"/>
      <c r="DN270" s="24" t="n"/>
      <c r="DO270" s="24" t="n"/>
      <c r="DP270" s="24" t="n"/>
      <c r="DQ270" s="24" t="inlineStr">
        <is>
          <t>{"artifact_hash": "3d16277c2cfc0628d7ec79d04feee92735e5c503a3be195cb225c7c52d024308", "away_team": "Gimnasia (Mendoza)", "event_id": "401841556", "event_start_utc": "2026-09-11T22:15Z", "features": {"away_goal_rate": 1.2418, "history_games": 9181, "home_goal_rate": 1.6423, "league_goals_per_team": 1.4281, "min_team_games": 0.0}, "historical_source_observation_times_verified": false, "home_team": "Defensa y Justicia",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"2026-09-11T22:03:43.455941+00:00", "probabilities": {"away": 0.278015, "draw": 0.265851, "home": 0.456135}, "replay_scope": "Exact full-precision serving state and rounding; upstream historical observation times are not certified.", "schema": "coded-moneyline-replay-v1", "snapshot_hash": "c02bde6654f1178caca5b9cee49ac27c5c922c1d16693913ba168e9848165022", "sport": "SOCCER"}</t>
        </is>
      </c>
    </row>
    <row r="271" ht="36" customHeight="1">
      <c r="A271" s="24" t="inlineStr">
        <is>
          <t>9510f6f083644922</t>
        </is>
      </c>
      <c r="B271" s="24" t="inlineStr">
        <is>
          <t>2026-09-11T22:03:44.334780Z</t>
        </is>
      </c>
      <c r="C271" s="24" t="inlineStr">
        <is>
          <t>2026-09-12T00:00Z</t>
        </is>
      </c>
      <c r="D271" s="24" t="inlineStr">
        <is>
          <t>401886188</t>
        </is>
      </c>
      <c r="E271" s="24" t="inlineStr">
        <is>
          <t>SOCCER</t>
        </is>
      </c>
      <c r="F271" s="24" t="inlineStr">
        <is>
          <t>Melgar</t>
        </is>
      </c>
      <c r="G271" s="24" t="inlineStr">
        <is>
          <t>Cusco FC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108</v>
      </c>
      <c r="M271" s="27" t="n">
        <v>2.08</v>
      </c>
      <c r="N271" s="28" t="n">
        <v>0.480769</v>
      </c>
      <c r="O271" s="28" t="n">
        <v>0.54278</v>
      </c>
      <c r="P271" s="28" t="n">
        <v>0.2</v>
      </c>
      <c r="Q271" s="28" t="n">
        <v>0.062011</v>
      </c>
      <c r="R271" s="26" t="n">
        <v>0</v>
      </c>
      <c r="S271" s="29" t="n">
        <v>1</v>
      </c>
      <c r="T271" s="24" t="inlineStr">
        <is>
          <t>soccer-poisson-dc-v1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0</v>
      </c>
      <c r="Y271" s="25" t="n"/>
      <c r="Z271" s="26" t="n">
        <v>108</v>
      </c>
      <c r="AA271" s="28" t="n">
        <v>0.48</v>
      </c>
      <c r="AB271" s="28" t="n">
        <v>-0.000769</v>
      </c>
      <c r="AC271" s="30" t="n">
        <v>-1</v>
      </c>
      <c r="AD271" s="24" t="inlineStr">
        <is>
          <t>2026-09-12T04:30:57.400534Z</t>
        </is>
      </c>
      <c r="AE271" s="31" t="inlineStr">
        <is>
          <t>Poisson-DC rates 1.97 (home) / 1.20 (away) from EWMA attack/defense strengths. Executable ask 0.4800 (atc-pl1-gar-mel-2026-09-11-gar).</t>
        </is>
      </c>
      <c r="AF271" s="31" t="inlineStr">
        <is>
          <t>Research-only soccer score model; draw-aware, but not yet locked-holdout qualified.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PAPER_CALL_MODEL_UNVALIDATED</t>
        </is>
      </c>
      <c r="AP271" s="24" t="inlineStr">
        <is>
          <t>Melgar</t>
        </is>
      </c>
      <c r="AQ271" s="24" t="inlineStr">
        <is>
          <t>Melgar</t>
        </is>
      </c>
      <c r="AR271" s="24" t="inlineStr">
        <is>
          <t>Melgar</t>
        </is>
      </c>
      <c r="AS271" s="24" t="inlineStr">
        <is>
          <t>Cusco FC</t>
        </is>
      </c>
      <c r="AT271" s="24" t="inlineStr">
        <is>
          <t>Cusco FC</t>
        </is>
      </c>
      <c r="AU271" s="24" t="inlineStr">
        <is>
          <t>Cusco FC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3d16277c2cfc0628d7ec79d04feee92735e5c503a3be195cb225c7c52d024308</t>
        </is>
      </c>
      <c r="BB271" s="24" t="inlineStr">
        <is>
          <t>poisson_dixon_coles</t>
        </is>
      </c>
      <c r="BC271" s="24" t="inlineStr">
        <is>
          <t>soccer-poisson-dc-v1</t>
        </is>
      </c>
      <c r="BD271" s="24" t="inlineStr">
        <is>
          <t>3d16277c2cfc0628d7ec79d04feee92735e5c503a3be195cb225c7c52d024308</t>
        </is>
      </c>
      <c r="BE271" s="24" t="inlineStr">
        <is>
          <t>soccer-poisson-dc-v1</t>
        </is>
      </c>
      <c r="BF271" s="24" t="inlineStr">
        <is>
          <t>1</t>
        </is>
      </c>
      <c r="BG271" s="24" t="inlineStr">
        <is>
          <t>3d16277c2cfc0628d7ec79d04feee92735e5c503a3be195cb225c7c52d024308</t>
        </is>
      </c>
      <c r="BH271" s="24" t="inlineStr">
        <is>
          <t>2026-09-11T22:03:02.303015Z</t>
        </is>
      </c>
      <c r="BI271" s="24" t="inlineStr">
        <is>
          <t>["same_event","same_team_same_day","same_league_same_day"]</t>
        </is>
      </c>
      <c r="BJ271" s="25" t="n"/>
      <c r="BK271" s="26" t="n">
        <v>108</v>
      </c>
      <c r="BL271" s="27" t="n">
        <v>2.08</v>
      </c>
      <c r="BM271" s="28" t="n">
        <v>0.480769</v>
      </c>
      <c r="BN271" s="28" t="n"/>
      <c r="BO271" s="28" t="n"/>
      <c r="BP271" s="25" t="n"/>
      <c r="BQ271" s="27" t="n">
        <v>2.08</v>
      </c>
      <c r="BR271" s="28" t="n">
        <v>0.48</v>
      </c>
      <c r="BS271" s="28" t="n"/>
      <c r="BT271" s="28" t="n"/>
      <c r="BU271" s="25" t="n"/>
      <c r="BV271" s="29" t="n"/>
      <c r="BW271" s="24" t="n"/>
      <c r="BX271" s="30" t="n">
        <v>1</v>
      </c>
      <c r="BY271" s="27" t="n">
        <v>-1</v>
      </c>
      <c r="BZ271" s="24" t="inlineStr">
        <is>
          <t>2026-09-12T04:30:57.400534Z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0.480769</t>
        </is>
      </c>
      <c r="DK271" s="24" t="n"/>
      <c r="DL271" s="24" t="n"/>
      <c r="DM271" s="24" t="n"/>
      <c r="DN271" s="24" t="n"/>
      <c r="DO271" s="24" t="n"/>
      <c r="DP271" s="24" t="n"/>
      <c r="DQ271" s="24" t="inlineStr">
        <is>
          <t>{"artifact_hash": "3d16277c2cfc0628d7ec79d04feee92735e5c503a3be195cb225c7c52d024308", "away_team": "Melgar", "event_id": "401886188", "event_start_utc": "2026-09-12T00:00Z", "features": {"away_goal_rate": 1.2004, "history_games": 9181, "home_goal_rate": 1.9709, "league_goals_per_team": 1.4281, "min_team_games": 0.0}, "historical_source_observation_times_verified": false, "home_team": "Cusco FC", "inference_inputs": {"away_rate": 1.2004312624212894, "code_sha256": {"models/soccer.py": "3d16277c2cfc0628d7ec79d04feee92735e5c503a3be195cb225c7c52d024308"}, "home_rate": 1.970903677885488, "sport": "SOCCER"}, "market_type": "moneyline", "model_version": "soccer-poisson-dc-v1", "observed_at_utc": "2026-09-11T22:03:43.455941+00:00", "probabilities": {"away": 0.219531, "draw": 0.23769, "home": 0.54278}, "replay_scope": "Exact full-precision serving state and rounding; upstream historical observation times are not certified.", "schema": "coded-moneyline-replay-v1", "snapshot_hash": "3a75224152ef57bd2337200c2b371fd3d6d6a3db184c2ecb6825f9b2bbe2b189", "sport": "SOCCER"}</t>
        </is>
      </c>
    </row>
    <row r="272" ht="36" customHeight="1">
      <c r="A272" s="24" t="inlineStr">
        <is>
          <t>39eee929fdd74dd1</t>
        </is>
      </c>
      <c r="B272" s="24" t="inlineStr">
        <is>
          <t>2026-09-12T10:07:01.899797Z</t>
        </is>
      </c>
      <c r="C272" s="24" t="inlineStr">
        <is>
          <t>2026-09-12T14:00Z</t>
        </is>
      </c>
      <c r="D272" s="24" t="inlineStr">
        <is>
          <t>401879285</t>
        </is>
      </c>
      <c r="E272" s="24" t="inlineStr">
        <is>
          <t>SOCCER</t>
        </is>
      </c>
      <c r="F272" s="24" t="inlineStr">
        <is>
          <t>Brentford</t>
        </is>
      </c>
      <c r="G272" s="24" t="inlineStr">
        <is>
          <t>AFC Bournemouth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156</v>
      </c>
      <c r="M272" s="27" t="n">
        <v>2.56</v>
      </c>
      <c r="N272" s="28" t="n">
        <v>0.390625</v>
      </c>
      <c r="O272" s="28" t="n">
        <v>0.5015039999999999</v>
      </c>
      <c r="P272" s="28" t="n">
        <v>0.04</v>
      </c>
      <c r="Q272" s="28" t="n">
        <v>0.110879</v>
      </c>
      <c r="R272" s="26" t="n">
        <v>81</v>
      </c>
      <c r="S272" s="29" t="n">
        <v>1.5</v>
      </c>
      <c r="T272" s="24" t="inlineStr">
        <is>
          <t>soccer-poisson-dc-v1</t>
        </is>
      </c>
      <c r="U272" s="24" t="inlineStr">
        <is>
          <t>settled</t>
        </is>
      </c>
      <c r="V272" s="24" t="inlineStr">
        <is>
          <t>loss</t>
        </is>
      </c>
      <c r="W272" s="26" t="n">
        <v>2</v>
      </c>
      <c r="X272" s="26" t="n">
        <v>2</v>
      </c>
      <c r="Y272" s="25" t="n"/>
      <c r="Z272" s="26" t="n">
        <v>156</v>
      </c>
      <c r="AA272" s="28" t="n">
        <v>0.39</v>
      </c>
      <c r="AB272" s="28" t="n">
        <v>-0.000625</v>
      </c>
      <c r="AC272" s="30" t="n">
        <v>-1.5</v>
      </c>
      <c r="AD272" s="24" t="inlineStr">
        <is>
          <t>2026-09-12T16:00:15.589504Z</t>
        </is>
      </c>
      <c r="AE272" s="31" t="inlineStr">
        <is>
          <t>Poisson-DC rates 1.56 (home) / 0.96 (away) from EWMA attack/defense strengths. Executable ask 0.3900 (atc-epl-bor-bre-2026-09-12-bor).</t>
        </is>
      </c>
      <c r="AF272" s="31" t="inlineStr">
        <is>
          <t>Research-only soccer score model; draw-aware, but not yet locked-holdout qualified.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Brentford</t>
        </is>
      </c>
      <c r="AQ272" s="24" t="inlineStr">
        <is>
          <t>Brentford</t>
        </is>
      </c>
      <c r="AR272" s="24" t="inlineStr">
        <is>
          <t>Brentford</t>
        </is>
      </c>
      <c r="AS272" s="24" t="inlineStr">
        <is>
          <t>AFC Bournemouth</t>
        </is>
      </c>
      <c r="AT272" s="24" t="inlineStr">
        <is>
          <t>AFC Bournemouth</t>
        </is>
      </c>
      <c r="AU272" s="24" t="inlineStr">
        <is>
          <t>AFC Bournemouth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3d16277c2cfc0628d7ec79d04feee92735e5c503a3be195cb225c7c52d024308</t>
        </is>
      </c>
      <c r="BB272" s="24" t="inlineStr">
        <is>
          <t>poisson_dixon_coles</t>
        </is>
      </c>
      <c r="BC272" s="24" t="inlineStr">
        <is>
          <t>soccer-poisson-dc-v1</t>
        </is>
      </c>
      <c r="BD272" s="24" t="inlineStr">
        <is>
          <t>3d16277c2cfc0628d7ec79d04feee92735e5c503a3be195cb225c7c52d024308</t>
        </is>
      </c>
      <c r="BE272" s="24" t="inlineStr">
        <is>
          <t>soccer-poisson-dc-v1</t>
        </is>
      </c>
      <c r="BF272" s="24" t="inlineStr">
        <is>
          <t>1</t>
        </is>
      </c>
      <c r="BG272" s="24" t="inlineStr">
        <is>
          <t>3d16277c2cfc0628d7ec79d04feee92735e5c503a3be195cb225c7c52d024308</t>
        </is>
      </c>
      <c r="BH272" s="24" t="inlineStr">
        <is>
          <t>2026-09-12T10:05:43.621138Z</t>
        </is>
      </c>
      <c r="BI272" s="24" t="inlineStr">
        <is>
          <t>["same_event","same_team_same_day","same_league_same_day"]</t>
        </is>
      </c>
      <c r="BJ272" s="25" t="n"/>
      <c r="BK272" s="26" t="n">
        <v>156</v>
      </c>
      <c r="BL272" s="27" t="n">
        <v>2.56</v>
      </c>
      <c r="BM272" s="28" t="n">
        <v>0.390625</v>
      </c>
      <c r="BN272" s="28" t="n"/>
      <c r="BO272" s="28" t="n"/>
      <c r="BP272" s="25" t="n"/>
      <c r="BQ272" s="27" t="n">
        <v>2.56</v>
      </c>
      <c r="BR272" s="28" t="n">
        <v>0.39</v>
      </c>
      <c r="BS272" s="28" t="n"/>
      <c r="BT272" s="28" t="n"/>
      <c r="BU272" s="25" t="n"/>
      <c r="BV272" s="29" t="n"/>
      <c r="BW272" s="24" t="n"/>
      <c r="BX272" s="30" t="n">
        <v>1</v>
      </c>
      <c r="BY272" s="27" t="n">
        <v>-1</v>
      </c>
      <c r="BZ272" s="24" t="inlineStr">
        <is>
          <t>2026-09-12T16:00:15.589504Z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0.390625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"3d16277c2cfc0628d7ec79d04feee92735e5c503a3be195cb225c7c52d024308", "away_team": "Brentford", "event_id": "401879285", "event_start_utc": "2026-09-12T14:00Z", "features": {"away_goal_rate": 0.9609, "history_games": 9181, "home_goal_rate": 1.5625, "league_goals_per_team": 1.4809, "min_team_games": 95.0}, "historical_source_observation_times_verified": false, "home_team": "AFC Bournemouth", "inference_inputs": {"away_rate": 0.9609010459337582, "code_sha256": {"models/soccer.py": "3d16277c2cfc0628d7ec79d04feee92735e5c503a3be195cb225c7c52d024308"}, "home_rate": 1.5624884721487564, "sport": "SOCCER"}, "market_type": "moneyline", "model_version": "soccer-poisson-dc-v1", "observed_at_utc": "2026-09-12T10:07:01.270046+00:00", "probabilities": {"away": 0.220357, "draw": 0.278139, "home": 0.501504}, "replay_scope": "Exact full-precision serving state and rounding; upstream historical observation times are not certified.", "schema": "coded-moneyline-replay-v1", "snapshot_hash": "90b604836aa76ae3fa7f7f51468682867d4c17984c4c4697f0ea912171ec564c", "sport": "SOCCER"}</t>
        </is>
      </c>
    </row>
    <row r="273" ht="36" customHeight="1">
      <c r="A273" s="24" t="inlineStr">
        <is>
          <t>a29698ea2db84556</t>
        </is>
      </c>
      <c r="B273" s="24" t="inlineStr">
        <is>
          <t>2026-09-12T10:07:01.899797Z</t>
        </is>
      </c>
      <c r="C273" s="24" t="inlineStr">
        <is>
          <t>2026-09-12T14:00Z</t>
        </is>
      </c>
      <c r="D273" s="24" t="inlineStr">
        <is>
          <t>401879284</t>
        </is>
      </c>
      <c r="E273" s="24" t="inlineStr">
        <is>
          <t>SOCCER</t>
        </is>
      </c>
      <c r="F273" s="24" t="inlineStr">
        <is>
          <t>Nottingham Forest</t>
        </is>
      </c>
      <c r="G273" s="24" t="inlineStr">
        <is>
          <t>Aston Villa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127</v>
      </c>
      <c r="M273" s="27" t="n">
        <v>2.27</v>
      </c>
      <c r="N273" s="28" t="n">
        <v>0.440529</v>
      </c>
      <c r="O273" s="28" t="n">
        <v>0.401732</v>
      </c>
      <c r="P273" s="28" t="n">
        <v>0.04</v>
      </c>
      <c r="Q273" s="28" t="n">
        <v>-0.038797</v>
      </c>
      <c r="R273" s="26" t="n">
        <v>7</v>
      </c>
      <c r="S273" s="29" t="n">
        <v>1</v>
      </c>
      <c r="T273" s="24" t="inlineStr">
        <is>
          <t>soccer-poisson-dc-v1</t>
        </is>
      </c>
      <c r="U273" s="24" t="inlineStr">
        <is>
          <t>settled</t>
        </is>
      </c>
      <c r="V273" s="24" t="inlineStr">
        <is>
          <t>loss</t>
        </is>
      </c>
      <c r="W273" s="26" t="n">
        <v>2</v>
      </c>
      <c r="X273" s="26" t="n">
        <v>1</v>
      </c>
      <c r="Y273" s="25" t="n"/>
      <c r="Z273" s="26" t="n">
        <v>127</v>
      </c>
      <c r="AA273" s="28" t="n">
        <v>0.44</v>
      </c>
      <c r="AB273" s="28" t="n">
        <v>-0.000529</v>
      </c>
      <c r="AC273" s="30" t="n">
        <v>-1</v>
      </c>
      <c r="AD273" s="24" t="inlineStr">
        <is>
          <t>2026-09-12T16:00:16.750209Z</t>
        </is>
      </c>
      <c r="AE273" s="31" t="inlineStr">
        <is>
          <t>Poisson-DC rates 1.52 (home) / 1.35 (away) from EWMA attack/defense strengths. Executable ask 0.4400 (atc-epl-ast-not-2026-09-12-ast).</t>
        </is>
      </c>
      <c r="AF273" s="31" t="inlineStr">
        <is>
          <t>Research-only soccer score model; draw-aware, but not yet locked-holdout qualified.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Nottingham Forest</t>
        </is>
      </c>
      <c r="AQ273" s="24" t="inlineStr">
        <is>
          <t>Nottingham Forest</t>
        </is>
      </c>
      <c r="AR273" s="24" t="inlineStr">
        <is>
          <t>Nottingham Forest</t>
        </is>
      </c>
      <c r="AS273" s="24" t="inlineStr">
        <is>
          <t>Aston Villa</t>
        </is>
      </c>
      <c r="AT273" s="24" t="inlineStr">
        <is>
          <t>Aston Villa</t>
        </is>
      </c>
      <c r="AU273" s="24" t="inlineStr">
        <is>
          <t>Aston Villa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3d16277c2cfc0628d7ec79d04feee92735e5c503a3be195cb225c7c52d024308</t>
        </is>
      </c>
      <c r="BB273" s="24" t="inlineStr">
        <is>
          <t>poisson_dixon_coles</t>
        </is>
      </c>
      <c r="BC273" s="24" t="inlineStr">
        <is>
          <t>soccer-poisson-dc-v1</t>
        </is>
      </c>
      <c r="BD273" s="24" t="inlineStr">
        <is>
          <t>3d16277c2cfc0628d7ec79d04feee92735e5c503a3be195cb225c7c52d024308</t>
        </is>
      </c>
      <c r="BE273" s="24" t="inlineStr">
        <is>
          <t>soccer-poisson-dc-v1</t>
        </is>
      </c>
      <c r="BF273" s="24" t="inlineStr">
        <is>
          <t>1</t>
        </is>
      </c>
      <c r="BG273" s="24" t="inlineStr">
        <is>
          <t>3d16277c2cfc0628d7ec79d04feee92735e5c503a3be195cb225c7c52d024308</t>
        </is>
      </c>
      <c r="BH273" s="24" t="inlineStr">
        <is>
          <t>2026-09-12T10:05:43.794790Z</t>
        </is>
      </c>
      <c r="BI273" s="24" t="inlineStr">
        <is>
          <t>["same_event","same_team_same_day","same_league_same_day"]</t>
        </is>
      </c>
      <c r="BJ273" s="25" t="n"/>
      <c r="BK273" s="26" t="n">
        <v>127</v>
      </c>
      <c r="BL273" s="27" t="n">
        <v>2.27</v>
      </c>
      <c r="BM273" s="28" t="n">
        <v>0.440529</v>
      </c>
      <c r="BN273" s="28" t="n"/>
      <c r="BO273" s="28" t="n"/>
      <c r="BP273" s="25" t="n"/>
      <c r="BQ273" s="27" t="n">
        <v>2.27</v>
      </c>
      <c r="BR273" s="28" t="n">
        <v>0.44</v>
      </c>
      <c r="BS273" s="28" t="n"/>
      <c r="BT273" s="28" t="n"/>
      <c r="BU273" s="25" t="n"/>
      <c r="BV273" s="29" t="n"/>
      <c r="BW273" s="24" t="n"/>
      <c r="BX273" s="30" t="n">
        <v>1</v>
      </c>
      <c r="BY273" s="27" t="n">
        <v>-1</v>
      </c>
      <c r="BZ273" s="24" t="inlineStr">
        <is>
          <t>2026-09-12T16:00:16.750209Z</t>
        </is>
      </c>
      <c r="CA273" s="31" t="inlineStr">
        <is>
          <t>fixed one-unit hypothetical scoring; no real exposure or execution</t>
        </is>
      </c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0.440529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"3d16277c2cfc0628d7ec79d04feee92735e5c503a3be195cb225c7c52d024308", "away_team": "Nottingham Forest", "event_id": "401879284", "event_start_utc": "2026-09-12T14:00Z", "features": {"away_goal_rate": 1.3486, "history_games": 9181, "home_goal_rate": 1.5165, "league_goals_per_team": 1.4809, "min_team_games": 94.0}, "historical_source_observation_times_verified": false, "home_team": "Aston Villa", "inference_inputs": {"away_rate": 1.348602530180151, "code_sha256": {"models/soccer.py": "3d16277c2cfc0628d7ec79d04feee92735e5c503a3be195cb225c7c52d024308"}, "home_rate": 1.5164623418025218, "sport": "SOCCER"}, "market_type": "moneyline", "model_version": "soccer-poisson-dc-v1", "observed_at_utc": "2026-09-12T10:07:01.270046+00:00", "probabilities": {"away": 0.326457, "draw": 0.271811, "home": 0.401732}, "replay_scope": "Exact full-precision serving state and rounding; upstream historical observation times are not certified.", "schema": "coded-moneyline-replay-v1", "snapshot_hash": "1e41881eb347632272e1b44a7e99110ee82d24ae88e6ab9370c10ea9fe689dfe", "sport": "SOCCER"}</t>
        </is>
      </c>
    </row>
    <row r="274" ht="36" customHeight="1">
      <c r="A274" s="24" t="inlineStr">
        <is>
          <t>266266f9e3cf45a4</t>
        </is>
      </c>
      <c r="B274" s="24" t="inlineStr">
        <is>
          <t>2026-09-12T10:07:01.899797Z</t>
        </is>
      </c>
      <c r="C274" s="24" t="inlineStr">
        <is>
          <t>2026-09-12T14:00Z</t>
        </is>
      </c>
      <c r="D274" s="24" t="inlineStr">
        <is>
          <t>401879283</t>
        </is>
      </c>
      <c r="E274" s="24" t="inlineStr">
        <is>
          <t>SOCCER</t>
        </is>
      </c>
      <c r="F274" s="24" t="inlineStr">
        <is>
          <t>Hull City</t>
        </is>
      </c>
      <c r="G274" s="24" t="inlineStr">
        <is>
          <t>Chelsea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-426</v>
      </c>
      <c r="M274" s="27" t="n">
        <v>1.234742</v>
      </c>
      <c r="N274" s="28" t="n">
        <v>0.809886</v>
      </c>
      <c r="O274" s="28" t="n">
        <v>0.399931</v>
      </c>
      <c r="P274" s="28" t="n">
        <v>0.2</v>
      </c>
      <c r="Q274" s="28" t="n">
        <v>-0.409955</v>
      </c>
      <c r="R274" s="26" t="n">
        <v>0</v>
      </c>
      <c r="S274" s="29" t="n">
        <v>1</v>
      </c>
      <c r="T274" s="24" t="inlineStr">
        <is>
          <t>soccer-poisson-dc-v1</t>
        </is>
      </c>
      <c r="U274" s="24" t="inlineStr">
        <is>
          <t>settled</t>
        </is>
      </c>
      <c r="V274" s="24" t="inlineStr">
        <is>
          <t>loss</t>
        </is>
      </c>
      <c r="W274" s="26" t="n">
        <v>2</v>
      </c>
      <c r="X274" s="26" t="n">
        <v>2</v>
      </c>
      <c r="Y274" s="25" t="n"/>
      <c r="Z274" s="26" t="n">
        <v>-426</v>
      </c>
      <c r="AA274" s="28" t="n">
        <v>0.8100000000000001</v>
      </c>
      <c r="AB274" s="28" t="n">
        <v>0.000114</v>
      </c>
      <c r="AC274" s="30" t="n">
        <v>-1</v>
      </c>
      <c r="AD274" s="24" t="inlineStr">
        <is>
          <t>2026-09-12T16:00:18.364083Z</t>
        </is>
      </c>
      <c r="AE274" s="31" t="inlineStr">
        <is>
          <t>Poisson-DC rates 1.52 (home) / 1.36 (away) from EWMA attack/defense strengths. Executable ask 0.8100 (atc-epl-cfc-hul-2026-09-12-cfc).</t>
        </is>
      </c>
      <c r="AF274" s="31" t="inlineStr">
        <is>
          <t>Research-only soccer score model; draw-aware, but not yet locked-holdout qualified.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PAPER_CALL_MODEL_UNVALIDATED</t>
        </is>
      </c>
      <c r="AP274" s="24" t="inlineStr">
        <is>
          <t>Hull City</t>
        </is>
      </c>
      <c r="AQ274" s="24" t="inlineStr">
        <is>
          <t>Hull City</t>
        </is>
      </c>
      <c r="AR274" s="24" t="inlineStr">
        <is>
          <t>Hull City</t>
        </is>
      </c>
      <c r="AS274" s="24" t="inlineStr">
        <is>
          <t>Chelsea</t>
        </is>
      </c>
      <c r="AT274" s="24" t="inlineStr">
        <is>
          <t>Chelsea</t>
        </is>
      </c>
      <c r="AU274" s="24" t="inlineStr">
        <is>
          <t>Chelsea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3d16277c2cfc0628d7ec79d04feee92735e5c503a3be195cb225c7c52d024308</t>
        </is>
      </c>
      <c r="BB274" s="24" t="inlineStr">
        <is>
          <t>poisson_dixon_coles</t>
        </is>
      </c>
      <c r="BC274" s="24" t="inlineStr">
        <is>
          <t>soccer-poisson-dc-v1</t>
        </is>
      </c>
      <c r="BD274" s="24" t="inlineStr">
        <is>
          <t>3d16277c2cfc0628d7ec79d04feee92735e5c503a3be195cb225c7c52d024308</t>
        </is>
      </c>
      <c r="BE274" s="24" t="inlineStr">
        <is>
          <t>soccer-poisson-dc-v1</t>
        </is>
      </c>
      <c r="BF274" s="24" t="inlineStr">
        <is>
          <t>1</t>
        </is>
      </c>
      <c r="BG274" s="24" t="inlineStr">
        <is>
          <t>3d16277c2cfc0628d7ec79d04feee92735e5c503a3be195cb225c7c52d024308</t>
        </is>
      </c>
      <c r="BH274" s="24" t="inlineStr">
        <is>
          <t>2026-09-12T10:05:43.904322Z</t>
        </is>
      </c>
      <c r="BI274" s="24" t="inlineStr">
        <is>
          <t>["same_event","same_team_same_day","same_league_same_day"]</t>
        </is>
      </c>
      <c r="BJ274" s="25" t="n"/>
      <c r="BK274" s="26" t="n">
        <v>-426</v>
      </c>
      <c r="BL274" s="27" t="n">
        <v>1.234742</v>
      </c>
      <c r="BM274" s="28" t="n">
        <v>0.809886</v>
      </c>
      <c r="BN274" s="28" t="n"/>
      <c r="BO274" s="28" t="n"/>
      <c r="BP274" s="25" t="n"/>
      <c r="BQ274" s="27" t="n">
        <v>1.234742</v>
      </c>
      <c r="BR274" s="28" t="n">
        <v>0.8100000000000001</v>
      </c>
      <c r="BS274" s="28" t="n"/>
      <c r="BT274" s="28" t="n"/>
      <c r="BU274" s="25" t="n"/>
      <c r="BV274" s="29" t="n"/>
      <c r="BW274" s="24" t="n"/>
      <c r="BX274" s="30" t="n">
        <v>1</v>
      </c>
      <c r="BY274" s="27" t="n">
        <v>-1</v>
      </c>
      <c r="BZ274" s="24" t="inlineStr">
        <is>
          <t>2026-09-12T16:00:18.364083Z</t>
        </is>
      </c>
      <c r="CA274" s="31" t="inlineStr">
        <is>
          <t>fixed one-unit hypothetical scoring; no real exposure or execution</t>
        </is>
      </c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0.809886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"3d16277c2cfc0628d7ec79d04feee92735e5c503a3be195cb225c7c52d024308", "away_team": "Hull City", "event_id": "401879283", "event_start_utc": "2026-09-12T14:00Z", "features": {"away_goal_rate": 1.3591, "history_games": 9181, "home_goal_rate": 1.5179, "league_goals_per_team": 1.4809, "min_team_games": 0.0}, "historical_source_observation_times_verified": false, "home_team": "Chelsea", "inference_inputs": {"away_rate": 1.3590876784944168, "code_sha256": {"models/soccer.py": "3d16277c2cfc0628d7ec79d04feee92735e5c503a3be195cb225c7c52d024308"}, "home_rate": 1.5179316305175812, "sport": "SOCCER"}, "market_type": "moneyline", "model_version": "soccer-poisson-dc-v1", "observed_at_utc": "2026-09-12T10:07:01.270046+00:00", "probabilities": {"away": 0.328822, "draw": 0.271247, "home": 0.399931}, "replay_scope": "Exact full-precision serving state and rounding; upstream historical observation times are not certified.", "schema": "coded-moneyline-replay-v1", "snapshot_hash": "5548ea2542d486de9aa125e77400300bf935e490f4b4fdc2c5a67946fa751366", "sport": "SOCCER"}</t>
        </is>
      </c>
    </row>
    <row r="275" ht="36" customHeight="1">
      <c r="A275" s="24" t="inlineStr">
        <is>
          <t>64c2400e142744dd</t>
        </is>
      </c>
      <c r="B275" s="24" t="inlineStr">
        <is>
          <t>2026-09-12T10:07:01.899797Z</t>
        </is>
      </c>
      <c r="C275" s="24" t="inlineStr">
        <is>
          <t>2026-09-12T14:00Z</t>
        </is>
      </c>
      <c r="D275" s="24" t="inlineStr">
        <is>
          <t>401879281</t>
        </is>
      </c>
      <c r="E275" s="24" t="inlineStr">
        <is>
          <t>SOCCER</t>
        </is>
      </c>
      <c r="F275" s="24" t="inlineStr">
        <is>
          <t>Ipswich Town</t>
        </is>
      </c>
      <c r="G275" s="24" t="inlineStr">
        <is>
          <t>Crystal Palace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-104</v>
      </c>
      <c r="M275" s="27" t="n">
        <v>1.961538</v>
      </c>
      <c r="N275" s="28" t="n">
        <v>0.509804</v>
      </c>
      <c r="O275" s="28" t="n">
        <v>0.5805439999999999</v>
      </c>
      <c r="P275" s="28" t="n">
        <v>0.04</v>
      </c>
      <c r="Q275" s="28" t="n">
        <v>0.07074</v>
      </c>
      <c r="R275" s="26" t="n">
        <v>61</v>
      </c>
      <c r="S275" s="29" t="n">
        <v>1.25</v>
      </c>
      <c r="T275" s="24" t="inlineStr">
        <is>
          <t>soccer-poisson-dc-v1</t>
        </is>
      </c>
      <c r="U275" s="24" t="inlineStr">
        <is>
          <t>settled</t>
        </is>
      </c>
      <c r="V275" s="24" t="inlineStr">
        <is>
          <t>loss</t>
        </is>
      </c>
      <c r="W275" s="26" t="n">
        <v>3</v>
      </c>
      <c r="X275" s="26" t="n">
        <v>2</v>
      </c>
      <c r="Y275" s="25" t="n"/>
      <c r="Z275" s="26" t="n">
        <v>-104</v>
      </c>
      <c r="AA275" s="28" t="n">
        <v>0.51</v>
      </c>
      <c r="AB275" s="28" t="n">
        <v>0.000196</v>
      </c>
      <c r="AC275" s="30" t="n">
        <v>-1.25</v>
      </c>
      <c r="AD275" s="24" t="inlineStr">
        <is>
          <t>2026-09-12T16:00:19.548043Z</t>
        </is>
      </c>
      <c r="AE275" s="31" t="inlineStr">
        <is>
          <t>Poisson-DC rates 1.87 (home) / 0.94 (away) from EWMA attack/defense strengths. Executable ask 0.5100 (atc-epl-cry-ips-2026-09-12-cry).</t>
        </is>
      </c>
      <c r="AF275" s="31" t="inlineStr">
        <is>
          <t>Research-only soccer score model; draw-aware, but not yet locked-holdout qualified.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Ipswich Town</t>
        </is>
      </c>
      <c r="AQ275" s="24" t="inlineStr">
        <is>
          <t>Ipswich Town</t>
        </is>
      </c>
      <c r="AR275" s="24" t="inlineStr">
        <is>
          <t>Ipswich Town</t>
        </is>
      </c>
      <c r="AS275" s="24" t="inlineStr">
        <is>
          <t>Crystal Palace</t>
        </is>
      </c>
      <c r="AT275" s="24" t="inlineStr">
        <is>
          <t>Crystal Palace</t>
        </is>
      </c>
      <c r="AU275" s="24" t="inlineStr">
        <is>
          <t>Crystal Palace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3d16277c2cfc0628d7ec79d04feee92735e5c503a3be195cb225c7c52d024308</t>
        </is>
      </c>
      <c r="BB275" s="24" t="inlineStr">
        <is>
          <t>poisson_dixon_coles</t>
        </is>
      </c>
      <c r="BC275" s="24" t="inlineStr">
        <is>
          <t>soccer-poisson-dc-v1</t>
        </is>
      </c>
      <c r="BD275" s="24" t="inlineStr">
        <is>
          <t>3d16277c2cfc0628d7ec79d04feee92735e5c503a3be195cb225c7c52d024308</t>
        </is>
      </c>
      <c r="BE275" s="24" t="inlineStr">
        <is>
          <t>soccer-poisson-dc-v1</t>
        </is>
      </c>
      <c r="BF275" s="24" t="inlineStr">
        <is>
          <t>1</t>
        </is>
      </c>
      <c r="BG275" s="24" t="inlineStr">
        <is>
          <t>3d16277c2cfc0628d7ec79d04feee92735e5c503a3be195cb225c7c52d024308</t>
        </is>
      </c>
      <c r="BH275" s="24" t="inlineStr">
        <is>
          <t>2026-09-12T10:05:43.430039Z</t>
        </is>
      </c>
      <c r="BI275" s="24" t="inlineStr">
        <is>
          <t>["same_event","same_team_same_day","same_league_same_day"]</t>
        </is>
      </c>
      <c r="BJ275" s="25" t="n"/>
      <c r="BK275" s="26" t="n">
        <v>-104</v>
      </c>
      <c r="BL275" s="27" t="n">
        <v>1.961538</v>
      </c>
      <c r="BM275" s="28" t="n">
        <v>0.509804</v>
      </c>
      <c r="BN275" s="28" t="n"/>
      <c r="BO275" s="28" t="n"/>
      <c r="BP275" s="25" t="n"/>
      <c r="BQ275" s="27" t="n">
        <v>1.961538</v>
      </c>
      <c r="BR275" s="28" t="n">
        <v>0.51</v>
      </c>
      <c r="BS275" s="28" t="n"/>
      <c r="BT275" s="28" t="n"/>
      <c r="BU275" s="25" t="n"/>
      <c r="BV275" s="29" t="n"/>
      <c r="BW275" s="24" t="n"/>
      <c r="BX275" s="30" t="n">
        <v>1</v>
      </c>
      <c r="BY275" s="27" t="n">
        <v>-1</v>
      </c>
      <c r="BZ275" s="24" t="inlineStr">
        <is>
          <t>2026-09-12T16:00:19.548043Z</t>
        </is>
      </c>
      <c r="CA275" s="31" t="inlineStr">
        <is>
          <t>fixed one-unit hypothetical scoring; no real exposure or execution</t>
        </is>
      </c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0.509804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"3d16277c2cfc0628d7ec79d04feee92735e5c503a3be195cb225c7c52d024308", "away_team": "Ipswich Town", "event_id": "401879281", "event_start_utc": "2026-09-12T14:00Z", "features": {"away_goal_rate": 0.9421, "history_games": 9181, "home_goal_rate": 1.8685, "league_goals_per_team": 1.4809, "min_team_games": 38.0}, "historical_source_observation_times_verified": false, "home_team": "Crystal Palace", "inference_inputs": {"away_rate": 0.9421440914692143, "code_sha256": {"models/soccer.py": "3d16277c2cfc0628d7ec79d04feee92735e5c503a3be195cb225c7c52d024308"}, "home_rate": 1.86854161814447, "sport": "SOCCER"}, "market_type": "moneyline", "model_version": "soccer-poisson-dc-v1", "observed_at_utc": "2026-09-12T10:07:01.270046+00:00", "probabilities": {"away": 0.175384, "draw": 0.244071, "home": 0.580544}, "replay_scope": "Exact full-precision serving state and rounding; upstream historical observation times are not certified.", "schema": "coded-moneyline-replay-v1", "snapshot_hash": "b2fbaf908d4bc67efd8be6ed64b80176e2c34e6d4a94cb3d4312f6b7b2e57f98", "sport": "SOCCER"}</t>
        </is>
      </c>
    </row>
    <row r="276" ht="36" customHeight="1">
      <c r="A276" s="24" t="inlineStr">
        <is>
          <t>b40af15c0bfd475d</t>
        </is>
      </c>
      <c r="B276" s="24" t="inlineStr">
        <is>
          <t>2026-09-12T10:07:01.899797Z</t>
        </is>
      </c>
      <c r="C276" s="24" t="inlineStr">
        <is>
          <t>2026-09-12T14:00Z</t>
        </is>
      </c>
      <c r="D276" s="24" t="inlineStr">
        <is>
          <t>401879279</t>
        </is>
      </c>
      <c r="E276" s="24" t="inlineStr">
        <is>
          <t>SOCCER</t>
        </is>
      </c>
      <c r="F276" s="24" t="inlineStr">
        <is>
          <t>Fulham</t>
        </is>
      </c>
      <c r="G276" s="24" t="inlineStr">
        <is>
          <t>Liverpool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-186</v>
      </c>
      <c r="M276" s="27" t="n">
        <v>1.537634</v>
      </c>
      <c r="N276" s="28" t="n">
        <v>0.65035</v>
      </c>
      <c r="O276" s="28" t="n">
        <v>0.517045</v>
      </c>
      <c r="P276" s="28" t="n">
        <v>0.04</v>
      </c>
      <c r="Q276" s="28" t="n">
        <v>-0.133305</v>
      </c>
      <c r="R276" s="26" t="n">
        <v>0</v>
      </c>
      <c r="S276" s="29" t="n">
        <v>1</v>
      </c>
      <c r="T276" s="24" t="inlineStr">
        <is>
          <t>soccer-poisson-dc-v1</t>
        </is>
      </c>
      <c r="U276" s="24" t="inlineStr">
        <is>
          <t>settled</t>
        </is>
      </c>
      <c r="V276" s="24" t="inlineStr">
        <is>
          <t>loss</t>
        </is>
      </c>
      <c r="W276" s="26" t="n">
        <v>0</v>
      </c>
      <c r="X276" s="26" t="n">
        <v>0</v>
      </c>
      <c r="Y276" s="25" t="n"/>
      <c r="Z276" s="26" t="n">
        <v>-186</v>
      </c>
      <c r="AA276" s="28" t="n">
        <v>0.65</v>
      </c>
      <c r="AB276" s="28" t="n">
        <v>-0.00035</v>
      </c>
      <c r="AC276" s="30" t="n">
        <v>-1</v>
      </c>
      <c r="AD276" s="24" t="inlineStr">
        <is>
          <t>2026-09-12T16:00:20.845932Z</t>
        </is>
      </c>
      <c r="AE276" s="31" t="inlineStr">
        <is>
          <t>Poisson-DC rates 1.64 (home) / 0.98 (away) from EWMA attack/defense strengths. Executable ask 0.6500 (atc-epl-liv-ful-2026-09-12-liv).</t>
        </is>
      </c>
      <c r="AF276" s="31" t="inlineStr">
        <is>
          <t>Research-only soccer score model; draw-aware, but not yet locked-holdout qualified.</t>
        </is>
      </c>
      <c r="AG276" s="24" t="inlineStr">
        <is>
          <t>review_required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Fulham</t>
        </is>
      </c>
      <c r="AQ276" s="24" t="inlineStr">
        <is>
          <t>Fulham</t>
        </is>
      </c>
      <c r="AR276" s="24" t="inlineStr">
        <is>
          <t>Fulham</t>
        </is>
      </c>
      <c r="AS276" s="24" t="inlineStr">
        <is>
          <t>Liverpool</t>
        </is>
      </c>
      <c r="AT276" s="24" t="inlineStr">
        <is>
          <t>Liverpool</t>
        </is>
      </c>
      <c r="AU276" s="24" t="inlineStr">
        <is>
          <t>Liverpool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3d16277c2cfc0628d7ec79d04feee92735e5c503a3be195cb225c7c52d024308</t>
        </is>
      </c>
      <c r="BB276" s="24" t="inlineStr">
        <is>
          <t>poisson_dixon_coles</t>
        </is>
      </c>
      <c r="BC276" s="24" t="inlineStr">
        <is>
          <t>soccer-poisson-dc-v1</t>
        </is>
      </c>
      <c r="BD276" s="24" t="inlineStr">
        <is>
          <t>3d16277c2cfc0628d7ec79d04feee92735e5c503a3be195cb225c7c52d024308</t>
        </is>
      </c>
      <c r="BE276" s="24" t="inlineStr">
        <is>
          <t>soccer-poisson-dc-v1</t>
        </is>
      </c>
      <c r="BF276" s="24" t="inlineStr">
        <is>
          <t>1</t>
        </is>
      </c>
      <c r="BG276" s="24" t="inlineStr">
        <is>
          <t>3d16277c2cfc0628d7ec79d04feee92735e5c503a3be195cb225c7c52d024308</t>
        </is>
      </c>
      <c r="BH276" s="24" t="inlineStr">
        <is>
          <t>2026-09-12T10:05:43.325539Z</t>
        </is>
      </c>
      <c r="BI276" s="24" t="inlineStr">
        <is>
          <t>["same_event","same_team_same_day","same_league_same_day"]</t>
        </is>
      </c>
      <c r="BJ276" s="25" t="n"/>
      <c r="BK276" s="26" t="n">
        <v>-186</v>
      </c>
      <c r="BL276" s="27" t="n">
        <v>1.537634</v>
      </c>
      <c r="BM276" s="28" t="n">
        <v>0.65035</v>
      </c>
      <c r="BN276" s="28" t="n"/>
      <c r="BO276" s="28" t="n"/>
      <c r="BP276" s="25" t="n"/>
      <c r="BQ276" s="27" t="n">
        <v>1.537634</v>
      </c>
      <c r="BR276" s="28" t="n">
        <v>0.65</v>
      </c>
      <c r="BS276" s="28" t="n"/>
      <c r="BT276" s="28" t="n"/>
      <c r="BU276" s="25" t="n"/>
      <c r="BV276" s="29" t="n"/>
      <c r="BW276" s="24" t="n"/>
      <c r="BX276" s="30" t="n">
        <v>1</v>
      </c>
      <c r="BY276" s="27" t="n">
        <v>-1</v>
      </c>
      <c r="BZ276" s="24" t="inlineStr">
        <is>
          <t>2026-09-12T16:00:20.845932Z</t>
        </is>
      </c>
      <c r="CA276" s="31" t="inlineStr">
        <is>
          <t>fixed one-unit hypothetical scoring; no real exposure or execution</t>
        </is>
      </c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0.65035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"3d16277c2cfc0628d7ec79d04feee92735e5c503a3be195cb225c7c52d024308", "away_team": "Fulham", "event_id": "401879279", "event_start_utc": "2026-09-12T14:00Z", "features": {"away_goal_rate": 0.9785, "history_games": 9181, "home_goal_rate": 1.6405, "league_goals_per_team": 1.4809, "min_team_games": 94.0}, "historical_source_observation_times_verified": false, "home_team": "Liverpool", "inference_inputs": {"away_rate": 0.9784690256144903, "code_sha256": {"models/soccer.py": "3d16277c2cfc0628d7ec79d04feee92735e5c503a3be195cb225c7c52d024308"}, "home_rate": 1.6405321700151223, "sport": "SOCCER"}, "market_type": "moneyline", "model_version": "soccer-poisson-dc-v1", "observed_at_utc": "2026-09-12T10:07:01.270046+00:00", "probabilities": {"away": 0.213488, "draw": 0.269467, "home": 0.517045}, "replay_scope": "Exact full-precision serving state and rounding; upstream historical observation times are not certified.", "schema": "coded-moneyline-replay-v1", "snapshot_hash": "a712f4239897ed9f73de8f23c37f1710058e8809bdd40f97d94a394b4caa76f5", "sport": "SOCCER"}</t>
        </is>
      </c>
    </row>
    <row r="277" ht="36" customHeight="1">
      <c r="A277" s="24" t="inlineStr">
        <is>
          <t>d736c0bb32c04ca0</t>
        </is>
      </c>
      <c r="B277" s="24" t="inlineStr">
        <is>
          <t>2026-09-12T10:07:01.899797Z</t>
        </is>
      </c>
      <c r="C277" s="24" t="inlineStr">
        <is>
          <t>2026-09-12T14:15Z</t>
        </is>
      </c>
      <c r="D277" s="24" t="inlineStr">
        <is>
          <t>401882882</t>
        </is>
      </c>
      <c r="E277" s="24" t="inlineStr">
        <is>
          <t>SOCCER</t>
        </is>
      </c>
      <c r="F277" s="24" t="inlineStr">
        <is>
          <t>Espanyol</t>
        </is>
      </c>
      <c r="G277" s="24" t="inlineStr">
        <is>
          <t>Osasuna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133</v>
      </c>
      <c r="M277" s="27" t="n">
        <v>2.33</v>
      </c>
      <c r="N277" s="28" t="n">
        <v>0.429185</v>
      </c>
      <c r="O277" s="28" t="n">
        <v>0.470382</v>
      </c>
      <c r="P277" s="28" t="n">
        <v>0.04</v>
      </c>
      <c r="Q277" s="28" t="n">
        <v>0.041197</v>
      </c>
      <c r="R277" s="26" t="n">
        <v>47</v>
      </c>
      <c r="S277" s="29" t="n">
        <v>1</v>
      </c>
      <c r="T277" s="24" t="inlineStr">
        <is>
          <t>soccer-poisson-dc-v1</t>
        </is>
      </c>
      <c r="U277" s="24" t="inlineStr">
        <is>
          <t>settled</t>
        </is>
      </c>
      <c r="V277" s="24" t="inlineStr">
        <is>
          <t>loss</t>
        </is>
      </c>
      <c r="W277" s="26" t="n">
        <v>2</v>
      </c>
      <c r="X277" s="26" t="n">
        <v>0</v>
      </c>
      <c r="Y277" s="25" t="n"/>
      <c r="Z277" s="26" t="n">
        <v>133</v>
      </c>
      <c r="AA277" s="28" t="n">
        <v>0.43</v>
      </c>
      <c r="AB277" s="28" t="n">
        <v>0.000815</v>
      </c>
      <c r="AC277" s="30" t="n">
        <v>-1</v>
      </c>
      <c r="AD277" s="24" t="inlineStr">
        <is>
          <t>2026-09-12T22:00:14.117911Z</t>
        </is>
      </c>
      <c r="AE277" s="31" t="inlineStr">
        <is>
          <t>Poisson-DC rates 1.50 (home) / 1.02 (away) from EWMA attack/defense strengths. Executable ask 0.4300 (atc-lal-osa-esp-2026-09-12-osa).</t>
        </is>
      </c>
      <c r="AF277" s="31" t="inlineStr">
        <is>
          <t>Research-only soccer score model; draw-aware, but not yet locked-holdout qualified.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Espanyol</t>
        </is>
      </c>
      <c r="AQ277" s="24" t="inlineStr">
        <is>
          <t>Espanyol</t>
        </is>
      </c>
      <c r="AR277" s="24" t="inlineStr">
        <is>
          <t>Espanyol</t>
        </is>
      </c>
      <c r="AS277" s="24" t="inlineStr">
        <is>
          <t>Osasuna</t>
        </is>
      </c>
      <c r="AT277" s="24" t="inlineStr">
        <is>
          <t>Osasuna</t>
        </is>
      </c>
      <c r="AU277" s="24" t="inlineStr">
        <is>
          <t>Osasuna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3d16277c2cfc0628d7ec79d04feee92735e5c503a3be195cb225c7c52d024308</t>
        </is>
      </c>
      <c r="BB277" s="24" t="inlineStr">
        <is>
          <t>poisson_dixon_coles</t>
        </is>
      </c>
      <c r="BC277" s="24" t="inlineStr">
        <is>
          <t>soccer-poisson-dc-v1</t>
        </is>
      </c>
      <c r="BD277" s="24" t="inlineStr">
        <is>
          <t>3d16277c2cfc0628d7ec79d04feee92735e5c503a3be195cb225c7c52d024308</t>
        </is>
      </c>
      <c r="BE277" s="24" t="inlineStr">
        <is>
          <t>soccer-poisson-dc-v1</t>
        </is>
      </c>
      <c r="BF277" s="24" t="inlineStr">
        <is>
          <t>1</t>
        </is>
      </c>
      <c r="BG277" s="24" t="inlineStr">
        <is>
          <t>3d16277c2cfc0628d7ec79d04feee92735e5c503a3be195cb225c7c52d024308</t>
        </is>
      </c>
      <c r="BH277" s="24" t="inlineStr">
        <is>
          <t>2026-09-12T10:05:44.524264Z</t>
        </is>
      </c>
      <c r="BI277" s="24" t="inlineStr">
        <is>
          <t>["same_event","same_team_same_day","same_league_same_day"]</t>
        </is>
      </c>
      <c r="BJ277" s="25" t="n"/>
      <c r="BK277" s="26" t="n">
        <v>133</v>
      </c>
      <c r="BL277" s="27" t="n">
        <v>2.33</v>
      </c>
      <c r="BM277" s="28" t="n">
        <v>0.429185</v>
      </c>
      <c r="BN277" s="28" t="n"/>
      <c r="BO277" s="28" t="n"/>
      <c r="BP277" s="25" t="n"/>
      <c r="BQ277" s="27" t="n">
        <v>2.33</v>
      </c>
      <c r="BR277" s="28" t="n">
        <v>0.43</v>
      </c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2026-09-12T22:00:14.117911Z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0.429185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"3d16277c2cfc0628d7ec79d04feee92735e5c503a3be195cb225c7c52d024308", "away_team": "Espanyol", "event_id": "401882882", "event_start_utc": "2026-09-12T14:15Z", "features": {"away_goal_rate": 1.021, "history_games": 9181, "home_goal_rate": 1.4992, "league_goals_per_team": 1.325, "min_team_games": 76.0}, "historical_source_observation_times_verified": false, "home_team": "Osasuna", "inference_inputs": {"away_rate": 1.0209924710315583, "code_sha256": {"models/soccer.py": "3d16277c2cfc0628d7ec79d04feee92735e5c503a3be195cb225c7c52d024308"}, "home_rate": 1.4992381413504514, "sport": "SOCCER"}, "market_type": "moneyline", "model_version": "soccer-poisson-dc-v1", "observed_at_utc": "2026-09-12T10:07:01.270046+00:00", "probabilities": {"away": 0.245469, "draw": 0.284149, "home": 0.470382}, "replay_scope": "Exact full-precision serving state and rounding; upstream historical observation times are not certified.", "schema": "coded-moneyline-replay-v1", "snapshot_hash": "e91b4cc3b3e18e6db32c220c1361d9f5e14ac074e384b5b7fece5cb1e5342227", "sport": "SOCCER"}</t>
        </is>
      </c>
    </row>
    <row r="278" ht="36" customHeight="1">
      <c r="A278" s="24" t="inlineStr">
        <is>
          <t>a2d28777467047ff</t>
        </is>
      </c>
      <c r="B278" s="24" t="inlineStr">
        <is>
          <t>2026-09-12T10:07:01.899797Z</t>
        </is>
      </c>
      <c r="C278" s="24" t="inlineStr">
        <is>
          <t>2026-09-12T13:30Z</t>
        </is>
      </c>
      <c r="D278" s="24" t="inlineStr">
        <is>
          <t>401884799</t>
        </is>
      </c>
      <c r="E278" s="24" t="inlineStr">
        <is>
          <t>SOCCER</t>
        </is>
      </c>
      <c r="F278" s="24" t="inlineStr">
        <is>
          <t>SC Paderborn 07</t>
        </is>
      </c>
      <c r="G278" s="24" t="inlineStr">
        <is>
          <t>Borussia Dortmund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-355</v>
      </c>
      <c r="M278" s="27" t="n">
        <v>1.28169</v>
      </c>
      <c r="N278" s="28" t="n">
        <v>0.78022</v>
      </c>
      <c r="O278" s="28" t="n">
        <v>0.678732</v>
      </c>
      <c r="P278" s="28" t="n">
        <v>0.2</v>
      </c>
      <c r="Q278" s="28" t="n">
        <v>-0.101488</v>
      </c>
      <c r="R278" s="26" t="n">
        <v>0</v>
      </c>
      <c r="S278" s="29" t="n">
        <v>1</v>
      </c>
      <c r="T278" s="24" t="inlineStr">
        <is>
          <t>soccer-poisson-dc-v1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3</v>
      </c>
      <c r="Y278" s="25" t="n"/>
      <c r="Z278" s="26" t="n">
        <v>-355</v>
      </c>
      <c r="AA278" s="28" t="n">
        <v>0.78</v>
      </c>
      <c r="AB278" s="28" t="n">
        <v>-0.00022</v>
      </c>
      <c r="AC278" s="30" t="n">
        <v>0.2817</v>
      </c>
      <c r="AD278" s="24" t="inlineStr">
        <is>
          <t>2026-09-12T16:00:22.134615Z</t>
        </is>
      </c>
      <c r="AE278" s="31" t="inlineStr">
        <is>
          <t>Poisson-DC rates 2.37 (home) / 0.96 (away) from EWMA attack/defense strengths. Executable ask 0.7800 (atc-bun-bvb-scp-2026-09-12-bvb).</t>
        </is>
      </c>
      <c r="AF278" s="31" t="inlineStr">
        <is>
          <t>Research-only soccer score model; draw-aware, but not yet locked-holdout qualified.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PAPER_CALL_MODEL_UNVALIDATED</t>
        </is>
      </c>
      <c r="AP278" s="24" t="inlineStr">
        <is>
          <t>SC Paderborn 07</t>
        </is>
      </c>
      <c r="AQ278" s="24" t="inlineStr">
        <is>
          <t>SC Paderborn 07</t>
        </is>
      </c>
      <c r="AR278" s="24" t="inlineStr">
        <is>
          <t>SC Paderborn 07</t>
        </is>
      </c>
      <c r="AS278" s="24" t="inlineStr">
        <is>
          <t>Borussia Dortmund</t>
        </is>
      </c>
      <c r="AT278" s="24" t="inlineStr">
        <is>
          <t>Borussia Dortmund</t>
        </is>
      </c>
      <c r="AU278" s="24" t="inlineStr">
        <is>
          <t>Borussia Dortmund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3d16277c2cfc0628d7ec79d04feee92735e5c503a3be195cb225c7c52d024308</t>
        </is>
      </c>
      <c r="BB278" s="24" t="inlineStr">
        <is>
          <t>poisson_dixon_coles</t>
        </is>
      </c>
      <c r="BC278" s="24" t="inlineStr">
        <is>
          <t>soccer-poisson-dc-v1</t>
        </is>
      </c>
      <c r="BD278" s="24" t="inlineStr">
        <is>
          <t>3d16277c2cfc0628d7ec79d04feee92735e5c503a3be195cb225c7c52d024308</t>
        </is>
      </c>
      <c r="BE278" s="24" t="inlineStr">
        <is>
          <t>soccer-poisson-dc-v1</t>
        </is>
      </c>
      <c r="BF278" s="24" t="inlineStr">
        <is>
          <t>1</t>
        </is>
      </c>
      <c r="BG278" s="24" t="inlineStr">
        <is>
          <t>3d16277c2cfc0628d7ec79d04feee92735e5c503a3be195cb225c7c52d024308</t>
        </is>
      </c>
      <c r="BH278" s="24" t="inlineStr">
        <is>
          <t>2026-09-12T10:05:44.903295Z</t>
        </is>
      </c>
      <c r="BI278" s="24" t="inlineStr">
        <is>
          <t>["same_event","same_team_same_day","same_league_same_day"]</t>
        </is>
      </c>
      <c r="BJ278" s="25" t="n"/>
      <c r="BK278" s="26" t="n">
        <v>-355</v>
      </c>
      <c r="BL278" s="27" t="n">
        <v>1.28169</v>
      </c>
      <c r="BM278" s="28" t="n">
        <v>0.78022</v>
      </c>
      <c r="BN278" s="28" t="n"/>
      <c r="BO278" s="28" t="n"/>
      <c r="BP278" s="25" t="n"/>
      <c r="BQ278" s="27" t="n">
        <v>1.28169</v>
      </c>
      <c r="BR278" s="28" t="n">
        <v>0.78</v>
      </c>
      <c r="BS278" s="28" t="n"/>
      <c r="BT278" s="28" t="n"/>
      <c r="BU278" s="25" t="n"/>
      <c r="BV278" s="29" t="n"/>
      <c r="BW278" s="24" t="n"/>
      <c r="BX278" s="30" t="n">
        <v>1</v>
      </c>
      <c r="BY278" s="27" t="n">
        <v>0.28169</v>
      </c>
      <c r="BZ278" s="24" t="inlineStr">
        <is>
          <t>2026-09-12T16:00:22.134615Z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0.78022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"3d16277c2cfc0628d7ec79d04feee92735e5c503a3be195cb225c7c52d024308", "away_team": "SC Paderborn 07", "event_id": "401884799", "event_start_utc": "2026-09-12T13:30Z", "features": {"away_goal_rate": 0.9575, "history_games": 9181, "home_goal_rate": 2.3668, "league_goals_per_team": 1.5832, "min_team_games": 0.0}, "historical_source_observation_times_verified": false, "home_team": "Borussia Dortmund", "inference_inputs": {"away_rate": 0.957450943130345, "code_sha256": {"models/soccer.py": "3d16277c2cfc0628d7ec79d04feee92735e5c503a3be195cb225c7c52d024308"}, "home_rate": 2.36679431177883, "sport": "SOCCER"}, "market_type": "moneyline", "model_version": "soccer-poisson-dc-v1", "observed_at_utc": "2026-09-12T10:07:01.270046+00:00", "probabilities": {"away": 0.127707, "draw": 0.193561, "home": 0.678732}, "replay_scope": "Exact full-precision serving state and rounding; upstream historical observation times are not certified.", "schema": "coded-moneyline-replay-v1", "snapshot_hash": "ef08e2c94f25be9c3d7532d40d60e78475732b65dd80f2e6ea8974186f809eb1", "sport": "SOCCER"}</t>
        </is>
      </c>
    </row>
    <row r="279" ht="36" customHeight="1">
      <c r="A279" s="24" t="inlineStr">
        <is>
          <t>b28ff2485db94bb8</t>
        </is>
      </c>
      <c r="B279" s="24" t="inlineStr">
        <is>
          <t>2026-09-12T10:07:01.899797Z</t>
        </is>
      </c>
      <c r="C279" s="24" t="inlineStr">
        <is>
          <t>2026-09-12T13:30Z</t>
        </is>
      </c>
      <c r="D279" s="24" t="inlineStr">
        <is>
          <t>401884795</t>
        </is>
      </c>
      <c r="E279" s="24" t="inlineStr">
        <is>
          <t>SOCCER</t>
        </is>
      </c>
      <c r="F279" s="24" t="inlineStr">
        <is>
          <t>Bayer Leverkusen</t>
        </is>
      </c>
      <c r="G279" s="24" t="inlineStr">
        <is>
          <t>FC Augsburg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-104</v>
      </c>
      <c r="M279" s="27" t="n">
        <v>1.961538</v>
      </c>
      <c r="N279" s="28" t="n">
        <v>0.509804</v>
      </c>
      <c r="O279" s="28" t="n">
        <v>0.45676</v>
      </c>
      <c r="P279" s="28" t="n">
        <v>0.04</v>
      </c>
      <c r="Q279" s="28" t="n">
        <v>-0.053044</v>
      </c>
      <c r="R279" s="26" t="n">
        <v>0</v>
      </c>
      <c r="S279" s="29" t="n">
        <v>1</v>
      </c>
      <c r="T279" s="24" t="inlineStr">
        <is>
          <t>soccer-poisson-dc-v1</t>
        </is>
      </c>
      <c r="U279" s="24" t="inlineStr">
        <is>
          <t>settled</t>
        </is>
      </c>
      <c r="V279" s="24" t="inlineStr">
        <is>
          <t>loss</t>
        </is>
      </c>
      <c r="W279" s="26" t="n">
        <v>2</v>
      </c>
      <c r="X279" s="26" t="n">
        <v>2</v>
      </c>
      <c r="Y279" s="25" t="n"/>
      <c r="Z279" s="26" t="n">
        <v>100</v>
      </c>
      <c r="AA279" s="28" t="n">
        <v>0.5</v>
      </c>
      <c r="AB279" s="28" t="n">
        <v>-0.009804</v>
      </c>
      <c r="AC279" s="30" t="n">
        <v>-1</v>
      </c>
      <c r="AD279" s="24" t="inlineStr">
        <is>
          <t>2026-09-12T16:00:23.294376Z</t>
        </is>
      </c>
      <c r="AE279" s="31" t="inlineStr">
        <is>
          <t>Poisson-DC rates 1.46 (home) / 1.84 (away) from EWMA attack/defense strengths. Executable ask 0.5100 (atc-bun-aug-lev-2026-09-12-lev).</t>
        </is>
      </c>
      <c r="AF279" s="31" t="inlineStr">
        <is>
          <t>Research-only soccer score model; draw-aware, but not yet locked-holdout qualified.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Bayer Leverkusen</t>
        </is>
      </c>
      <c r="AQ279" s="24" t="inlineStr">
        <is>
          <t>Bayer Leverkusen</t>
        </is>
      </c>
      <c r="AR279" s="24" t="inlineStr">
        <is>
          <t>Bayer Leverkusen</t>
        </is>
      </c>
      <c r="AS279" s="24" t="inlineStr">
        <is>
          <t>FC Augsburg</t>
        </is>
      </c>
      <c r="AT279" s="24" t="inlineStr">
        <is>
          <t>FC Augsburg</t>
        </is>
      </c>
      <c r="AU279" s="24" t="inlineStr">
        <is>
          <t>FC Augsburg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3d16277c2cfc0628d7ec79d04feee92735e5c503a3be195cb225c7c52d024308</t>
        </is>
      </c>
      <c r="BB279" s="24" t="inlineStr">
        <is>
          <t>poisson_dixon_coles</t>
        </is>
      </c>
      <c r="BC279" s="24" t="inlineStr">
        <is>
          <t>soccer-poisson-dc-v1</t>
        </is>
      </c>
      <c r="BD279" s="24" t="inlineStr">
        <is>
          <t>3d16277c2cfc0628d7ec79d04feee92735e5c503a3be195cb225c7c52d024308</t>
        </is>
      </c>
      <c r="BE279" s="24" t="inlineStr">
        <is>
          <t>soccer-poisson-dc-v1</t>
        </is>
      </c>
      <c r="BF279" s="24" t="inlineStr">
        <is>
          <t>1</t>
        </is>
      </c>
      <c r="BG279" s="24" t="inlineStr">
        <is>
          <t>3d16277c2cfc0628d7ec79d04feee92735e5c503a3be195cb225c7c52d024308</t>
        </is>
      </c>
      <c r="BH279" s="24" t="inlineStr">
        <is>
          <t>2026-09-12T10:05:45.286568Z</t>
        </is>
      </c>
      <c r="BI279" s="24" t="inlineStr">
        <is>
          <t>["same_event","same_team_same_day","same_league_same_day"]</t>
        </is>
      </c>
      <c r="BJ279" s="25" t="n"/>
      <c r="BK279" s="26" t="n">
        <v>-104</v>
      </c>
      <c r="BL279" s="27" t="n">
        <v>1.961538</v>
      </c>
      <c r="BM279" s="28" t="n">
        <v>0.509804</v>
      </c>
      <c r="BN279" s="28" t="n"/>
      <c r="BO279" s="28" t="n"/>
      <c r="BP279" s="25" t="n"/>
      <c r="BQ279" s="27" t="n">
        <v>2</v>
      </c>
      <c r="BR279" s="28" t="n">
        <v>0.5</v>
      </c>
      <c r="BS279" s="28" t="n"/>
      <c r="BT279" s="28" t="n"/>
      <c r="BU279" s="25" t="n"/>
      <c r="BV279" s="29" t="n"/>
      <c r="BW279" s="24" t="n"/>
      <c r="BX279" s="30" t="n">
        <v>1</v>
      </c>
      <c r="BY279" s="27" t="n">
        <v>-1</v>
      </c>
      <c r="BZ279" s="24" t="inlineStr">
        <is>
          <t>2026-09-12T16:00:23.294376Z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0.509804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"3d16277c2cfc0628d7ec79d04feee92735e5c503a3be195cb225c7c52d024308", "away_team": "Bayer Leverkusen", "event_id": "401884795", "event_start_utc": "2026-09-12T13:30Z", "features": {"away_goal_rate": 1.838, "history_games": 9181, "home_goal_rate": 1.4573, "league_goals_per_team": 1.5832, "min_team_games": 86.0}, "historical_source_observation_times_verified": false, "home_team": "FC Augsburg", "inference_inputs": {"away_rate": 1.8379729626470058, "code_sha256": {"models/soccer.py": "3d16277c2cfc0628d7ec79d04feee92735e5c503a3be195cb225c7c52d024308"}, "home_rate": 1.4573327008043042, "sport": "SOCCER"}, "market_type": "moneyline", "model_version": "soccer-poisson-dc-v1", "observed_at_utc": "2026-09-12T10:07:01.270046+00:00", "probabilities": {"away": 0.45676, "draw": 0.246109, "home": 0.29713}, "replay_scope": "Exact full-precision serving state and rounding; upstream historical observation times are not certified.", "schema": "coded-moneyline-replay-v1", "snapshot_hash": "0e103e90857ee204befbc2e7e7298ba150cf1074e5f375219a8b3a8fe2403c75", "sport": "SOCCER"}</t>
        </is>
      </c>
    </row>
    <row r="280" ht="36" customHeight="1">
      <c r="A280" s="24" t="inlineStr">
        <is>
          <t>aec4df194fdf49ef</t>
        </is>
      </c>
      <c r="B280" s="24" t="inlineStr">
        <is>
          <t>2026-09-12T10:07:01.899797Z</t>
        </is>
      </c>
      <c r="C280" s="24" t="inlineStr">
        <is>
          <t>2026-09-12T13:30Z</t>
        </is>
      </c>
      <c r="D280" s="24" t="inlineStr">
        <is>
          <t>401884794</t>
        </is>
      </c>
      <c r="E280" s="24" t="inlineStr">
        <is>
          <t>SOCCER</t>
        </is>
      </c>
      <c r="F280" s="24" t="inlineStr">
        <is>
          <t>Eintracht Frankfurt</t>
        </is>
      </c>
      <c r="G280" s="24" t="inlineStr">
        <is>
          <t>Mainz</t>
        </is>
      </c>
      <c r="H280" s="24" t="inlineStr">
        <is>
          <t>moneyline</t>
        </is>
      </c>
      <c r="I280" s="24" t="inlineStr">
        <is>
          <t>home</t>
        </is>
      </c>
      <c r="J280" s="25" t="n"/>
      <c r="K280" s="24" t="inlineStr">
        <is>
          <t>polymarket_us</t>
        </is>
      </c>
      <c r="L280" s="26" t="n">
        <v>-122</v>
      </c>
      <c r="M280" s="27" t="n">
        <v>1.819672</v>
      </c>
      <c r="N280" s="28" t="n">
        <v>0.54955</v>
      </c>
      <c r="O280" s="28" t="n">
        <v>0.5009749999999999</v>
      </c>
      <c r="P280" s="28" t="n">
        <v>0.04</v>
      </c>
      <c r="Q280" s="28" t="n">
        <v>-0.048575</v>
      </c>
      <c r="R280" s="26" t="n">
        <v>2</v>
      </c>
      <c r="S280" s="29" t="n">
        <v>1</v>
      </c>
      <c r="T280" s="24" t="inlineStr">
        <is>
          <t>soccer-poisson-dc-v1</t>
        </is>
      </c>
      <c r="U280" s="24" t="inlineStr">
        <is>
          <t>settled</t>
        </is>
      </c>
      <c r="V280" s="24" t="inlineStr">
        <is>
          <t>loss</t>
        </is>
      </c>
      <c r="W280" s="26" t="n">
        <v>3</v>
      </c>
      <c r="X280" s="26" t="n">
        <v>1</v>
      </c>
      <c r="Y280" s="25" t="n"/>
      <c r="Z280" s="26" t="n">
        <v>-122</v>
      </c>
      <c r="AA280" s="28" t="n">
        <v>0.55</v>
      </c>
      <c r="AB280" s="28" t="n">
        <v>0.00045</v>
      </c>
      <c r="AC280" s="30" t="n">
        <v>-1</v>
      </c>
      <c r="AD280" s="24" t="inlineStr">
        <is>
          <t>2026-09-12T16:00:24.496753Z</t>
        </is>
      </c>
      <c r="AE280" s="31" t="inlineStr">
        <is>
          <t>Poisson-DC rates 1.91 (home) / 1.32 (away) from EWMA attack/defense strengths. Executable ask 0.5500 (atc-bun-mai-fra-2026-09-12-mai).</t>
        </is>
      </c>
      <c r="AF280" s="31" t="inlineStr">
        <is>
          <t>Research-only soccer score model; draw-aware, but not yet locked-holdout qualified.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Eintracht Frankfurt</t>
        </is>
      </c>
      <c r="AQ280" s="24" t="inlineStr">
        <is>
          <t>Eintracht Frankfurt</t>
        </is>
      </c>
      <c r="AR280" s="24" t="inlineStr">
        <is>
          <t>Eintracht Frankfurt</t>
        </is>
      </c>
      <c r="AS280" s="24" t="inlineStr">
        <is>
          <t>Mainz</t>
        </is>
      </c>
      <c r="AT280" s="24" t="inlineStr">
        <is>
          <t>Mainz</t>
        </is>
      </c>
      <c r="AU280" s="24" t="inlineStr">
        <is>
          <t>Mainz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3d16277c2cfc0628d7ec79d04feee92735e5c503a3be195cb225c7c52d024308</t>
        </is>
      </c>
      <c r="BB280" s="24" t="inlineStr">
        <is>
          <t>poisson_dixon_coles</t>
        </is>
      </c>
      <c r="BC280" s="24" t="inlineStr">
        <is>
          <t>soccer-poisson-dc-v1</t>
        </is>
      </c>
      <c r="BD280" s="24" t="inlineStr">
        <is>
          <t>3d16277c2cfc0628d7ec79d04feee92735e5c503a3be195cb225c7c52d024308</t>
        </is>
      </c>
      <c r="BE280" s="24" t="inlineStr">
        <is>
          <t>soccer-poisson-dc-v1</t>
        </is>
      </c>
      <c r="BF280" s="24" t="inlineStr">
        <is>
          <t>1</t>
        </is>
      </c>
      <c r="BG280" s="24" t="inlineStr">
        <is>
          <t>3d16277c2cfc0628d7ec79d04feee92735e5c503a3be195cb225c7c52d024308</t>
        </is>
      </c>
      <c r="BH280" s="24" t="inlineStr">
        <is>
          <t>2026-09-12T10:05:45.420379Z</t>
        </is>
      </c>
      <c r="BI280" s="24" t="inlineStr">
        <is>
          <t>["same_event","same_team_same_day","same_league_same_day"]</t>
        </is>
      </c>
      <c r="BJ280" s="25" t="n"/>
      <c r="BK280" s="26" t="n">
        <v>-122</v>
      </c>
      <c r="BL280" s="27" t="n">
        <v>1.819672</v>
      </c>
      <c r="BM280" s="28" t="n">
        <v>0.54955</v>
      </c>
      <c r="BN280" s="28" t="n"/>
      <c r="BO280" s="28" t="n"/>
      <c r="BP280" s="25" t="n"/>
      <c r="BQ280" s="27" t="n">
        <v>1.819672</v>
      </c>
      <c r="BR280" s="28" t="n">
        <v>0.55</v>
      </c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2026-09-12T16:00:24.496753Z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0.54955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"3d16277c2cfc0628d7ec79d04feee92735e5c503a3be195cb225c7c52d024308", "away_team": "Eintracht Frankfurt", "event_id": "401884794", "event_start_utc": "2026-09-12T13:30Z", "features": {"away_goal_rate": 1.3225, "history_games": 9181, "home_goal_rate": 1.9056, "league_goals_per_team": 1.5832, "min_team_games": 86.0}, "historical_source_observation_times_verified": false, "home_team": "Mainz", "inference_inputs": {"away_rate": 1.3224585677673388, "code_sha256": {"models/soccer.py": "3d16277c2cfc0628d7ec79d04feee92735e5c503a3be195cb225c7c52d024308"}, "home_rate": 1.9056369046114316, "sport": "SOCCER"}, "market_type": "moneyline", "model_version": "soccer-poisson-dc-v1", "observed_at_utc": "2026-09-12T10:07:01.270046+00:00", "probabilities": {"away": 0.255911, "draw": 0.243114, "home": 0.500975}, "replay_scope": "Exact full-precision serving state and rounding; upstream historical observation times are not certified.", "schema": "coded-moneyline-replay-v1", "snapshot_hash": "cf83e3f34a44ebb598eda8bfaaa9cf0f6f62524149a0f33290e5df5b8df61c59", "sport": "SOCCER"}</t>
        </is>
      </c>
    </row>
    <row r="281" ht="36" customHeight="1">
      <c r="A281" s="24" t="inlineStr">
        <is>
          <t>2275a461761a4f2a</t>
        </is>
      </c>
      <c r="B281" s="24" t="inlineStr">
        <is>
          <t>2026-09-12T10:07:01.899797Z</t>
        </is>
      </c>
      <c r="C281" s="24" t="inlineStr">
        <is>
          <t>2026-09-12T13:30Z</t>
        </is>
      </c>
      <c r="D281" s="24" t="inlineStr">
        <is>
          <t>401884797</t>
        </is>
      </c>
      <c r="E281" s="24" t="inlineStr">
        <is>
          <t>SOCCER</t>
        </is>
      </c>
      <c r="F281" s="24" t="inlineStr">
        <is>
          <t>VfB Stuttgart</t>
        </is>
      </c>
      <c r="G281" s="24" t="inlineStr">
        <is>
          <t>TSG Hoffenheim</t>
        </is>
      </c>
      <c r="H281" s="24" t="inlineStr">
        <is>
          <t>moneyline</t>
        </is>
      </c>
      <c r="I281" s="24" t="inlineStr">
        <is>
          <t>away</t>
        </is>
      </c>
      <c r="J281" s="25" t="n"/>
      <c r="K281" s="24" t="inlineStr">
        <is>
          <t>polymarket_us</t>
        </is>
      </c>
      <c r="L281" s="26" t="n">
        <v>194</v>
      </c>
      <c r="M281" s="27" t="n">
        <v>2.94</v>
      </c>
      <c r="N281" s="28" t="n">
        <v>0.340136</v>
      </c>
      <c r="O281" s="28" t="n">
        <v>0.421209</v>
      </c>
      <c r="P281" s="28" t="n">
        <v>0.04</v>
      </c>
      <c r="Q281" s="28" t="n">
        <v>0.08107300000000001</v>
      </c>
      <c r="R281" s="26" t="n">
        <v>67</v>
      </c>
      <c r="S281" s="29" t="n">
        <v>1.25</v>
      </c>
      <c r="T281" s="24" t="inlineStr">
        <is>
          <t>soccer-poisson-dc-v1</t>
        </is>
      </c>
      <c r="U281" s="24" t="inlineStr">
        <is>
          <t>settled</t>
        </is>
      </c>
      <c r="V281" s="24" t="inlineStr">
        <is>
          <t>loss</t>
        </is>
      </c>
      <c r="W281" s="26" t="n">
        <v>1</v>
      </c>
      <c r="X281" s="26" t="n">
        <v>2</v>
      </c>
      <c r="Y281" s="25" t="n"/>
      <c r="Z281" s="26" t="n">
        <v>-203</v>
      </c>
      <c r="AA281" s="28" t="n">
        <v>0.67</v>
      </c>
      <c r="AB281" s="28" t="n">
        <v>0.329864</v>
      </c>
      <c r="AC281" s="30" t="n">
        <v>-1.25</v>
      </c>
      <c r="AD281" s="24" t="inlineStr">
        <is>
          <t>2026-09-12T16:00:25.639204Z</t>
        </is>
      </c>
      <c r="AE281" s="31" t="inlineStr">
        <is>
          <t>Poisson-DC rates 1.92 (home) / 2.08 (away) from EWMA attack/defense strengths. Executable ask 0.3400 (atc-bun-hof-stu-2026-09-12-stu).</t>
        </is>
      </c>
      <c r="AF281" s="31" t="inlineStr">
        <is>
          <t>Research-only soccer score model; draw-aware, but not yet locked-holdout qualified.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VfB Stuttgart</t>
        </is>
      </c>
      <c r="AQ281" s="24" t="inlineStr">
        <is>
          <t>VfB Stuttgart</t>
        </is>
      </c>
      <c r="AR281" s="24" t="inlineStr">
        <is>
          <t>VfB Stuttgart</t>
        </is>
      </c>
      <c r="AS281" s="24" t="inlineStr">
        <is>
          <t>TSG Hoffenheim</t>
        </is>
      </c>
      <c r="AT281" s="24" t="inlineStr">
        <is>
          <t>TSG Hoffenheim</t>
        </is>
      </c>
      <c r="AU281" s="24" t="inlineStr">
        <is>
          <t>TSG Hoffenheim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3d16277c2cfc0628d7ec79d04feee92735e5c503a3be195cb225c7c52d024308</t>
        </is>
      </c>
      <c r="BB281" s="24" t="inlineStr">
        <is>
          <t>poisson_dixon_coles</t>
        </is>
      </c>
      <c r="BC281" s="24" t="inlineStr">
        <is>
          <t>soccer-poisson-dc-v1</t>
        </is>
      </c>
      <c r="BD281" s="24" t="inlineStr">
        <is>
          <t>3d16277c2cfc0628d7ec79d04feee92735e5c503a3be195cb225c7c52d024308</t>
        </is>
      </c>
      <c r="BE281" s="24" t="inlineStr">
        <is>
          <t>soccer-poisson-dc-v1</t>
        </is>
      </c>
      <c r="BF281" s="24" t="inlineStr">
        <is>
          <t>1</t>
        </is>
      </c>
      <c r="BG281" s="24" t="inlineStr">
        <is>
          <t>3d16277c2cfc0628d7ec79d04feee92735e5c503a3be195cb225c7c52d024308</t>
        </is>
      </c>
      <c r="BH281" s="24" t="inlineStr">
        <is>
          <t>2026-09-12T10:05:45.041725Z</t>
        </is>
      </c>
      <c r="BI281" s="24" t="inlineStr">
        <is>
          <t>["same_event","same_team_same_day","same_league_same_day"]</t>
        </is>
      </c>
      <c r="BJ281" s="25" t="n"/>
      <c r="BK281" s="26" t="n">
        <v>194</v>
      </c>
      <c r="BL281" s="27" t="n">
        <v>2.94</v>
      </c>
      <c r="BM281" s="28" t="n">
        <v>0.340136</v>
      </c>
      <c r="BN281" s="28" t="n"/>
      <c r="BO281" s="28" t="n"/>
      <c r="BP281" s="25" t="n"/>
      <c r="BQ281" s="27" t="n">
        <v>1.492611</v>
      </c>
      <c r="BR281" s="28" t="n">
        <v>0.67</v>
      </c>
      <c r="BS281" s="28" t="n"/>
      <c r="BT281" s="28" t="n"/>
      <c r="BU281" s="25" t="n"/>
      <c r="BV281" s="29" t="n"/>
      <c r="BW281" s="24" t="n"/>
      <c r="BX281" s="30" t="n">
        <v>1</v>
      </c>
      <c r="BY281" s="27" t="n">
        <v>-1</v>
      </c>
      <c r="BZ281" s="24" t="inlineStr">
        <is>
          <t>2026-09-12T16:00:25.639204Z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0.340136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"3d16277c2cfc0628d7ec79d04feee92735e5c503a3be195cb225c7c52d024308", "away_team": "VfB Stuttgart", "event_id": "401884797", "event_start_utc": "2026-09-12T13:30Z", "features": {"away_goal_rate": 2.0808, "history_games": 9181, "home_goal_rate": 1.9159, "league_goals_per_team": 1.5832, "min_team_games": 86.0}, "historical_source_observation_times_verified": false, "home_team": "TSG Hoffenheim", "inference_inputs": {"away_rate": 2.080774649904847, "code_sha256": {"models/soccer.py": "3d16277c2cfc0628d7ec79d04feee92735e5c503a3be195cb225c7c52d024308"}, "home_rate": 1.915905715228076, "sport": "SOCCER"}, "market_type": "moneyline", "model_version": "soccer-poisson-dc-v1", "observed_at_utc": "2026-09-12T10:07:01.270046+00:00", "probabilities": {"away": 0.421209, "draw": 0.221144, "home": 0.357647}, "replay_scope": "Exact full-precision serving state and rounding; upstream historical observation times are not certified.", "schema": "coded-moneyline-replay-v1", "snapshot_hash": "9639c0c34e485f0b8c37c205ae97bd13dcc3a3a58686b17d4a2cb4a8db24a834", "sport": "SOCCER"}</t>
        </is>
      </c>
    </row>
    <row r="282" ht="36" customHeight="1">
      <c r="A282" s="24" t="inlineStr">
        <is>
          <t>b3ca6db9d82d488b</t>
        </is>
      </c>
      <c r="B282" s="24" t="inlineStr">
        <is>
          <t>2026-09-12T10:07:01.899797Z</t>
        </is>
      </c>
      <c r="C282" s="24" t="inlineStr">
        <is>
          <t>2026-09-12T13:00Z</t>
        </is>
      </c>
      <c r="D282" s="24" t="inlineStr">
        <is>
          <t>401874991</t>
        </is>
      </c>
      <c r="E282" s="24" t="inlineStr">
        <is>
          <t>SOCCER</t>
        </is>
      </c>
      <c r="F282" s="24" t="inlineStr">
        <is>
          <t>Frosinone</t>
        </is>
      </c>
      <c r="G282" s="24" t="inlineStr">
        <is>
          <t>Genoa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127</v>
      </c>
      <c r="M282" s="27" t="n">
        <v>2.27</v>
      </c>
      <c r="N282" s="28" t="n">
        <v>0.440529</v>
      </c>
      <c r="O282" s="28" t="n">
        <v>0.480342</v>
      </c>
      <c r="P282" s="28" t="n">
        <v>0.04</v>
      </c>
      <c r="Q282" s="28" t="n">
        <v>0.039813</v>
      </c>
      <c r="R282" s="26" t="n">
        <v>46</v>
      </c>
      <c r="S282" s="29" t="n">
        <v>1</v>
      </c>
      <c r="T282" s="24" t="inlineStr">
        <is>
          <t>soccer-poisson-dc-v1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1</v>
      </c>
      <c r="Y282" s="25" t="n"/>
      <c r="Z282" s="26" t="n">
        <v>127</v>
      </c>
      <c r="AA282" s="28" t="n">
        <v>0.44</v>
      </c>
      <c r="AB282" s="28" t="n">
        <v>-0.000529</v>
      </c>
      <c r="AC282" s="30" t="n">
        <v>-1</v>
      </c>
      <c r="AD282" s="24" t="inlineStr">
        <is>
          <t>2026-09-12T16:00:26.824557Z</t>
        </is>
      </c>
      <c r="AE282" s="31" t="inlineStr">
        <is>
          <t>Poisson-DC rates 1.39 (home) / 0.86 (away) from EWMA attack/defense strengths. Executable ask 0.4400 (atc-sea-gen-fro-2026-09-12-gen).</t>
        </is>
      </c>
      <c r="AF282" s="31" t="inlineStr">
        <is>
          <t>Research-only soccer score model; draw-aware, but not yet locked-holdout qualified.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Frosinone</t>
        </is>
      </c>
      <c r="AQ282" s="24" t="inlineStr">
        <is>
          <t>Frosinone</t>
        </is>
      </c>
      <c r="AR282" s="24" t="inlineStr">
        <is>
          <t>Frosinone</t>
        </is>
      </c>
      <c r="AS282" s="24" t="inlineStr">
        <is>
          <t>Genoa</t>
        </is>
      </c>
      <c r="AT282" s="24" t="inlineStr">
        <is>
          <t>Genoa</t>
        </is>
      </c>
      <c r="AU282" s="24" t="inlineStr">
        <is>
          <t>Genoa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3d16277c2cfc0628d7ec79d04feee92735e5c503a3be195cb225c7c52d024308</t>
        </is>
      </c>
      <c r="BB282" s="24" t="inlineStr">
        <is>
          <t>poisson_dixon_coles</t>
        </is>
      </c>
      <c r="BC282" s="24" t="inlineStr">
        <is>
          <t>soccer-poisson-dc-v1</t>
        </is>
      </c>
      <c r="BD282" s="24" t="inlineStr">
        <is>
          <t>3d16277c2cfc0628d7ec79d04feee92735e5c503a3be195cb225c7c52d024308</t>
        </is>
      </c>
      <c r="BE282" s="24" t="inlineStr">
        <is>
          <t>soccer-poisson-dc-v1</t>
        </is>
      </c>
      <c r="BF282" s="24" t="inlineStr">
        <is>
          <t>1</t>
        </is>
      </c>
      <c r="BG282" s="24" t="inlineStr">
        <is>
          <t>3d16277c2cfc0628d7ec79d04feee92735e5c503a3be195cb225c7c52d024308</t>
        </is>
      </c>
      <c r="BH282" s="24" t="inlineStr">
        <is>
          <t>2026-09-12T10:05:46.361914Z</t>
        </is>
      </c>
      <c r="BI282" s="24" t="inlineStr">
        <is>
          <t>["same_event","same_team_same_day","same_league_same_day"]</t>
        </is>
      </c>
      <c r="BJ282" s="25" t="n"/>
      <c r="BK282" s="26" t="n">
        <v>127</v>
      </c>
      <c r="BL282" s="27" t="n">
        <v>2.27</v>
      </c>
      <c r="BM282" s="28" t="n">
        <v>0.440529</v>
      </c>
      <c r="BN282" s="28" t="n"/>
      <c r="BO282" s="28" t="n"/>
      <c r="BP282" s="25" t="n"/>
      <c r="BQ282" s="27" t="n">
        <v>2.27</v>
      </c>
      <c r="BR282" s="28" t="n">
        <v>0.44</v>
      </c>
      <c r="BS282" s="28" t="n"/>
      <c r="BT282" s="28" t="n"/>
      <c r="BU282" s="25" t="n"/>
      <c r="BV282" s="29" t="n"/>
      <c r="BW282" s="24" t="n"/>
      <c r="BX282" s="30" t="n">
        <v>1</v>
      </c>
      <c r="BY282" s="27" t="n">
        <v>-1</v>
      </c>
      <c r="BZ282" s="24" t="inlineStr">
        <is>
          <t>2026-09-12T16:00:26.824557Z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0.440529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"3d16277c2cfc0628d7ec79d04feee92735e5c503a3be195cb225c7c52d024308", "away_team": "Frosinone", "event_id": "401874991", "event_start_utc": "2026-09-12T13:00Z", "features": {"away_goal_rate": 0.8629, "history_games": 9181, "home_goal_rate": 1.3917, "league_goals_per_team": 1.2703, "min_team_games": 20.0}, "historical_source_observation_times_verified": false, "home_team": "Genoa", "inference_inputs": {"away_rate": 0.8629207591563014, "code_sha256": {"models/soccer.py": "3d16277c2cfc0628d7ec79d04feee92735e5c503a3be195cb225c7c52d024308"}, "home_rate": 1.3916776190994888, "sport": "SOCCER"}, "market_type": "moneyline", "model_version": "soccer-poisson-dc-v1", "observed_at_utc": "2026-09-12T10:07:01.270046+00:00", "probabilities": {"away": 0.220277, "draw": 0.29938, "home": 0.480342}, "replay_scope": "Exact full-precision serving state and rounding; upstream historical observation times are not certified.", "schema": "coded-moneyline-replay-v1", "snapshot_hash": "478919c31c3b1087cf090d7d6f035483c20d728f28d4db4552882d66a0e855e2", "sport": "SOCCER"}</t>
        </is>
      </c>
    </row>
    <row r="283" ht="36" customHeight="1">
      <c r="A283" s="24" t="inlineStr">
        <is>
          <t>3465ac0d17934e8c</t>
        </is>
      </c>
      <c r="B283" s="24" t="inlineStr">
        <is>
          <t>2026-09-12T10:07:01.899797Z</t>
        </is>
      </c>
      <c r="C283" s="24" t="inlineStr">
        <is>
          <t>2026-09-12T16:00Z</t>
        </is>
      </c>
      <c r="D283" s="24" t="inlineStr">
        <is>
          <t>401874941</t>
        </is>
      </c>
      <c r="E283" s="24" t="inlineStr">
        <is>
          <t>SOCCER</t>
        </is>
      </c>
      <c r="F283" s="24" t="inlineStr">
        <is>
          <t>AC Milan</t>
        </is>
      </c>
      <c r="G283" s="24" t="inlineStr">
        <is>
          <t>Lazio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285</v>
      </c>
      <c r="M283" s="27" t="n">
        <v>3.85</v>
      </c>
      <c r="N283" s="28" t="n">
        <v>0.25974</v>
      </c>
      <c r="O283" s="28" t="n">
        <v>0.377676</v>
      </c>
      <c r="P283" s="28" t="n">
        <v>0.04</v>
      </c>
      <c r="Q283" s="28" t="n">
        <v>0.117936</v>
      </c>
      <c r="R283" s="26" t="n">
        <v>85</v>
      </c>
      <c r="S283" s="29" t="n">
        <v>1.5</v>
      </c>
      <c r="T283" s="24" t="inlineStr">
        <is>
          <t>soccer-poisson-dc-v1</t>
        </is>
      </c>
      <c r="U283" s="24" t="inlineStr">
        <is>
          <t>settled</t>
        </is>
      </c>
      <c r="V283" s="24" t="inlineStr">
        <is>
          <t>loss</t>
        </is>
      </c>
      <c r="W283" s="26" t="n">
        <v>2</v>
      </c>
      <c r="X283" s="26" t="n">
        <v>2</v>
      </c>
      <c r="Y283" s="25" t="n"/>
      <c r="Z283" s="26" t="n">
        <v>285</v>
      </c>
      <c r="AA283" s="28" t="n">
        <v>0.26</v>
      </c>
      <c r="AB283" s="28" t="n">
        <v>0.00026</v>
      </c>
      <c r="AC283" s="30" t="n">
        <v>-1.5</v>
      </c>
      <c r="AD283" s="24" t="inlineStr">
        <is>
          <t>2026-09-12T22:00:15.479595Z</t>
        </is>
      </c>
      <c r="AE283" s="31" t="inlineStr">
        <is>
          <t>Poisson-DC rates 1.19 (home) / 1.06 (away) from EWMA attack/defense strengths. Executable ask 0.2600 (atc-sea-laz-mil-2026-09-12-laz).</t>
        </is>
      </c>
      <c r="AF283" s="31" t="inlineStr">
        <is>
          <t>Research-only soccer score model; draw-aware, but not yet locked-holdout qualified.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AC Milan</t>
        </is>
      </c>
      <c r="AQ283" s="24" t="inlineStr">
        <is>
          <t>AC Milan</t>
        </is>
      </c>
      <c r="AR283" s="24" t="inlineStr">
        <is>
          <t>AC Milan</t>
        </is>
      </c>
      <c r="AS283" s="24" t="inlineStr">
        <is>
          <t>Lazio</t>
        </is>
      </c>
      <c r="AT283" s="24" t="inlineStr">
        <is>
          <t>Lazio</t>
        </is>
      </c>
      <c r="AU283" s="24" t="inlineStr">
        <is>
          <t>Lazio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3d16277c2cfc0628d7ec79d04feee92735e5c503a3be195cb225c7c52d024308</t>
        </is>
      </c>
      <c r="BB283" s="24" t="inlineStr">
        <is>
          <t>poisson_dixon_coles</t>
        </is>
      </c>
      <c r="BC283" s="24" t="inlineStr">
        <is>
          <t>soccer-poisson-dc-v1</t>
        </is>
      </c>
      <c r="BD283" s="24" t="inlineStr">
        <is>
          <t>3d16277c2cfc0628d7ec79d04feee92735e5c503a3be195cb225c7c52d024308</t>
        </is>
      </c>
      <c r="BE283" s="24" t="inlineStr">
        <is>
          <t>soccer-poisson-dc-v1</t>
        </is>
      </c>
      <c r="BF283" s="24" t="inlineStr">
        <is>
          <t>1</t>
        </is>
      </c>
      <c r="BG283" s="24" t="inlineStr">
        <is>
          <t>3d16277c2cfc0628d7ec79d04feee92735e5c503a3be195cb225c7c52d024308</t>
        </is>
      </c>
      <c r="BH283" s="24" t="inlineStr">
        <is>
          <t>2026-09-12T10:05:46.556845Z</t>
        </is>
      </c>
      <c r="BI283" s="24" t="inlineStr">
        <is>
          <t>["same_event","same_team_same_day","same_league_same_day"]</t>
        </is>
      </c>
      <c r="BJ283" s="25" t="n"/>
      <c r="BK283" s="26" t="n">
        <v>285</v>
      </c>
      <c r="BL283" s="27" t="n">
        <v>3.85</v>
      </c>
      <c r="BM283" s="28" t="n">
        <v>0.25974</v>
      </c>
      <c r="BN283" s="28" t="n"/>
      <c r="BO283" s="28" t="n"/>
      <c r="BP283" s="25" t="n"/>
      <c r="BQ283" s="27" t="n">
        <v>3.85</v>
      </c>
      <c r="BR283" s="28" t="n">
        <v>0.26</v>
      </c>
      <c r="BS283" s="28" t="n"/>
      <c r="BT283" s="28" t="n"/>
      <c r="BU283" s="25" t="n"/>
      <c r="BV283" s="29" t="n"/>
      <c r="BW283" s="24" t="n"/>
      <c r="BX283" s="30" t="n">
        <v>1</v>
      </c>
      <c r="BY283" s="27" t="n">
        <v>-1</v>
      </c>
      <c r="BZ283" s="24" t="inlineStr">
        <is>
          <t>2026-09-12T22:00:15.479595Z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0.25974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"3d16277c2cfc0628d7ec79d04feee92735e5c503a3be195cb225c7c52d024308", "away_team": "AC Milan", "event_id": "401874941", "event_start_utc": "2026-09-12T16:00Z", "features": {"away_goal_rate": 1.0555, "history_games": 9181, "home_goal_rate": 1.1931, "league_goals_per_team": 1.2703, "min_team_games": 96.0}, "historical_source_observation_times_verified": false, "home_team": "Lazio", "inference_inputs": {"away_rate": 1.0555289756481678, "code_sha256": {"models/soccer.py": "3d16277c2cfc0628d7ec79d04feee92735e5c503a3be195cb225c7c52d024308"}, "home_rate": 1.193146348301164, "sport": "SOCCER"}, "market_type": "moneyline", "model_version": "soccer-poisson-dc-v1", "observed_at_utc": "2026-09-12T10:07:01.270046+00:00", "probabilities": {"away": 0.309096, "draw": 0.313227, "home": 0.377676}, "replay_scope": "Exact full-precision serving state and rounding; upstream historical observation times are not certified.", "schema": "coded-moneyline-replay-v1", "snapshot_hash": "3956a6b3675d4bc6723a73cc7b49b0a556f9ee0c3ced8853d880698fe6295e34", "sport": "SOCCER"}</t>
        </is>
      </c>
    </row>
    <row r="284" ht="36" customHeight="1">
      <c r="A284" s="24" t="inlineStr">
        <is>
          <t>62ad0cdf7037433b</t>
        </is>
      </c>
      <c r="B284" s="24" t="inlineStr">
        <is>
          <t>2026-09-12T10:07:01.899797Z</t>
        </is>
      </c>
      <c r="C284" s="24" t="inlineStr">
        <is>
          <t>2026-09-12T15:30Z</t>
        </is>
      </c>
      <c r="D284" s="24" t="inlineStr">
        <is>
          <t>401850659</t>
        </is>
      </c>
      <c r="E284" s="24" t="inlineStr">
        <is>
          <t>SOCCER</t>
        </is>
      </c>
      <c r="F284" s="24" t="inlineStr">
        <is>
          <t>Everton CD</t>
        </is>
      </c>
      <c r="G284" s="24" t="inlineStr">
        <is>
          <t>Ñublense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186</v>
      </c>
      <c r="M284" s="27" t="n">
        <v>2.86</v>
      </c>
      <c r="N284" s="28" t="n">
        <v>0.34965</v>
      </c>
      <c r="O284" s="28" t="n">
        <v>0.414794</v>
      </c>
      <c r="P284" s="28" t="n">
        <v>0.19</v>
      </c>
      <c r="Q284" s="28" t="n">
        <v>0.06514399999999999</v>
      </c>
      <c r="R284" s="26" t="n">
        <v>0</v>
      </c>
      <c r="S284" s="29" t="n">
        <v>1</v>
      </c>
      <c r="T284" s="24" t="inlineStr">
        <is>
          <t>soccer-poisson-dc-v1</t>
        </is>
      </c>
      <c r="U284" s="24" t="inlineStr">
        <is>
          <t>settled</t>
        </is>
      </c>
      <c r="V284" s="24" t="inlineStr">
        <is>
          <t>loss</t>
        </is>
      </c>
      <c r="W284" s="26" t="n">
        <v>3</v>
      </c>
      <c r="X284" s="26" t="n">
        <v>1</v>
      </c>
      <c r="Y284" s="25" t="n"/>
      <c r="Z284" s="26" t="n">
        <v>186</v>
      </c>
      <c r="AA284" s="28" t="n">
        <v>0.35</v>
      </c>
      <c r="AB284" s="28" t="n">
        <v>0.00035</v>
      </c>
      <c r="AC284" s="30" t="n">
        <v>-1</v>
      </c>
      <c r="AD284" s="24" t="inlineStr">
        <is>
          <t>2026-09-12T22:00:17.476719Z</t>
        </is>
      </c>
      <c r="AE284" s="31" t="inlineStr">
        <is>
          <t>Poisson-DC rates 1.41 (home) / 1.16 (away) from EWMA attack/defense strengths. Executable ask 0.3500 (atc-pdc-nub-eve-2026-09-12-nub).</t>
        </is>
      </c>
      <c r="AF284" s="31" t="inlineStr">
        <is>
          <t>Research-only soccer score model; draw-aware, but not yet locked-holdout qualified.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Everton CD</t>
        </is>
      </c>
      <c r="AQ284" s="24" t="inlineStr">
        <is>
          <t>Everton CD</t>
        </is>
      </c>
      <c r="AR284" s="24" t="inlineStr">
        <is>
          <t>Everton CD</t>
        </is>
      </c>
      <c r="AS284" s="24" t="inlineStr">
        <is>
          <t>Ñublense</t>
        </is>
      </c>
      <c r="AT284" s="24" t="inlineStr">
        <is>
          <t>Ñublense</t>
        </is>
      </c>
      <c r="AU284" s="24" t="inlineStr">
        <is>
          <t>Ñublense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3d16277c2cfc0628d7ec79d04feee92735e5c503a3be195cb225c7c52d024308</t>
        </is>
      </c>
      <c r="BB284" s="24" t="inlineStr">
        <is>
          <t>poisson_dixon_coles</t>
        </is>
      </c>
      <c r="BC284" s="24" t="inlineStr">
        <is>
          <t>soccer-poisson-dc-v1</t>
        </is>
      </c>
      <c r="BD284" s="24" t="inlineStr">
        <is>
          <t>3d16277c2cfc0628d7ec79d04feee92735e5c503a3be195cb225c7c52d024308</t>
        </is>
      </c>
      <c r="BE284" s="24" t="inlineStr">
        <is>
          <t>soccer-poisson-dc-v1</t>
        </is>
      </c>
      <c r="BF284" s="24" t="inlineStr">
        <is>
          <t>1</t>
        </is>
      </c>
      <c r="BG284" s="24" t="inlineStr">
        <is>
          <t>3d16277c2cfc0628d7ec79d04feee92735e5c503a3be195cb225c7c52d024308</t>
        </is>
      </c>
      <c r="BH284" s="24" t="inlineStr">
        <is>
          <t>2026-09-12T10:05:52.883767Z</t>
        </is>
      </c>
      <c r="BI284" s="24" t="inlineStr">
        <is>
          <t>["same_event","same_team_same_day","same_league_same_day"]</t>
        </is>
      </c>
      <c r="BJ284" s="25" t="n"/>
      <c r="BK284" s="26" t="n">
        <v>186</v>
      </c>
      <c r="BL284" s="27" t="n">
        <v>2.86</v>
      </c>
      <c r="BM284" s="28" t="n">
        <v>0.34965</v>
      </c>
      <c r="BN284" s="28" t="n"/>
      <c r="BO284" s="28" t="n"/>
      <c r="BP284" s="25" t="n"/>
      <c r="BQ284" s="27" t="n">
        <v>2.86</v>
      </c>
      <c r="BR284" s="28" t="n">
        <v>0.35</v>
      </c>
      <c r="BS284" s="28" t="n"/>
      <c r="BT284" s="28" t="n"/>
      <c r="BU284" s="25" t="n"/>
      <c r="BV284" s="29" t="n"/>
      <c r="BW284" s="24" t="n"/>
      <c r="BX284" s="30" t="n">
        <v>1</v>
      </c>
      <c r="BY284" s="27" t="n">
        <v>-1</v>
      </c>
      <c r="BZ284" s="24" t="inlineStr">
        <is>
          <t>2026-09-12T22:00:17.476719Z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0.34965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"3d16277c2cfc0628d7ec79d04feee92735e5c503a3be195cb225c7c52d024308", "away_team": "Everton CD", "event_id": "401850659", "event_start_utc": "2026-09-12T15:30Z", "features": {"away_goal_rate": 1.1605, "history_games": 9181, "home_goal_rate": 1.4112, "league_goals_per_team": 1.4281, "min_team_games": 1.0}, "historical_source_observation_times_verified": false, "home_team": "\u00d1ublense", "inference_inputs": {"away_rate": 1.1604504586745148, "code_sha256": {"models/soccer.py": "3d16277c2cfc0628d7ec79d04feee92735e5c503a3be195cb225c7c52d024308"}, "home_rate": 1.4111736396019154, "sport": "SOCCER"}, "market_type": "moneyline", "model_version": "soccer-poisson-dc-v1", "observed_at_utc": "2026-09-12T10:07:01.270046+00:00", "probabilities": {"away": 0.297068, "draw": 0.288138, "home": 0.414794}, "replay_scope": "Exact full-precision serving state and rounding; upstream historical observation times are not certified.", "schema": "coded-moneyline-replay-v1", "snapshot_hash": "5622e2a13fd8ed9a7c9b68f37f8d195c71b8615fab30a0ddc225f75ec700ba74", "sport": "SOCCER"}</t>
        </is>
      </c>
    </row>
    <row r="285" ht="36" customHeight="1">
      <c r="A285" s="24" t="inlineStr">
        <is>
          <t>3f94d1aeb6e14697</t>
        </is>
      </c>
      <c r="B285" s="24" t="inlineStr">
        <is>
          <t>2026-09-12T10:07:01.899797Z</t>
        </is>
      </c>
      <c r="C285" s="24" t="inlineStr">
        <is>
          <t>2026-09-12T16:00Z</t>
        </is>
      </c>
      <c r="D285" s="24" t="inlineStr">
        <is>
          <t>401916232</t>
        </is>
      </c>
      <c r="E285" s="24" t="inlineStr">
        <is>
          <t>SOCCER</t>
        </is>
      </c>
      <c r="F285" s="24" t="inlineStr">
        <is>
          <t>Boston River</t>
        </is>
      </c>
      <c r="G285" s="24" t="inlineStr">
        <is>
          <t>Racing (Montevideo)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100</v>
      </c>
      <c r="M285" s="27" t="n">
        <v>2</v>
      </c>
      <c r="N285" s="28" t="n">
        <v>0.5</v>
      </c>
      <c r="O285" s="28" t="n">
        <v>0.5359159999999999</v>
      </c>
      <c r="P285" s="28" t="n">
        <v>0.2</v>
      </c>
      <c r="Q285" s="28" t="n">
        <v>0.035916</v>
      </c>
      <c r="R285" s="26" t="n">
        <v>0</v>
      </c>
      <c r="S285" s="29" t="n">
        <v>1</v>
      </c>
      <c r="T285" s="24" t="inlineStr">
        <is>
          <t>soccer-poisson-dc-v1</t>
        </is>
      </c>
      <c r="U285" s="24" t="inlineStr">
        <is>
          <t>settled</t>
        </is>
      </c>
      <c r="V285" s="24" t="inlineStr">
        <is>
          <t>win</t>
        </is>
      </c>
      <c r="W285" s="26" t="n">
        <v>2</v>
      </c>
      <c r="X285" s="26" t="n">
        <v>3</v>
      </c>
      <c r="Y285" s="25" t="n"/>
      <c r="Z285" s="26" t="n">
        <v>100</v>
      </c>
      <c r="AA285" s="28" t="n">
        <v>0.5</v>
      </c>
      <c r="AB285" s="28" t="n">
        <v>0</v>
      </c>
      <c r="AC285" s="30" t="n">
        <v>1</v>
      </c>
      <c r="AD285" s="24" t="inlineStr">
        <is>
          <t>2026-09-12T22:00:18.709143Z</t>
        </is>
      </c>
      <c r="AE285" s="31" t="inlineStr">
        <is>
          <t>Poisson-DC rates 1.84 (home) / 1.10 (away) from EWMA attack/defense strengths. Executable ask 0.5000 (atc-uru1-rcm-bri-2026-09-12-rcm).</t>
        </is>
      </c>
      <c r="AF285" s="31" t="inlineStr">
        <is>
          <t>Research-only soccer score model; draw-aware, but not yet locked-holdout qualified.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Boston River</t>
        </is>
      </c>
      <c r="AQ285" s="24" t="inlineStr">
        <is>
          <t>Boston River</t>
        </is>
      </c>
      <c r="AR285" s="24" t="inlineStr">
        <is>
          <t>Boston River</t>
        </is>
      </c>
      <c r="AS285" s="24" t="inlineStr">
        <is>
          <t>Racing (Montevideo)</t>
        </is>
      </c>
      <c r="AT285" s="24" t="inlineStr">
        <is>
          <t>Racing (Montevideo)</t>
        </is>
      </c>
      <c r="AU285" s="24" t="inlineStr">
        <is>
          <t>Racing (Montevideo)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3d16277c2cfc0628d7ec79d04feee92735e5c503a3be195cb225c7c52d024308</t>
        </is>
      </c>
      <c r="BB285" s="24" t="inlineStr">
        <is>
          <t>poisson_dixon_coles</t>
        </is>
      </c>
      <c r="BC285" s="24" t="inlineStr">
        <is>
          <t>soccer-poisson-dc-v1</t>
        </is>
      </c>
      <c r="BD285" s="24" t="inlineStr">
        <is>
          <t>3d16277c2cfc0628d7ec79d04feee92735e5c503a3be195cb225c7c52d024308</t>
        </is>
      </c>
      <c r="BE285" s="24" t="inlineStr">
        <is>
          <t>soccer-poisson-dc-v1</t>
        </is>
      </c>
      <c r="BF285" s="24" t="inlineStr">
        <is>
          <t>1</t>
        </is>
      </c>
      <c r="BG285" s="24" t="inlineStr">
        <is>
          <t>3d16277c2cfc0628d7ec79d04feee92735e5c503a3be195cb225c7c52d024308</t>
        </is>
      </c>
      <c r="BH285" s="24" t="inlineStr">
        <is>
          <t>2026-09-12T10:05:52.858786Z</t>
        </is>
      </c>
      <c r="BI285" s="24" t="inlineStr">
        <is>
          <t>["same_event","same_team_same_day","same_league_same_day"]</t>
        </is>
      </c>
      <c r="BJ285" s="25" t="n"/>
      <c r="BK285" s="26" t="n">
        <v>100</v>
      </c>
      <c r="BL285" s="27" t="n">
        <v>2</v>
      </c>
      <c r="BM285" s="28" t="n">
        <v>0.5</v>
      </c>
      <c r="BN285" s="28" t="n"/>
      <c r="BO285" s="28" t="n"/>
      <c r="BP285" s="25" t="n"/>
      <c r="BQ285" s="27" t="n">
        <v>2</v>
      </c>
      <c r="BR285" s="28" t="n">
        <v>0.5</v>
      </c>
      <c r="BS285" s="28" t="n"/>
      <c r="BT285" s="28" t="n"/>
      <c r="BU285" s="25" t="n"/>
      <c r="BV285" s="29" t="n"/>
      <c r="BW285" s="24" t="n"/>
      <c r="BX285" s="30" t="n">
        <v>1</v>
      </c>
      <c r="BY285" s="27" t="n">
        <v>1</v>
      </c>
      <c r="BZ285" s="24" t="inlineStr">
        <is>
          <t>2026-09-12T22:00:18.709143Z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"3d16277c2cfc0628d7ec79d04feee92735e5c503a3be195cb225c7c52d024308", "away_team": "Boston River", "event_id": "401916232", "event_start_utc": "2026-09-12T16:00Z", "features": {"away_goal_rate": 1.1038, "history_games": 9181, "home_goal_rate": 1.8431, "league_goals_per_team": 1.4281, "min_team_games": 0.0}, "historical_source_observation_times_verified": false, "home_team": "Racing (Montevideo)", "inference_inputs": {"away_rate": 1.1038129049333665, "code_sha256": {"models/soccer.py": "3d16277c2cfc0628d7ec79d04feee92735e5c503a3be195cb225c7c52d024308"}, "home_rate": 1.84312590010771, "sport": "SOCCER"}, "market_type": "moneyline", "model_version": "soccer-poisson-dc-v1", "observed_at_utc": "2026-09-12T10:07:01.270046+00:00", "probabilities": {"away": 0.215109, "draw": 0.248975, "home": 0.535916}, "replay_scope": "Exact full-precision serving state and rounding; upstream historical observation times are not certified.", "schema": "coded-moneyline-replay-v1", "snapshot_hash": "7ed10901b34222f83ded349f120673e372eeafc88f147cc63ac581f3cc3242c0", "sport": "SOCCER"}</t>
        </is>
      </c>
    </row>
    <row r="286" ht="36" customHeight="1">
      <c r="A286" s="24" t="inlineStr">
        <is>
          <t>b5ed3bc3b07048b9</t>
        </is>
      </c>
      <c r="B286" s="24" t="inlineStr">
        <is>
          <t>2026-09-12T10:07:01.899797Z</t>
        </is>
      </c>
      <c r="C286" s="24" t="inlineStr">
        <is>
          <t>2026-09-12T15:30Z</t>
        </is>
      </c>
      <c r="D286" s="24" t="inlineStr">
        <is>
          <t>401886201</t>
        </is>
      </c>
      <c r="E286" s="24" t="inlineStr">
        <is>
          <t>SOCCER</t>
        </is>
      </c>
      <c r="F286" s="24" t="inlineStr">
        <is>
          <t>FC Cajamarca</t>
        </is>
      </c>
      <c r="G286" s="24" t="inlineStr">
        <is>
          <t>Los Chankas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-108</v>
      </c>
      <c r="M286" s="27" t="n">
        <v>1.925926</v>
      </c>
      <c r="N286" s="28" t="n">
        <v>0.519231</v>
      </c>
      <c r="O286" s="28" t="n">
        <v>0.456135</v>
      </c>
      <c r="P286" s="28" t="n">
        <v>0.2</v>
      </c>
      <c r="Q286" s="28" t="n">
        <v>-0.063096</v>
      </c>
      <c r="R286" s="26" t="n">
        <v>0</v>
      </c>
      <c r="S286" s="29" t="n">
        <v>1</v>
      </c>
      <c r="T286" s="24" t="inlineStr">
        <is>
          <t>soccer-poisson-dc-v1</t>
        </is>
      </c>
      <c r="U286" s="24" t="inlineStr">
        <is>
          <t>settled</t>
        </is>
      </c>
      <c r="V286" s="24" t="inlineStr">
        <is>
          <t>loss</t>
        </is>
      </c>
      <c r="W286" s="26" t="n">
        <v>2</v>
      </c>
      <c r="X286" s="26" t="n">
        <v>1</v>
      </c>
      <c r="Y286" s="25" t="n"/>
      <c r="Z286" s="26" t="n">
        <v>-108</v>
      </c>
      <c r="AA286" s="28" t="n">
        <v>0.52</v>
      </c>
      <c r="AB286" s="28" t="n">
        <v>0.000769</v>
      </c>
      <c r="AC286" s="30" t="n">
        <v>-1</v>
      </c>
      <c r="AD286" s="24" t="inlineStr">
        <is>
          <t>2026-09-12T22:00:20.009720Z</t>
        </is>
      </c>
      <c r="AE286" s="31" t="inlineStr">
        <is>
          <t>Poisson-DC rates 1.64 (home) / 1.24 (away) from EWMA attack/defense strengths. Executable ask 0.5200 (atc-pl1-cha-caj-2026-09-12-cha).</t>
        </is>
      </c>
      <c r="AF286" s="31" t="inlineStr">
        <is>
          <t>Research-only soccer score model; draw-aware, but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FC Cajamarca</t>
        </is>
      </c>
      <c r="AQ286" s="24" t="inlineStr">
        <is>
          <t>FC Cajamarca</t>
        </is>
      </c>
      <c r="AR286" s="24" t="inlineStr">
        <is>
          <t>FC Cajamarca</t>
        </is>
      </c>
      <c r="AS286" s="24" t="inlineStr">
        <is>
          <t>Los Chankas</t>
        </is>
      </c>
      <c r="AT286" s="24" t="inlineStr">
        <is>
          <t>Los Chankas</t>
        </is>
      </c>
      <c r="AU286" s="24" t="inlineStr">
        <is>
          <t>Los Chankas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3d16277c2cfc0628d7ec79d04feee92735e5c503a3be195cb225c7c52d024308</t>
        </is>
      </c>
      <c r="BB286" s="24" t="inlineStr">
        <is>
          <t>poisson_dixon_coles</t>
        </is>
      </c>
      <c r="BC286" s="24" t="inlineStr">
        <is>
          <t>soccer-poisson-dc-v1</t>
        </is>
      </c>
      <c r="BD286" s="24" t="inlineStr">
        <is>
          <t>3d16277c2cfc0628d7ec79d04feee92735e5c503a3be195cb225c7c52d024308</t>
        </is>
      </c>
      <c r="BE286" s="24" t="inlineStr">
        <is>
          <t>soccer-poisson-dc-v1</t>
        </is>
      </c>
      <c r="BF286" s="24" t="inlineStr">
        <is>
          <t>1</t>
        </is>
      </c>
      <c r="BG286" s="24" t="inlineStr">
        <is>
          <t>3d16277c2cfc0628d7ec79d04feee92735e5c503a3be195cb225c7c52d024308</t>
        </is>
      </c>
      <c r="BH286" s="24" t="inlineStr">
        <is>
          <t>2026-09-12T10:05:52.937203Z</t>
        </is>
      </c>
      <c r="BI286" s="24" t="inlineStr">
        <is>
          <t>["same_event","same_team_same_day","same_league_same_day"]</t>
        </is>
      </c>
      <c r="BJ286" s="25" t="n"/>
      <c r="BK286" s="26" t="n">
        <v>-108</v>
      </c>
      <c r="BL286" s="27" t="n">
        <v>1.925926</v>
      </c>
      <c r="BM286" s="28" t="n">
        <v>0.519231</v>
      </c>
      <c r="BN286" s="28" t="n"/>
      <c r="BO286" s="28" t="n"/>
      <c r="BP286" s="25" t="n"/>
      <c r="BQ286" s="27" t="n">
        <v>1.925926</v>
      </c>
      <c r="BR286" s="28" t="n">
        <v>0.52</v>
      </c>
      <c r="BS286" s="28" t="n"/>
      <c r="BT286" s="28" t="n"/>
      <c r="BU286" s="25" t="n"/>
      <c r="BV286" s="29" t="n"/>
      <c r="BW286" s="24" t="n"/>
      <c r="BX286" s="30" t="n">
        <v>1</v>
      </c>
      <c r="BY286" s="27" t="n">
        <v>-1</v>
      </c>
      <c r="BZ286" s="24" t="inlineStr">
        <is>
          <t>2026-09-12T22:00:20.009720Z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0.519231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"3d16277c2cfc0628d7ec79d04feee92735e5c503a3be195cb225c7c52d024308", "away_team": "FC Cajamarca", "event_id": "401886201", "event_start_utc": "2026-09-12T15:30Z", "features": {"away_goal_rate": 1.2418, "history_games": 9181, "home_goal_rate": 1.6423, "league_goals_per_team": 1.4281, "min_team_games": 0.0}, "historical_source_observation_times_verified": false, "home_team": "Los Chankas",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"2026-09-12T10:07:01.270046+00:00", "probabilities": {"away": 0.278015, "draw": 0.265851, "home": 0.456135}, "replay_scope": "Exact full-precision serving state and rounding; upstream historical observation times are not certified.", "schema": "coded-moneyline-replay-v1", "snapshot_hash": "5f97a43b3aaa98f844c8211d44a977695279459c4214dc63fdf4eab28adc93ab", "sport": "SOCCER"}</t>
        </is>
      </c>
    </row>
    <row r="287" ht="36" customHeight="1">
      <c r="A287" s="24" t="inlineStr">
        <is>
          <t>9246e57b797e412f</t>
        </is>
      </c>
      <c r="B287" s="24" t="inlineStr">
        <is>
          <t>2026-09-12T16:07:26.991101Z</t>
        </is>
      </c>
      <c r="C287" s="24" t="inlineStr">
        <is>
          <t>2026-09-12T16:30Z</t>
        </is>
      </c>
      <c r="D287" s="24" t="inlineStr">
        <is>
          <t>401879277</t>
        </is>
      </c>
      <c r="E287" s="24" t="inlineStr">
        <is>
          <t>SOCCER</t>
        </is>
      </c>
      <c r="F287" s="24" t="inlineStr">
        <is>
          <t>Everton</t>
        </is>
      </c>
      <c r="G287" s="24" t="inlineStr">
        <is>
          <t>Tottenham Hotspur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104</v>
      </c>
      <c r="M287" s="27" t="n">
        <v>2.04</v>
      </c>
      <c r="N287" s="28" t="n">
        <v>0.490196</v>
      </c>
      <c r="O287" s="28" t="n">
        <v>0.381328</v>
      </c>
      <c r="P287" s="28" t="n">
        <v>0.04</v>
      </c>
      <c r="Q287" s="28" t="n">
        <v>-0.108868</v>
      </c>
      <c r="R287" s="26" t="n">
        <v>0</v>
      </c>
      <c r="S287" s="29" t="n">
        <v>1</v>
      </c>
      <c r="T287" s="24" t="inlineStr">
        <is>
          <t>soccer-poisson-dc-v1</t>
        </is>
      </c>
      <c r="U287" s="24" t="inlineStr">
        <is>
          <t>settled</t>
        </is>
      </c>
      <c r="V287" s="24" t="inlineStr">
        <is>
          <t>loss</t>
        </is>
      </c>
      <c r="W287" s="26" t="n">
        <v>0</v>
      </c>
      <c r="X287" s="26" t="n">
        <v>0</v>
      </c>
      <c r="Y287" s="25" t="n"/>
      <c r="Z287" s="26" t="n">
        <v>104</v>
      </c>
      <c r="AA287" s="28" t="n">
        <v>0.49</v>
      </c>
      <c r="AB287" s="28" t="n">
        <v>-0.000196</v>
      </c>
      <c r="AC287" s="30" t="n">
        <v>-1</v>
      </c>
      <c r="AD287" s="24" t="inlineStr">
        <is>
          <t>2026-09-12T22:00:48.051274Z</t>
        </is>
      </c>
      <c r="AE287" s="31" t="inlineStr">
        <is>
          <t>Poisson-DC rates 1.34 (home) / 1.23 (away) from EWMA attack/defense strengths. Executable ask 0.4900 (atc-epl-tot-eve-2026-09-12-tot).</t>
        </is>
      </c>
      <c r="AF287" s="31" t="inlineStr">
        <is>
          <t>Research-only soccer score model; draw-aware, but not yet locked-holdout qualified.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4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Everton</t>
        </is>
      </c>
      <c r="AQ287" s="24" t="inlineStr">
        <is>
          <t>Everton</t>
        </is>
      </c>
      <c r="AR287" s="24" t="inlineStr">
        <is>
          <t>Everton</t>
        </is>
      </c>
      <c r="AS287" s="24" t="inlineStr">
        <is>
          <t>Tottenham Hotspur</t>
        </is>
      </c>
      <c r="AT287" s="24" t="inlineStr">
        <is>
          <t>Tottenham Hotspur</t>
        </is>
      </c>
      <c r="AU287" s="24" t="inlineStr">
        <is>
          <t>Tottenham Hotspur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3d16277c2cfc0628d7ec79d04feee92735e5c503a3be195cb225c7c52d024308</t>
        </is>
      </c>
      <c r="BB287" s="24" t="inlineStr">
        <is>
          <t>poisson_dixon_coles</t>
        </is>
      </c>
      <c r="BC287" s="24" t="inlineStr">
        <is>
          <t>soccer-poisson-dc-v1</t>
        </is>
      </c>
      <c r="BD287" s="24" t="inlineStr">
        <is>
          <t>3d16277c2cfc0628d7ec79d04feee92735e5c503a3be195cb225c7c52d024308</t>
        </is>
      </c>
      <c r="BE287" s="24" t="inlineStr">
        <is>
          <t>soccer-poisson-dc-v1</t>
        </is>
      </c>
      <c r="BF287" s="24" t="inlineStr">
        <is>
          <t>1</t>
        </is>
      </c>
      <c r="BG287" s="24" t="inlineStr">
        <is>
          <t>3d16277c2cfc0628d7ec79d04feee92735e5c503a3be195cb225c7c52d024308</t>
        </is>
      </c>
      <c r="BH287" s="24" t="inlineStr">
        <is>
          <t>2026-09-12T16:06:08.395612Z</t>
        </is>
      </c>
      <c r="BI287" s="24" t="inlineStr">
        <is>
          <t>["same_event","same_team_same_day","same_league_same_day"]</t>
        </is>
      </c>
      <c r="BJ287" s="25" t="n"/>
      <c r="BK287" s="26" t="n">
        <v>104</v>
      </c>
      <c r="BL287" s="27" t="n">
        <v>2.04</v>
      </c>
      <c r="BM287" s="28" t="n">
        <v>0.490196</v>
      </c>
      <c r="BN287" s="28" t="n"/>
      <c r="BO287" s="28" t="n"/>
      <c r="BP287" s="25" t="n"/>
      <c r="BQ287" s="27" t="n">
        <v>2.04</v>
      </c>
      <c r="BR287" s="28" t="n">
        <v>0.49</v>
      </c>
      <c r="BS287" s="28" t="n"/>
      <c r="BT287" s="28" t="n"/>
      <c r="BU287" s="25" t="n"/>
      <c r="BV287" s="29" t="n"/>
      <c r="BW287" s="24" t="n"/>
      <c r="BX287" s="30" t="n">
        <v>1</v>
      </c>
      <c r="BY287" s="27" t="n">
        <v>-1</v>
      </c>
      <c r="BZ287" s="24" t="inlineStr">
        <is>
          <t>2026-09-12T22:00:48.051274Z</t>
        </is>
      </c>
      <c r="CA287" s="31" t="inlineStr">
        <is>
          <t>fixed one-unit hypothetical scoring; no real exposure or execution</t>
        </is>
      </c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0.490196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"3d16277c2cfc0628d7ec79d04feee92735e5c503a3be195cb225c7c52d024308", "away_team": "Everton", "event_id": "401879277", "event_start_utc": "2026-09-12T16:30Z", "features": {"away_goal_rate": 1.2278, "history_games": 9181, "home_goal_rate": 1.3407, "league_goals_per_team": 1.4809, "min_team_games": 94.0}, "historical_source_observation_times_verified": false, "home_team": "Tottenham Hotspur", "inference_inputs": {"away_rate": 1.2277557147130744, "code_sha256": {"models/soccer.py": "3d16277c2cfc0628d7ec79d04feee92735e5c503a3be195cb225c7c52d024308"}, "home_rate": 1.340719535557325, "sport": "SOCCER"}, "market_type": "moneyline", "model_version": "soccer-poisson-dc-v1", "observed_at_utc": "2026-09-12T16:07:25.930421+00:00", "probabilities": {"away": 0.328144, "draw": 0.290528, "home": 0.381328}, "replay_scope": "Exact full-precision serving state and rounding; upstream historical observation times are not certified.", "schema": "coded-moneyline-replay-v1", "snapshot_hash": "bd169a2075bd48c842a7b0472fa25363c95de3e1f5364752e9f11bfdc424e9df", "sport": "SOCCER"}</t>
        </is>
      </c>
    </row>
    <row r="288" ht="36" customHeight="1">
      <c r="A288" s="24" t="inlineStr">
        <is>
          <t>1b0b45f14d964618</t>
        </is>
      </c>
      <c r="B288" s="24" t="inlineStr">
        <is>
          <t>2026-09-12T16:07:26.991101Z</t>
        </is>
      </c>
      <c r="C288" s="24" t="inlineStr">
        <is>
          <t>2026-09-12T19:00Z</t>
        </is>
      </c>
      <c r="D288" s="24" t="inlineStr">
        <is>
          <t>401878779</t>
        </is>
      </c>
      <c r="E288" s="24" t="inlineStr">
        <is>
          <t>SOCCER</t>
        </is>
      </c>
      <c r="F288" s="24" t="inlineStr">
        <is>
          <t>Arsenal</t>
        </is>
      </c>
      <c r="G288" s="24" t="inlineStr">
        <is>
          <t>Sunderland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-163</v>
      </c>
      <c r="M288" s="27" t="n">
        <v>1.613497</v>
      </c>
      <c r="N288" s="28" t="n">
        <v>0.619772</v>
      </c>
      <c r="O288" s="28" t="n">
        <v>0.530242</v>
      </c>
      <c r="P288" s="28" t="n">
        <v>0.04</v>
      </c>
      <c r="Q288" s="28" t="n">
        <v>-0.08953</v>
      </c>
      <c r="R288" s="26" t="n">
        <v>0</v>
      </c>
      <c r="S288" s="29" t="n">
        <v>1</v>
      </c>
      <c r="T288" s="24" t="inlineStr">
        <is>
          <t>soccer-poisson-dc-v1</t>
        </is>
      </c>
      <c r="U288" s="24" t="inlineStr">
        <is>
          <t>settled</t>
        </is>
      </c>
      <c r="V288" s="24" t="inlineStr">
        <is>
          <t>win</t>
        </is>
      </c>
      <c r="W288" s="26" t="n">
        <v>2</v>
      </c>
      <c r="X288" s="26" t="n">
        <v>0</v>
      </c>
      <c r="Y288" s="25" t="n"/>
      <c r="Z288" s="26" t="n">
        <v>156</v>
      </c>
      <c r="AA288" s="28" t="n">
        <v>0.39</v>
      </c>
      <c r="AB288" s="28" t="n">
        <v>-0.229772</v>
      </c>
      <c r="AC288" s="30" t="n">
        <v>0.6135</v>
      </c>
      <c r="AD288" s="24" t="inlineStr">
        <is>
          <t>2026-09-12T22:00:49.293503Z</t>
        </is>
      </c>
      <c r="AE288" s="31" t="inlineStr">
        <is>
          <t>Poisson-DC rates 0.75 (home) / 1.47 (away) from EWMA attack/defense strengths. Executable ask 0.6200 (atc-epl-sun-ars-2026-09-12-ars).</t>
        </is>
      </c>
      <c r="AF288" s="31" t="inlineStr">
        <is>
          <t>Research-only soccer score model; draw-aware, but not yet locked-holdout qualified.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Arsenal</t>
        </is>
      </c>
      <c r="AQ288" s="24" t="inlineStr">
        <is>
          <t>Arsenal</t>
        </is>
      </c>
      <c r="AR288" s="24" t="inlineStr">
        <is>
          <t>Arsenal</t>
        </is>
      </c>
      <c r="AS288" s="24" t="inlineStr">
        <is>
          <t>Sunderland</t>
        </is>
      </c>
      <c r="AT288" s="24" t="inlineStr">
        <is>
          <t>Sunderland</t>
        </is>
      </c>
      <c r="AU288" s="24" t="inlineStr">
        <is>
          <t>Sunderland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3d16277c2cfc0628d7ec79d04feee92735e5c503a3be195cb225c7c52d024308</t>
        </is>
      </c>
      <c r="BB288" s="24" t="inlineStr">
        <is>
          <t>poisson_dixon_coles</t>
        </is>
      </c>
      <c r="BC288" s="24" t="inlineStr">
        <is>
          <t>soccer-poisson-dc-v1</t>
        </is>
      </c>
      <c r="BD288" s="24" t="inlineStr">
        <is>
          <t>3d16277c2cfc0628d7ec79d04feee92735e5c503a3be195cb225c7c52d024308</t>
        </is>
      </c>
      <c r="BE288" s="24" t="inlineStr">
        <is>
          <t>soccer-poisson-dc-v1</t>
        </is>
      </c>
      <c r="BF288" s="24" t="inlineStr">
        <is>
          <t>1</t>
        </is>
      </c>
      <c r="BG288" s="24" t="inlineStr">
        <is>
          <t>3d16277c2cfc0628d7ec79d04feee92735e5c503a3be195cb225c7c52d024308</t>
        </is>
      </c>
      <c r="BH288" s="24" t="inlineStr">
        <is>
          <t>2026-09-12T16:06:08.630483Z</t>
        </is>
      </c>
      <c r="BI288" s="24" t="inlineStr">
        <is>
          <t>["same_event","same_team_same_day","same_league_same_day"]</t>
        </is>
      </c>
      <c r="BJ288" s="25" t="n"/>
      <c r="BK288" s="26" t="n">
        <v>-163</v>
      </c>
      <c r="BL288" s="27" t="n">
        <v>1.613497</v>
      </c>
      <c r="BM288" s="28" t="n">
        <v>0.619772</v>
      </c>
      <c r="BN288" s="28" t="n"/>
      <c r="BO288" s="28" t="n"/>
      <c r="BP288" s="25" t="n"/>
      <c r="BQ288" s="27" t="n">
        <v>2.56</v>
      </c>
      <c r="BR288" s="28" t="n">
        <v>0.39</v>
      </c>
      <c r="BS288" s="28" t="n"/>
      <c r="BT288" s="28" t="n"/>
      <c r="BU288" s="25" t="n"/>
      <c r="BV288" s="29" t="n"/>
      <c r="BW288" s="24" t="n"/>
      <c r="BX288" s="30" t="n">
        <v>1</v>
      </c>
      <c r="BY288" s="27" t="n">
        <v>0.613497</v>
      </c>
      <c r="BZ288" s="24" t="inlineStr">
        <is>
          <t>2026-09-12T22:00:49.293503Z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False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0.619772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"3d16277c2cfc0628d7ec79d04feee92735e5c503a3be195cb225c7c52d024308", "away_team": "Arsenal", "event_id": "401878779", "event_start_utc": "2026-09-12T19:00Z", "features": {"away_goal_rate": 1.4655, "history_games": 9181, "home_goal_rate": 0.7499, "league_goals_per_team": 1.4809, "min_team_games": 38.0}, "historical_source_observation_times_verified": false, "home_team": "Sunderland", "inference_inputs": {"away_rate": 1.4655088942597247, "code_sha256": {"models/soccer.py": "3d16277c2cfc0628d7ec79d04feee92735e5c503a3be195cb225c7c52d024308"}, "home_rate": 0.7499034831270176, "sport": "SOCCER"}, "market_type": "moneyline", "model_version": "soccer-poisson-dc-v1", "observed_at_utc": "2026-09-12T16:07:25.930421+00:00", "probabilities": {"away": 0.530242, "draw": 0.290256, "home": 0.179502}, "replay_scope": "Exact full-precision serving state and rounding; upstream historical observation times are not certified.", "schema": "coded-moneyline-replay-v1", "snapshot_hash": "352d693ae6efce75b75288e5a935c64e765699b545befb342a5b16f07b8d35a9", "sport": "SOCCER"}</t>
        </is>
      </c>
    </row>
    <row r="289" ht="36" customHeight="1">
      <c r="A289" s="24" t="inlineStr">
        <is>
          <t>8fceb216e60543a3</t>
        </is>
      </c>
      <c r="B289" s="24" t="inlineStr">
        <is>
          <t>2026-09-12T16:07:26.991101Z</t>
        </is>
      </c>
      <c r="C289" s="24" t="inlineStr">
        <is>
          <t>2026-09-12T16:30Z</t>
        </is>
      </c>
      <c r="D289" s="24" t="inlineStr">
        <is>
          <t>401882886</t>
        </is>
      </c>
      <c r="E289" s="24" t="inlineStr">
        <is>
          <t>SOCCER</t>
        </is>
      </c>
      <c r="F289" s="24" t="inlineStr">
        <is>
          <t>Elche</t>
        </is>
      </c>
      <c r="G289" s="24" t="inlineStr">
        <is>
          <t>Athletic Club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-233</v>
      </c>
      <c r="M289" s="27" t="n">
        <v>1.429185</v>
      </c>
      <c r="N289" s="28" t="n">
        <v>0.6997</v>
      </c>
      <c r="O289" s="28" t="n">
        <v>0.414136</v>
      </c>
      <c r="P289" s="28" t="n">
        <v>0.04</v>
      </c>
      <c r="Q289" s="28" t="n">
        <v>-0.285564</v>
      </c>
      <c r="R289" s="26" t="n">
        <v>0</v>
      </c>
      <c r="S289" s="29" t="n">
        <v>1</v>
      </c>
      <c r="T289" s="24" t="inlineStr">
        <is>
          <t>soccer-poisson-dc-v1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1</v>
      </c>
      <c r="Y289" s="25" t="n"/>
      <c r="Z289" s="26" t="n">
        <v>-233</v>
      </c>
      <c r="AA289" s="28" t="n">
        <v>0.7</v>
      </c>
      <c r="AB289" s="28" t="n">
        <v>0.0003</v>
      </c>
      <c r="AC289" s="30" t="n">
        <v>-1</v>
      </c>
      <c r="AD289" s="24" t="inlineStr">
        <is>
          <t>2026-09-12T22:00:50.519112Z</t>
        </is>
      </c>
      <c r="AE289" s="31" t="inlineStr">
        <is>
          <t>Poisson-DC rates 1.58 (home) / 1.36 (away) from EWMA attack/defense strengths. Executable ask 0.7000 (atc-lal-ath-elc-2026-09-12-ath).</t>
        </is>
      </c>
      <c r="AF289" s="31" t="inlineStr">
        <is>
          <t>Research-only soccer score model; draw-aware, but not yet locked-holdout qualified.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Elche</t>
        </is>
      </c>
      <c r="AQ289" s="24" t="inlineStr">
        <is>
          <t>Elche</t>
        </is>
      </c>
      <c r="AR289" s="24" t="inlineStr">
        <is>
          <t>Elche</t>
        </is>
      </c>
      <c r="AS289" s="24" t="inlineStr">
        <is>
          <t>Athletic Club</t>
        </is>
      </c>
      <c r="AT289" s="24" t="inlineStr">
        <is>
          <t>Athletic Club</t>
        </is>
      </c>
      <c r="AU289" s="24" t="inlineStr">
        <is>
          <t>Athletic Club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3d16277c2cfc0628d7ec79d04feee92735e5c503a3be195cb225c7c52d024308</t>
        </is>
      </c>
      <c r="BB289" s="24" t="inlineStr">
        <is>
          <t>poisson_dixon_coles</t>
        </is>
      </c>
      <c r="BC289" s="24" t="inlineStr">
        <is>
          <t>soccer-poisson-dc-v1</t>
        </is>
      </c>
      <c r="BD289" s="24" t="inlineStr">
        <is>
          <t>3d16277c2cfc0628d7ec79d04feee92735e5c503a3be195cb225c7c52d024308</t>
        </is>
      </c>
      <c r="BE289" s="24" t="inlineStr">
        <is>
          <t>soccer-poisson-dc-v1</t>
        </is>
      </c>
      <c r="BF289" s="24" t="inlineStr">
        <is>
          <t>1</t>
        </is>
      </c>
      <c r="BG289" s="24" t="inlineStr">
        <is>
          <t>3d16277c2cfc0628d7ec79d04feee92735e5c503a3be195cb225c7c52d024308</t>
        </is>
      </c>
      <c r="BH289" s="24" t="inlineStr">
        <is>
          <t>2026-09-12T16:06:08.701184Z</t>
        </is>
      </c>
      <c r="BI289" s="24" t="inlineStr">
        <is>
          <t>["same_event","same_team_same_day","same_league_same_day"]</t>
        </is>
      </c>
      <c r="BJ289" s="25" t="n"/>
      <c r="BK289" s="26" t="n">
        <v>-233</v>
      </c>
      <c r="BL289" s="27" t="n">
        <v>1.429185</v>
      </c>
      <c r="BM289" s="28" t="n">
        <v>0.6997</v>
      </c>
      <c r="BN289" s="28" t="n"/>
      <c r="BO289" s="28" t="n"/>
      <c r="BP289" s="25" t="n"/>
      <c r="BQ289" s="27" t="n">
        <v>1.429185</v>
      </c>
      <c r="BR289" s="28" t="n">
        <v>0.7</v>
      </c>
      <c r="BS289" s="28" t="n"/>
      <c r="BT289" s="28" t="n"/>
      <c r="BU289" s="25" t="n"/>
      <c r="BV289" s="29" t="n"/>
      <c r="BW289" s="24" t="n"/>
      <c r="BX289" s="30" t="n">
        <v>1</v>
      </c>
      <c r="BY289" s="27" t="n">
        <v>-1</v>
      </c>
      <c r="BZ289" s="24" t="inlineStr">
        <is>
          <t>2026-09-12T22:00:50.519112Z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0.6997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"3d16277c2cfc0628d7ec79d04feee92735e5c503a3be195cb225c7c52d024308", "away_team": "Elche", "event_id": "401882886", "event_start_utc": "2026-09-12T16:30Z", "features": {"away_goal_rate": 1.3606, "history_games": 9181, "home_goal_rate": 1.5759, "league_goals_per_team": 1.325, "min_team_games": 38.0}, "historical_source_observation_times_verified": false, "home_team": "Athletic Club", "inference_inputs": {"away_rate": 1.3605845136931736, "code_sha256": {"models/soccer.py": "3d16277c2cfc0628d7ec79d04feee92735e5c503a3be195cb225c7c52d024308"}, "home_rate": 1.5759292215540133, "sport": "SOCCER"}, "market_type": "moneyline", "model_version": "soccer-poisson-dc-v1", "observed_at_utc": "2026-09-12T16:07:25.930421+00:00", "probabilities": {"away": 0.318688, "draw": 0.267177, "home": 0.414136}, "replay_scope": "Exact full-precision serving state and rounding; upstream historical observation times are not certified.", "schema": "coded-moneyline-replay-v1", "snapshot_hash": "d5b66344c771ee3a3ddf6b9d2ac924971c2cbc92a043600cc88ad56e257c1ef1", "sport": "SOCCER"}</t>
        </is>
      </c>
    </row>
    <row r="290" ht="36" customHeight="1">
      <c r="A290" s="24" t="inlineStr">
        <is>
          <t>3031e564f9204350</t>
        </is>
      </c>
      <c r="B290" s="24" t="inlineStr">
        <is>
          <t>2026-09-12T16:07:26.991101Z</t>
        </is>
      </c>
      <c r="C290" s="24" t="inlineStr">
        <is>
          <t>2026-09-12T19:00Z</t>
        </is>
      </c>
      <c r="D290" s="24" t="inlineStr">
        <is>
          <t>401882880</t>
        </is>
      </c>
      <c r="E290" s="24" t="inlineStr">
        <is>
          <t>SOCCER</t>
        </is>
      </c>
      <c r="F290" s="24" t="inlineStr">
        <is>
          <t>Rayo Vallecano</t>
        </is>
      </c>
      <c r="G290" s="24" t="inlineStr">
        <is>
          <t>Real Madrid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-614</v>
      </c>
      <c r="M290" s="27" t="n">
        <v>1.162866</v>
      </c>
      <c r="N290" s="28" t="n">
        <v>0.859944</v>
      </c>
      <c r="O290" s="28" t="n">
        <v>0.5979950000000001</v>
      </c>
      <c r="P290" s="28" t="n">
        <v>0.04</v>
      </c>
      <c r="Q290" s="28" t="n">
        <v>-0.261949</v>
      </c>
      <c r="R290" s="26" t="n">
        <v>0</v>
      </c>
      <c r="S290" s="29" t="n">
        <v>1</v>
      </c>
      <c r="T290" s="24" t="inlineStr">
        <is>
          <t>soccer-poisson-dc-v1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4</v>
      </c>
      <c r="Y290" s="25" t="n"/>
      <c r="Z290" s="26" t="n">
        <v>-614</v>
      </c>
      <c r="AA290" s="28" t="n">
        <v>0.86</v>
      </c>
      <c r="AB290" s="28" t="n">
        <v>5.6e-05</v>
      </c>
      <c r="AC290" s="30" t="n">
        <v>0.1629</v>
      </c>
      <c r="AD290" s="24" t="inlineStr">
        <is>
          <t>2026-09-12T22:00:51.734465Z</t>
        </is>
      </c>
      <c r="AE290" s="31" t="inlineStr">
        <is>
          <t>Poisson-DC rates 1.81 (home) / 0.82 (away) from EWMA attack/defense strengths. Executable ask 0.8600 (atc-lal-rma-ray-2026-09-12-rma).</t>
        </is>
      </c>
      <c r="AF290" s="31" t="inlineStr">
        <is>
          <t>Research-only soccer score model; draw-aware, but not yet locked-holdout qualified.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Rayo Vallecano</t>
        </is>
      </c>
      <c r="AQ290" s="24" t="inlineStr">
        <is>
          <t>Rayo Vallecano</t>
        </is>
      </c>
      <c r="AR290" s="24" t="inlineStr">
        <is>
          <t>Rayo Vallecano</t>
        </is>
      </c>
      <c r="AS290" s="24" t="inlineStr">
        <is>
          <t>Real Madrid</t>
        </is>
      </c>
      <c r="AT290" s="24" t="inlineStr">
        <is>
          <t>Real Madrid</t>
        </is>
      </c>
      <c r="AU290" s="24" t="inlineStr">
        <is>
          <t>Real Madrid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3d16277c2cfc0628d7ec79d04feee92735e5c503a3be195cb225c7c52d024308</t>
        </is>
      </c>
      <c r="BB290" s="24" t="inlineStr">
        <is>
          <t>poisson_dixon_coles</t>
        </is>
      </c>
      <c r="BC290" s="24" t="inlineStr">
        <is>
          <t>soccer-poisson-dc-v1</t>
        </is>
      </c>
      <c r="BD290" s="24" t="inlineStr">
        <is>
          <t>3d16277c2cfc0628d7ec79d04feee92735e5c503a3be195cb225c7c52d024308</t>
        </is>
      </c>
      <c r="BE290" s="24" t="inlineStr">
        <is>
          <t>soccer-poisson-dc-v1</t>
        </is>
      </c>
      <c r="BF290" s="24" t="inlineStr">
        <is>
          <t>1</t>
        </is>
      </c>
      <c r="BG290" s="24" t="inlineStr">
        <is>
          <t>3d16277c2cfc0628d7ec79d04feee92735e5c503a3be195cb225c7c52d024308</t>
        </is>
      </c>
      <c r="BH290" s="24" t="inlineStr">
        <is>
          <t>2026-09-12T16:06:09.326118Z</t>
        </is>
      </c>
      <c r="BI290" s="24" t="inlineStr">
        <is>
          <t>["same_event","same_team_same_day","same_league_same_day"]</t>
        </is>
      </c>
      <c r="BJ290" s="25" t="n"/>
      <c r="BK290" s="26" t="n">
        <v>-614</v>
      </c>
      <c r="BL290" s="27" t="n">
        <v>1.162866</v>
      </c>
      <c r="BM290" s="28" t="n">
        <v>0.859944</v>
      </c>
      <c r="BN290" s="28" t="n"/>
      <c r="BO290" s="28" t="n"/>
      <c r="BP290" s="25" t="n"/>
      <c r="BQ290" s="27" t="n">
        <v>1.162866</v>
      </c>
      <c r="BR290" s="28" t="n">
        <v>0.86</v>
      </c>
      <c r="BS290" s="28" t="n"/>
      <c r="BT290" s="28" t="n"/>
      <c r="BU290" s="25" t="n"/>
      <c r="BV290" s="29" t="n"/>
      <c r="BW290" s="24" t="n"/>
      <c r="BX290" s="30" t="n">
        <v>1</v>
      </c>
      <c r="BY290" s="27" t="n">
        <v>0.162866</v>
      </c>
      <c r="BZ290" s="24" t="inlineStr">
        <is>
          <t>2026-09-12T22:00:51.734465Z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0.859944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"3d16277c2cfc0628d7ec79d04feee92735e5c503a3be195cb225c7c52d024308", "away_team": "Rayo Vallecano", "event_id": "401882880", "event_start_utc": "2026-09-12T19:00Z", "features": {"away_goal_rate": 0.8167, "history_games": 9181, "home_goal_rate": 1.8071, "league_goals_per_team": 1.325, "min_team_games": 96.0}, "historical_source_observation_times_verified": false, "home_team": "Real Madrid", "inference_inputs": {"away_rate": 0.8166518696154378, "code_sha256": {"models/soccer.py": "3d16277c2cfc0628d7ec79d04feee92735e5c503a3be195cb225c7c52d024308"}, "home_rate": 1.8071287082557352, "sport": "SOCCER"}, "market_type": "moneyline", "model_version": "soccer-poisson-dc-v1", "observed_at_utc": "2026-09-12T16:07:25.930421+00:00", "probabilities": {"away": 0.154431, "draw": 0.247574, "home": 0.597995}, "replay_scope": "Exact full-precision serving state and rounding; upstream historical observation times are not certified.", "schema": "coded-moneyline-replay-v1", "snapshot_hash": "2cd52dfa423f42dbe921e392b18c9b7724aba372d22eeac4079133f0a9b63d34", "sport": "SOCCER"}</t>
        </is>
      </c>
    </row>
    <row r="291" ht="36" customHeight="1">
      <c r="A291" s="24" t="inlineStr">
        <is>
          <t>cefc88f8fb2645b1</t>
        </is>
      </c>
      <c r="B291" s="24" t="inlineStr">
        <is>
          <t>2026-09-12T16:07:26.991101Z</t>
        </is>
      </c>
      <c r="C291" s="24" t="inlineStr">
        <is>
          <t>2026-09-12T18:45Z</t>
        </is>
      </c>
      <c r="D291" s="24" t="inlineStr">
        <is>
          <t>401874979</t>
        </is>
      </c>
      <c r="E291" s="24" t="inlineStr">
        <is>
          <t>SOCCER</t>
        </is>
      </c>
      <c r="F291" s="24" t="inlineStr">
        <is>
          <t>Cagliari</t>
        </is>
      </c>
      <c r="G291" s="24" t="inlineStr">
        <is>
          <t>Atalanta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-138</v>
      </c>
      <c r="M291" s="27" t="n">
        <v>1.724638</v>
      </c>
      <c r="N291" s="28" t="n">
        <v>0.579832</v>
      </c>
      <c r="O291" s="28" t="n">
        <v>0.589598</v>
      </c>
      <c r="P291" s="28" t="n">
        <v>0.04</v>
      </c>
      <c r="Q291" s="28" t="n">
        <v>0.009766</v>
      </c>
      <c r="R291" s="26" t="n">
        <v>31</v>
      </c>
      <c r="S291" s="29" t="n">
        <v>1</v>
      </c>
      <c r="T291" s="24" t="inlineStr">
        <is>
          <t>soccer-poisson-dc-v1</t>
        </is>
      </c>
      <c r="U291" s="24" t="inlineStr">
        <is>
          <t>settled</t>
        </is>
      </c>
      <c r="V291" s="24" t="inlineStr">
        <is>
          <t>loss</t>
        </is>
      </c>
      <c r="W291" s="26" t="n">
        <v>2</v>
      </c>
      <c r="X291" s="26" t="n">
        <v>1</v>
      </c>
      <c r="Y291" s="25" t="n"/>
      <c r="Z291" s="26" t="n">
        <v>-138</v>
      </c>
      <c r="AA291" s="28" t="n">
        <v>0.58</v>
      </c>
      <c r="AB291" s="28" t="n">
        <v>0.000168</v>
      </c>
      <c r="AC291" s="30" t="n">
        <v>-1</v>
      </c>
      <c r="AD291" s="24" t="inlineStr">
        <is>
          <t>2026-09-12T22:00:52.966557Z</t>
        </is>
      </c>
      <c r="AE291" s="31" t="inlineStr">
        <is>
          <t>Poisson-DC rates 1.70 (home) / 0.75 (away) from EWMA attack/defense strengths. Executable ask 0.5800 (atc-sea-ata-cag-2026-09-12-ata).</t>
        </is>
      </c>
      <c r="AF291" s="31" t="inlineStr">
        <is>
          <t>Research-only soccer score model; draw-aware, but not yet locked-holdout qualified.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Cagliari</t>
        </is>
      </c>
      <c r="AQ291" s="24" t="inlineStr">
        <is>
          <t>Cagliari</t>
        </is>
      </c>
      <c r="AR291" s="24" t="inlineStr">
        <is>
          <t>Cagliari</t>
        </is>
      </c>
      <c r="AS291" s="24" t="inlineStr">
        <is>
          <t>Atalanta</t>
        </is>
      </c>
      <c r="AT291" s="24" t="inlineStr">
        <is>
          <t>Atalanta</t>
        </is>
      </c>
      <c r="AU291" s="24" t="inlineStr">
        <is>
          <t>Atalanta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3d16277c2cfc0628d7ec79d04feee92735e5c503a3be195cb225c7c52d024308</t>
        </is>
      </c>
      <c r="BB291" s="24" t="inlineStr">
        <is>
          <t>poisson_dixon_coles</t>
        </is>
      </c>
      <c r="BC291" s="24" t="inlineStr">
        <is>
          <t>soccer-poisson-dc-v1</t>
        </is>
      </c>
      <c r="BD291" s="24" t="inlineStr">
        <is>
          <t>3d16277c2cfc0628d7ec79d04feee92735e5c503a3be195cb225c7c52d024308</t>
        </is>
      </c>
      <c r="BE291" s="24" t="inlineStr">
        <is>
          <t>soccer-poisson-dc-v1</t>
        </is>
      </c>
      <c r="BF291" s="24" t="inlineStr">
        <is>
          <t>1</t>
        </is>
      </c>
      <c r="BG291" s="24" t="inlineStr">
        <is>
          <t>3d16277c2cfc0628d7ec79d04feee92735e5c503a3be195cb225c7c52d024308</t>
        </is>
      </c>
      <c r="BH291" s="24" t="inlineStr">
        <is>
          <t>2026-09-12T16:06:09.773104Z</t>
        </is>
      </c>
      <c r="BI291" s="24" t="inlineStr">
        <is>
          <t>["same_event","same_team_same_day","same_league_same_day"]</t>
        </is>
      </c>
      <c r="BJ291" s="25" t="n"/>
      <c r="BK291" s="26" t="n">
        <v>-138</v>
      </c>
      <c r="BL291" s="27" t="n">
        <v>1.724638</v>
      </c>
      <c r="BM291" s="28" t="n">
        <v>0.579832</v>
      </c>
      <c r="BN291" s="28" t="n"/>
      <c r="BO291" s="28" t="n"/>
      <c r="BP291" s="25" t="n"/>
      <c r="BQ291" s="27" t="n">
        <v>1.724638</v>
      </c>
      <c r="BR291" s="28" t="n">
        <v>0.58</v>
      </c>
      <c r="BS291" s="28" t="n"/>
      <c r="BT291" s="28" t="n"/>
      <c r="BU291" s="25" t="n"/>
      <c r="BV291" s="29" t="n"/>
      <c r="BW291" s="24" t="n"/>
      <c r="BX291" s="30" t="n">
        <v>1</v>
      </c>
      <c r="BY291" s="27" t="n">
        <v>-1</v>
      </c>
      <c r="BZ291" s="24" t="inlineStr">
        <is>
          <t>2026-09-12T22:00:52.966557Z</t>
        </is>
      </c>
      <c r="CA291" s="31" t="inlineStr">
        <is>
          <t>fixed one-unit hypothetical scoring; no real exposure or execution</t>
        </is>
      </c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0.579832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"3d16277c2cfc0628d7ec79d04feee92735e5c503a3be195cb225c7c52d024308", "away_team": "Cagliari", "event_id": "401874979", "event_start_utc": "2026-09-12T18:45Z", "features": {"away_goal_rate": 0.7496, "history_games": 9181, "home_goal_rate": 1.6974, "league_goals_per_team": 1.2703, "min_team_games": 96.0}, "historical_source_observation_times_verified": false, "home_team": "Atalanta", "inference_inputs": {"away_rate": 0.7496438053841652, "code_sha256": {"models/soccer.py": "3d16277c2cfc0628d7ec79d04feee92735e5c503a3be195cb225c7c52d024308"}, "home_rate": 1.6973573807232734, "sport": "SOCCER"}, "market_type": "moneyline", "model_version": "soccer-poisson-dc-v1", "observed_at_utc": "2026-09-12T16:07:25.930421+00:00", "probabilities": {"away": 0.151291, "draw": 0.259111, "home": 0.589598}, "replay_scope": "Exact full-precision serving state and rounding; upstream historical observation times are not certified.", "schema": "coded-moneyline-replay-v1", "snapshot_hash": "dc746d8710ec962915df87f2048404f281cbe762ad35c86f1e4edf42a3ceccc8", "sport": "SOCCER"}</t>
        </is>
      </c>
    </row>
    <row r="292" ht="36" customHeight="1">
      <c r="A292" s="24" t="inlineStr">
        <is>
          <t>14155962829a4c0f</t>
        </is>
      </c>
      <c r="B292" s="24" t="inlineStr">
        <is>
          <t>2026-09-12T16:07:26.991101Z</t>
        </is>
      </c>
      <c r="C292" s="24" t="inlineStr">
        <is>
          <t>2026-09-12T20:00Z</t>
        </is>
      </c>
      <c r="D292" s="24" t="inlineStr">
        <is>
          <t>401841228</t>
        </is>
      </c>
      <c r="E292" s="24" t="inlineStr">
        <is>
          <t>SOCCER</t>
        </is>
      </c>
      <c r="F292" s="24" t="inlineStr">
        <is>
          <t>Internacional</t>
        </is>
      </c>
      <c r="G292" s="24" t="inlineStr">
        <is>
          <t>Chapecoense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285</v>
      </c>
      <c r="M292" s="27" t="n">
        <v>3.85</v>
      </c>
      <c r="N292" s="28" t="n">
        <v>0.25974</v>
      </c>
      <c r="O292" s="28" t="n">
        <v>0.451659</v>
      </c>
      <c r="P292" s="28" t="n">
        <v>0.2</v>
      </c>
      <c r="Q292" s="28" t="n">
        <v>0.191919</v>
      </c>
      <c r="R292" s="26" t="n">
        <v>26</v>
      </c>
      <c r="S292" s="29" t="n">
        <v>1</v>
      </c>
      <c r="T292" s="24" t="inlineStr">
        <is>
          <t>soccer-poisson-dc-v1</t>
        </is>
      </c>
      <c r="U292" s="24" t="inlineStr">
        <is>
          <t>settled</t>
        </is>
      </c>
      <c r="V292" s="24" t="inlineStr">
        <is>
          <t>loss</t>
        </is>
      </c>
      <c r="W292" s="26" t="n">
        <v>2</v>
      </c>
      <c r="X292" s="26" t="n">
        <v>1</v>
      </c>
      <c r="Y292" s="25" t="n"/>
      <c r="Z292" s="26" t="n">
        <v>285</v>
      </c>
      <c r="AA292" s="28" t="n">
        <v>0.26</v>
      </c>
      <c r="AB292" s="28" t="n">
        <v>0.00026</v>
      </c>
      <c r="AC292" s="30" t="n">
        <v>-1</v>
      </c>
      <c r="AD292" s="24" t="inlineStr">
        <is>
          <t>2026-09-13T04:30:44.660484Z</t>
        </is>
      </c>
      <c r="AE292" s="31" t="inlineStr">
        <is>
          <t>Poisson-DC rates 1.59 (home) / 1.20 (away) from EWMA attack/defense strengths. Executable ask 0.2600 (atc-bra-cha-int-2026-09-12-cha).</t>
        </is>
      </c>
      <c r="AF292" s="31" t="inlineStr">
        <is>
          <t>Research-only soccer score model; draw-aware, but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Internacional</t>
        </is>
      </c>
      <c r="AQ292" s="24" t="inlineStr">
        <is>
          <t>Internacional</t>
        </is>
      </c>
      <c r="AR292" s="24" t="inlineStr">
        <is>
          <t>Internacional</t>
        </is>
      </c>
      <c r="AS292" s="24" t="inlineStr">
        <is>
          <t>Chapecoense</t>
        </is>
      </c>
      <c r="AT292" s="24" t="inlineStr">
        <is>
          <t>Chapecoense</t>
        </is>
      </c>
      <c r="AU292" s="24" t="inlineStr">
        <is>
          <t>Chapecoense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3d16277c2cfc0628d7ec79d04feee92735e5c503a3be195cb225c7c52d024308</t>
        </is>
      </c>
      <c r="BB292" s="24" t="inlineStr">
        <is>
          <t>poisson_dixon_coles</t>
        </is>
      </c>
      <c r="BC292" s="24" t="inlineStr">
        <is>
          <t>soccer-poisson-dc-v1</t>
        </is>
      </c>
      <c r="BD292" s="24" t="inlineStr">
        <is>
          <t>3d16277c2cfc0628d7ec79d04feee92735e5c503a3be195cb225c7c52d024308</t>
        </is>
      </c>
      <c r="BE292" s="24" t="inlineStr">
        <is>
          <t>soccer-poisson-dc-v1</t>
        </is>
      </c>
      <c r="BF292" s="24" t="inlineStr">
        <is>
          <t>1</t>
        </is>
      </c>
      <c r="BG292" s="24" t="inlineStr">
        <is>
          <t>3d16277c2cfc0628d7ec79d04feee92735e5c503a3be195cb225c7c52d024308</t>
        </is>
      </c>
      <c r="BH292" s="24" t="inlineStr">
        <is>
          <t>2026-09-12T16:06:13.718673Z</t>
        </is>
      </c>
      <c r="BI292" s="24" t="inlineStr">
        <is>
          <t>["same_event","same_team_same_day","same_league_same_day"]</t>
        </is>
      </c>
      <c r="BJ292" s="25" t="n"/>
      <c r="BK292" s="26" t="n">
        <v>285</v>
      </c>
      <c r="BL292" s="27" t="n">
        <v>3.85</v>
      </c>
      <c r="BM292" s="28" t="n">
        <v>0.25974</v>
      </c>
      <c r="BN292" s="28" t="n"/>
      <c r="BO292" s="28" t="n"/>
      <c r="BP292" s="25" t="n"/>
      <c r="BQ292" s="27" t="n">
        <v>3.85</v>
      </c>
      <c r="BR292" s="28" t="n">
        <v>0.26</v>
      </c>
      <c r="BS292" s="28" t="n"/>
      <c r="BT292" s="28" t="n"/>
      <c r="BU292" s="25" t="n"/>
      <c r="BV292" s="29" t="n"/>
      <c r="BW292" s="24" t="n"/>
      <c r="BX292" s="30" t="n">
        <v>1</v>
      </c>
      <c r="BY292" s="27" t="n">
        <v>-1</v>
      </c>
      <c r="BZ292" s="24" t="inlineStr">
        <is>
          <t>2026-09-13T04:30:44.660484Z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0.25974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"3d16277c2cfc0628d7ec79d04feee92735e5c503a3be195cb225c7c52d024308", "away_team": "Internacional", "event_id": "401841228", "event_start_utc": "2026-09-12T20:00Z", "features": {"away_goal_rate": 1.2004, "history_games": 9181, "home_goal_rate": 1.5876, "league_goals_per_team": 1.4281, "min_team_games": 0.0}, "historical_source_observation_times_verified": false, "home_team": "Chapecoense",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"701361095fddbb68ae30085c79fc9f3cd6f77b7f31f9d672972179f933f2ce6d", "sport": "SOCCER"}</t>
        </is>
      </c>
    </row>
    <row r="293" ht="36" customHeight="1">
      <c r="A293" s="24" t="inlineStr">
        <is>
          <t>bc34fed7cc964987</t>
        </is>
      </c>
      <c r="B293" s="24" t="inlineStr">
        <is>
          <t>2026-09-12T16:07:26.991101Z</t>
        </is>
      </c>
      <c r="C293" s="24" t="inlineStr">
        <is>
          <t>2026-09-12T21:30Z</t>
        </is>
      </c>
      <c r="D293" s="24" t="inlineStr">
        <is>
          <t>401841234</t>
        </is>
      </c>
      <c r="E293" s="24" t="inlineStr">
        <is>
          <t>SOCCER</t>
        </is>
      </c>
      <c r="F293" s="24" t="inlineStr">
        <is>
          <t>São Paulo</t>
        </is>
      </c>
      <c r="G293" s="24" t="inlineStr">
        <is>
          <t>Palmeiras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-144</v>
      </c>
      <c r="M293" s="27" t="n">
        <v>1.694444</v>
      </c>
      <c r="N293" s="28" t="n">
        <v>0.590164</v>
      </c>
      <c r="O293" s="28" t="n">
        <v>0.456135</v>
      </c>
      <c r="P293" s="28" t="n">
        <v>0.2</v>
      </c>
      <c r="Q293" s="28" t="n">
        <v>-0.134029</v>
      </c>
      <c r="R293" s="26" t="n">
        <v>0</v>
      </c>
      <c r="S293" s="29" t="n">
        <v>1</v>
      </c>
      <c r="T293" s="24" t="inlineStr">
        <is>
          <t>soccer-poisson-dc-v1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2</v>
      </c>
      <c r="Y293" s="25" t="n"/>
      <c r="Z293" s="26" t="n">
        <v>-144</v>
      </c>
      <c r="AA293" s="28" t="n">
        <v>0.59</v>
      </c>
      <c r="AB293" s="28" t="n">
        <v>-0.000164</v>
      </c>
      <c r="AC293" s="30" t="n">
        <v>0.6944</v>
      </c>
      <c r="AD293" s="24" t="inlineStr">
        <is>
          <t>2026-09-13T04:30:45.832442Z</t>
        </is>
      </c>
      <c r="AE293" s="31" t="inlineStr">
        <is>
          <t>Poisson-DC rates 1.64 (home) / 1.24 (away) from EWMA attack/defense strengths. Executable ask 0.5900 (atc-bra-pal-sao-2026-09-12-pal).</t>
        </is>
      </c>
      <c r="AF293" s="31" t="inlineStr">
        <is>
          <t>Research-only soccer score model; draw-aware, but not yet locked-holdout qualified.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São Paulo</t>
        </is>
      </c>
      <c r="AQ293" s="24" t="inlineStr">
        <is>
          <t>São Paulo</t>
        </is>
      </c>
      <c r="AR293" s="24" t="inlineStr">
        <is>
          <t>São Paulo</t>
        </is>
      </c>
      <c r="AS293" s="24" t="inlineStr">
        <is>
          <t>Palmeiras</t>
        </is>
      </c>
      <c r="AT293" s="24" t="inlineStr">
        <is>
          <t>Palmeiras</t>
        </is>
      </c>
      <c r="AU293" s="24" t="inlineStr">
        <is>
          <t>Palmeiras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3d16277c2cfc0628d7ec79d04feee92735e5c503a3be195cb225c7c52d024308</t>
        </is>
      </c>
      <c r="BB293" s="24" t="inlineStr">
        <is>
          <t>poisson_dixon_coles</t>
        </is>
      </c>
      <c r="BC293" s="24" t="inlineStr">
        <is>
          <t>soccer-poisson-dc-v1</t>
        </is>
      </c>
      <c r="BD293" s="24" t="inlineStr">
        <is>
          <t>3d16277c2cfc0628d7ec79d04feee92735e5c503a3be195cb225c7c52d024308</t>
        </is>
      </c>
      <c r="BE293" s="24" t="inlineStr">
        <is>
          <t>soccer-poisson-dc-v1</t>
        </is>
      </c>
      <c r="BF293" s="24" t="inlineStr">
        <is>
          <t>1</t>
        </is>
      </c>
      <c r="BG293" s="24" t="inlineStr">
        <is>
          <t>3d16277c2cfc0628d7ec79d04feee92735e5c503a3be195cb225c7c52d024308</t>
        </is>
      </c>
      <c r="BH293" s="24" t="inlineStr">
        <is>
          <t>2026-09-12T16:06:14.315423Z</t>
        </is>
      </c>
      <c r="BI293" s="24" t="inlineStr">
        <is>
          <t>["same_event","same_team_same_day","same_league_same_day"]</t>
        </is>
      </c>
      <c r="BJ293" s="25" t="n"/>
      <c r="BK293" s="26" t="n">
        <v>-144</v>
      </c>
      <c r="BL293" s="27" t="n">
        <v>1.694444</v>
      </c>
      <c r="BM293" s="28" t="n">
        <v>0.590164</v>
      </c>
      <c r="BN293" s="28" t="n"/>
      <c r="BO293" s="28" t="n"/>
      <c r="BP293" s="25" t="n"/>
      <c r="BQ293" s="27" t="n">
        <v>1.694444</v>
      </c>
      <c r="BR293" s="28" t="n">
        <v>0.59</v>
      </c>
      <c r="BS293" s="28" t="n"/>
      <c r="BT293" s="28" t="n"/>
      <c r="BU293" s="25" t="n"/>
      <c r="BV293" s="29" t="n"/>
      <c r="BW293" s="24" t="n"/>
      <c r="BX293" s="30" t="n">
        <v>1</v>
      </c>
      <c r="BY293" s="27" t="n">
        <v>0.694444</v>
      </c>
      <c r="BZ293" s="24" t="inlineStr">
        <is>
          <t>2026-09-13T04:30:45.832442Z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False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0.590164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"3d16277c2cfc0628d7ec79d04feee92735e5c503a3be195cb225c7c52d024308", "away_team": "S\u00e3o Paulo", "event_id": "401841234", "event_start_utc": "2026-09-12T21:30Z", "features": {"away_goal_rate": 1.2418, "history_games": 9181, "home_goal_rate": 1.6423, "league_goals_per_team": 1.4281, "min_team_games": 0.0}, "historical_source_observation_times_verified": false, "home_team": "Palmeiras",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"2ec749ca66e157ab6236e6773ee39d6aa227794f8b9e81b8e1fe7e28afcbe462", "sport": "SOCCER"}</t>
        </is>
      </c>
    </row>
    <row r="294" ht="36" customHeight="1">
      <c r="A294" s="24" t="inlineStr">
        <is>
          <t>06f2444dc27d4135</t>
        </is>
      </c>
      <c r="B294" s="24" t="inlineStr">
        <is>
          <t>2026-09-12T16:07:26.991101Z</t>
        </is>
      </c>
      <c r="C294" s="24" t="inlineStr">
        <is>
          <t>2026-09-12T17:45Z</t>
        </is>
      </c>
      <c r="D294" s="24" t="inlineStr">
        <is>
          <t>401841554</t>
        </is>
      </c>
      <c r="E294" s="24" t="inlineStr">
        <is>
          <t>SOCCER</t>
        </is>
      </c>
      <c r="F294" s="24" t="inlineStr">
        <is>
          <t>Platense</t>
        </is>
      </c>
      <c r="G294" s="24" t="inlineStr">
        <is>
          <t>Estudiantes de La Plata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108</v>
      </c>
      <c r="M294" s="27" t="n">
        <v>2.08</v>
      </c>
      <c r="N294" s="28" t="n">
        <v>0.480769</v>
      </c>
      <c r="O294" s="28" t="n">
        <v>0.451659</v>
      </c>
      <c r="P294" s="28" t="n">
        <v>0.2</v>
      </c>
      <c r="Q294" s="28" t="n">
        <v>-0.02911</v>
      </c>
      <c r="R294" s="26" t="n">
        <v>0</v>
      </c>
      <c r="S294" s="29" t="n">
        <v>1</v>
      </c>
      <c r="T294" s="24" t="inlineStr">
        <is>
          <t>soccer-poisson-dc-v1</t>
        </is>
      </c>
      <c r="U294" s="24" t="inlineStr">
        <is>
          <t>settled</t>
        </is>
      </c>
      <c r="V294" s="24" t="inlineStr">
        <is>
          <t>win</t>
        </is>
      </c>
      <c r="W294" s="26" t="n">
        <v>1</v>
      </c>
      <c r="X294" s="26" t="n">
        <v>2</v>
      </c>
      <c r="Y294" s="25" t="n"/>
      <c r="Z294" s="26" t="n">
        <v>108</v>
      </c>
      <c r="AA294" s="28" t="n">
        <v>0.48</v>
      </c>
      <c r="AB294" s="28" t="n">
        <v>-0.000769</v>
      </c>
      <c r="AC294" s="30" t="n">
        <v>1.08</v>
      </c>
      <c r="AD294" s="24" t="inlineStr">
        <is>
          <t>2026-09-12T22:00:54.203942Z</t>
        </is>
      </c>
      <c r="AE294" s="31" t="inlineStr">
        <is>
          <t>Poisson-DC rates 1.59 (home) / 1.20 (away) from EWMA attack/defense strengths. Executable ask 0.4800 (atc-lpa-est-pla-2026-09-12-est).</t>
        </is>
      </c>
      <c r="AF294" s="31" t="inlineStr">
        <is>
          <t>Research-only soccer score model; draw-aware, but not yet locked-holdout qualified.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Platense</t>
        </is>
      </c>
      <c r="AQ294" s="24" t="inlineStr">
        <is>
          <t>Platense</t>
        </is>
      </c>
      <c r="AR294" s="24" t="inlineStr">
        <is>
          <t>Platense</t>
        </is>
      </c>
      <c r="AS294" s="24" t="inlineStr">
        <is>
          <t>Estudiantes de La Plata</t>
        </is>
      </c>
      <c r="AT294" s="24" t="inlineStr">
        <is>
          <t>Estudiantes de La Plata</t>
        </is>
      </c>
      <c r="AU294" s="24" t="inlineStr">
        <is>
          <t>Estudiantes de La Plata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3d16277c2cfc0628d7ec79d04feee92735e5c503a3be195cb225c7c52d024308</t>
        </is>
      </c>
      <c r="BB294" s="24" t="inlineStr">
        <is>
          <t>poisson_dixon_coles</t>
        </is>
      </c>
      <c r="BC294" s="24" t="inlineStr">
        <is>
          <t>soccer-poisson-dc-v1</t>
        </is>
      </c>
      <c r="BD294" s="24" t="inlineStr">
        <is>
          <t>3d16277c2cfc0628d7ec79d04feee92735e5c503a3be195cb225c7c52d024308</t>
        </is>
      </c>
      <c r="BE294" s="24" t="inlineStr">
        <is>
          <t>soccer-poisson-dc-v1</t>
        </is>
      </c>
      <c r="BF294" s="24" t="inlineStr">
        <is>
          <t>1</t>
        </is>
      </c>
      <c r="BG294" s="24" t="inlineStr">
        <is>
          <t>3d16277c2cfc0628d7ec79d04feee92735e5c503a3be195cb225c7c52d024308</t>
        </is>
      </c>
      <c r="BH294" s="24" t="inlineStr">
        <is>
          <t>2026-09-12T16:06:14.338873Z</t>
        </is>
      </c>
      <c r="BI294" s="24" t="inlineStr">
        <is>
          <t>["same_event","same_team_same_day","same_league_same_day"]</t>
        </is>
      </c>
      <c r="BJ294" s="25" t="n"/>
      <c r="BK294" s="26" t="n">
        <v>108</v>
      </c>
      <c r="BL294" s="27" t="n">
        <v>2.08</v>
      </c>
      <c r="BM294" s="28" t="n">
        <v>0.480769</v>
      </c>
      <c r="BN294" s="28" t="n"/>
      <c r="BO294" s="28" t="n"/>
      <c r="BP294" s="25" t="n"/>
      <c r="BQ294" s="27" t="n">
        <v>2.08</v>
      </c>
      <c r="BR294" s="28" t="n">
        <v>0.48</v>
      </c>
      <c r="BS294" s="28" t="n"/>
      <c r="BT294" s="28" t="n"/>
      <c r="BU294" s="25" t="n"/>
      <c r="BV294" s="29" t="n"/>
      <c r="BW294" s="24" t="n"/>
      <c r="BX294" s="30" t="n">
        <v>1</v>
      </c>
      <c r="BY294" s="27" t="n">
        <v>1.080001</v>
      </c>
      <c r="BZ294" s="24" t="inlineStr">
        <is>
          <t>2026-09-12T22:00:54.203942Z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False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0.480769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"3d16277c2cfc0628d7ec79d04feee92735e5c503a3be195cb225c7c52d024308", "away_team": "Platense", "event_id": "401841554", "event_start_utc": "2026-09-12T17:45Z",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"086f7a6dbfe3cd3264e890730a42f150999a55b207e38071eb9b04893a7a58d8", "sport": "SOCCER"}</t>
        </is>
      </c>
    </row>
    <row r="295" ht="36" customHeight="1">
      <c r="A295" s="24" t="inlineStr">
        <is>
          <t>af42418b779343d1</t>
        </is>
      </c>
      <c r="B295" s="24" t="inlineStr">
        <is>
          <t>2026-09-12T16:07:26.991101Z</t>
        </is>
      </c>
      <c r="C295" s="24" t="inlineStr">
        <is>
          <t>2026-09-12T17:45Z</t>
        </is>
      </c>
      <c r="D295" s="24" t="inlineStr">
        <is>
          <t>401841567</t>
        </is>
      </c>
      <c r="E295" s="24" t="inlineStr">
        <is>
          <t>SOCCER</t>
        </is>
      </c>
      <c r="F295" s="24" t="inlineStr">
        <is>
          <t>Aldosivi</t>
        </is>
      </c>
      <c r="G295" s="24" t="inlineStr">
        <is>
          <t>Independiente Rivadavia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-223</v>
      </c>
      <c r="M295" s="27" t="n">
        <v>1.44843</v>
      </c>
      <c r="N295" s="28" t="n">
        <v>0.690402</v>
      </c>
      <c r="O295" s="28" t="n">
        <v>0.430486</v>
      </c>
      <c r="P295" s="28" t="n">
        <v>0.2</v>
      </c>
      <c r="Q295" s="28" t="n">
        <v>-0.259916</v>
      </c>
      <c r="R295" s="26" t="n">
        <v>0</v>
      </c>
      <c r="S295" s="29" t="n">
        <v>1</v>
      </c>
      <c r="T295" s="24" t="inlineStr">
        <is>
          <t>soccer-poisson-dc-v1</t>
        </is>
      </c>
      <c r="U295" s="24" t="inlineStr">
        <is>
          <t>settled</t>
        </is>
      </c>
      <c r="V295" s="24" t="inlineStr">
        <is>
          <t>win</t>
        </is>
      </c>
      <c r="W295" s="26" t="n">
        <v>3</v>
      </c>
      <c r="X295" s="26" t="n">
        <v>4</v>
      </c>
      <c r="Y295" s="25" t="n"/>
      <c r="Z295" s="26" t="n">
        <v>-223</v>
      </c>
      <c r="AA295" s="28" t="n">
        <v>0.6899999999999999</v>
      </c>
      <c r="AB295" s="28" t="n">
        <v>-0.000402</v>
      </c>
      <c r="AC295" s="30" t="n">
        <v>0.4484</v>
      </c>
      <c r="AD295" s="24" t="inlineStr">
        <is>
          <t>2026-09-12T22:00:55.432133Z</t>
        </is>
      </c>
      <c r="AE295" s="31" t="inlineStr">
        <is>
          <t>Poisson-DC rates 1.59 (home) / 1.30 (away) from EWMA attack/defense strengths. Executable ask 0.6900 (atc-lpa-cir-ald-2026-09-12-cir).</t>
        </is>
      </c>
      <c r="AF295" s="31" t="inlineStr">
        <is>
          <t>Research-only soccer score model; draw-aware, but not yet locked-holdout qualified.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PAPER_CALL_MODEL_UNVALIDATED</t>
        </is>
      </c>
      <c r="AP295" s="24" t="inlineStr">
        <is>
          <t>Aldosivi</t>
        </is>
      </c>
      <c r="AQ295" s="24" t="inlineStr">
        <is>
          <t>Aldosivi</t>
        </is>
      </c>
      <c r="AR295" s="24" t="inlineStr">
        <is>
          <t>Aldosivi</t>
        </is>
      </c>
      <c r="AS295" s="24" t="inlineStr">
        <is>
          <t>Independiente Rivadavia</t>
        </is>
      </c>
      <c r="AT295" s="24" t="inlineStr">
        <is>
          <t>Independiente Rivadavia</t>
        </is>
      </c>
      <c r="AU295" s="24" t="inlineStr">
        <is>
          <t>Independiente Rivadavia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3d16277c2cfc0628d7ec79d04feee92735e5c503a3be195cb225c7c52d024308</t>
        </is>
      </c>
      <c r="BB295" s="24" t="inlineStr">
        <is>
          <t>poisson_dixon_coles</t>
        </is>
      </c>
      <c r="BC295" s="24" t="inlineStr">
        <is>
          <t>soccer-poisson-dc-v1</t>
        </is>
      </c>
      <c r="BD295" s="24" t="inlineStr">
        <is>
          <t>3d16277c2cfc0628d7ec79d04feee92735e5c503a3be195cb225c7c52d024308</t>
        </is>
      </c>
      <c r="BE295" s="24" t="inlineStr">
        <is>
          <t>soccer-poisson-dc-v1</t>
        </is>
      </c>
      <c r="BF295" s="24" t="inlineStr">
        <is>
          <t>1</t>
        </is>
      </c>
      <c r="BG295" s="24" t="inlineStr">
        <is>
          <t>3d16277c2cfc0628d7ec79d04feee92735e5c503a3be195cb225c7c52d024308</t>
        </is>
      </c>
      <c r="BH295" s="24" t="inlineStr">
        <is>
          <t>2026-09-12T16:06:14.406048Z</t>
        </is>
      </c>
      <c r="BI295" s="24" t="inlineStr">
        <is>
          <t>["same_event","same_team_same_day","same_league_same_day"]</t>
        </is>
      </c>
      <c r="BJ295" s="25" t="n"/>
      <c r="BK295" s="26" t="n">
        <v>-223</v>
      </c>
      <c r="BL295" s="27" t="n">
        <v>1.44843</v>
      </c>
      <c r="BM295" s="28" t="n">
        <v>0.690402</v>
      </c>
      <c r="BN295" s="28" t="n"/>
      <c r="BO295" s="28" t="n"/>
      <c r="BP295" s="25" t="n"/>
      <c r="BQ295" s="27" t="n">
        <v>1.44843</v>
      </c>
      <c r="BR295" s="28" t="n">
        <v>0.6899999999999999</v>
      </c>
      <c r="BS295" s="28" t="n"/>
      <c r="BT295" s="28" t="n"/>
      <c r="BU295" s="25" t="n"/>
      <c r="BV295" s="29" t="n"/>
      <c r="BW295" s="24" t="n"/>
      <c r="BX295" s="30" t="n">
        <v>1</v>
      </c>
      <c r="BY295" s="27" t="n">
        <v>0.448431</v>
      </c>
      <c r="BZ295" s="24" t="inlineStr">
        <is>
          <t>2026-09-12T22:00:55.432133Z</t>
        </is>
      </c>
      <c r="CA295" s="31" t="inlineStr">
        <is>
          <t>fixed one-unit hypothetical scoring; no real exposure or execution</t>
        </is>
      </c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0.690402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"3d16277c2cfc0628d7ec79d04feee92735e5c503a3be195cb225c7c52d024308", "away_team": "Aldosivi", "event_id": "401841567", "event_start_utc": "2026-09-12T17:45Z",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0.30089, "draw": 0.268624, "home": 0.430486}, "replay_scope": "Exact full-precision serving state and rounding; upstream historical observation times are not certified.", "schema": "coded-moneyline-replay-v1", "snapshot_hash": "3cfe17af07bbd81c203c1233320069bc4b2d83418991908b56b15c9d52938932", "sport": "SOCCER"}</t>
        </is>
      </c>
    </row>
    <row r="296" ht="36" customHeight="1">
      <c r="A296" s="24" t="inlineStr">
        <is>
          <t>89b0a94170854d7a</t>
        </is>
      </c>
      <c r="B296" s="24" t="inlineStr">
        <is>
          <t>2026-09-12T16:07:26.991101Z</t>
        </is>
      </c>
      <c r="C296" s="24" t="inlineStr">
        <is>
          <t>2026-09-12T18:30Z</t>
        </is>
      </c>
      <c r="D296" s="24" t="inlineStr">
        <is>
          <t>401844119</t>
        </is>
      </c>
      <c r="E296" s="24" t="inlineStr">
        <is>
          <t>SOCCER</t>
        </is>
      </c>
      <c r="F296" s="24" t="inlineStr">
        <is>
          <t>San Telmo</t>
        </is>
      </c>
      <c r="G296" s="24" t="inlineStr">
        <is>
          <t>All Boys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-127</v>
      </c>
      <c r="M296" s="27" t="n">
        <v>1.787402</v>
      </c>
      <c r="N296" s="28" t="n">
        <v>0.5594710000000001</v>
      </c>
      <c r="O296" s="28" t="n">
        <v>0.456135</v>
      </c>
      <c r="P296" s="28" t="n">
        <v>0.2</v>
      </c>
      <c r="Q296" s="28" t="n">
        <v>-0.103336</v>
      </c>
      <c r="R296" s="26" t="n">
        <v>0</v>
      </c>
      <c r="S296" s="29" t="n">
        <v>1</v>
      </c>
      <c r="T296" s="24" t="inlineStr">
        <is>
          <t>soccer-poisson-dc-v1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-127</v>
      </c>
      <c r="AA296" s="28" t="n">
        <v>0.5600000000000001</v>
      </c>
      <c r="AB296" s="28" t="n">
        <v>0.000529</v>
      </c>
      <c r="AC296" s="30" t="n">
        <v>-1</v>
      </c>
      <c r="AD296" s="24" t="inlineStr">
        <is>
          <t>2026-09-12T22:00:56.647769Z</t>
        </is>
      </c>
      <c r="AE296" s="31" t="inlineStr">
        <is>
          <t>Poisson-DC rates 1.64 (home) / 1.24 (away) from EWMA attack/defense strengths. Executable ask 0.5600 (atc-arg2-abo-ste-2026-09-12-abo).</t>
        </is>
      </c>
      <c r="AF296" s="31" t="inlineStr">
        <is>
          <t>Research-only soccer score model; draw-aware, but not yet locked-holdout qualified.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San Telmo</t>
        </is>
      </c>
      <c r="AQ296" s="24" t="inlineStr">
        <is>
          <t>San Telmo</t>
        </is>
      </c>
      <c r="AR296" s="24" t="inlineStr">
        <is>
          <t>San Telmo</t>
        </is>
      </c>
      <c r="AS296" s="24" t="inlineStr">
        <is>
          <t>All Boys</t>
        </is>
      </c>
      <c r="AT296" s="24" t="inlineStr">
        <is>
          <t>All Boys</t>
        </is>
      </c>
      <c r="AU296" s="24" t="inlineStr">
        <is>
          <t>All Boys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3d16277c2cfc0628d7ec79d04feee92735e5c503a3be195cb225c7c52d024308</t>
        </is>
      </c>
      <c r="BB296" s="24" t="inlineStr">
        <is>
          <t>poisson_dixon_coles</t>
        </is>
      </c>
      <c r="BC296" s="24" t="inlineStr">
        <is>
          <t>soccer-poisson-dc-v1</t>
        </is>
      </c>
      <c r="BD296" s="24" t="inlineStr">
        <is>
          <t>3d16277c2cfc0628d7ec79d04feee92735e5c503a3be195cb225c7c52d024308</t>
        </is>
      </c>
      <c r="BE296" s="24" t="inlineStr">
        <is>
          <t>soccer-poisson-dc-v1</t>
        </is>
      </c>
      <c r="BF296" s="24" t="inlineStr">
        <is>
          <t>1</t>
        </is>
      </c>
      <c r="BG296" s="24" t="inlineStr">
        <is>
          <t>3d16277c2cfc0628d7ec79d04feee92735e5c503a3be195cb225c7c52d024308</t>
        </is>
      </c>
      <c r="BH296" s="24" t="inlineStr">
        <is>
          <t>2026-09-12T16:06:14.479665Z</t>
        </is>
      </c>
      <c r="BI296" s="24" t="inlineStr">
        <is>
          <t>["same_event","same_team_same_day","same_league_same_day"]</t>
        </is>
      </c>
      <c r="BJ296" s="25" t="n"/>
      <c r="BK296" s="26" t="n">
        <v>-127</v>
      </c>
      <c r="BL296" s="27" t="n">
        <v>1.787402</v>
      </c>
      <c r="BM296" s="28" t="n">
        <v>0.5594710000000001</v>
      </c>
      <c r="BN296" s="28" t="n"/>
      <c r="BO296" s="28" t="n"/>
      <c r="BP296" s="25" t="n"/>
      <c r="BQ296" s="27" t="n">
        <v>1.787402</v>
      </c>
      <c r="BR296" s="28" t="n">
        <v>0.5600000000000001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-1</v>
      </c>
      <c r="BZ296" s="24" t="inlineStr">
        <is>
          <t>2026-09-12T22:00:56.647769Z</t>
        </is>
      </c>
      <c r="CA296" s="31" t="inlineStr">
        <is>
          <t>fixed one-unit hypothetical scoring; no real exposure or execution</t>
        </is>
      </c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0.559471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"3d16277c2cfc0628d7ec79d04feee92735e5c503a3be195cb225c7c52d024308", "away_team": "San Telmo", "event_id": "401844119", "event_start_utc": "2026-09-12T18:30Z", "features": {"away_goal_rate": 1.2418, "history_games": 9181, "home_goal_rate": 1.6423, "league_goals_per_team": 1.4281, "min_team_games": 0.0}, "historical_source_observation_times_verified": false, "home_team": "All Boys",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"ed54cd61b99a587d7e7f844908810e5b7dc61867a7336bb3c4d55c0ee2dd129f", "sport": "SOCCER"}</t>
        </is>
      </c>
    </row>
    <row r="297" ht="36" customHeight="1">
      <c r="A297" s="24" t="inlineStr">
        <is>
          <t>c26d36556dd74bfe</t>
        </is>
      </c>
      <c r="B297" s="24" t="inlineStr">
        <is>
          <t>2026-09-12T16:07:26.991101Z</t>
        </is>
      </c>
      <c r="C297" s="24" t="inlineStr">
        <is>
          <t>2026-09-12T21:05Z</t>
        </is>
      </c>
      <c r="D297" s="24" t="inlineStr">
        <is>
          <t>401877891</t>
        </is>
      </c>
      <c r="E297" s="24" t="inlineStr">
        <is>
          <t>SOCCER</t>
        </is>
      </c>
      <c r="F297" s="24" t="inlineStr">
        <is>
          <t>Llaneros FC</t>
        </is>
      </c>
      <c r="G297" s="24" t="inlineStr">
        <is>
          <t>Internacional de Bogotá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-122</v>
      </c>
      <c r="M297" s="27" t="n">
        <v>1.819672</v>
      </c>
      <c r="N297" s="28" t="n">
        <v>0.54955</v>
      </c>
      <c r="O297" s="28" t="n">
        <v>0.456135</v>
      </c>
      <c r="P297" s="28" t="n">
        <v>0.2</v>
      </c>
      <c r="Q297" s="28" t="n">
        <v>-0.093415</v>
      </c>
      <c r="R297" s="26" t="n">
        <v>0</v>
      </c>
      <c r="S297" s="29" t="n">
        <v>1</v>
      </c>
      <c r="T297" s="24" t="inlineStr">
        <is>
          <t>soccer-poisson-dc-v1</t>
        </is>
      </c>
      <c r="U297" s="24" t="inlineStr">
        <is>
          <t>settled</t>
        </is>
      </c>
      <c r="V297" s="24" t="inlineStr">
        <is>
          <t>win</t>
        </is>
      </c>
      <c r="W297" s="26" t="n">
        <v>2</v>
      </c>
      <c r="X297" s="26" t="n">
        <v>3</v>
      </c>
      <c r="Y297" s="25" t="n"/>
      <c r="Z297" s="26" t="n">
        <v>-122</v>
      </c>
      <c r="AA297" s="28" t="n">
        <v>0.55</v>
      </c>
      <c r="AB297" s="28" t="n">
        <v>0.00045</v>
      </c>
      <c r="AC297" s="30" t="n">
        <v>0.8197</v>
      </c>
      <c r="AD297" s="24" t="inlineStr">
        <is>
          <t>2026-09-13T04:30:47.190479Z</t>
        </is>
      </c>
      <c r="AE297" s="31" t="inlineStr">
        <is>
          <t>Poisson-DC rates 1.64 (home) / 1.24 (away) from EWMA attack/defense strengths. Executable ask 0.5500 (atc-lco-leq-lla-2026-09-12-leq).</t>
        </is>
      </c>
      <c r="AF297" s="31" t="inlineStr">
        <is>
          <t>Research-only soccer score model; draw-aware, but not yet locked-holdout qualified.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PAPER_CALL_MODEL_UNVALIDATED</t>
        </is>
      </c>
      <c r="AP297" s="24" t="inlineStr">
        <is>
          <t>Llaneros FC</t>
        </is>
      </c>
      <c r="AQ297" s="24" t="inlineStr">
        <is>
          <t>Llaneros FC</t>
        </is>
      </c>
      <c r="AR297" s="24" t="inlineStr">
        <is>
          <t>Llaneros FC</t>
        </is>
      </c>
      <c r="AS297" s="24" t="inlineStr">
        <is>
          <t>Internacional de Bogotá</t>
        </is>
      </c>
      <c r="AT297" s="24" t="inlineStr">
        <is>
          <t>Internacional de Bogotá</t>
        </is>
      </c>
      <c r="AU297" s="24" t="inlineStr">
        <is>
          <t>Internacional de Bogotá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3d16277c2cfc0628d7ec79d04feee92735e5c503a3be195cb225c7c52d024308</t>
        </is>
      </c>
      <c r="BB297" s="24" t="inlineStr">
        <is>
          <t>poisson_dixon_coles</t>
        </is>
      </c>
      <c r="BC297" s="24" t="inlineStr">
        <is>
          <t>soccer-poisson-dc-v1</t>
        </is>
      </c>
      <c r="BD297" s="24" t="inlineStr">
        <is>
          <t>3d16277c2cfc0628d7ec79d04feee92735e5c503a3be195cb225c7c52d024308</t>
        </is>
      </c>
      <c r="BE297" s="24" t="inlineStr">
        <is>
          <t>soccer-poisson-dc-v1</t>
        </is>
      </c>
      <c r="BF297" s="24" t="inlineStr">
        <is>
          <t>1</t>
        </is>
      </c>
      <c r="BG297" s="24" t="inlineStr">
        <is>
          <t>3d16277c2cfc0628d7ec79d04feee92735e5c503a3be195cb225c7c52d024308</t>
        </is>
      </c>
      <c r="BH297" s="24" t="inlineStr">
        <is>
          <t>2026-09-12T16:06:14.490485Z</t>
        </is>
      </c>
      <c r="BI297" s="24" t="inlineStr">
        <is>
          <t>["same_event","same_team_same_day","same_league_same_day"]</t>
        </is>
      </c>
      <c r="BJ297" s="25" t="n"/>
      <c r="BK297" s="26" t="n">
        <v>-122</v>
      </c>
      <c r="BL297" s="27" t="n">
        <v>1.819672</v>
      </c>
      <c r="BM297" s="28" t="n">
        <v>0.54955</v>
      </c>
      <c r="BN297" s="28" t="n"/>
      <c r="BO297" s="28" t="n"/>
      <c r="BP297" s="25" t="n"/>
      <c r="BQ297" s="27" t="n">
        <v>1.819672</v>
      </c>
      <c r="BR297" s="28" t="n">
        <v>0.55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0.819671</v>
      </c>
      <c r="BZ297" s="24" t="inlineStr">
        <is>
          <t>2026-09-13T04:30:47.190479Z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0.54955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"3d16277c2cfc0628d7ec79d04feee92735e5c503a3be195cb225c7c52d024308", "away_team": "Llaneros FC", "event_id": "401877891", "event_start_utc": "2026-09-12T21:05Z", "features": {"away_goal_rate": 1.2418, "history_games": 9181, "home_goal_rate": 1.6423, "league_goals_per_team": 1.4281, "min_team_games": 0.0}, "historical_source_observation_times_verified": false, "home_team": "Internacional de Bogot\u00e1",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"63a27f4e331c7161ba1979cbf49ee4f1b7922469db848406b1e539a7cd0a1c9c", "sport": "SOCCER"}</t>
        </is>
      </c>
    </row>
    <row r="298" ht="36" customHeight="1">
      <c r="A298" s="24" t="inlineStr">
        <is>
          <t>16ce509e20094b8f</t>
        </is>
      </c>
      <c r="B298" s="24" t="inlineStr">
        <is>
          <t>2026-09-12T16:07:26.991101Z</t>
        </is>
      </c>
      <c r="C298" s="24" t="inlineStr">
        <is>
          <t>2026-09-12T18:00Z</t>
        </is>
      </c>
      <c r="D298" s="24" t="inlineStr">
        <is>
          <t>401850658</t>
        </is>
      </c>
      <c r="E298" s="24" t="inlineStr">
        <is>
          <t>SOCCER</t>
        </is>
      </c>
      <c r="F298" s="24" t="inlineStr">
        <is>
          <t>Coquimbo Unido</t>
        </is>
      </c>
      <c r="G298" s="24" t="inlineStr">
        <is>
          <t>Cobresal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257</v>
      </c>
      <c r="M298" s="27" t="n">
        <v>3.57</v>
      </c>
      <c r="N298" s="28" t="n">
        <v>0.280112</v>
      </c>
      <c r="O298" s="28" t="n">
        <v>0.378182</v>
      </c>
      <c r="P298" s="28" t="n">
        <v>0.2</v>
      </c>
      <c r="Q298" s="28" t="n">
        <v>0.09807</v>
      </c>
      <c r="R298" s="26" t="n">
        <v>0</v>
      </c>
      <c r="S298" s="29" t="n">
        <v>1</v>
      </c>
      <c r="T298" s="24" t="inlineStr">
        <is>
          <t>soccer-poisson-dc-v1</t>
        </is>
      </c>
      <c r="U298" s="24" t="inlineStr">
        <is>
          <t>settled</t>
        </is>
      </c>
      <c r="V298" s="24" t="inlineStr">
        <is>
          <t>win</t>
        </is>
      </c>
      <c r="W298" s="26" t="n">
        <v>2</v>
      </c>
      <c r="X298" s="26" t="n">
        <v>3</v>
      </c>
      <c r="Y298" s="25" t="n"/>
      <c r="Z298" s="26" t="n">
        <v>257</v>
      </c>
      <c r="AA298" s="28" t="n">
        <v>0.28</v>
      </c>
      <c r="AB298" s="28" t="n">
        <v>-0.000112</v>
      </c>
      <c r="AC298" s="30" t="n">
        <v>2.57</v>
      </c>
      <c r="AD298" s="24" t="inlineStr">
        <is>
          <t>2026-09-12T22:00:57.868597Z</t>
        </is>
      </c>
      <c r="AE298" s="31" t="inlineStr">
        <is>
          <t>Poisson-DC rates 1.46 (home) / 1.39 (away) from EWMA attack/defense strengths. Executable ask 0.2800 (atc-pdc-cbs-coq-2026-09-12-cbs).</t>
        </is>
      </c>
      <c r="AF298" s="31" t="inlineStr">
        <is>
          <t>Research-only soccer score model; draw-aware, but not yet locked-holdout qualified.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PAPER_CALL_MODEL_UNVALIDATED</t>
        </is>
      </c>
      <c r="AP298" s="24" t="inlineStr">
        <is>
          <t>Coquimbo Unido</t>
        </is>
      </c>
      <c r="AQ298" s="24" t="inlineStr">
        <is>
          <t>Coquimbo Unido</t>
        </is>
      </c>
      <c r="AR298" s="24" t="inlineStr">
        <is>
          <t>Coquimbo Unido</t>
        </is>
      </c>
      <c r="AS298" s="24" t="inlineStr">
        <is>
          <t>Cobresal</t>
        </is>
      </c>
      <c r="AT298" s="24" t="inlineStr">
        <is>
          <t>Cobresal</t>
        </is>
      </c>
      <c r="AU298" s="24" t="inlineStr">
        <is>
          <t>Cobresal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3d16277c2cfc0628d7ec79d04feee92735e5c503a3be195cb225c7c52d024308</t>
        </is>
      </c>
      <c r="BB298" s="24" t="inlineStr">
        <is>
          <t>poisson_dixon_coles</t>
        </is>
      </c>
      <c r="BC298" s="24" t="inlineStr">
        <is>
          <t>soccer-poisson-dc-v1</t>
        </is>
      </c>
      <c r="BD298" s="24" t="inlineStr">
        <is>
          <t>3d16277c2cfc0628d7ec79d04feee92735e5c503a3be195cb225c7c52d024308</t>
        </is>
      </c>
      <c r="BE298" s="24" t="inlineStr">
        <is>
          <t>soccer-poisson-dc-v1</t>
        </is>
      </c>
      <c r="BF298" s="24" t="inlineStr">
        <is>
          <t>1</t>
        </is>
      </c>
      <c r="BG298" s="24" t="inlineStr">
        <is>
          <t>3d16277c2cfc0628d7ec79d04feee92735e5c503a3be195cb225c7c52d024308</t>
        </is>
      </c>
      <c r="BH298" s="24" t="inlineStr">
        <is>
          <t>2026-09-12T16:06:14.556720Z</t>
        </is>
      </c>
      <c r="BI298" s="24" t="inlineStr">
        <is>
          <t>["same_event","same_team_same_day","same_league_same_day"]</t>
        </is>
      </c>
      <c r="BJ298" s="25" t="n"/>
      <c r="BK298" s="26" t="n">
        <v>257</v>
      </c>
      <c r="BL298" s="27" t="n">
        <v>3.57</v>
      </c>
      <c r="BM298" s="28" t="n">
        <v>0.280112</v>
      </c>
      <c r="BN298" s="28" t="n"/>
      <c r="BO298" s="28" t="n"/>
      <c r="BP298" s="25" t="n"/>
      <c r="BQ298" s="27" t="n">
        <v>3.57</v>
      </c>
      <c r="BR298" s="28" t="n">
        <v>0.28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2.570001</v>
      </c>
      <c r="BZ298" s="24" t="inlineStr">
        <is>
          <t>2026-09-12T22:00:57.868597Z</t>
        </is>
      </c>
      <c r="CA298" s="31" t="inlineStr">
        <is>
          <t>fixed one-unit hypothetical scoring; no real exposure or execution</t>
        </is>
      </c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0.280112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"3d16277c2cfc0628d7ec79d04feee92735e5c503a3be195cb225c7c52d024308", "away_team": "Coquimbo Unido", "event_id": "401850658", "event_start_utc": "2026-09-12T18:00Z", "features": {"away_goal_rate": 1.3937, "history_games": 9181, "home_goal_rate": 1.4598, "league_goals_per_team": 1.4281, "min_team_games": 0.0}, "historical_source_observation_times_verified": false, "home_team": "Cobresal", "inference_inputs": {"away_rate": 1.3936679773971343,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0.348448, "draw": 0.27337, "home": 0.378182}, "replay_scope": "Exact full-precision serving state and rounding; upstream historical observation times are not certified.", "schema": "coded-moneyline-replay-v1", "snapshot_hash": "d6f4d75720e1589f2a7981414c8d22d12396e92d1c296a2e0806dcb1a186d67f", "sport": "SOCCER"}</t>
        </is>
      </c>
    </row>
    <row r="299" ht="36" customHeight="1">
      <c r="A299" s="24" t="inlineStr">
        <is>
          <t>4f3ab727810f4fbf</t>
        </is>
      </c>
      <c r="B299" s="24" t="inlineStr">
        <is>
          <t>2026-09-12T16:07:26.991101Z</t>
        </is>
      </c>
      <c r="C299" s="24" t="inlineStr">
        <is>
          <t>2026-09-12T19:30Z</t>
        </is>
      </c>
      <c r="D299" s="24" t="inlineStr">
        <is>
          <t>401916233</t>
        </is>
      </c>
      <c r="E299" s="24" t="inlineStr">
        <is>
          <t>SOCCER</t>
        </is>
      </c>
      <c r="F299" s="24" t="inlineStr">
        <is>
          <t>Nacional</t>
        </is>
      </c>
      <c r="G299" s="24" t="inlineStr">
        <is>
          <t>Montevideo Wanderers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400</v>
      </c>
      <c r="M299" s="27" t="n">
        <v>5</v>
      </c>
      <c r="N299" s="28" t="n">
        <v>0.2</v>
      </c>
      <c r="O299" s="28" t="n">
        <v>0.440521</v>
      </c>
      <c r="P299" s="28" t="n">
        <v>0.2</v>
      </c>
      <c r="Q299" s="28" t="n">
        <v>0.240521</v>
      </c>
      <c r="R299" s="26" t="n">
        <v>50</v>
      </c>
      <c r="S299" s="29" t="n">
        <v>1.25</v>
      </c>
      <c r="T299" s="24" t="inlineStr">
        <is>
          <t>soccer-poisson-dc-v1</t>
        </is>
      </c>
      <c r="U299" s="24" t="inlineStr">
        <is>
          <t>settled</t>
        </is>
      </c>
      <c r="V299" s="24" t="inlineStr">
        <is>
          <t>loss</t>
        </is>
      </c>
      <c r="W299" s="26" t="n">
        <v>1</v>
      </c>
      <c r="X299" s="26" t="n">
        <v>1</v>
      </c>
      <c r="Y299" s="25" t="n"/>
      <c r="Z299" s="26" t="n">
        <v>400</v>
      </c>
      <c r="AA299" s="28" t="n">
        <v>0.2</v>
      </c>
      <c r="AB299" s="28" t="n">
        <v>0</v>
      </c>
      <c r="AC299" s="30" t="n">
        <v>-1.25</v>
      </c>
      <c r="AD299" s="24" t="inlineStr">
        <is>
          <t>2026-09-12T22:00:59.084395Z</t>
        </is>
      </c>
      <c r="AE299" s="31" t="inlineStr">
        <is>
          <t>Poisson-DC rates 1.46 (home) / 1.10 (away) from EWMA attack/defense strengths. Executable ask 0.2000 (atc-uru1-wan-nac-2026-09-12-wan).</t>
        </is>
      </c>
      <c r="AF299" s="31" t="inlineStr">
        <is>
          <t>Research-only soccer score model; draw-aware, but not yet locked-holdout qualified.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PAPER_CALL_MODEL_UNVALIDATED</t>
        </is>
      </c>
      <c r="AP299" s="24" t="inlineStr">
        <is>
          <t>Nacional</t>
        </is>
      </c>
      <c r="AQ299" s="24" t="inlineStr">
        <is>
          <t>Nacional</t>
        </is>
      </c>
      <c r="AR299" s="24" t="inlineStr">
        <is>
          <t>Nacional</t>
        </is>
      </c>
      <c r="AS299" s="24" t="inlineStr">
        <is>
          <t>Montevideo Wanderers</t>
        </is>
      </c>
      <c r="AT299" s="24" t="inlineStr">
        <is>
          <t>Montevideo Wanderers</t>
        </is>
      </c>
      <c r="AU299" s="24" t="inlineStr">
        <is>
          <t>Montevideo Wanderers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3d16277c2cfc0628d7ec79d04feee92735e5c503a3be195cb225c7c52d024308</t>
        </is>
      </c>
      <c r="BB299" s="24" t="inlineStr">
        <is>
          <t>poisson_dixon_coles</t>
        </is>
      </c>
      <c r="BC299" s="24" t="inlineStr">
        <is>
          <t>soccer-poisson-dc-v1</t>
        </is>
      </c>
      <c r="BD299" s="24" t="inlineStr">
        <is>
          <t>3d16277c2cfc0628d7ec79d04feee92735e5c503a3be195cb225c7c52d024308</t>
        </is>
      </c>
      <c r="BE299" s="24" t="inlineStr">
        <is>
          <t>soccer-poisson-dc-v1</t>
        </is>
      </c>
      <c r="BF299" s="24" t="inlineStr">
        <is>
          <t>1</t>
        </is>
      </c>
      <c r="BG299" s="24" t="inlineStr">
        <is>
          <t>3d16277c2cfc0628d7ec79d04feee92735e5c503a3be195cb225c7c52d024308</t>
        </is>
      </c>
      <c r="BH299" s="24" t="inlineStr">
        <is>
          <t>2026-09-12T16:06:14.721800Z</t>
        </is>
      </c>
      <c r="BI299" s="24" t="inlineStr">
        <is>
          <t>["same_event","same_team_same_day","same_league_same_day"]</t>
        </is>
      </c>
      <c r="BJ299" s="25" t="n"/>
      <c r="BK299" s="26" t="n">
        <v>400</v>
      </c>
      <c r="BL299" s="27" t="n">
        <v>5</v>
      </c>
      <c r="BM299" s="28" t="n">
        <v>0.2</v>
      </c>
      <c r="BN299" s="28" t="n"/>
      <c r="BO299" s="28" t="n"/>
      <c r="BP299" s="25" t="n"/>
      <c r="BQ299" s="27" t="n">
        <v>5</v>
      </c>
      <c r="BR299" s="28" t="n">
        <v>0.2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-1</v>
      </c>
      <c r="BZ299" s="24" t="inlineStr">
        <is>
          <t>2026-09-12T22:00:59.084395Z</t>
        </is>
      </c>
      <c r="CA299" s="31" t="inlineStr">
        <is>
          <t>fixed one-unit hypothetical scoring; no real exposure or execution</t>
        </is>
      </c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0.2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"3d16277c2cfc0628d7ec79d04feee92735e5c503a3be195cb225c7c52d024308", "away_team": "Nacional", "event_id": "401916233", "event_start_utc": "2026-09-12T19:30Z", "features": {"away_goal_rate": 1.1038, "history_games": 9181, "home_goal_rate": 1.4598, "league_goals_per_team": 1.4281, "min_team_games": 0.0}, "historical_source_observation_times_verified": false, "home_team": "Montevideo Wanderers",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0.273602, "draw": 0.285877, "home": 0.440521}, "replay_scope": "Exact full-precision serving state and rounding; upstream historical observation times are not certified.", "schema": "coded-moneyline-replay-v1", "snapshot_hash": "b5deb4b9f2ee18efebe46f7fcf5e507e4355fc2dc508b1928b5b20a030cfe7ea", "sport": "SOCCER"}</t>
        </is>
      </c>
    </row>
    <row r="300" ht="36" customHeight="1">
      <c r="A300" s="24" t="inlineStr">
        <is>
          <t>69099478b1c646e2</t>
        </is>
      </c>
      <c r="B300" s="24" t="inlineStr">
        <is>
          <t>2026-09-12T16:07:26.991101Z</t>
        </is>
      </c>
      <c r="C300" s="24" t="inlineStr">
        <is>
          <t>2026-09-12T19:00Z</t>
        </is>
      </c>
      <c r="D300" s="24" t="inlineStr">
        <is>
          <t>401859692</t>
        </is>
      </c>
      <c r="E300" s="24" t="inlineStr">
        <is>
          <t>SOCCER</t>
        </is>
      </c>
      <c r="F300" s="24" t="inlineStr">
        <is>
          <t>Aucas</t>
        </is>
      </c>
      <c r="G300" s="24" t="inlineStr">
        <is>
          <t>Manta F.C.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polymarket_us</t>
        </is>
      </c>
      <c r="L300" s="26" t="n">
        <v>285</v>
      </c>
      <c r="M300" s="27" t="n">
        <v>3.85</v>
      </c>
      <c r="N300" s="28" t="n">
        <v>0.25974</v>
      </c>
      <c r="O300" s="28" t="n">
        <v>0.456135</v>
      </c>
      <c r="P300" s="28" t="n">
        <v>0.2</v>
      </c>
      <c r="Q300" s="28" t="n">
        <v>0.196395</v>
      </c>
      <c r="R300" s="26" t="n">
        <v>28</v>
      </c>
      <c r="S300" s="29" t="n">
        <v>1</v>
      </c>
      <c r="T300" s="24" t="inlineStr">
        <is>
          <t>soccer-poisson-dc-v1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0</v>
      </c>
      <c r="Y300" s="25" t="n"/>
      <c r="Z300" s="26" t="n">
        <v>285</v>
      </c>
      <c r="AA300" s="28" t="n">
        <v>0.26</v>
      </c>
      <c r="AB300" s="28" t="n">
        <v>0.00026</v>
      </c>
      <c r="AC300" s="30" t="n">
        <v>-1</v>
      </c>
      <c r="AD300" s="24" t="inlineStr">
        <is>
          <t>2026-09-12T22:01:00.360229Z</t>
        </is>
      </c>
      <c r="AE300" s="31" t="inlineStr">
        <is>
          <t>Poisson-DC rates 1.64 (home) / 1.24 (away) from EWMA attack/defense strengths. Executable ask 0.2600 (atc-ecu1-man-sda-2026-09-13-man).</t>
        </is>
      </c>
      <c r="AF300" s="31" t="inlineStr">
        <is>
          <t>Research-only soccer score model; draw-aware, but not yet locked-holdout qualified.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PAPER_CALL_MODEL_UNVALIDATED</t>
        </is>
      </c>
      <c r="AP300" s="24" t="inlineStr">
        <is>
          <t>Aucas</t>
        </is>
      </c>
      <c r="AQ300" s="24" t="inlineStr">
        <is>
          <t>Aucas</t>
        </is>
      </c>
      <c r="AR300" s="24" t="inlineStr">
        <is>
          <t>Aucas</t>
        </is>
      </c>
      <c r="AS300" s="24" t="inlineStr">
        <is>
          <t>Manta F.C.</t>
        </is>
      </c>
      <c r="AT300" s="24" t="inlineStr">
        <is>
          <t>Manta F.C.</t>
        </is>
      </c>
      <c r="AU300" s="24" t="inlineStr">
        <is>
          <t>Manta F.C.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3d16277c2cfc0628d7ec79d04feee92735e5c503a3be195cb225c7c52d024308</t>
        </is>
      </c>
      <c r="BB300" s="24" t="inlineStr">
        <is>
          <t>poisson_dixon_coles</t>
        </is>
      </c>
      <c r="BC300" s="24" t="inlineStr">
        <is>
          <t>soccer-poisson-dc-v1</t>
        </is>
      </c>
      <c r="BD300" s="24" t="inlineStr">
        <is>
          <t>3d16277c2cfc0628d7ec79d04feee92735e5c503a3be195cb225c7c52d024308</t>
        </is>
      </c>
      <c r="BE300" s="24" t="inlineStr">
        <is>
          <t>soccer-poisson-dc-v1</t>
        </is>
      </c>
      <c r="BF300" s="24" t="inlineStr">
        <is>
          <t>1</t>
        </is>
      </c>
      <c r="BG300" s="24" t="inlineStr">
        <is>
          <t>3d16277c2cfc0628d7ec79d04feee92735e5c503a3be195cb225c7c52d024308</t>
        </is>
      </c>
      <c r="BH300" s="24" t="inlineStr">
        <is>
          <t>2026-09-12T16:06:14.707724Z</t>
        </is>
      </c>
      <c r="BI300" s="24" t="inlineStr">
        <is>
          <t>["same_event","same_team_same_day","same_league_same_day"]</t>
        </is>
      </c>
      <c r="BJ300" s="25" t="n"/>
      <c r="BK300" s="26" t="n">
        <v>285</v>
      </c>
      <c r="BL300" s="27" t="n">
        <v>3.85</v>
      </c>
      <c r="BM300" s="28" t="n">
        <v>0.25974</v>
      </c>
      <c r="BN300" s="28" t="n"/>
      <c r="BO300" s="28" t="n"/>
      <c r="BP300" s="25" t="n"/>
      <c r="BQ300" s="27" t="n">
        <v>3.85</v>
      </c>
      <c r="BR300" s="28" t="n">
        <v>0.26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-1</v>
      </c>
      <c r="BZ300" s="24" t="inlineStr">
        <is>
          <t>2026-09-12T22:01:00.360229Z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0.25974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"3d16277c2cfc0628d7ec79d04feee92735e5c503a3be195cb225c7c52d024308", "away_team": "Aucas", "event_id": "401859692", "event_start_utc": "2026-09-12T19:00Z", "features": {"away_goal_rate": 1.2418, "history_games": 9181, "home_goal_rate": 1.6423, "league_goals_per_team": 1.4281, "min_team_games": 0.0}, "historical_source_observation_times_verified": false, "home_team": "Manta F.C.",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"96031d3fb75926e14f69607f499c29da0d714c2d27162e5f7363066c95100335", "sport": "SOCCER"}</t>
        </is>
      </c>
    </row>
    <row r="301" ht="36" customHeight="1">
      <c r="A301" s="24" t="inlineStr">
        <is>
          <t>0e8e7f8e602a49c2</t>
        </is>
      </c>
      <c r="B301" s="24" t="inlineStr">
        <is>
          <t>2026-09-12T16:07:26.991101Z</t>
        </is>
      </c>
      <c r="C301" s="24" t="inlineStr">
        <is>
          <t>2026-09-12T21:30Z</t>
        </is>
      </c>
      <c r="D301" s="24" t="inlineStr">
        <is>
          <t>401859690</t>
        </is>
      </c>
      <c r="E301" s="24" t="inlineStr">
        <is>
          <t>SOCCER</t>
        </is>
      </c>
      <c r="F301" s="24" t="inlineStr">
        <is>
          <t>Mushuc Runa</t>
        </is>
      </c>
      <c r="G301" s="24" t="inlineStr">
        <is>
          <t>Guayaquil City FC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170</v>
      </c>
      <c r="M301" s="27" t="n">
        <v>2.7</v>
      </c>
      <c r="N301" s="28" t="n">
        <v>0.37037</v>
      </c>
      <c r="O301" s="28" t="n">
        <v>0.456135</v>
      </c>
      <c r="P301" s="28" t="n">
        <v>0.2</v>
      </c>
      <c r="Q301" s="28" t="n">
        <v>0.08576499999999999</v>
      </c>
      <c r="R301" s="26" t="n">
        <v>0</v>
      </c>
      <c r="S301" s="29" t="n">
        <v>1</v>
      </c>
      <c r="T301" s="24" t="inlineStr">
        <is>
          <t>soccer-poisson-dc-v1</t>
        </is>
      </c>
      <c r="U301" s="24" t="inlineStr">
        <is>
          <t>settled</t>
        </is>
      </c>
      <c r="V301" s="24" t="inlineStr">
        <is>
          <t>win</t>
        </is>
      </c>
      <c r="W301" s="26" t="n">
        <v>1</v>
      </c>
      <c r="X301" s="26" t="n">
        <v>3</v>
      </c>
      <c r="Y301" s="25" t="n"/>
      <c r="Z301" s="26" t="n">
        <v>170</v>
      </c>
      <c r="AA301" s="28" t="n">
        <v>0.37</v>
      </c>
      <c r="AB301" s="28" t="n">
        <v>-0.00037</v>
      </c>
      <c r="AC301" s="30" t="n">
        <v>1.7</v>
      </c>
      <c r="AD301" s="24" t="inlineStr">
        <is>
          <t>2026-09-13T04:30:48.575296Z</t>
        </is>
      </c>
      <c r="AE301" s="31" t="inlineStr">
        <is>
          <t>Poisson-DC rates 1.64 (home) / 1.24 (away) from EWMA attack/defense strengths. Executable ask 0.3700 (atc-ecu1-gua-mur-2026-09-13-gua).</t>
        </is>
      </c>
      <c r="AF301" s="31" t="inlineStr">
        <is>
          <t>Research-only soccer score model; draw-aware, but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PAPER_CALL_MODEL_UNVALIDATED</t>
        </is>
      </c>
      <c r="AP301" s="24" t="inlineStr">
        <is>
          <t>Mushuc Runa</t>
        </is>
      </c>
      <c r="AQ301" s="24" t="inlineStr">
        <is>
          <t>Mushuc Runa</t>
        </is>
      </c>
      <c r="AR301" s="24" t="inlineStr">
        <is>
          <t>Mushuc Runa</t>
        </is>
      </c>
      <c r="AS301" s="24" t="inlineStr">
        <is>
          <t>Guayaquil City FC</t>
        </is>
      </c>
      <c r="AT301" s="24" t="inlineStr">
        <is>
          <t>Guayaquil City FC</t>
        </is>
      </c>
      <c r="AU301" s="24" t="inlineStr">
        <is>
          <t>Guayaquil City FC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3d16277c2cfc0628d7ec79d04feee92735e5c503a3be195cb225c7c52d024308</t>
        </is>
      </c>
      <c r="BB301" s="24" t="inlineStr">
        <is>
          <t>poisson_dixon_coles</t>
        </is>
      </c>
      <c r="BC301" s="24" t="inlineStr">
        <is>
          <t>soccer-poisson-dc-v1</t>
        </is>
      </c>
      <c r="BD301" s="24" t="inlineStr">
        <is>
          <t>3d16277c2cfc0628d7ec79d04feee92735e5c503a3be195cb225c7c52d024308</t>
        </is>
      </c>
      <c r="BE301" s="24" t="inlineStr">
        <is>
          <t>soccer-poisson-dc-v1</t>
        </is>
      </c>
      <c r="BF301" s="24" t="inlineStr">
        <is>
          <t>1</t>
        </is>
      </c>
      <c r="BG301" s="24" t="inlineStr">
        <is>
          <t>3d16277c2cfc0628d7ec79d04feee92735e5c503a3be195cb225c7c52d024308</t>
        </is>
      </c>
      <c r="BH301" s="24" t="inlineStr">
        <is>
          <t>2026-09-12T16:06:14.647663Z</t>
        </is>
      </c>
      <c r="BI301" s="24" t="inlineStr">
        <is>
          <t>["same_event","same_team_same_day","same_league_same_day"]</t>
        </is>
      </c>
      <c r="BJ301" s="25" t="n"/>
      <c r="BK301" s="26" t="n">
        <v>170</v>
      </c>
      <c r="BL301" s="27" t="n">
        <v>2.7</v>
      </c>
      <c r="BM301" s="28" t="n">
        <v>0.37037</v>
      </c>
      <c r="BN301" s="28" t="n"/>
      <c r="BO301" s="28" t="n"/>
      <c r="BP301" s="25" t="n"/>
      <c r="BQ301" s="27" t="n">
        <v>2.7</v>
      </c>
      <c r="BR301" s="28" t="n">
        <v>0.37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1.700003</v>
      </c>
      <c r="BZ301" s="24" t="inlineStr">
        <is>
          <t>2026-09-13T04:30:48.575296Z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0.37037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"3d16277c2cfc0628d7ec79d04feee92735e5c503a3be195cb225c7c52d024308", "away_team": "Mushuc Runa", "event_id": "401859690", "event_start_utc": "2026-09-12T21:30Z", "features": {"away_goal_rate": 1.2418, "history_games": 9181, "home_goal_rate": 1.6423, "league_goals_per_team": 1.4281, "min_team_games": 0.0}, "historical_source_observation_times_verified": false, "home_team": "Guayaquil City FC",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"f93e92a2c63235fb56e522dc2bbc92ab492b6b1bb731a6f9cfab8e3c69ca4789", "sport": "SOCCER"}</t>
        </is>
      </c>
    </row>
    <row r="302" ht="36" customHeight="1">
      <c r="A302" s="24" t="inlineStr">
        <is>
          <t>075c464da0354722</t>
        </is>
      </c>
      <c r="B302" s="24" t="inlineStr">
        <is>
          <t>2026-09-12T22:41:45.616998Z</t>
        </is>
      </c>
      <c r="C302" s="24" t="inlineStr">
        <is>
          <t>2026-09-12T23:30Z</t>
        </is>
      </c>
      <c r="D302" s="24" t="inlineStr">
        <is>
          <t>761803</t>
        </is>
      </c>
      <c r="E302" s="24" t="inlineStr">
        <is>
          <t>SOCCER</t>
        </is>
      </c>
      <c r="F302" s="24" t="inlineStr">
        <is>
          <t>Atlanta United FC</t>
        </is>
      </c>
      <c r="G302" s="24" t="inlineStr">
        <is>
          <t>D.C. United</t>
        </is>
      </c>
      <c r="H302" s="24" t="inlineStr">
        <is>
          <t>total</t>
        </is>
      </c>
      <c r="I302" s="24" t="inlineStr">
        <is>
          <t>over</t>
        </is>
      </c>
      <c r="J302" s="25" t="n">
        <v>2.5</v>
      </c>
      <c r="K302" s="24" t="inlineStr">
        <is>
          <t>polymarket_us</t>
        </is>
      </c>
      <c r="L302" s="26" t="n">
        <v>-156</v>
      </c>
      <c r="M302" s="27" t="n">
        <v>1.641026</v>
      </c>
      <c r="N302" s="28" t="n">
        <v>0.609375</v>
      </c>
      <c r="O302" s="28" t="n">
        <v>0.5159820000000001</v>
      </c>
      <c r="P302" s="28" t="n">
        <v>0.04</v>
      </c>
      <c r="Q302" s="28" t="n">
        <v>-0.093393</v>
      </c>
      <c r="R302" s="26" t="n">
        <v>0</v>
      </c>
      <c r="S302" s="29" t="n">
        <v>1</v>
      </c>
      <c r="T302" s="24" t="inlineStr">
        <is>
          <t>soccer-poisson-dc-v1</t>
        </is>
      </c>
      <c r="U302" s="24" t="inlineStr">
        <is>
          <t>settled</t>
        </is>
      </c>
      <c r="V302" s="24" t="inlineStr">
        <is>
          <t>loss</t>
        </is>
      </c>
      <c r="W302" s="26" t="n">
        <v>0</v>
      </c>
      <c r="X302" s="26" t="n">
        <v>0</v>
      </c>
      <c r="Y302" s="25" t="n"/>
      <c r="Z302" s="26" t="n">
        <v>-156</v>
      </c>
      <c r="AA302" s="28" t="n">
        <v>0.61</v>
      </c>
      <c r="AB302" s="28" t="n">
        <v>0.000625</v>
      </c>
      <c r="AC302" s="30" t="n">
        <v>-1</v>
      </c>
      <c r="AD302" s="24" t="inlineStr">
        <is>
          <t>2026-09-13T04:31:39.208413Z</t>
        </is>
      </c>
      <c r="AE302" s="31" t="inlineStr">
        <is>
          <t>Poisson-DC rates 1.68 (home) / 1.06 (away) from EWMA attack/defense strengths. Executable ask 0.6100 (tsc-mls-dcu-atl-2026-09-12-2pt5).</t>
        </is>
      </c>
      <c r="AF302" s="31" t="inlineStr">
        <is>
          <t>Research-only soccer score model; draw-aware, but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PAPER_CALL_LOW_EDGE</t>
        </is>
      </c>
      <c r="AP302" s="24" t="inlineStr">
        <is>
          <t>Atlanta United FC</t>
        </is>
      </c>
      <c r="AQ302" s="24" t="inlineStr">
        <is>
          <t>Atlanta United FC</t>
        </is>
      </c>
      <c r="AR302" s="24" t="inlineStr">
        <is>
          <t>Atlanta United FC</t>
        </is>
      </c>
      <c r="AS302" s="24" t="inlineStr">
        <is>
          <t>D.C. United</t>
        </is>
      </c>
      <c r="AT302" s="24" t="inlineStr">
        <is>
          <t>D.C. United</t>
        </is>
      </c>
      <c r="AU302" s="24" t="inlineStr">
        <is>
          <t>D.C. United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3d16277c2cfc0628d7ec79d04feee92735e5c503a3be195cb225c7c52d024308</t>
        </is>
      </c>
      <c r="BB302" s="24" t="inlineStr">
        <is>
          <t>poisson_dixon_coles</t>
        </is>
      </c>
      <c r="BC302" s="24" t="inlineStr">
        <is>
          <t>soccer-poisson-dc-v1</t>
        </is>
      </c>
      <c r="BD302" s="24" t="inlineStr">
        <is>
          <t>3d16277c2cfc0628d7ec79d04feee92735e5c503a3be195cb225c7c52d024308</t>
        </is>
      </c>
      <c r="BE302" s="24" t="inlineStr">
        <is>
          <t>soccer-poisson-dc-v1</t>
        </is>
      </c>
      <c r="BF302" s="24" t="inlineStr">
        <is>
          <t>1</t>
        </is>
      </c>
      <c r="BG302" s="24" t="inlineStr">
        <is>
          <t>3d16277c2cfc0628d7ec79d04feee92735e5c503a3be195cb225c7c52d024308</t>
        </is>
      </c>
      <c r="BH302" s="24" t="inlineStr">
        <is>
          <t>2026-09-12T16:06:12.081355Z</t>
        </is>
      </c>
      <c r="BI302" s="24" t="inlineStr">
        <is>
          <t>["same_event","same_team_same_day","same_league_same_day"]</t>
        </is>
      </c>
      <c r="BJ302" s="25" t="n">
        <v>2.5</v>
      </c>
      <c r="BK302" s="26" t="n">
        <v>-156</v>
      </c>
      <c r="BL302" s="27" t="n">
        <v>1.641026</v>
      </c>
      <c r="BM302" s="28" t="n">
        <v>0.609375</v>
      </c>
      <c r="BN302" s="28" t="n"/>
      <c r="BO302" s="28" t="n"/>
      <c r="BP302" s="25" t="n"/>
      <c r="BQ302" s="27" t="n">
        <v>1.641026</v>
      </c>
      <c r="BR302" s="28" t="n">
        <v>0.61</v>
      </c>
      <c r="BS302" s="28" t="n"/>
      <c r="BT302" s="28" t="n"/>
      <c r="BU302" s="25" t="n"/>
      <c r="BV302" s="29" t="n"/>
      <c r="BW302" s="24" t="n"/>
      <c r="BX302" s="30" t="n">
        <v>1</v>
      </c>
      <c r="BY302" s="27" t="n">
        <v>-1</v>
      </c>
      <c r="BZ302" s="24" t="inlineStr">
        <is>
          <t>2026-09-13T04:31:39.208413Z</t>
        </is>
      </c>
      <c r="CA302" s="31" t="inlineStr">
        <is>
          <t>fixed one-unit hypothetical scoring; no real exposure or execution</t>
        </is>
      </c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0.609375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302a4803c7024f99</t>
        </is>
      </c>
      <c r="B303" s="24" t="inlineStr">
        <is>
          <t>2026-09-12T22:41:45.616998Z</t>
        </is>
      </c>
      <c r="C303" s="24" t="inlineStr">
        <is>
          <t>2026-09-12T23:30Z</t>
        </is>
      </c>
      <c r="D303" s="24" t="inlineStr">
        <is>
          <t>761802</t>
        </is>
      </c>
      <c r="E303" s="24" t="inlineStr">
        <is>
          <t>SOCCER</t>
        </is>
      </c>
      <c r="F303" s="24" t="inlineStr">
        <is>
          <t>Charlotte FC</t>
        </is>
      </c>
      <c r="G303" s="24" t="inlineStr">
        <is>
          <t>FC Cincinnati</t>
        </is>
      </c>
      <c r="H303" s="24" t="inlineStr">
        <is>
          <t>total</t>
        </is>
      </c>
      <c r="I303" s="24" t="inlineStr">
        <is>
          <t>over</t>
        </is>
      </c>
      <c r="J303" s="25" t="n">
        <v>2.5</v>
      </c>
      <c r="K303" s="24" t="inlineStr">
        <is>
          <t>polymarket_us</t>
        </is>
      </c>
      <c r="L303" s="26" t="n">
        <v>-245</v>
      </c>
      <c r="M303" s="27" t="n">
        <v>1.408163</v>
      </c>
      <c r="N303" s="28" t="n">
        <v>0.710145</v>
      </c>
      <c r="O303" s="28" t="n">
        <v>0.765283</v>
      </c>
      <c r="P303" s="28" t="n">
        <v>0.04</v>
      </c>
      <c r="Q303" s="28" t="n">
        <v>0.055138</v>
      </c>
      <c r="R303" s="26" t="n">
        <v>54</v>
      </c>
      <c r="S303" s="29" t="n">
        <v>1</v>
      </c>
      <c r="T303" s="24" t="inlineStr">
        <is>
          <t>soccer-poisson-dc-v1</t>
        </is>
      </c>
      <c r="U303" s="24" t="inlineStr">
        <is>
          <t>settled</t>
        </is>
      </c>
      <c r="V303" s="24" t="inlineStr">
        <is>
          <t>win</t>
        </is>
      </c>
      <c r="W303" s="26" t="n">
        <v>3</v>
      </c>
      <c r="X303" s="26" t="n">
        <v>3</v>
      </c>
      <c r="Y303" s="25" t="n"/>
      <c r="Z303" s="26" t="n">
        <v>-245</v>
      </c>
      <c r="AA303" s="28" t="n">
        <v>0.71</v>
      </c>
      <c r="AB303" s="28" t="n">
        <v>-0.000145</v>
      </c>
      <c r="AC303" s="30" t="n">
        <v>0.4082</v>
      </c>
      <c r="AD303" s="24" t="inlineStr">
        <is>
          <t>2026-09-13T04:31:40.417852Z</t>
        </is>
      </c>
      <c r="AE303" s="31" t="inlineStr">
        <is>
          <t>Poisson-DC rates 2.28 (home) / 1.74 (away) from EWMA attack/defense strengths. Executable ask 0.7100 (tsc-mls-fcc-clt-2026-09-12-2pt5).</t>
        </is>
      </c>
      <c r="AF303" s="31" t="inlineStr">
        <is>
          <t>Research-only soccer score model; draw-aware, but not yet locked-holdout qualified.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Charlotte FC</t>
        </is>
      </c>
      <c r="AQ303" s="24" t="inlineStr">
        <is>
          <t>Charlotte FC</t>
        </is>
      </c>
      <c r="AR303" s="24" t="inlineStr">
        <is>
          <t>Charlotte FC</t>
        </is>
      </c>
      <c r="AS303" s="24" t="inlineStr">
        <is>
          <t>FC Cincinnati</t>
        </is>
      </c>
      <c r="AT303" s="24" t="inlineStr">
        <is>
          <t>FC Cincinnati</t>
        </is>
      </c>
      <c r="AU303" s="24" t="inlineStr">
        <is>
          <t>FC Cincinnati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3d16277c2cfc0628d7ec79d04feee92735e5c503a3be195cb225c7c52d024308</t>
        </is>
      </c>
      <c r="BB303" s="24" t="inlineStr">
        <is>
          <t>poisson_dixon_coles</t>
        </is>
      </c>
      <c r="BC303" s="24" t="inlineStr">
        <is>
          <t>soccer-poisson-dc-v1</t>
        </is>
      </c>
      <c r="BD303" s="24" t="inlineStr">
        <is>
          <t>3d16277c2cfc0628d7ec79d04feee92735e5c503a3be195cb225c7c52d024308</t>
        </is>
      </c>
      <c r="BE303" s="24" t="inlineStr">
        <is>
          <t>soccer-poisson-dc-v1</t>
        </is>
      </c>
      <c r="BF303" s="24" t="inlineStr">
        <is>
          <t>1</t>
        </is>
      </c>
      <c r="BG303" s="24" t="inlineStr">
        <is>
          <t>3d16277c2cfc0628d7ec79d04feee92735e5c503a3be195cb225c7c52d024308</t>
        </is>
      </c>
      <c r="BH303" s="24" t="inlineStr">
        <is>
          <t>2026-09-12T16:06:12.208351Z</t>
        </is>
      </c>
      <c r="BI303" s="24" t="inlineStr">
        <is>
          <t>["same_event","same_team_same_day","same_league_same_day"]</t>
        </is>
      </c>
      <c r="BJ303" s="25" t="n">
        <v>2.5</v>
      </c>
      <c r="BK303" s="26" t="n">
        <v>-245</v>
      </c>
      <c r="BL303" s="27" t="n">
        <v>1.408163</v>
      </c>
      <c r="BM303" s="28" t="n">
        <v>0.710145</v>
      </c>
      <c r="BN303" s="28" t="n"/>
      <c r="BO303" s="28" t="n"/>
      <c r="BP303" s="25" t="n"/>
      <c r="BQ303" s="27" t="n">
        <v>1.408163</v>
      </c>
      <c r="BR303" s="28" t="n">
        <v>0.71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0.710145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09aebe50e0024cde</t>
        </is>
      </c>
      <c r="B304" s="24" t="inlineStr">
        <is>
          <t>2026-09-12T22:41:45.616998Z</t>
        </is>
      </c>
      <c r="C304" s="24" t="inlineStr">
        <is>
          <t>2026-09-12T23:30Z</t>
        </is>
      </c>
      <c r="D304" s="24" t="inlineStr">
        <is>
          <t>761800</t>
        </is>
      </c>
      <c r="E304" s="24" t="inlineStr">
        <is>
          <t>SOCCER</t>
        </is>
      </c>
      <c r="F304" s="24" t="inlineStr">
        <is>
          <t>Nashville SC</t>
        </is>
      </c>
      <c r="G304" s="24" t="inlineStr">
        <is>
          <t>Inter Miami CF</t>
        </is>
      </c>
      <c r="H304" s="24" t="inlineStr">
        <is>
          <t>total</t>
        </is>
      </c>
      <c r="I304" s="24" t="inlineStr">
        <is>
          <t>over</t>
        </is>
      </c>
      <c r="J304" s="25" t="n">
        <v>2.5</v>
      </c>
      <c r="K304" s="24" t="inlineStr">
        <is>
          <t>polymarket_us</t>
        </is>
      </c>
      <c r="L304" s="26" t="n">
        <v>-233</v>
      </c>
      <c r="M304" s="27" t="n">
        <v>1.429185</v>
      </c>
      <c r="N304" s="28" t="n">
        <v>0.6997</v>
      </c>
      <c r="O304" s="28" t="n">
        <v>0.790371</v>
      </c>
      <c r="P304" s="28" t="n">
        <v>0.04</v>
      </c>
      <c r="Q304" s="28" t="n">
        <v>0.090671</v>
      </c>
      <c r="R304" s="26" t="n">
        <v>71</v>
      </c>
      <c r="S304" s="29" t="n">
        <v>1.25</v>
      </c>
      <c r="T304" s="24" t="inlineStr">
        <is>
          <t>soccer-poisson-dc-v1</t>
        </is>
      </c>
      <c r="U304" s="24" t="inlineStr">
        <is>
          <t>settled</t>
        </is>
      </c>
      <c r="V304" s="24" t="inlineStr">
        <is>
          <t>win</t>
        </is>
      </c>
      <c r="W304" s="26" t="n">
        <v>2</v>
      </c>
      <c r="X304" s="26" t="n">
        <v>2</v>
      </c>
      <c r="Y304" s="25" t="n"/>
      <c r="Z304" s="26" t="n">
        <v>-233</v>
      </c>
      <c r="AA304" s="28" t="n">
        <v>0.7</v>
      </c>
      <c r="AB304" s="28" t="n">
        <v>0.0003</v>
      </c>
      <c r="AC304" s="30" t="n">
        <v>0.5365</v>
      </c>
      <c r="AD304" s="24" t="inlineStr">
        <is>
          <t>2026-09-13T04:31:41.645475Z</t>
        </is>
      </c>
      <c r="AE304" s="31" t="inlineStr">
        <is>
          <t>Poisson-DC rates 2.40 (home) / 1.80 (away) from EWMA attack/defense strengths. Executable ask 0.7000 (tsc-mls-mia-nas-2026-09-12-2pt5).</t>
        </is>
      </c>
      <c r="AF304" s="31" t="inlineStr">
        <is>
          <t>Research-only soccer score model; draw-aware, but not yet locked-holdout qualified.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model_qualified</t>
        </is>
      </c>
      <c r="AL304" s="26" t="n">
        <v>4</v>
      </c>
      <c r="AM304" s="24" t="inlineStr">
        <is>
          <t>QUALIFIED_SHADOW_CALL</t>
        </is>
      </c>
      <c r="AN304" s="24" t="inlineStr">
        <is>
          <t>CALL</t>
        </is>
      </c>
      <c r="AO304" s="24" t="inlineStr">
        <is>
          <t>QUALIFIED</t>
        </is>
      </c>
      <c r="AP304" s="24" t="inlineStr">
        <is>
          <t>Nashville SC</t>
        </is>
      </c>
      <c r="AQ304" s="24" t="inlineStr">
        <is>
          <t>Nashville SC</t>
        </is>
      </c>
      <c r="AR304" s="24" t="inlineStr">
        <is>
          <t>Nashville SC</t>
        </is>
      </c>
      <c r="AS304" s="24" t="inlineStr">
        <is>
          <t>Inter Miami CF</t>
        </is>
      </c>
      <c r="AT304" s="24" t="inlineStr">
        <is>
          <t>Inter Miami CF</t>
        </is>
      </c>
      <c r="AU304" s="24" t="inlineStr">
        <is>
          <t>Inter Miami CF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3d16277c2cfc0628d7ec79d04feee92735e5c503a3be195cb225c7c52d024308</t>
        </is>
      </c>
      <c r="BB304" s="24" t="inlineStr">
        <is>
          <t>poisson_dixon_coles</t>
        </is>
      </c>
      <c r="BC304" s="24" t="inlineStr">
        <is>
          <t>soccer-poisson-dc-v1</t>
        </is>
      </c>
      <c r="BD304" s="24" t="inlineStr">
        <is>
          <t>3d16277c2cfc0628d7ec79d04feee92735e5c503a3be195cb225c7c52d024308</t>
        </is>
      </c>
      <c r="BE304" s="24" t="inlineStr">
        <is>
          <t>soccer-poisson-dc-v1</t>
        </is>
      </c>
      <c r="BF304" s="24" t="inlineStr">
        <is>
          <t>1</t>
        </is>
      </c>
      <c r="BG304" s="24" t="inlineStr">
        <is>
          <t>3d16277c2cfc0628d7ec79d04feee92735e5c503a3be195cb225c7c52d024308</t>
        </is>
      </c>
      <c r="BH304" s="24" t="inlineStr">
        <is>
          <t>2026-09-12T16:06:12.254395Z</t>
        </is>
      </c>
      <c r="BI304" s="24" t="inlineStr">
        <is>
          <t>["same_event","same_team_same_day","same_league_same_day"]</t>
        </is>
      </c>
      <c r="BJ304" s="25" t="n">
        <v>2.5</v>
      </c>
      <c r="BK304" s="26" t="n">
        <v>-233</v>
      </c>
      <c r="BL304" s="27" t="n">
        <v>1.429185</v>
      </c>
      <c r="BM304" s="28" t="n">
        <v>0.6997</v>
      </c>
      <c r="BN304" s="28" t="n"/>
      <c r="BO304" s="28" t="n"/>
      <c r="BP304" s="25" t="n"/>
      <c r="BQ304" s="27" t="n">
        <v>1.429185</v>
      </c>
      <c r="BR304" s="28" t="n">
        <v>0.7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0.6997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4c6e0dd186104df2</t>
        </is>
      </c>
      <c r="B305" s="24" t="inlineStr">
        <is>
          <t>2026-09-12T22:41:45.616998Z</t>
        </is>
      </c>
      <c r="C305" s="24" t="inlineStr">
        <is>
          <t>2026-09-12T23:30Z</t>
        </is>
      </c>
      <c r="D305" s="24" t="inlineStr">
        <is>
          <t>761801</t>
        </is>
      </c>
      <c r="E305" s="24" t="inlineStr">
        <is>
          <t>SOCCER</t>
        </is>
      </c>
      <c r="F305" s="24" t="inlineStr">
        <is>
          <t>Toronto FC</t>
        </is>
      </c>
      <c r="G305" s="24" t="inlineStr">
        <is>
          <t>Orlando City SC</t>
        </is>
      </c>
      <c r="H305" s="24" t="inlineStr">
        <is>
          <t>total</t>
        </is>
      </c>
      <c r="I305" s="24" t="inlineStr">
        <is>
          <t>over</t>
        </is>
      </c>
      <c r="J305" s="25" t="n">
        <v>2.5</v>
      </c>
      <c r="K305" s="24" t="inlineStr">
        <is>
          <t>polymarket_us</t>
        </is>
      </c>
      <c r="L305" s="26" t="n">
        <v>-223</v>
      </c>
      <c r="M305" s="27" t="n">
        <v>1.44843</v>
      </c>
      <c r="N305" s="28" t="n">
        <v>0.690402</v>
      </c>
      <c r="O305" s="28" t="n">
        <v>0.755145</v>
      </c>
      <c r="P305" s="28" t="n">
        <v>0.04</v>
      </c>
      <c r="Q305" s="28" t="n">
        <v>0.06474299999999999</v>
      </c>
      <c r="R305" s="26" t="n">
        <v>58</v>
      </c>
      <c r="S305" s="29" t="n">
        <v>1.25</v>
      </c>
      <c r="T305" s="24" t="inlineStr">
        <is>
          <t>soccer-poisson-dc-v1</t>
        </is>
      </c>
      <c r="U305" s="24" t="inlineStr">
        <is>
          <t>settled</t>
        </is>
      </c>
      <c r="V305" s="24" t="inlineStr">
        <is>
          <t>win</t>
        </is>
      </c>
      <c r="W305" s="26" t="n">
        <v>0</v>
      </c>
      <c r="X305" s="26" t="n">
        <v>3</v>
      </c>
      <c r="Y305" s="25" t="n"/>
      <c r="Z305" s="26" t="n">
        <v>-223</v>
      </c>
      <c r="AA305" s="28" t="n">
        <v>0.6899999999999999</v>
      </c>
      <c r="AB305" s="28" t="n">
        <v>-0.000402</v>
      </c>
      <c r="AC305" s="30" t="n">
        <v>0.5605</v>
      </c>
      <c r="AD305" s="24" t="inlineStr">
        <is>
          <t>2026-09-13T04:31:42.858968Z</t>
        </is>
      </c>
      <c r="AE305" s="31" t="inlineStr">
        <is>
          <t>Poisson-DC rates 2.14 (home) / 1.82 (away) from EWMA attack/defense strengths. Executable ask 0.6900 (tsc-mls-orl-tor-2026-09-12-2pt5).</t>
        </is>
      </c>
      <c r="AF305" s="31" t="inlineStr">
        <is>
          <t>Research-only soccer score model; draw-aware, but not yet locked-holdout qualified.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Toronto FC</t>
        </is>
      </c>
      <c r="AQ305" s="24" t="inlineStr">
        <is>
          <t>Toronto FC</t>
        </is>
      </c>
      <c r="AR305" s="24" t="inlineStr">
        <is>
          <t>Toronto FC</t>
        </is>
      </c>
      <c r="AS305" s="24" t="inlineStr">
        <is>
          <t>Orlando City SC</t>
        </is>
      </c>
      <c r="AT305" s="24" t="inlineStr">
        <is>
          <t>Orlando City SC</t>
        </is>
      </c>
      <c r="AU305" s="24" t="inlineStr">
        <is>
          <t>Orlando City SC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3d16277c2cfc0628d7ec79d04feee92735e5c503a3be195cb225c7c52d024308</t>
        </is>
      </c>
      <c r="BB305" s="24" t="inlineStr">
        <is>
          <t>poisson_dixon_coles</t>
        </is>
      </c>
      <c r="BC305" s="24" t="inlineStr">
        <is>
          <t>soccer-poisson-dc-v1</t>
        </is>
      </c>
      <c r="BD305" s="24" t="inlineStr">
        <is>
          <t>3d16277c2cfc0628d7ec79d04feee92735e5c503a3be195cb225c7c52d024308</t>
        </is>
      </c>
      <c r="BE305" s="24" t="inlineStr">
        <is>
          <t>soccer-poisson-dc-v1</t>
        </is>
      </c>
      <c r="BF305" s="24" t="inlineStr">
        <is>
          <t>1</t>
        </is>
      </c>
      <c r="BG305" s="24" t="inlineStr">
        <is>
          <t>3d16277c2cfc0628d7ec79d04feee92735e5c503a3be195cb225c7c52d024308</t>
        </is>
      </c>
      <c r="BH305" s="24" t="inlineStr">
        <is>
          <t>2026-09-12T16:06:12.446879Z</t>
        </is>
      </c>
      <c r="BI305" s="24" t="inlineStr">
        <is>
          <t>["same_event","same_team_same_day","same_league_same_day"]</t>
        </is>
      </c>
      <c r="BJ305" s="25" t="n">
        <v>2.5</v>
      </c>
      <c r="BK305" s="26" t="n">
        <v>-223</v>
      </c>
      <c r="BL305" s="27" t="n">
        <v>1.44843</v>
      </c>
      <c r="BM305" s="28" t="n">
        <v>0.690402</v>
      </c>
      <c r="BN305" s="28" t="n"/>
      <c r="BO305" s="28" t="n"/>
      <c r="BP305" s="25" t="n"/>
      <c r="BQ305" s="27" t="n">
        <v>1.44843</v>
      </c>
      <c r="BR305" s="28" t="n">
        <v>0.6899999999999999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0.690402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6c24c7b60b8842d2</t>
        </is>
      </c>
      <c r="B306" s="24" t="inlineStr">
        <is>
          <t>2026-09-12T22:41:45.616998Z</t>
        </is>
      </c>
      <c r="C306" s="24" t="inlineStr">
        <is>
          <t>2026-09-13T00:30Z</t>
        </is>
      </c>
      <c r="D306" s="24" t="inlineStr">
        <is>
          <t>761805</t>
        </is>
      </c>
      <c r="E306" s="24" t="inlineStr">
        <is>
          <t>SOCCER</t>
        </is>
      </c>
      <c r="F306" s="24" t="inlineStr">
        <is>
          <t>Portland Timbers</t>
        </is>
      </c>
      <c r="G306" s="24" t="inlineStr">
        <is>
          <t>FC Dallas</t>
        </is>
      </c>
      <c r="H306" s="24" t="inlineStr">
        <is>
          <t>total</t>
        </is>
      </c>
      <c r="I306" s="24" t="inlineStr">
        <is>
          <t>over</t>
        </is>
      </c>
      <c r="J306" s="25" t="n">
        <v>2.5</v>
      </c>
      <c r="K306" s="24" t="inlineStr">
        <is>
          <t>polymarket_us</t>
        </is>
      </c>
      <c r="L306" s="26" t="n">
        <v>-245</v>
      </c>
      <c r="M306" s="27" t="n">
        <v>1.408163</v>
      </c>
      <c r="N306" s="28" t="n">
        <v>0.710145</v>
      </c>
      <c r="O306" s="28" t="n">
        <v>0.731409</v>
      </c>
      <c r="P306" s="28" t="n">
        <v>0.04</v>
      </c>
      <c r="Q306" s="28" t="n">
        <v>0.021264</v>
      </c>
      <c r="R306" s="26" t="n">
        <v>37</v>
      </c>
      <c r="S306" s="29" t="n">
        <v>1</v>
      </c>
      <c r="T306" s="24" t="inlineStr">
        <is>
          <t>soccer-poisson-dc-v1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2</v>
      </c>
      <c r="Y306" s="25" t="n"/>
      <c r="Z306" s="26" t="n">
        <v>-245</v>
      </c>
      <c r="AA306" s="28" t="n">
        <v>0.71</v>
      </c>
      <c r="AB306" s="28" t="n">
        <v>-0.000145</v>
      </c>
      <c r="AC306" s="30" t="n">
        <v>0.4082</v>
      </c>
      <c r="AD306" s="24" t="inlineStr">
        <is>
          <t>2026-09-13T04:31:44.075315Z</t>
        </is>
      </c>
      <c r="AE306" s="31" t="inlineStr">
        <is>
          <t>Poisson-DC rates 2.41 (home) / 1.39 (away) from EWMA attack/defense strengths. Executable ask 0.7100 (tsc-mls-dal-por-2026-09-12-2pt5).</t>
        </is>
      </c>
      <c r="AF306" s="31" t="inlineStr">
        <is>
          <t>Research-only soccer score model; draw-aware, but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Portland Timbers</t>
        </is>
      </c>
      <c r="AQ306" s="24" t="inlineStr">
        <is>
          <t>Portland Timbers</t>
        </is>
      </c>
      <c r="AR306" s="24" t="inlineStr">
        <is>
          <t>Portland Timbers</t>
        </is>
      </c>
      <c r="AS306" s="24" t="inlineStr">
        <is>
          <t>FC Dallas</t>
        </is>
      </c>
      <c r="AT306" s="24" t="inlineStr">
        <is>
          <t>FC Dallas</t>
        </is>
      </c>
      <c r="AU306" s="24" t="inlineStr">
        <is>
          <t>FC Dallas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3d16277c2cfc0628d7ec79d04feee92735e5c503a3be195cb225c7c52d024308</t>
        </is>
      </c>
      <c r="BB306" s="24" t="inlineStr">
        <is>
          <t>poisson_dixon_coles</t>
        </is>
      </c>
      <c r="BC306" s="24" t="inlineStr">
        <is>
          <t>soccer-poisson-dc-v1</t>
        </is>
      </c>
      <c r="BD306" s="24" t="inlineStr">
        <is>
          <t>3d16277c2cfc0628d7ec79d04feee92735e5c503a3be195cb225c7c52d024308</t>
        </is>
      </c>
      <c r="BE306" s="24" t="inlineStr">
        <is>
          <t>soccer-poisson-dc-v1</t>
        </is>
      </c>
      <c r="BF306" s="24" t="inlineStr">
        <is>
          <t>1</t>
        </is>
      </c>
      <c r="BG306" s="24" t="inlineStr">
        <is>
          <t>3d16277c2cfc0628d7ec79d04feee92735e5c503a3be195cb225c7c52d024308</t>
        </is>
      </c>
      <c r="BH306" s="24" t="inlineStr">
        <is>
          <t>2026-09-12T16:06:12.542743Z</t>
        </is>
      </c>
      <c r="BI306" s="24" t="inlineStr">
        <is>
          <t>["same_event","same_team_same_day","same_league_same_day"]</t>
        </is>
      </c>
      <c r="BJ306" s="25" t="n">
        <v>2.5</v>
      </c>
      <c r="BK306" s="26" t="n">
        <v>-245</v>
      </c>
      <c r="BL306" s="27" t="n">
        <v>1.408163</v>
      </c>
      <c r="BM306" s="28" t="n">
        <v>0.710145</v>
      </c>
      <c r="BN306" s="28" t="n"/>
      <c r="BO306" s="28" t="n"/>
      <c r="BP306" s="25" t="n"/>
      <c r="BQ306" s="27" t="n">
        <v>1.408163</v>
      </c>
      <c r="BR306" s="28" t="n">
        <v>0.71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0.408163</v>
      </c>
      <c r="BZ306" s="24" t="inlineStr">
        <is>
          <t>2026-09-13T04:31:44.075315Z</t>
        </is>
      </c>
      <c r="CA306" s="31" t="inlineStr">
        <is>
          <t>fixed one-unit hypothetical scoring; no real exposure or execution</t>
        </is>
      </c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0.710145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d50bebde539f4147</t>
        </is>
      </c>
      <c r="B307" s="24" t="inlineStr">
        <is>
          <t>2026-09-12T22:41:45.616998Z</t>
        </is>
      </c>
      <c r="C307" s="24" t="inlineStr">
        <is>
          <t>2026-09-13T00:30Z</t>
        </is>
      </c>
      <c r="D307" s="24" t="inlineStr">
        <is>
          <t>761807</t>
        </is>
      </c>
      <c r="E307" s="24" t="inlineStr">
        <is>
          <t>SOCCER</t>
        </is>
      </c>
      <c r="F307" s="24" t="inlineStr">
        <is>
          <t>Minnesota United FC</t>
        </is>
      </c>
      <c r="G307" s="24" t="inlineStr">
        <is>
          <t>St. Louis CITY SC</t>
        </is>
      </c>
      <c r="H307" s="24" t="inlineStr">
        <is>
          <t>total</t>
        </is>
      </c>
      <c r="I307" s="24" t="inlineStr">
        <is>
          <t>over</t>
        </is>
      </c>
      <c r="J307" s="25" t="n">
        <v>2.5</v>
      </c>
      <c r="K307" s="24" t="inlineStr">
        <is>
          <t>polymarket_us</t>
        </is>
      </c>
      <c r="L307" s="26" t="n">
        <v>-178</v>
      </c>
      <c r="M307" s="27" t="n">
        <v>1.561798</v>
      </c>
      <c r="N307" s="28" t="n">
        <v>0.640288</v>
      </c>
      <c r="O307" s="28" t="n">
        <v>0.521428</v>
      </c>
      <c r="P307" s="28" t="n">
        <v>0.04</v>
      </c>
      <c r="Q307" s="28" t="n">
        <v>-0.11886</v>
      </c>
      <c r="R307" s="26" t="n">
        <v>0</v>
      </c>
      <c r="S307" s="29" t="n">
        <v>1</v>
      </c>
      <c r="T307" s="24" t="inlineStr">
        <is>
          <t>soccer-poisson-dc-v1</t>
        </is>
      </c>
      <c r="U307" s="24" t="inlineStr">
        <is>
          <t>settled</t>
        </is>
      </c>
      <c r="V307" s="24" t="inlineStr">
        <is>
          <t>win</t>
        </is>
      </c>
      <c r="W307" s="26" t="n">
        <v>2</v>
      </c>
      <c r="X307" s="26" t="n">
        <v>4</v>
      </c>
      <c r="Y307" s="25" t="n"/>
      <c r="Z307" s="26" t="n">
        <v>-178</v>
      </c>
      <c r="AA307" s="28" t="n">
        <v>0.64</v>
      </c>
      <c r="AB307" s="28" t="n">
        <v>-0.000288</v>
      </c>
      <c r="AC307" s="30" t="n">
        <v>0.5618</v>
      </c>
      <c r="AD307" s="24" t="inlineStr">
        <is>
          <t>2026-09-13T04:31:45.302212Z</t>
        </is>
      </c>
      <c r="AE307" s="31" t="inlineStr">
        <is>
          <t>Poisson-DC rates 1.58 (home) / 1.18 (away) from EWMA attack/defense strengths. Executable ask 0.6400 (tsc-mls-stl-min-2026-09-12-2pt5).</t>
        </is>
      </c>
      <c r="AF307" s="31" t="inlineStr">
        <is>
          <t>Research-only soccer score model; draw-aware, but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Minnesota United FC</t>
        </is>
      </c>
      <c r="AQ307" s="24" t="inlineStr">
        <is>
          <t>Minnesota United FC</t>
        </is>
      </c>
      <c r="AR307" s="24" t="inlineStr">
        <is>
          <t>Minnesota United FC</t>
        </is>
      </c>
      <c r="AS307" s="24" t="inlineStr">
        <is>
          <t>St. Louis CITY SC</t>
        </is>
      </c>
      <c r="AT307" s="24" t="inlineStr">
        <is>
          <t>St. Louis CITY SC</t>
        </is>
      </c>
      <c r="AU307" s="24" t="inlineStr">
        <is>
          <t>St. Louis CITY SC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3d16277c2cfc0628d7ec79d04feee92735e5c503a3be195cb225c7c52d024308</t>
        </is>
      </c>
      <c r="BB307" s="24" t="inlineStr">
        <is>
          <t>poisson_dixon_coles</t>
        </is>
      </c>
      <c r="BC307" s="24" t="inlineStr">
        <is>
          <t>soccer-poisson-dc-v1</t>
        </is>
      </c>
      <c r="BD307" s="24" t="inlineStr">
        <is>
          <t>3d16277c2cfc0628d7ec79d04feee92735e5c503a3be195cb225c7c52d024308</t>
        </is>
      </c>
      <c r="BE307" s="24" t="inlineStr">
        <is>
          <t>soccer-poisson-dc-v1</t>
        </is>
      </c>
      <c r="BF307" s="24" t="inlineStr">
        <is>
          <t>1</t>
        </is>
      </c>
      <c r="BG307" s="24" t="inlineStr">
        <is>
          <t>3d16277c2cfc0628d7ec79d04feee92735e5c503a3be195cb225c7c52d024308</t>
        </is>
      </c>
      <c r="BH307" s="24" t="inlineStr">
        <is>
          <t>2026-09-12T16:06:13.287775Z</t>
        </is>
      </c>
      <c r="BI307" s="24" t="inlineStr">
        <is>
          <t>["same_event","same_team_same_day","same_league_same_day"]</t>
        </is>
      </c>
      <c r="BJ307" s="25" t="n">
        <v>2.5</v>
      </c>
      <c r="BK307" s="26" t="n">
        <v>-178</v>
      </c>
      <c r="BL307" s="27" t="n">
        <v>1.561798</v>
      </c>
      <c r="BM307" s="28" t="n">
        <v>0.640288</v>
      </c>
      <c r="BN307" s="28" t="n"/>
      <c r="BO307" s="28" t="n"/>
      <c r="BP307" s="25" t="n"/>
      <c r="BQ307" s="27" t="n">
        <v>1.561798</v>
      </c>
      <c r="BR307" s="28" t="n">
        <v>0.64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0.561797</v>
      </c>
      <c r="BZ307" s="24" t="inlineStr">
        <is>
          <t>2026-09-13T04:31:45.302212Z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False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0.640288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b3298488f5974043</t>
        </is>
      </c>
      <c r="B308" s="24" t="inlineStr">
        <is>
          <t>2026-09-12T22:41:45.616998Z</t>
        </is>
      </c>
      <c r="C308" s="24" t="inlineStr">
        <is>
          <t>2026-09-13T01:30Z</t>
        </is>
      </c>
      <c r="D308" s="24" t="inlineStr">
        <is>
          <t>761809</t>
        </is>
      </c>
      <c r="E308" s="24" t="inlineStr">
        <is>
          <t>SOCCER</t>
        </is>
      </c>
      <c r="F308" s="24" t="inlineStr">
        <is>
          <t>New York City FC</t>
        </is>
      </c>
      <c r="G308" s="24" t="inlineStr">
        <is>
          <t>Real Salt Lake</t>
        </is>
      </c>
      <c r="H308" s="24" t="inlineStr">
        <is>
          <t>total</t>
        </is>
      </c>
      <c r="I308" s="24" t="inlineStr">
        <is>
          <t>over</t>
        </is>
      </c>
      <c r="J308" s="25" t="n">
        <v>2.5</v>
      </c>
      <c r="K308" s="24" t="inlineStr">
        <is>
          <t>polymarket_us</t>
        </is>
      </c>
      <c r="L308" s="26" t="n">
        <v>-156</v>
      </c>
      <c r="M308" s="27" t="n">
        <v>1.641026</v>
      </c>
      <c r="N308" s="28" t="n">
        <v>0.609375</v>
      </c>
      <c r="O308" s="28" t="n">
        <v>0.550659</v>
      </c>
      <c r="P308" s="28" t="n">
        <v>0.04</v>
      </c>
      <c r="Q308" s="28" t="n">
        <v>-0.058716</v>
      </c>
      <c r="R308" s="26" t="n">
        <v>0</v>
      </c>
      <c r="S308" s="29" t="n">
        <v>1</v>
      </c>
      <c r="T308" s="24" t="inlineStr">
        <is>
          <t>soccer-poisson-dc-v1</t>
        </is>
      </c>
      <c r="U308" s="24" t="inlineStr">
        <is>
          <t>settled</t>
        </is>
      </c>
      <c r="V308" s="24" t="inlineStr">
        <is>
          <t>loss</t>
        </is>
      </c>
      <c r="W308" s="26" t="n">
        <v>2</v>
      </c>
      <c r="X308" s="26" t="n">
        <v>0</v>
      </c>
      <c r="Y308" s="25" t="n"/>
      <c r="Z308" s="26" t="n">
        <v>-156</v>
      </c>
      <c r="AA308" s="28" t="n">
        <v>0.61</v>
      </c>
      <c r="AB308" s="28" t="n">
        <v>0.000625</v>
      </c>
      <c r="AC308" s="30" t="n">
        <v>-1</v>
      </c>
      <c r="AD308" s="24" t="inlineStr">
        <is>
          <t>2026-09-13T04:31:46.527124Z</t>
        </is>
      </c>
      <c r="AE308" s="31" t="inlineStr">
        <is>
          <t>Poisson-DC rates 1.67 (home) / 1.21 (away) from EWMA attack/defense strengths. Executable ask 0.6100 (tsc-mls-rsl-nyc-2026-09-12-2pt5).</t>
        </is>
      </c>
      <c r="AF308" s="31" t="inlineStr">
        <is>
          <t>Research-only soccer score model; draw-aware, but not yet locked-holdout qualified.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New York City FC</t>
        </is>
      </c>
      <c r="AQ308" s="24" t="inlineStr">
        <is>
          <t>New York City FC</t>
        </is>
      </c>
      <c r="AR308" s="24" t="inlineStr">
        <is>
          <t>New York City FC</t>
        </is>
      </c>
      <c r="AS308" s="24" t="inlineStr">
        <is>
          <t>Real Salt Lake</t>
        </is>
      </c>
      <c r="AT308" s="24" t="inlineStr">
        <is>
          <t>Real Salt Lake</t>
        </is>
      </c>
      <c r="AU308" s="24" t="inlineStr">
        <is>
          <t>Real Salt Lake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3d16277c2cfc0628d7ec79d04feee92735e5c503a3be195cb225c7c52d024308</t>
        </is>
      </c>
      <c r="BB308" s="24" t="inlineStr">
        <is>
          <t>poisson_dixon_coles</t>
        </is>
      </c>
      <c r="BC308" s="24" t="inlineStr">
        <is>
          <t>soccer-poisson-dc-v1</t>
        </is>
      </c>
      <c r="BD308" s="24" t="inlineStr">
        <is>
          <t>3d16277c2cfc0628d7ec79d04feee92735e5c503a3be195cb225c7c52d024308</t>
        </is>
      </c>
      <c r="BE308" s="24" t="inlineStr">
        <is>
          <t>soccer-poisson-dc-v1</t>
        </is>
      </c>
      <c r="BF308" s="24" t="inlineStr">
        <is>
          <t>1</t>
        </is>
      </c>
      <c r="BG308" s="24" t="inlineStr">
        <is>
          <t>3d16277c2cfc0628d7ec79d04feee92735e5c503a3be195cb225c7c52d024308</t>
        </is>
      </c>
      <c r="BH308" s="24" t="inlineStr">
        <is>
          <t>2026-09-12T16:06:13.424023Z</t>
        </is>
      </c>
      <c r="BI308" s="24" t="inlineStr">
        <is>
          <t>["same_event","same_team_same_day","same_league_same_day"]</t>
        </is>
      </c>
      <c r="BJ308" s="25" t="n">
        <v>2.5</v>
      </c>
      <c r="BK308" s="26" t="n">
        <v>-156</v>
      </c>
      <c r="BL308" s="27" t="n">
        <v>1.641026</v>
      </c>
      <c r="BM308" s="28" t="n">
        <v>0.609375</v>
      </c>
      <c r="BN308" s="28" t="n"/>
      <c r="BO308" s="28" t="n"/>
      <c r="BP308" s="25" t="n"/>
      <c r="BQ308" s="27" t="n">
        <v>1.641026</v>
      </c>
      <c r="BR308" s="28" t="n">
        <v>0.61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-1</v>
      </c>
      <c r="BZ308" s="24" t="inlineStr">
        <is>
          <t>2026-09-13T04:31:46.527124Z</t>
        </is>
      </c>
      <c r="CA308" s="31" t="inlineStr">
        <is>
          <t>fixed one-unit hypothetical scoring; no real exposure or execution</t>
        </is>
      </c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0.609375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8c450c96656e4d05</t>
        </is>
      </c>
      <c r="B309" s="24" t="inlineStr">
        <is>
          <t>2026-09-12T22:41:45.616998Z</t>
        </is>
      </c>
      <c r="C309" s="24" t="inlineStr">
        <is>
          <t>2026-09-13T02:30Z</t>
        </is>
      </c>
      <c r="D309" s="24" t="inlineStr">
        <is>
          <t>761811</t>
        </is>
      </c>
      <c r="E309" s="24" t="inlineStr">
        <is>
          <t>SOCCER</t>
        </is>
      </c>
      <c r="F309" s="24" t="inlineStr">
        <is>
          <t>Seattle Sounders FC</t>
        </is>
      </c>
      <c r="G309" s="24" t="inlineStr">
        <is>
          <t>LA Galaxy</t>
        </is>
      </c>
      <c r="H309" s="24" t="inlineStr">
        <is>
          <t>total</t>
        </is>
      </c>
      <c r="I309" s="24" t="inlineStr">
        <is>
          <t>over</t>
        </is>
      </c>
      <c r="J309" s="25" t="n">
        <v>2.5</v>
      </c>
      <c r="K309" s="24" t="inlineStr">
        <is>
          <t>polymarket_us</t>
        </is>
      </c>
      <c r="L309" s="26" t="n">
        <v>-186</v>
      </c>
      <c r="M309" s="27" t="n">
        <v>1.537634</v>
      </c>
      <c r="N309" s="28" t="n">
        <v>0.65035</v>
      </c>
      <c r="O309" s="28" t="n">
        <v>0.550041</v>
      </c>
      <c r="P309" s="28" t="n">
        <v>0.04</v>
      </c>
      <c r="Q309" s="28" t="n">
        <v>-0.100309</v>
      </c>
      <c r="R309" s="26" t="n">
        <v>0</v>
      </c>
      <c r="S309" s="29" t="n">
        <v>1</v>
      </c>
      <c r="T309" s="24" t="inlineStr">
        <is>
          <t>soccer-poisson-dc-v1</t>
        </is>
      </c>
      <c r="U309" s="24" t="inlineStr">
        <is>
          <t>settled</t>
        </is>
      </c>
      <c r="V309" s="24" t="inlineStr">
        <is>
          <t>loss</t>
        </is>
      </c>
      <c r="W309" s="26" t="n">
        <v>1</v>
      </c>
      <c r="X309" s="26" t="n">
        <v>1</v>
      </c>
      <c r="Y309" s="25" t="n"/>
      <c r="Z309" s="26" t="n">
        <v>-186</v>
      </c>
      <c r="AA309" s="28" t="n">
        <v>0.65</v>
      </c>
      <c r="AB309" s="28" t="n">
        <v>-0.00035</v>
      </c>
      <c r="AC309" s="30" t="n">
        <v>-1</v>
      </c>
      <c r="AD309" s="24" t="inlineStr">
        <is>
          <t>2026-09-13T10:00:14.417452Z</t>
        </is>
      </c>
      <c r="AE309" s="31" t="inlineStr">
        <is>
          <t>Poisson-DC rates 1.53 (home) / 1.35 (away) from EWMA attack/defense strengths. Executable ask 0.6500 (tsc-mls-lag-sea-2026-09-12-2pt5).</t>
        </is>
      </c>
      <c r="AF309" s="31" t="inlineStr">
        <is>
          <t>Research-only soccer score model; draw-aware, but not yet locked-holdout qualified.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Seattle Sounders FC</t>
        </is>
      </c>
      <c r="AQ309" s="24" t="inlineStr">
        <is>
          <t>Seattle Sounders FC</t>
        </is>
      </c>
      <c r="AR309" s="24" t="inlineStr">
        <is>
          <t>Seattle Sounders FC</t>
        </is>
      </c>
      <c r="AS309" s="24" t="inlineStr">
        <is>
          <t>LA Galaxy</t>
        </is>
      </c>
      <c r="AT309" s="24" t="inlineStr">
        <is>
          <t>LA Galaxy</t>
        </is>
      </c>
      <c r="AU309" s="24" t="inlineStr">
        <is>
          <t>LA Galaxy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3d16277c2cfc0628d7ec79d04feee92735e5c503a3be195cb225c7c52d024308</t>
        </is>
      </c>
      <c r="BB309" s="24" t="inlineStr">
        <is>
          <t>poisson_dixon_coles</t>
        </is>
      </c>
      <c r="BC309" s="24" t="inlineStr">
        <is>
          <t>soccer-poisson-dc-v1</t>
        </is>
      </c>
      <c r="BD309" s="24" t="inlineStr">
        <is>
          <t>3d16277c2cfc0628d7ec79d04feee92735e5c503a3be195cb225c7c52d024308</t>
        </is>
      </c>
      <c r="BE309" s="24" t="inlineStr">
        <is>
          <t>soccer-poisson-dc-v1</t>
        </is>
      </c>
      <c r="BF309" s="24" t="inlineStr">
        <is>
          <t>1</t>
        </is>
      </c>
      <c r="BG309" s="24" t="inlineStr">
        <is>
          <t>3d16277c2cfc0628d7ec79d04feee92735e5c503a3be195cb225c7c52d024308</t>
        </is>
      </c>
      <c r="BH309" s="24" t="inlineStr">
        <is>
          <t>2026-09-12T16:06:13.527387Z</t>
        </is>
      </c>
      <c r="BI309" s="24" t="inlineStr">
        <is>
          <t>["same_event","same_team_same_day","same_league_same_day"]</t>
        </is>
      </c>
      <c r="BJ309" s="25" t="n">
        <v>2.5</v>
      </c>
      <c r="BK309" s="26" t="n">
        <v>-186</v>
      </c>
      <c r="BL309" s="27" t="n">
        <v>1.537634</v>
      </c>
      <c r="BM309" s="28" t="n">
        <v>0.65035</v>
      </c>
      <c r="BN309" s="28" t="n"/>
      <c r="BO309" s="28" t="n"/>
      <c r="BP309" s="25" t="n"/>
      <c r="BQ309" s="27" t="n">
        <v>1.537634</v>
      </c>
      <c r="BR309" s="28" t="n">
        <v>0.65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-1</v>
      </c>
      <c r="BZ309" s="24" t="inlineStr">
        <is>
          <t>2026-09-13T10:00:14.417452Z</t>
        </is>
      </c>
      <c r="CA309" s="31" t="inlineStr">
        <is>
          <t>fixed one-unit hypothetical scoring; no real exposure or execution</t>
        </is>
      </c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0.65035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7c76868a0a5942bd</t>
        </is>
      </c>
      <c r="B310" s="24" t="inlineStr">
        <is>
          <t>2026-09-12T22:41:45.616998Z</t>
        </is>
      </c>
      <c r="C310" s="24" t="inlineStr">
        <is>
          <t>2026-09-13T02:30Z</t>
        </is>
      </c>
      <c r="D310" s="24" t="inlineStr">
        <is>
          <t>761810</t>
        </is>
      </c>
      <c r="E310" s="24" t="inlineStr">
        <is>
          <t>SOCCER</t>
        </is>
      </c>
      <c r="F310" s="24" t="inlineStr">
        <is>
          <t>Houston Dynamo FC</t>
        </is>
      </c>
      <c r="G310" s="24" t="inlineStr">
        <is>
          <t>San Jose Earthquakes</t>
        </is>
      </c>
      <c r="H310" s="24" t="inlineStr">
        <is>
          <t>total</t>
        </is>
      </c>
      <c r="I310" s="24" t="inlineStr">
        <is>
          <t>over</t>
        </is>
      </c>
      <c r="J310" s="25" t="n">
        <v>2.5</v>
      </c>
      <c r="K310" s="24" t="inlineStr">
        <is>
          <t>polymarket_us</t>
        </is>
      </c>
      <c r="L310" s="26" t="n">
        <v>-144</v>
      </c>
      <c r="M310" s="27" t="n">
        <v>1.694444</v>
      </c>
      <c r="N310" s="28" t="n">
        <v>0.590164</v>
      </c>
      <c r="O310" s="28" t="n">
        <v>0.662552</v>
      </c>
      <c r="P310" s="28" t="n">
        <v>0.04</v>
      </c>
      <c r="Q310" s="28" t="n">
        <v>0.07238799999999999</v>
      </c>
      <c r="R310" s="26" t="n">
        <v>62</v>
      </c>
      <c r="S310" s="29" t="n">
        <v>1.25</v>
      </c>
      <c r="T310" s="24" t="inlineStr">
        <is>
          <t>soccer-poisson-dc-v1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>
        <v>-144</v>
      </c>
      <c r="AA310" s="28" t="n">
        <v>0.59</v>
      </c>
      <c r="AB310" s="28" t="n">
        <v>-0.000164</v>
      </c>
      <c r="AC310" s="30" t="n">
        <v>-1.25</v>
      </c>
      <c r="AD310" s="24" t="inlineStr">
        <is>
          <t>2026-09-13T10:00:15.709674Z</t>
        </is>
      </c>
      <c r="AE310" s="31" t="inlineStr">
        <is>
          <t>Poisson-DC rates 2.31 (home) / 1.10 (away) from EWMA attack/defense strengths. Executable ask 0.5900 (tsc-mls-sje-hou-2026-09-12-2pt5).</t>
        </is>
      </c>
      <c r="AF310" s="31" t="inlineStr">
        <is>
          <t>Research-only soccer score model; draw-aware, but not yet locked-holdout qualified.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Houston Dynamo FC</t>
        </is>
      </c>
      <c r="AQ310" s="24" t="inlineStr">
        <is>
          <t>Houston Dynamo FC</t>
        </is>
      </c>
      <c r="AR310" s="24" t="inlineStr">
        <is>
          <t>Houston Dynamo FC</t>
        </is>
      </c>
      <c r="AS310" s="24" t="inlineStr">
        <is>
          <t>San Jose Earthquakes</t>
        </is>
      </c>
      <c r="AT310" s="24" t="inlineStr">
        <is>
          <t>San Jose Earthquakes</t>
        </is>
      </c>
      <c r="AU310" s="24" t="inlineStr">
        <is>
          <t>San Jose Earthquakes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3d16277c2cfc0628d7ec79d04feee92735e5c503a3be195cb225c7c52d024308</t>
        </is>
      </c>
      <c r="BB310" s="24" t="inlineStr">
        <is>
          <t>poisson_dixon_coles</t>
        </is>
      </c>
      <c r="BC310" s="24" t="inlineStr">
        <is>
          <t>soccer-poisson-dc-v1</t>
        </is>
      </c>
      <c r="BD310" s="24" t="inlineStr">
        <is>
          <t>3d16277c2cfc0628d7ec79d04feee92735e5c503a3be195cb225c7c52d024308</t>
        </is>
      </c>
      <c r="BE310" s="24" t="inlineStr">
        <is>
          <t>soccer-poisson-dc-v1</t>
        </is>
      </c>
      <c r="BF310" s="24" t="inlineStr">
        <is>
          <t>1</t>
        </is>
      </c>
      <c r="BG310" s="24" t="inlineStr">
        <is>
          <t>3d16277c2cfc0628d7ec79d04feee92735e5c503a3be195cb225c7c52d024308</t>
        </is>
      </c>
      <c r="BH310" s="24" t="inlineStr">
        <is>
          <t>2026-09-12T16:06:13.716051Z</t>
        </is>
      </c>
      <c r="BI310" s="24" t="inlineStr">
        <is>
          <t>["same_event","same_team_same_day","same_league_same_day"]</t>
        </is>
      </c>
      <c r="BJ310" s="25" t="n">
        <v>2.5</v>
      </c>
      <c r="BK310" s="26" t="n">
        <v>-144</v>
      </c>
      <c r="BL310" s="27" t="n">
        <v>1.694444</v>
      </c>
      <c r="BM310" s="28" t="n">
        <v>0.590164</v>
      </c>
      <c r="BN310" s="28" t="n"/>
      <c r="BO310" s="28" t="n"/>
      <c r="BP310" s="25" t="n"/>
      <c r="BQ310" s="27" t="n">
        <v>1.694444</v>
      </c>
      <c r="BR310" s="28" t="n">
        <v>0.59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2026-09-13T10:00:15.709674Z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0.590164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f0e81f6973b8483c</t>
        </is>
      </c>
      <c r="B311" s="24" t="inlineStr">
        <is>
          <t>2026-09-12T22:41:45.616998Z</t>
        </is>
      </c>
      <c r="C311" s="24" t="inlineStr">
        <is>
          <t>2026-09-12T23:30Z</t>
        </is>
      </c>
      <c r="D311" s="24" t="inlineStr">
        <is>
          <t>761803</t>
        </is>
      </c>
      <c r="E311" s="24" t="inlineStr">
        <is>
          <t>SOCCER</t>
        </is>
      </c>
      <c r="F311" s="24" t="inlineStr">
        <is>
          <t>Atlanta United FC</t>
        </is>
      </c>
      <c r="G311" s="24" t="inlineStr">
        <is>
          <t>D.C. United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127</v>
      </c>
      <c r="M311" s="27" t="n">
        <v>2.27</v>
      </c>
      <c r="N311" s="28" t="n">
        <v>0.440529</v>
      </c>
      <c r="O311" s="28" t="n">
        <v>0.507068</v>
      </c>
      <c r="P311" s="28" t="n">
        <v>0.04</v>
      </c>
      <c r="Q311" s="28" t="n">
        <v>0.066539</v>
      </c>
      <c r="R311" s="26" t="n">
        <v>59</v>
      </c>
      <c r="S311" s="29" t="n">
        <v>1.25</v>
      </c>
      <c r="T311" s="24" t="inlineStr">
        <is>
          <t>soccer-poisson-dc-v1</t>
        </is>
      </c>
      <c r="U311" s="24" t="inlineStr">
        <is>
          <t>settled</t>
        </is>
      </c>
      <c r="V311" s="24" t="inlineStr">
        <is>
          <t>loss</t>
        </is>
      </c>
      <c r="W311" s="26" t="n">
        <v>0</v>
      </c>
      <c r="X311" s="26" t="n">
        <v>0</v>
      </c>
      <c r="Y311" s="25" t="n"/>
      <c r="Z311" s="26" t="n">
        <v>127</v>
      </c>
      <c r="AA311" s="28" t="n">
        <v>0.44</v>
      </c>
      <c r="AB311" s="28" t="n">
        <v>-0.000529</v>
      </c>
      <c r="AC311" s="30" t="n">
        <v>-1.25</v>
      </c>
      <c r="AD311" s="24" t="inlineStr">
        <is>
          <t>2026-09-13T04:31:47.748215Z</t>
        </is>
      </c>
      <c r="AE311" s="31" t="inlineStr">
        <is>
          <t>Poisson-DC rates 1.68 (home) / 1.06 (away) from EWMA attack/defense strengths. Executable ask 0.4400 (atc-mls-dcu-atl-2026-09-12-dcu).</t>
        </is>
      </c>
      <c r="AF311" s="31" t="inlineStr">
        <is>
          <t>Research-only soccer score model; draw-aware, but not yet locked-holdout qualified.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Atlanta United FC</t>
        </is>
      </c>
      <c r="AQ311" s="24" t="inlineStr">
        <is>
          <t>Atlanta United FC</t>
        </is>
      </c>
      <c r="AR311" s="24" t="inlineStr">
        <is>
          <t>Atlanta United FC</t>
        </is>
      </c>
      <c r="AS311" s="24" t="inlineStr">
        <is>
          <t>D.C. United</t>
        </is>
      </c>
      <c r="AT311" s="24" t="inlineStr">
        <is>
          <t>D.C. United</t>
        </is>
      </c>
      <c r="AU311" s="24" t="inlineStr">
        <is>
          <t>D.C. United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3d16277c2cfc0628d7ec79d04feee92735e5c503a3be195cb225c7c52d024308</t>
        </is>
      </c>
      <c r="BB311" s="24" t="inlineStr">
        <is>
          <t>poisson_dixon_coles</t>
        </is>
      </c>
      <c r="BC311" s="24" t="inlineStr">
        <is>
          <t>soccer-poisson-dc-v1</t>
        </is>
      </c>
      <c r="BD311" s="24" t="inlineStr">
        <is>
          <t>3d16277c2cfc0628d7ec79d04feee92735e5c503a3be195cb225c7c52d024308</t>
        </is>
      </c>
      <c r="BE311" s="24" t="inlineStr">
        <is>
          <t>soccer-poisson-dc-v1</t>
        </is>
      </c>
      <c r="BF311" s="24" t="inlineStr">
        <is>
          <t>1</t>
        </is>
      </c>
      <c r="BG311" s="24" t="inlineStr">
        <is>
          <t>3d16277c2cfc0628d7ec79d04feee92735e5c503a3be195cb225c7c52d024308</t>
        </is>
      </c>
      <c r="BH311" s="24" t="inlineStr">
        <is>
          <t>2026-09-12T16:06:12.014269Z</t>
        </is>
      </c>
      <c r="BI311" s="24" t="inlineStr">
        <is>
          <t>["same_event","same_team_same_day","same_league_same_day"]</t>
        </is>
      </c>
      <c r="BJ311" s="25" t="n"/>
      <c r="BK311" s="26" t="n">
        <v>127</v>
      </c>
      <c r="BL311" s="27" t="n">
        <v>2.27</v>
      </c>
      <c r="BM311" s="28" t="n">
        <v>0.440529</v>
      </c>
      <c r="BN311" s="28" t="n"/>
      <c r="BO311" s="28" t="n"/>
      <c r="BP311" s="25" t="n"/>
      <c r="BQ311" s="27" t="n">
        <v>2.27</v>
      </c>
      <c r="BR311" s="28" t="n">
        <v>0.44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-1</v>
      </c>
      <c r="BZ311" s="24" t="inlineStr">
        <is>
          <t>2026-09-13T04:31:47.748215Z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0.440529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"3d16277c2cfc0628d7ec79d04feee92735e5c503a3be195cb225c7c52d024308", "away_team": "Atlanta United FC", "event_id": "761803", "event_start_utc": "2026-09-12T23:30Z", "features": {"away_goal_rate": 1.0599, "history_games": 9181, "home_goal_rate": 1.6795, "league_goals_per_team": 1.5536, "min_team_games": 83.0}, "historical_source_observation_times_verified": false, "home_team": "D.C. United", "inference_inputs": {"away_rate": 1.0599312973609378, "code_sha256": {"models/soccer.py": "3d16277c2cfc0628d7ec79d04feee92735e5c503a3be195cb225c7c52d024308"}, "home_rate": 1.679490148885852, "sport": "SOCCER"}, "market_type": "moneyline", "model_version": "soccer-poisson-dc-v1", "observed_at_utc": "2026-09-12T22:41:44.815507+00:00", "probabilities": {"away": 0.227792, "draw": 0.26514, "home": 0.507068}, "replay_scope": "Exact full-precision serving state and rounding; upstream historical observation times are not certified.", "schema": "coded-moneyline-replay-v1", "snapshot_hash": "cfff2131891b5b13c4a796cd8753e97a76104e443be2d14412c09b962dc3be4c", "sport": "SOCCER"}</t>
        </is>
      </c>
    </row>
    <row r="312" ht="36" customHeight="1">
      <c r="A312" s="24" t="inlineStr">
        <is>
          <t>81655f713f8c4627</t>
        </is>
      </c>
      <c r="B312" s="24" t="inlineStr">
        <is>
          <t>2026-09-12T22:41:45.616998Z</t>
        </is>
      </c>
      <c r="C312" s="24" t="inlineStr">
        <is>
          <t>2026-09-12T23:30Z</t>
        </is>
      </c>
      <c r="D312" s="24" t="inlineStr">
        <is>
          <t>761802</t>
        </is>
      </c>
      <c r="E312" s="24" t="inlineStr">
        <is>
          <t>SOCCER</t>
        </is>
      </c>
      <c r="F312" s="24" t="inlineStr">
        <is>
          <t>Charlotte FC</t>
        </is>
      </c>
      <c r="G312" s="24" t="inlineStr">
        <is>
          <t>FC Cincinnati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113</v>
      </c>
      <c r="M312" s="27" t="n">
        <v>2.13</v>
      </c>
      <c r="N312" s="28" t="n">
        <v>0.469484</v>
      </c>
      <c r="O312" s="28" t="n">
        <v>0.495896</v>
      </c>
      <c r="P312" s="28" t="n">
        <v>0.04</v>
      </c>
      <c r="Q312" s="28" t="n">
        <v>0.026412</v>
      </c>
      <c r="R312" s="26" t="n">
        <v>39</v>
      </c>
      <c r="S312" s="29" t="n">
        <v>1</v>
      </c>
      <c r="T312" s="24" t="inlineStr">
        <is>
          <t>soccer-poisson-dc-v1</t>
        </is>
      </c>
      <c r="U312" s="24" t="inlineStr">
        <is>
          <t>settled</t>
        </is>
      </c>
      <c r="V312" s="24" t="inlineStr">
        <is>
          <t>loss</t>
        </is>
      </c>
      <c r="W312" s="26" t="n">
        <v>3</v>
      </c>
      <c r="X312" s="26" t="n">
        <v>3</v>
      </c>
      <c r="Y312" s="25" t="n"/>
      <c r="Z312" s="26" t="n">
        <v>113</v>
      </c>
      <c r="AA312" s="28" t="n">
        <v>0.47</v>
      </c>
      <c r="AB312" s="28" t="n">
        <v>0.000516</v>
      </c>
      <c r="AC312" s="30" t="n">
        <v>-1</v>
      </c>
      <c r="AD312" s="24" t="inlineStr">
        <is>
          <t>2026-09-13T04:31:49.029284Z</t>
        </is>
      </c>
      <c r="AE312" s="31" t="inlineStr">
        <is>
          <t>Poisson-DC rates 2.28 (home) / 1.74 (away) from EWMA attack/defense strengths. Executable ask 0.4700 (atc-mls-fcc-clt-2026-09-12-fcc).</t>
        </is>
      </c>
      <c r="AF312" s="31" t="inlineStr">
        <is>
          <t>Research-only soccer score model; draw-aware, but not yet locked-holdout qualified.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Charlotte FC</t>
        </is>
      </c>
      <c r="AQ312" s="24" t="inlineStr">
        <is>
          <t>Charlotte FC</t>
        </is>
      </c>
      <c r="AR312" s="24" t="inlineStr">
        <is>
          <t>Charlotte FC</t>
        </is>
      </c>
      <c r="AS312" s="24" t="inlineStr">
        <is>
          <t>FC Cincinnati</t>
        </is>
      </c>
      <c r="AT312" s="24" t="inlineStr">
        <is>
          <t>FC Cincinnati</t>
        </is>
      </c>
      <c r="AU312" s="24" t="inlineStr">
        <is>
          <t>FC Cincinnati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3d16277c2cfc0628d7ec79d04feee92735e5c503a3be195cb225c7c52d024308</t>
        </is>
      </c>
      <c r="BB312" s="24" t="inlineStr">
        <is>
          <t>poisson_dixon_coles</t>
        </is>
      </c>
      <c r="BC312" s="24" t="inlineStr">
        <is>
          <t>soccer-poisson-dc-v1</t>
        </is>
      </c>
      <c r="BD312" s="24" t="inlineStr">
        <is>
          <t>3d16277c2cfc0628d7ec79d04feee92735e5c503a3be195cb225c7c52d024308</t>
        </is>
      </c>
      <c r="BE312" s="24" t="inlineStr">
        <is>
          <t>soccer-poisson-dc-v1</t>
        </is>
      </c>
      <c r="BF312" s="24" t="inlineStr">
        <is>
          <t>1</t>
        </is>
      </c>
      <c r="BG312" s="24" t="inlineStr">
        <is>
          <t>3d16277c2cfc0628d7ec79d04feee92735e5c503a3be195cb225c7c52d024308</t>
        </is>
      </c>
      <c r="BH312" s="24" t="inlineStr">
        <is>
          <t>2026-09-12T16:06:12.150595Z</t>
        </is>
      </c>
      <c r="BI312" s="24" t="inlineStr">
        <is>
          <t>["same_event","same_team_same_day","same_league_same_day"]</t>
        </is>
      </c>
      <c r="BJ312" s="25" t="n"/>
      <c r="BK312" s="26" t="n">
        <v>113</v>
      </c>
      <c r="BL312" s="27" t="n">
        <v>2.13</v>
      </c>
      <c r="BM312" s="28" t="n">
        <v>0.469484</v>
      </c>
      <c r="BN312" s="28" t="n"/>
      <c r="BO312" s="28" t="n"/>
      <c r="BP312" s="25" t="n"/>
      <c r="BQ312" s="27" t="n">
        <v>2.13</v>
      </c>
      <c r="BR312" s="28" t="n">
        <v>0.47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-1</v>
      </c>
      <c r="BZ312" s="24" t="inlineStr">
        <is>
          <t>2026-09-13T04:31:49.029284Z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0.469484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"3d16277c2cfc0628d7ec79d04feee92735e5c503a3be195cb225c7c52d024308", "away_team": "Charlotte FC", "event_id": "761802", "event_start_utc": "2026-09-12T23:30Z", "features": {"away_goal_rate": 1.7414, "history_games": 9181, "home_goal_rate": 2.2819, "league_goals_per_team": 1.5536, "min_team_games": 89.0}, "historical_source_observation_times_verified": false, "home_team": "FC Cincinnati", "inference_inputs": {"away_rate": 1.7414312861755674, "code_sha256": {"models/soccer.py": "3d16277c2cfc0628d7ec79d04feee92735e5c503a3be195cb225c7c52d024308"}, "home_rate": 2.281860695577067, "sport": "SOCCER"}, "market_type": "moneyline", "model_version": "soccer-poisson-dc-v1", "observed_at_utc": "2026-09-12T22:41:44.815507+00:00", "probabilities": {"away": 0.289926, "draw": 0.214177, "home": 0.495896}, "replay_scope": "Exact full-precision serving state and rounding; upstream historical observation times are not certified.", "schema": "coded-moneyline-replay-v1", "snapshot_hash": "30826ac83237a4681f6591abd67930a7cf0e3fa89634dae0f7afe795ccdc1ca7", "sport": "SOCCER"}</t>
        </is>
      </c>
    </row>
    <row r="313" ht="36" customHeight="1">
      <c r="A313" s="24" t="inlineStr">
        <is>
          <t>f17989c7088a4ac2</t>
        </is>
      </c>
      <c r="B313" s="24" t="inlineStr">
        <is>
          <t>2026-09-12T22:41:45.616998Z</t>
        </is>
      </c>
      <c r="C313" s="24" t="inlineStr">
        <is>
          <t>2026-09-12T23:30Z</t>
        </is>
      </c>
      <c r="D313" s="24" t="inlineStr">
        <is>
          <t>761800</t>
        </is>
      </c>
      <c r="E313" s="24" t="inlineStr">
        <is>
          <t>SOCCER</t>
        </is>
      </c>
      <c r="F313" s="24" t="inlineStr">
        <is>
          <t>Nashville SC</t>
        </is>
      </c>
      <c r="G313" s="24" t="inlineStr">
        <is>
          <t>Inter Miami CF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113</v>
      </c>
      <c r="M313" s="27" t="n">
        <v>2.13</v>
      </c>
      <c r="N313" s="28" t="n">
        <v>0.469484</v>
      </c>
      <c r="O313" s="28" t="n">
        <v>0.508525</v>
      </c>
      <c r="P313" s="28" t="n">
        <v>0.04</v>
      </c>
      <c r="Q313" s="28" t="n">
        <v>0.039041</v>
      </c>
      <c r="R313" s="26" t="n">
        <v>46</v>
      </c>
      <c r="S313" s="29" t="n">
        <v>1</v>
      </c>
      <c r="T313" s="24" t="inlineStr">
        <is>
          <t>soccer-poisson-dc-v1</t>
        </is>
      </c>
      <c r="U313" s="24" t="inlineStr">
        <is>
          <t>settled</t>
        </is>
      </c>
      <c r="V313" s="24" t="inlineStr">
        <is>
          <t>loss</t>
        </is>
      </c>
      <c r="W313" s="26" t="n">
        <v>2</v>
      </c>
      <c r="X313" s="26" t="n">
        <v>2</v>
      </c>
      <c r="Y313" s="25" t="n"/>
      <c r="Z313" s="26" t="n">
        <v>113</v>
      </c>
      <c r="AA313" s="28" t="n">
        <v>0.47</v>
      </c>
      <c r="AB313" s="28" t="n">
        <v>0.000516</v>
      </c>
      <c r="AC313" s="30" t="n">
        <v>-1</v>
      </c>
      <c r="AD313" s="24" t="inlineStr">
        <is>
          <t>2026-09-13T04:31:50.256347Z</t>
        </is>
      </c>
      <c r="AE313" s="31" t="inlineStr">
        <is>
          <t>Poisson-DC rates 2.40 (home) / 1.80 (away) from EWMA attack/defense strengths. Executable ask 0.4700 (atc-mls-mia-nas-2026-09-12-mia).</t>
        </is>
      </c>
      <c r="AF313" s="31" t="inlineStr">
        <is>
          <t>Research-only soccer score model; draw-aware, but not yet locked-holdout qualified.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Nashville SC</t>
        </is>
      </c>
      <c r="AQ313" s="24" t="inlineStr">
        <is>
          <t>Nashville SC</t>
        </is>
      </c>
      <c r="AR313" s="24" t="inlineStr">
        <is>
          <t>Nashville SC</t>
        </is>
      </c>
      <c r="AS313" s="24" t="inlineStr">
        <is>
          <t>Inter Miami CF</t>
        </is>
      </c>
      <c r="AT313" s="24" t="inlineStr">
        <is>
          <t>Inter Miami CF</t>
        </is>
      </c>
      <c r="AU313" s="24" t="inlineStr">
        <is>
          <t>Inter Miami CF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3d16277c2cfc0628d7ec79d04feee92735e5c503a3be195cb225c7c52d024308</t>
        </is>
      </c>
      <c r="BB313" s="24" t="inlineStr">
        <is>
          <t>poisson_dixon_coles</t>
        </is>
      </c>
      <c r="BC313" s="24" t="inlineStr">
        <is>
          <t>soccer-poisson-dc-v1</t>
        </is>
      </c>
      <c r="BD313" s="24" t="inlineStr">
        <is>
          <t>3d16277c2cfc0628d7ec79d04feee92735e5c503a3be195cb225c7c52d024308</t>
        </is>
      </c>
      <c r="BE313" s="24" t="inlineStr">
        <is>
          <t>soccer-poisson-dc-v1</t>
        </is>
      </c>
      <c r="BF313" s="24" t="inlineStr">
        <is>
          <t>1</t>
        </is>
      </c>
      <c r="BG313" s="24" t="inlineStr">
        <is>
          <t>3d16277c2cfc0628d7ec79d04feee92735e5c503a3be195cb225c7c52d024308</t>
        </is>
      </c>
      <c r="BH313" s="24" t="inlineStr">
        <is>
          <t>2026-09-12T16:06:12.237664Z</t>
        </is>
      </c>
      <c r="BI313" s="24" t="inlineStr">
        <is>
          <t>["same_event","same_team_same_day","same_league_same_day"]</t>
        </is>
      </c>
      <c r="BJ313" s="25" t="n"/>
      <c r="BK313" s="26" t="n">
        <v>113</v>
      </c>
      <c r="BL313" s="27" t="n">
        <v>2.13</v>
      </c>
      <c r="BM313" s="28" t="n">
        <v>0.469484</v>
      </c>
      <c r="BN313" s="28" t="n"/>
      <c r="BO313" s="28" t="n"/>
      <c r="BP313" s="25" t="n"/>
      <c r="BQ313" s="27" t="n">
        <v>2.13</v>
      </c>
      <c r="BR313" s="28" t="n">
        <v>0.47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-1</v>
      </c>
      <c r="BZ313" s="24" t="inlineStr">
        <is>
          <t>2026-09-13T04:31:50.256347Z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0.469484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"3d16277c2cfc0628d7ec79d04feee92735e5c503a3be195cb225c7c52d024308", "away_team": "Nashville SC", "event_id": "761800", "event_start_utc": "2026-09-12T23:30Z", "features": {"away_goal_rate": 1.8018, "history_games": 9181, "home_goal_rate": 2.4029, "league_goals_per_team": 1.5536, "min_team_games": 86.0}, "historical_source_observation_times_verified": false, "home_team": "Inter Miami CF", "inference_inputs": {"away_rate": 1.8018161920095082, "code_sha256": {"models/soccer.py": "3d16277c2cfc0628d7ec79d04feee92735e5c503a3be195cb225c7c52d024308"}, "home_rate": 2.4028671787250384, "sport": "SOCCER"}, "market_type": "moneyline", "model_version": "soccer-poisson-dc-v1", "observed_at_utc": "2026-09-12T22:41:44.815507+00:00", "probabilities": {"away": 0.284516, "draw": 0.20696, "home": 0.508525}, "replay_scope": "Exact full-precision serving state and rounding; upstream historical observation times are not certified.", "schema": "coded-moneyline-replay-v1", "snapshot_hash": "7fdb55cab25b526f67b9898afbfb2089bce8ff42d7d74578c72c56e3ab80ea41", "sport": "SOCCER"}</t>
        </is>
      </c>
    </row>
    <row r="314" ht="36" customHeight="1">
      <c r="A314" s="24" t="inlineStr">
        <is>
          <t>99f7fdbf5c494939</t>
        </is>
      </c>
      <c r="B314" s="24" t="inlineStr">
        <is>
          <t>2026-09-12T22:41:45.616998Z</t>
        </is>
      </c>
      <c r="C314" s="24" t="inlineStr">
        <is>
          <t>2026-09-12T23:30Z</t>
        </is>
      </c>
      <c r="D314" s="24" t="inlineStr">
        <is>
          <t>761801</t>
        </is>
      </c>
      <c r="E314" s="24" t="inlineStr">
        <is>
          <t>SOCCER</t>
        </is>
      </c>
      <c r="F314" s="24" t="inlineStr">
        <is>
          <t>Toronto FC</t>
        </is>
      </c>
      <c r="G314" s="24" t="inlineStr">
        <is>
          <t>Orlando City SC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-113</v>
      </c>
      <c r="M314" s="27" t="n">
        <v>1.884956</v>
      </c>
      <c r="N314" s="28" t="n">
        <v>0.530516</v>
      </c>
      <c r="O314" s="28" t="n">
        <v>0.451619</v>
      </c>
      <c r="P314" s="28" t="n">
        <v>0.04</v>
      </c>
      <c r="Q314" s="28" t="n">
        <v>-0.07889699999999999</v>
      </c>
      <c r="R314" s="26" t="n">
        <v>0</v>
      </c>
      <c r="S314" s="29" t="n">
        <v>1</v>
      </c>
      <c r="T314" s="24" t="inlineStr">
        <is>
          <t>soccer-poisson-dc-v1</t>
        </is>
      </c>
      <c r="U314" s="24" t="inlineStr">
        <is>
          <t>settled</t>
        </is>
      </c>
      <c r="V314" s="24" t="inlineStr">
        <is>
          <t>win</t>
        </is>
      </c>
      <c r="W314" s="26" t="n">
        <v>0</v>
      </c>
      <c r="X314" s="26" t="n">
        <v>3</v>
      </c>
      <c r="Y314" s="25" t="n"/>
      <c r="Z314" s="26" t="n">
        <v>-113</v>
      </c>
      <c r="AA314" s="28" t="n">
        <v>0.53</v>
      </c>
      <c r="AB314" s="28" t="n">
        <v>-0.000516</v>
      </c>
      <c r="AC314" s="30" t="n">
        <v>0.885</v>
      </c>
      <c r="AD314" s="24" t="inlineStr">
        <is>
          <t>2026-09-13T04:31:51.551932Z</t>
        </is>
      </c>
      <c r="AE314" s="31" t="inlineStr">
        <is>
          <t>Poisson-DC rates 2.14 (home) / 1.82 (away) from EWMA attack/defense strengths. Executable ask 0.5300 (atc-mls-orl-tor-2026-09-12-orl).</t>
        </is>
      </c>
      <c r="AF314" s="31" t="inlineStr">
        <is>
          <t>Research-only soccer score model; draw-aware, but not yet locked-holdout qualified.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Toronto FC</t>
        </is>
      </c>
      <c r="AQ314" s="24" t="inlineStr">
        <is>
          <t>Toronto FC</t>
        </is>
      </c>
      <c r="AR314" s="24" t="inlineStr">
        <is>
          <t>Toronto FC</t>
        </is>
      </c>
      <c r="AS314" s="24" t="inlineStr">
        <is>
          <t>Orlando City SC</t>
        </is>
      </c>
      <c r="AT314" s="24" t="inlineStr">
        <is>
          <t>Orlando City SC</t>
        </is>
      </c>
      <c r="AU314" s="24" t="inlineStr">
        <is>
          <t>Orlando City SC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3d16277c2cfc0628d7ec79d04feee92735e5c503a3be195cb225c7c52d024308</t>
        </is>
      </c>
      <c r="BB314" s="24" t="inlineStr">
        <is>
          <t>poisson_dixon_coles</t>
        </is>
      </c>
      <c r="BC314" s="24" t="inlineStr">
        <is>
          <t>soccer-poisson-dc-v1</t>
        </is>
      </c>
      <c r="BD314" s="24" t="inlineStr">
        <is>
          <t>3d16277c2cfc0628d7ec79d04feee92735e5c503a3be195cb225c7c52d024308</t>
        </is>
      </c>
      <c r="BE314" s="24" t="inlineStr">
        <is>
          <t>soccer-poisson-dc-v1</t>
        </is>
      </c>
      <c r="BF314" s="24" t="inlineStr">
        <is>
          <t>1</t>
        </is>
      </c>
      <c r="BG314" s="24" t="inlineStr">
        <is>
          <t>3d16277c2cfc0628d7ec79d04feee92735e5c503a3be195cb225c7c52d024308</t>
        </is>
      </c>
      <c r="BH314" s="24" t="inlineStr">
        <is>
          <t>2026-09-12T16:06:12.333396Z</t>
        </is>
      </c>
      <c r="BI314" s="24" t="inlineStr">
        <is>
          <t>["same_event","same_team_same_day","same_league_same_day"]</t>
        </is>
      </c>
      <c r="BJ314" s="25" t="n"/>
      <c r="BK314" s="26" t="n">
        <v>-113</v>
      </c>
      <c r="BL314" s="27" t="n">
        <v>1.884956</v>
      </c>
      <c r="BM314" s="28" t="n">
        <v>0.530516</v>
      </c>
      <c r="BN314" s="28" t="n"/>
      <c r="BO314" s="28" t="n"/>
      <c r="BP314" s="25" t="n"/>
      <c r="BQ314" s="27" t="n">
        <v>1.884956</v>
      </c>
      <c r="BR314" s="28" t="n">
        <v>0.53</v>
      </c>
      <c r="BS314" s="28" t="n"/>
      <c r="BT314" s="28" t="n"/>
      <c r="BU314" s="25" t="n"/>
      <c r="BV314" s="29" t="n"/>
      <c r="BW314" s="24" t="n"/>
      <c r="BX314" s="30" t="n">
        <v>1</v>
      </c>
      <c r="BY314" s="27" t="n">
        <v>0.884957</v>
      </c>
      <c r="BZ314" s="24" t="inlineStr">
        <is>
          <t>2026-09-13T04:31:51.551932Z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0.530516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"3d16277c2cfc0628d7ec79d04feee92735e5c503a3be195cb225c7c52d024308", "away_team": "Toronto FC", "event_id": "761801", "event_start_utc": "2026-09-12T23:30Z", "features": {"away_goal_rate": 1.8167, "history_games": 9181, "home_goal_rate": 2.1378, "league_goals_per_team": 1.5536, "min_team_games": 83.0}, "historical_source_observation_times_verified": false, "home_team": "Orlando City SC", "inference_inputs": {"away_rate": 1.816683150807469, "code_sha256": {"models/soccer.py": "3d16277c2cfc0628d7ec79d04feee92735e5c503a3be195cb225c7c52d024308"}, "home_rate": 2.1377877918324777, "sport": "SOCCER"}, "market_type": "moneyline", "model_version": "soccer-poisson-dc-v1", "observed_at_utc": "2026-09-12T22:41:44.815507+00:00", "probabilities": {"away": 0.327517, "draw": 0.220864, "home": 0.451619}, "replay_scope": "Exact full-precision serving state and rounding; upstream historical observation times are not certified.", "schema": "coded-moneyline-replay-v1", "snapshot_hash": "a3a197f928dfd730a8b6d6ae4847538165fc7691cd02ffaf4004dd6074204720", "sport": "SOCCER"}</t>
        </is>
      </c>
    </row>
    <row r="315" ht="36" customHeight="1">
      <c r="A315" s="24" t="inlineStr">
        <is>
          <t>1611de0edb204616</t>
        </is>
      </c>
      <c r="B315" s="24" t="inlineStr">
        <is>
          <t>2026-09-12T22:41:45.616998Z</t>
        </is>
      </c>
      <c r="C315" s="24" t="inlineStr">
        <is>
          <t>2026-09-13T00:30Z</t>
        </is>
      </c>
      <c r="D315" s="24" t="inlineStr">
        <is>
          <t>761805</t>
        </is>
      </c>
      <c r="E315" s="24" t="inlineStr">
        <is>
          <t>SOCCER</t>
        </is>
      </c>
      <c r="F315" s="24" t="inlineStr">
        <is>
          <t>Portland Timbers</t>
        </is>
      </c>
      <c r="G315" s="24" t="inlineStr">
        <is>
          <t>FC Dallas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-117</v>
      </c>
      <c r="M315" s="27" t="n">
        <v>1.854701</v>
      </c>
      <c r="N315" s="28" t="n">
        <v>0.539171</v>
      </c>
      <c r="O315" s="28" t="n">
        <v>0.593112</v>
      </c>
      <c r="P315" s="28" t="n">
        <v>0.04</v>
      </c>
      <c r="Q315" s="28" t="n">
        <v>0.053941</v>
      </c>
      <c r="R315" s="26" t="n">
        <v>53</v>
      </c>
      <c r="S315" s="29" t="n">
        <v>1</v>
      </c>
      <c r="T315" s="24" t="inlineStr">
        <is>
          <t>soccer-poisson-dc-v1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2</v>
      </c>
      <c r="Y315" s="25" t="n"/>
      <c r="Z315" s="26" t="n">
        <v>-117</v>
      </c>
      <c r="AA315" s="28" t="n">
        <v>0.54</v>
      </c>
      <c r="AB315" s="28" t="n">
        <v>0.000829</v>
      </c>
      <c r="AC315" s="30" t="n">
        <v>0.8547</v>
      </c>
      <c r="AD315" s="24" t="inlineStr">
        <is>
          <t>2026-09-13T04:31:52.791192Z</t>
        </is>
      </c>
      <c r="AE315" s="31" t="inlineStr">
        <is>
          <t>Poisson-DC rates 2.41 (home) / 1.39 (away) from EWMA attack/defense strengths. Executable ask 0.5400 (atc-mls-dal-por-2026-09-12-dal).</t>
        </is>
      </c>
      <c r="AF315" s="31" t="inlineStr">
        <is>
          <t>Research-only soccer score model; draw-aware, but not yet locked-holdout qualified.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Portland Timbers</t>
        </is>
      </c>
      <c r="AQ315" s="24" t="inlineStr">
        <is>
          <t>Portland Timbers</t>
        </is>
      </c>
      <c r="AR315" s="24" t="inlineStr">
        <is>
          <t>Portland Timbers</t>
        </is>
      </c>
      <c r="AS315" s="24" t="inlineStr">
        <is>
          <t>FC Dallas</t>
        </is>
      </c>
      <c r="AT315" s="24" t="inlineStr">
        <is>
          <t>FC Dallas</t>
        </is>
      </c>
      <c r="AU315" s="24" t="inlineStr">
        <is>
          <t>FC Dallas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3d16277c2cfc0628d7ec79d04feee92735e5c503a3be195cb225c7c52d024308</t>
        </is>
      </c>
      <c r="BB315" s="24" t="inlineStr">
        <is>
          <t>poisson_dixon_coles</t>
        </is>
      </c>
      <c r="BC315" s="24" t="inlineStr">
        <is>
          <t>soccer-poisson-dc-v1</t>
        </is>
      </c>
      <c r="BD315" s="24" t="inlineStr">
        <is>
          <t>3d16277c2cfc0628d7ec79d04feee92735e5c503a3be195cb225c7c52d024308</t>
        </is>
      </c>
      <c r="BE315" s="24" t="inlineStr">
        <is>
          <t>soccer-poisson-dc-v1</t>
        </is>
      </c>
      <c r="BF315" s="24" t="inlineStr">
        <is>
          <t>1</t>
        </is>
      </c>
      <c r="BG315" s="24" t="inlineStr">
        <is>
          <t>3d16277c2cfc0628d7ec79d04feee92735e5c503a3be195cb225c7c52d024308</t>
        </is>
      </c>
      <c r="BH315" s="24" t="inlineStr">
        <is>
          <t>2026-09-12T16:06:12.454975Z</t>
        </is>
      </c>
      <c r="BI315" s="24" t="inlineStr">
        <is>
          <t>["same_event","same_team_same_day","same_league_same_day"]</t>
        </is>
      </c>
      <c r="BJ315" s="25" t="n"/>
      <c r="BK315" s="26" t="n">
        <v>-117</v>
      </c>
      <c r="BL315" s="27" t="n">
        <v>1.854701</v>
      </c>
      <c r="BM315" s="28" t="n">
        <v>0.539171</v>
      </c>
      <c r="BN315" s="28" t="n"/>
      <c r="BO315" s="28" t="n"/>
      <c r="BP315" s="25" t="n"/>
      <c r="BQ315" s="27" t="n">
        <v>1.854701</v>
      </c>
      <c r="BR315" s="28" t="n">
        <v>0.54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0.854699</v>
      </c>
      <c r="BZ315" s="24" t="inlineStr">
        <is>
          <t>2026-09-13T04:31:52.791192Z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0.539171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"3d16277c2cfc0628d7ec79d04feee92735e5c503a3be195cb225c7c52d024308", "away_team": "Portland Timbers", "event_id": "761805", "event_start_utc": "2026-09-13T00:30Z", "features": {"away_goal_rate": 1.3897, "history_games": 9181, "home_goal_rate": 2.4122, "league_goals_per_team": 1.5536, "min_team_games": 85.0}, "historical_source_observation_times_verified": false, "home_team": "FC Dallas", "inference_inputs": {"away_rate": 1.3897322511673298, "code_sha256": {"models/soccer.py": "3d16277c2cfc0628d7ec79d04feee92735e5c503a3be195cb225c7c52d024308"}, "home_rate": 2.4122351299445546, "sport": "SOCCER"}, "market_type": "moneyline", "model_version": "soccer-poisson-dc-v1", "observed_at_utc": "2026-09-12T22:41:44.815507+00:00", "probabilities": {"away": 0.203023, "draw": 0.203865, "home": 0.593112}, "replay_scope": "Exact full-precision serving state and rounding; upstream historical observation times are not certified.", "schema": "coded-moneyline-replay-v1", "snapshot_hash": "b4c7264e6a24fb184c630214733a4a86e86b4834eda1f1897406639a5e316079", "sport": "SOCCER"}</t>
        </is>
      </c>
    </row>
    <row r="316" ht="36" customHeight="1">
      <c r="A316" s="24" t="inlineStr">
        <is>
          <t>b1f00d75d06b4133</t>
        </is>
      </c>
      <c r="B316" s="24" t="inlineStr">
        <is>
          <t>2026-09-12T22:41:45.616998Z</t>
        </is>
      </c>
      <c r="C316" s="24" t="inlineStr">
        <is>
          <t>2026-09-13T00:30Z</t>
        </is>
      </c>
      <c r="D316" s="24" t="inlineStr">
        <is>
          <t>761807</t>
        </is>
      </c>
      <c r="E316" s="24" t="inlineStr">
        <is>
          <t>SOCCER</t>
        </is>
      </c>
      <c r="F316" s="24" t="inlineStr">
        <is>
          <t>Minnesota United FC</t>
        </is>
      </c>
      <c r="G316" s="24" t="inlineStr">
        <is>
          <t>St. Louis CITY SC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108</v>
      </c>
      <c r="M316" s="27" t="n">
        <v>2.08</v>
      </c>
      <c r="N316" s="28" t="n">
        <v>0.480769</v>
      </c>
      <c r="O316" s="28" t="n">
        <v>0.454619</v>
      </c>
      <c r="P316" s="28" t="n">
        <v>0.04</v>
      </c>
      <c r="Q316" s="28" t="n">
        <v>-0.02615</v>
      </c>
      <c r="R316" s="26" t="n">
        <v>13</v>
      </c>
      <c r="S316" s="29" t="n">
        <v>1</v>
      </c>
      <c r="T316" s="24" t="inlineStr">
        <is>
          <t>soccer-poisson-dc-v1</t>
        </is>
      </c>
      <c r="U316" s="24" t="inlineStr">
        <is>
          <t>settled</t>
        </is>
      </c>
      <c r="V316" s="24" t="inlineStr">
        <is>
          <t>win</t>
        </is>
      </c>
      <c r="W316" s="26" t="n">
        <v>2</v>
      </c>
      <c r="X316" s="26" t="n">
        <v>4</v>
      </c>
      <c r="Y316" s="25" t="n"/>
      <c r="Z316" s="26" t="n">
        <v>108</v>
      </c>
      <c r="AA316" s="28" t="n">
        <v>0.48</v>
      </c>
      <c r="AB316" s="28" t="n">
        <v>-0.000769</v>
      </c>
      <c r="AC316" s="30" t="n">
        <v>1.08</v>
      </c>
      <c r="AD316" s="24" t="inlineStr">
        <is>
          <t>2026-09-13T04:31:54.014149Z</t>
        </is>
      </c>
      <c r="AE316" s="31" t="inlineStr">
        <is>
          <t>Poisson-DC rates 1.58 (home) / 1.18 (away) from EWMA attack/defense strengths. Executable ask 0.4800 (atc-mls-stl-min-2026-09-12-stl).</t>
        </is>
      </c>
      <c r="AF316" s="31" t="inlineStr">
        <is>
          <t>Research-only soccer score model; draw-aware, but not yet locked-holdout qualified.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Minnesota United FC</t>
        </is>
      </c>
      <c r="AQ316" s="24" t="inlineStr">
        <is>
          <t>Minnesota United FC</t>
        </is>
      </c>
      <c r="AR316" s="24" t="inlineStr">
        <is>
          <t>Minnesota United FC</t>
        </is>
      </c>
      <c r="AS316" s="24" t="inlineStr">
        <is>
          <t>St. Louis CITY SC</t>
        </is>
      </c>
      <c r="AT316" s="24" t="inlineStr">
        <is>
          <t>St. Louis CITY SC</t>
        </is>
      </c>
      <c r="AU316" s="24" t="inlineStr">
        <is>
          <t>St. Louis CITY SC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3d16277c2cfc0628d7ec79d04feee92735e5c503a3be195cb225c7c52d024308</t>
        </is>
      </c>
      <c r="BB316" s="24" t="inlineStr">
        <is>
          <t>poisson_dixon_coles</t>
        </is>
      </c>
      <c r="BC316" s="24" t="inlineStr">
        <is>
          <t>soccer-poisson-dc-v1</t>
        </is>
      </c>
      <c r="BD316" s="24" t="inlineStr">
        <is>
          <t>3d16277c2cfc0628d7ec79d04feee92735e5c503a3be195cb225c7c52d024308</t>
        </is>
      </c>
      <c r="BE316" s="24" t="inlineStr">
        <is>
          <t>soccer-poisson-dc-v1</t>
        </is>
      </c>
      <c r="BF316" s="24" t="inlineStr">
        <is>
          <t>1</t>
        </is>
      </c>
      <c r="BG316" s="24" t="inlineStr">
        <is>
          <t>3d16277c2cfc0628d7ec79d04feee92735e5c503a3be195cb225c7c52d024308</t>
        </is>
      </c>
      <c r="BH316" s="24" t="inlineStr">
        <is>
          <t>2026-09-12T16:06:13.235010Z</t>
        </is>
      </c>
      <c r="BI316" s="24" t="inlineStr">
        <is>
          <t>["same_event","same_team_same_day","same_league_same_day"]</t>
        </is>
      </c>
      <c r="BJ316" s="25" t="n"/>
      <c r="BK316" s="26" t="n">
        <v>108</v>
      </c>
      <c r="BL316" s="27" t="n">
        <v>2.08</v>
      </c>
      <c r="BM316" s="28" t="n">
        <v>0.480769</v>
      </c>
      <c r="BN316" s="28" t="n"/>
      <c r="BO316" s="28" t="n"/>
      <c r="BP316" s="25" t="n"/>
      <c r="BQ316" s="27" t="n">
        <v>2.08</v>
      </c>
      <c r="BR316" s="28" t="n">
        <v>0.48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1.080001</v>
      </c>
      <c r="BZ316" s="24" t="inlineStr">
        <is>
          <t>2026-09-13T04:31:54.014149Z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0.480769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"3d16277c2cfc0628d7ec79d04feee92735e5c503a3be195cb225c7c52d024308", "away_team": "Minnesota United FC", "event_id": "761807", "event_start_utc": "2026-09-13T00:30Z", "features": {"away_goal_rate": 1.1804, "history_games": 9181, "home_goal_rate": 1.5815, "league_goals_per_team": 1.5536, "min_team_games": 83.0}, "historical_source_observation_times_verified": false, "home_team": "St. Louis CITY SC", "inference_inputs": {"away_rate": 1.1804311659581292, "code_sha256": {"models/soccer.py": "3d16277c2cfc0628d7ec79d04feee92735e5c503a3be195cb225c7c52d024308"}, "home_rate": 1.5815224323599357, "sport": "SOCCER"}, "market_type": "moneyline", "model_version": "soccer-poisson-dc-v1", "observed_at_utc": "2026-09-12T22:41:44.815507+00:00", "probabilities": {"away": 0.272807, "draw": 0.272574, "home": 0.454619}, "replay_scope": "Exact full-precision serving state and rounding; upstream historical observation times are not certified.", "schema": "coded-moneyline-replay-v1", "snapshot_hash": "59692043eef1cbba25783b39d11059ace481ca9f00e4063965f7ce83b4dc87f1", "sport": "SOCCER"}</t>
        </is>
      </c>
    </row>
    <row r="317" ht="36" customHeight="1">
      <c r="A317" s="24" t="inlineStr">
        <is>
          <t>0df931df3c5848ed</t>
        </is>
      </c>
      <c r="B317" s="24" t="inlineStr">
        <is>
          <t>2026-09-12T22:41:45.616998Z</t>
        </is>
      </c>
      <c r="C317" s="24" t="inlineStr">
        <is>
          <t>2026-09-13T01:30Z</t>
        </is>
      </c>
      <c r="D317" s="24" t="inlineStr">
        <is>
          <t>761809</t>
        </is>
      </c>
      <c r="E317" s="24" t="inlineStr">
        <is>
          <t>SOCCER</t>
        </is>
      </c>
      <c r="F317" s="24" t="inlineStr">
        <is>
          <t>New York City FC</t>
        </is>
      </c>
      <c r="G317" s="24" t="inlineStr">
        <is>
          <t>Real Salt Lake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113</v>
      </c>
      <c r="M317" s="27" t="n">
        <v>2.13</v>
      </c>
      <c r="N317" s="28" t="n">
        <v>0.469484</v>
      </c>
      <c r="O317" s="28" t="n">
        <v>0.469901</v>
      </c>
      <c r="P317" s="28" t="n">
        <v>0.04</v>
      </c>
      <c r="Q317" s="28" t="n">
        <v>0.000417</v>
      </c>
      <c r="R317" s="26" t="n">
        <v>26</v>
      </c>
      <c r="S317" s="29" t="n">
        <v>1</v>
      </c>
      <c r="T317" s="24" t="inlineStr">
        <is>
          <t>soccer-poisson-dc-v1</t>
        </is>
      </c>
      <c r="U317" s="24" t="inlineStr">
        <is>
          <t>settled</t>
        </is>
      </c>
      <c r="V317" s="24" t="inlineStr">
        <is>
          <t>loss</t>
        </is>
      </c>
      <c r="W317" s="26" t="n">
        <v>2</v>
      </c>
      <c r="X317" s="26" t="n">
        <v>0</v>
      </c>
      <c r="Y317" s="25" t="n"/>
      <c r="Z317" s="26" t="n">
        <v>113</v>
      </c>
      <c r="AA317" s="28" t="n">
        <v>0.47</v>
      </c>
      <c r="AB317" s="28" t="n">
        <v>0.000516</v>
      </c>
      <c r="AC317" s="30" t="n">
        <v>-1</v>
      </c>
      <c r="AD317" s="24" t="inlineStr">
        <is>
          <t>2026-09-13T04:31:55.308218Z</t>
        </is>
      </c>
      <c r="AE317" s="31" t="inlineStr">
        <is>
          <t>Poisson-DC rates 1.67 (home) / 1.21 (away) from EWMA attack/defense strengths. Executable ask 0.4700 (atc-mls-rsl-nyc-2026-09-12-rsl).</t>
        </is>
      </c>
      <c r="AF317" s="31" t="inlineStr">
        <is>
          <t>Research-only soccer score model; draw-aware, but not yet locked-holdout qualified.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New York City FC</t>
        </is>
      </c>
      <c r="AQ317" s="24" t="inlineStr">
        <is>
          <t>New York City FC</t>
        </is>
      </c>
      <c r="AR317" s="24" t="inlineStr">
        <is>
          <t>New York City FC</t>
        </is>
      </c>
      <c r="AS317" s="24" t="inlineStr">
        <is>
          <t>Real Salt Lake</t>
        </is>
      </c>
      <c r="AT317" s="24" t="inlineStr">
        <is>
          <t>Real Salt Lake</t>
        </is>
      </c>
      <c r="AU317" s="24" t="inlineStr">
        <is>
          <t>Real Salt Lake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3d16277c2cfc0628d7ec79d04feee92735e5c503a3be195cb225c7c52d024308</t>
        </is>
      </c>
      <c r="BB317" s="24" t="inlineStr">
        <is>
          <t>poisson_dixon_coles</t>
        </is>
      </c>
      <c r="BC317" s="24" t="inlineStr">
        <is>
          <t>soccer-poisson-dc-v1</t>
        </is>
      </c>
      <c r="BD317" s="24" t="inlineStr">
        <is>
          <t>3d16277c2cfc0628d7ec79d04feee92735e5c503a3be195cb225c7c52d024308</t>
        </is>
      </c>
      <c r="BE317" s="24" t="inlineStr">
        <is>
          <t>soccer-poisson-dc-v1</t>
        </is>
      </c>
      <c r="BF317" s="24" t="inlineStr">
        <is>
          <t>1</t>
        </is>
      </c>
      <c r="BG317" s="24" t="inlineStr">
        <is>
          <t>3d16277c2cfc0628d7ec79d04feee92735e5c503a3be195cb225c7c52d024308</t>
        </is>
      </c>
      <c r="BH317" s="24" t="inlineStr">
        <is>
          <t>2026-09-12T16:06:13.406954Z</t>
        </is>
      </c>
      <c r="BI317" s="24" t="inlineStr">
        <is>
          <t>["same_event","same_team_same_day","same_league_same_day"]</t>
        </is>
      </c>
      <c r="BJ317" s="25" t="n"/>
      <c r="BK317" s="26" t="n">
        <v>113</v>
      </c>
      <c r="BL317" s="27" t="n">
        <v>2.13</v>
      </c>
      <c r="BM317" s="28" t="n">
        <v>0.469484</v>
      </c>
      <c r="BN317" s="28" t="n"/>
      <c r="BO317" s="28" t="n"/>
      <c r="BP317" s="25" t="n"/>
      <c r="BQ317" s="27" t="n">
        <v>2.13</v>
      </c>
      <c r="BR317" s="28" t="n">
        <v>0.47</v>
      </c>
      <c r="BS317" s="28" t="n"/>
      <c r="BT317" s="28" t="n"/>
      <c r="BU317" s="25" t="n"/>
      <c r="BV317" s="29" t="n"/>
      <c r="BW317" s="24" t="n"/>
      <c r="BX317" s="30" t="n">
        <v>1</v>
      </c>
      <c r="BY317" s="27" t="n">
        <v>-1</v>
      </c>
      <c r="BZ317" s="24" t="inlineStr">
        <is>
          <t>2026-09-13T04:31:55.308218Z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0.469484</t>
        </is>
      </c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"3d16277c2cfc0628d7ec79d04feee92735e5c503a3be195cb225c7c52d024308", "away_team": "New York City FC", "event_id": "761809", "event_start_utc": "2026-09-13T01:30Z", "features": {"away_goal_rate": 1.2132, "history_games": 9181, "home_goal_rate": 1.6723, "league_goals_per_team": 1.5536, "min_team_games": 85.0}, "historical_source_observation_times_verified": false, "home_team": "Real Salt Lake", "inference_inputs": {"away_rate": 1.2131788676833177, "code_sha256": {"models/soccer.py": "3d16277c2cfc0628d7ec79d04feee92735e5c503a3be195cb225c7c52d024308"}, "home_rate": 1.6722562009474258, "sport": "SOCCER"}, "market_type": "moneyline", "model_version": "soccer-poisson-dc-v1", "observed_at_utc": "2026-09-12T22:41:44.815507+00:00", "probabilities": {"away": 0.26617, "draw": 0.263929, "home": 0.469901}, "replay_scope": "Exact full-precision serving state and rounding; upstream historical observation times are not certified.", "schema": "coded-moneyline-replay-v1", "snapshot_hash": "01e4a694d23a7e0c858537f5e8544ac76eed3f3eba6457ec14ed47bfa552fec9", "sport": "SOCCER"}</t>
        </is>
      </c>
    </row>
    <row r="318" ht="36" customHeight="1">
      <c r="A318" s="24" t="inlineStr">
        <is>
          <t>063fe2347611462d</t>
        </is>
      </c>
      <c r="B318" s="24" t="inlineStr">
        <is>
          <t>2026-09-12T22:41:45.616998Z</t>
        </is>
      </c>
      <c r="C318" s="24" t="inlineStr">
        <is>
          <t>2026-09-13T02:30Z</t>
        </is>
      </c>
      <c r="D318" s="24" t="inlineStr">
        <is>
          <t>761811</t>
        </is>
      </c>
      <c r="E318" s="24" t="inlineStr">
        <is>
          <t>SOCCER</t>
        </is>
      </c>
      <c r="F318" s="24" t="inlineStr">
        <is>
          <t>Seattle Sounders FC</t>
        </is>
      </c>
      <c r="G318" s="24" t="inlineStr">
        <is>
          <t>LA Galaxy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127</v>
      </c>
      <c r="M318" s="27" t="n">
        <v>2.27</v>
      </c>
      <c r="N318" s="28" t="n">
        <v>0.440529</v>
      </c>
      <c r="O318" s="28" t="n">
        <v>0.405918</v>
      </c>
      <c r="P318" s="28" t="n">
        <v>0.04</v>
      </c>
      <c r="Q318" s="28" t="n">
        <v>-0.034611</v>
      </c>
      <c r="R318" s="26" t="n">
        <v>9</v>
      </c>
      <c r="S318" s="29" t="n">
        <v>1</v>
      </c>
      <c r="T318" s="24" t="inlineStr">
        <is>
          <t>soccer-poisson-dc-v1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1</v>
      </c>
      <c r="Y318" s="25" t="n"/>
      <c r="Z318" s="26" t="n">
        <v>127</v>
      </c>
      <c r="AA318" s="28" t="n">
        <v>0.44</v>
      </c>
      <c r="AB318" s="28" t="n">
        <v>-0.000529</v>
      </c>
      <c r="AC318" s="30" t="n">
        <v>-1</v>
      </c>
      <c r="AD318" s="24" t="inlineStr">
        <is>
          <t>2026-09-13T10:00:16.859657Z</t>
        </is>
      </c>
      <c r="AE318" s="31" t="inlineStr">
        <is>
          <t>Poisson-DC rates 1.53 (home) / 1.35 (away) from EWMA attack/defense strengths. Executable ask 0.4400 (atc-mls-lag-sea-2026-09-12-lag).</t>
        </is>
      </c>
      <c r="AF318" s="31" t="inlineStr">
        <is>
          <t>Research-only soccer score model; draw-aware, but not yet locked-holdout qualified.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Seattle Sounders FC</t>
        </is>
      </c>
      <c r="AQ318" s="24" t="inlineStr">
        <is>
          <t>Seattle Sounders FC</t>
        </is>
      </c>
      <c r="AR318" s="24" t="inlineStr">
        <is>
          <t>Seattle Sounders FC</t>
        </is>
      </c>
      <c r="AS318" s="24" t="inlineStr">
        <is>
          <t>LA Galaxy</t>
        </is>
      </c>
      <c r="AT318" s="24" t="inlineStr">
        <is>
          <t>LA Galaxy</t>
        </is>
      </c>
      <c r="AU318" s="24" t="inlineStr">
        <is>
          <t>LA Galaxy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3d16277c2cfc0628d7ec79d04feee92735e5c503a3be195cb225c7c52d024308</t>
        </is>
      </c>
      <c r="BB318" s="24" t="inlineStr">
        <is>
          <t>poisson_dixon_coles</t>
        </is>
      </c>
      <c r="BC318" s="24" t="inlineStr">
        <is>
          <t>soccer-poisson-dc-v1</t>
        </is>
      </c>
      <c r="BD318" s="24" t="inlineStr">
        <is>
          <t>3d16277c2cfc0628d7ec79d04feee92735e5c503a3be195cb225c7c52d024308</t>
        </is>
      </c>
      <c r="BE318" s="24" t="inlineStr">
        <is>
          <t>soccer-poisson-dc-v1</t>
        </is>
      </c>
      <c r="BF318" s="24" t="inlineStr">
        <is>
          <t>1</t>
        </is>
      </c>
      <c r="BG318" s="24" t="inlineStr">
        <is>
          <t>3d16277c2cfc0628d7ec79d04feee92735e5c503a3be195cb225c7c52d024308</t>
        </is>
      </c>
      <c r="BH318" s="24" t="inlineStr">
        <is>
          <t>2026-09-12T16:06:13.504825Z</t>
        </is>
      </c>
      <c r="BI318" s="24" t="inlineStr">
        <is>
          <t>["same_event","same_team_same_day","same_league_same_day"]</t>
        </is>
      </c>
      <c r="BJ318" s="25" t="n"/>
      <c r="BK318" s="26" t="n">
        <v>127</v>
      </c>
      <c r="BL318" s="27" t="n">
        <v>2.27</v>
      </c>
      <c r="BM318" s="28" t="n">
        <v>0.440529</v>
      </c>
      <c r="BN318" s="28" t="n"/>
      <c r="BO318" s="28" t="n"/>
      <c r="BP318" s="25" t="n"/>
      <c r="BQ318" s="27" t="n">
        <v>2.27</v>
      </c>
      <c r="BR318" s="28" t="n">
        <v>0.44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-1</v>
      </c>
      <c r="BZ318" s="24" t="inlineStr">
        <is>
          <t>2026-09-13T10:00:16.859657Z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0.440529</t>
        </is>
      </c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"3d16277c2cfc0628d7ec79d04feee92735e5c503a3be195cb225c7c52d024308", "away_team": "Seattle Sounders FC", "event_id": "761811", "event_start_utc": "2026-09-13T02:30Z", "features": {"away_goal_rate": 1.3492, "history_games": 9181, "home_goal_rate": 1.5336, "league_goals_per_team": 1.5536, "min_team_games": 89.0}, "historical_source_observation_times_verified": false, "home_team": "LA Galaxy", "inference_inputs": {"away_rate": 1.3492027348672515, "code_sha256": {"models/soccer.py": "3d16277c2cfc0628d7ec79d04feee92735e5c503a3be195cb225c7c52d024308"}, "home_rate": 1.5335730221885397, "sport": "SOCCER"}, "market_type": "moneyline", "model_version": "soccer-poisson-dc-v1", "observed_at_utc": "2026-09-12T22:41:44.815507+00:00", "probabilities": {"away": 0.323485, "draw": 0.270597, "home": 0.405918}, "replay_scope": "Exact full-precision serving state and rounding; upstream historical observation times are not certified.", "schema": "coded-moneyline-replay-v1", "snapshot_hash": "c657f2f485e5b71eddb76efa059be3f059b92cccd0948b836c56373e68786de3", "sport": "SOCCER"}</t>
        </is>
      </c>
    </row>
    <row r="319" ht="36" customHeight="1">
      <c r="A319" s="24" t="inlineStr">
        <is>
          <t>25df70ba563a42f5</t>
        </is>
      </c>
      <c r="B319" s="24" t="inlineStr">
        <is>
          <t>2026-09-12T22:41:45.616998Z</t>
        </is>
      </c>
      <c r="C319" s="24" t="inlineStr">
        <is>
          <t>2026-09-13T02:30Z</t>
        </is>
      </c>
      <c r="D319" s="24" t="inlineStr">
        <is>
          <t>761810</t>
        </is>
      </c>
      <c r="E319" s="24" t="inlineStr">
        <is>
          <t>SOCCER</t>
        </is>
      </c>
      <c r="F319" s="24" t="inlineStr">
        <is>
          <t>Houston Dynamo FC</t>
        </is>
      </c>
      <c r="G319" s="24" t="inlineStr">
        <is>
          <t>San Jose Earthquakes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150</v>
      </c>
      <c r="M319" s="27" t="n">
        <v>2.5</v>
      </c>
      <c r="N319" s="28" t="n">
        <v>0.4</v>
      </c>
      <c r="O319" s="28" t="n">
        <v>0.635307</v>
      </c>
      <c r="P319" s="28" t="n">
        <v>0.04</v>
      </c>
      <c r="Q319" s="28" t="n">
        <v>0.235307</v>
      </c>
      <c r="R319" s="26" t="n">
        <v>100</v>
      </c>
      <c r="S319" s="29" t="n">
        <v>2</v>
      </c>
      <c r="T319" s="24" t="inlineStr">
        <is>
          <t>soccer-poisson-dc-v1</t>
        </is>
      </c>
      <c r="U319" s="24" t="inlineStr">
        <is>
          <t>settled</t>
        </is>
      </c>
      <c r="V319" s="24" t="inlineStr">
        <is>
          <t>win</t>
        </is>
      </c>
      <c r="W319" s="26" t="n">
        <v>0</v>
      </c>
      <c r="X319" s="26" t="n">
        <v>1</v>
      </c>
      <c r="Y319" s="25" t="n"/>
      <c r="Z319" s="26" t="n">
        <v>150</v>
      </c>
      <c r="AA319" s="28" t="n">
        <v>0.4</v>
      </c>
      <c r="AB319" s="28" t="n">
        <v>0</v>
      </c>
      <c r="AC319" s="30" t="n">
        <v>3</v>
      </c>
      <c r="AD319" s="24" t="inlineStr">
        <is>
          <t>2026-09-13T10:00:18.051914Z</t>
        </is>
      </c>
      <c r="AE319" s="31" t="inlineStr">
        <is>
          <t>Poisson-DC rates 2.31 (home) / 1.10 (away) from EWMA attack/defense strengths. Executable ask 0.4000 (atc-mls-sje-hou-2026-09-12-sje).</t>
        </is>
      </c>
      <c r="AF319" s="31" t="inlineStr">
        <is>
          <t>Research-only soccer score model; draw-aware, but not yet locked-holdout qualified.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Houston Dynamo FC</t>
        </is>
      </c>
      <c r="AQ319" s="24" t="inlineStr">
        <is>
          <t>Houston Dynamo FC</t>
        </is>
      </c>
      <c r="AR319" s="24" t="inlineStr">
        <is>
          <t>Houston Dynamo FC</t>
        </is>
      </c>
      <c r="AS319" s="24" t="inlineStr">
        <is>
          <t>San Jose Earthquakes</t>
        </is>
      </c>
      <c r="AT319" s="24" t="inlineStr">
        <is>
          <t>San Jose Earthquakes</t>
        </is>
      </c>
      <c r="AU319" s="24" t="inlineStr">
        <is>
          <t>San Jose Earthquakes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3d16277c2cfc0628d7ec79d04feee92735e5c503a3be195cb225c7c52d024308</t>
        </is>
      </c>
      <c r="BB319" s="24" t="inlineStr">
        <is>
          <t>poisson_dixon_coles</t>
        </is>
      </c>
      <c r="BC319" s="24" t="inlineStr">
        <is>
          <t>soccer-poisson-dc-v1</t>
        </is>
      </c>
      <c r="BD319" s="24" t="inlineStr">
        <is>
          <t>3d16277c2cfc0628d7ec79d04feee92735e5c503a3be195cb225c7c52d024308</t>
        </is>
      </c>
      <c r="BE319" s="24" t="inlineStr">
        <is>
          <t>soccer-poisson-dc-v1</t>
        </is>
      </c>
      <c r="BF319" s="24" t="inlineStr">
        <is>
          <t>1</t>
        </is>
      </c>
      <c r="BG319" s="24" t="inlineStr">
        <is>
          <t>3d16277c2cfc0628d7ec79d04feee92735e5c503a3be195cb225c7c52d024308</t>
        </is>
      </c>
      <c r="BH319" s="24" t="inlineStr">
        <is>
          <t>2026-09-12T16:06:13.591085Z</t>
        </is>
      </c>
      <c r="BI319" s="24" t="inlineStr">
        <is>
          <t>["same_event","same_team_same_day","same_league_same_day"]</t>
        </is>
      </c>
      <c r="BJ319" s="25" t="n"/>
      <c r="BK319" s="26" t="n">
        <v>150</v>
      </c>
      <c r="BL319" s="27" t="n">
        <v>2.5</v>
      </c>
      <c r="BM319" s="28" t="n">
        <v>0.4</v>
      </c>
      <c r="BN319" s="28" t="n"/>
      <c r="BO319" s="28" t="n"/>
      <c r="BP319" s="25" t="n"/>
      <c r="BQ319" s="27" t="n">
        <v>2.5</v>
      </c>
      <c r="BR319" s="28" t="n">
        <v>0.4</v>
      </c>
      <c r="BS319" s="28" t="n"/>
      <c r="BT319" s="28" t="n"/>
      <c r="BU319" s="25" t="n"/>
      <c r="BV319" s="29" t="n"/>
      <c r="BW319" s="24" t="n"/>
      <c r="BX319" s="30" t="n">
        <v>1</v>
      </c>
      <c r="BY319" s="27" t="n">
        <v>1.5</v>
      </c>
      <c r="BZ319" s="24" t="inlineStr">
        <is>
          <t>2026-09-13T10:00:18.051914Z</t>
        </is>
      </c>
      <c r="CA319" s="31" t="inlineStr">
        <is>
          <t>fixed one-unit hypothetical scoring; no real exposure or execution</t>
        </is>
      </c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0.4</t>
        </is>
      </c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"3d16277c2cfc0628d7ec79d04feee92735e5c503a3be195cb225c7c52d024308", "away_team": "Houston Dynamo FC", "event_id": "761810", "event_start_utc": "2026-09-13T02:30Z", "features": {"away_goal_rate": 1.1026, "history_games": 9181, "home_goal_rate": 2.3094, "league_goals_per_team": 1.5536, "min_team_games": 83.0}, "historical_source_observation_times_verified": false, "home_team": "San Jose Earthquakes", "inference_inputs": {"away_rate": 1.1025736948075622, "code_sha256": {"models/soccer.py": "3d16277c2cfc0628d7ec79d04feee92735e5c503a3be195cb225c7c52d024308"}, "home_rate": 2.309388575889806, "sport": "SOCCER"}, "market_type": "moneyline", "model_version": "soccer-poisson-dc-v1", "observed_at_utc": "2026-09-12T22:41:44.815507+00:00", "probabilities": {"away": 0.159707, "draw": 0.204986, "home": 0.635307}, "replay_scope": "Exact full-precision serving state and rounding; upstream historical observation times are not certified.", "schema": "coded-moneyline-replay-v1", "snapshot_hash": "d110b39401518bd572fdadc9fc42834d8643c19e94bc57f55a5a4fd15f6fe946", "sport": "SOCCER"}</t>
        </is>
      </c>
    </row>
    <row r="320" ht="36" customHeight="1">
      <c r="A320" s="24" t="inlineStr">
        <is>
          <t>897482b1778b45b4</t>
        </is>
      </c>
      <c r="B320" s="24" t="inlineStr">
        <is>
          <t>2026-09-12T22:41:45.616998Z</t>
        </is>
      </c>
      <c r="C320" s="24" t="inlineStr">
        <is>
          <t>2026-09-12T23:30Z</t>
        </is>
      </c>
      <c r="D320" s="24" t="inlineStr">
        <is>
          <t>401841229</t>
        </is>
      </c>
      <c r="E320" s="24" t="inlineStr">
        <is>
          <t>SOCCER</t>
        </is>
      </c>
      <c r="F320" s="24" t="inlineStr">
        <is>
          <t>Red Bull Bragantino</t>
        </is>
      </c>
      <c r="G320" s="24" t="inlineStr">
        <is>
          <t>Botafogo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144</v>
      </c>
      <c r="M320" s="27" t="n">
        <v>2.44</v>
      </c>
      <c r="N320" s="28" t="n">
        <v>0.409836</v>
      </c>
      <c r="O320" s="28" t="n">
        <v>0.456135</v>
      </c>
      <c r="P320" s="28" t="n">
        <v>0.2</v>
      </c>
      <c r="Q320" s="28" t="n">
        <v>0.046299</v>
      </c>
      <c r="R320" s="26" t="n">
        <v>0</v>
      </c>
      <c r="S320" s="29" t="n">
        <v>1</v>
      </c>
      <c r="T320" s="24" t="inlineStr">
        <is>
          <t>soccer-poisson-dc-v1</t>
        </is>
      </c>
      <c r="U320" s="24" t="inlineStr">
        <is>
          <t>settled</t>
        </is>
      </c>
      <c r="V320" s="24" t="inlineStr">
        <is>
          <t>loss</t>
        </is>
      </c>
      <c r="W320" s="26" t="n">
        <v>1</v>
      </c>
      <c r="X320" s="26" t="n">
        <v>1</v>
      </c>
      <c r="Y320" s="25" t="n"/>
      <c r="Z320" s="26" t="n">
        <v>144</v>
      </c>
      <c r="AA320" s="28" t="n">
        <v>0.41</v>
      </c>
      <c r="AB320" s="28" t="n">
        <v>0.000164</v>
      </c>
      <c r="AC320" s="30" t="n">
        <v>-1</v>
      </c>
      <c r="AD320" s="24" t="inlineStr">
        <is>
          <t>2026-09-13T04:31:56.581923Z</t>
        </is>
      </c>
      <c r="AE320" s="31" t="inlineStr">
        <is>
          <t>Poisson-DC rates 1.64 (home) / 1.24 (away) from EWMA attack/defense strengths. Executable ask 0.4100 (atc-bra-bot-bra-2026-09-12-bot).</t>
        </is>
      </c>
      <c r="AF320" s="31" t="inlineStr">
        <is>
          <t>Research-only soccer score model; draw-aware, but not yet locked-holdout qualified.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PAPER_CALL_MODEL_UNVALIDATED</t>
        </is>
      </c>
      <c r="AP320" s="24" t="inlineStr">
        <is>
          <t>Red Bull Bragantino</t>
        </is>
      </c>
      <c r="AQ320" s="24" t="inlineStr">
        <is>
          <t>Red Bull Bragantino</t>
        </is>
      </c>
      <c r="AR320" s="24" t="inlineStr">
        <is>
          <t>Red Bull Bragantino</t>
        </is>
      </c>
      <c r="AS320" s="24" t="inlineStr">
        <is>
          <t>Botafogo</t>
        </is>
      </c>
      <c r="AT320" s="24" t="inlineStr">
        <is>
          <t>Botafogo</t>
        </is>
      </c>
      <c r="AU320" s="24" t="inlineStr">
        <is>
          <t>Botafogo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3d16277c2cfc0628d7ec79d04feee92735e5c503a3be195cb225c7c52d024308</t>
        </is>
      </c>
      <c r="BB320" s="24" t="inlineStr">
        <is>
          <t>poisson_dixon_coles</t>
        </is>
      </c>
      <c r="BC320" s="24" t="inlineStr">
        <is>
          <t>soccer-poisson-dc-v1</t>
        </is>
      </c>
      <c r="BD320" s="24" t="inlineStr">
        <is>
          <t>3d16277c2cfc0628d7ec79d04feee92735e5c503a3be195cb225c7c52d024308</t>
        </is>
      </c>
      <c r="BE320" s="24" t="inlineStr">
        <is>
          <t>soccer-poisson-dc-v1</t>
        </is>
      </c>
      <c r="BF320" s="24" t="inlineStr">
        <is>
          <t>1</t>
        </is>
      </c>
      <c r="BG320" s="24" t="inlineStr">
        <is>
          <t>3d16277c2cfc0628d7ec79d04feee92735e5c503a3be195cb225c7c52d024308</t>
        </is>
      </c>
      <c r="BH320" s="24" t="inlineStr">
        <is>
          <t>2026-09-12T16:06:14.346258Z</t>
        </is>
      </c>
      <c r="BI320" s="24" t="inlineStr">
        <is>
          <t>["same_event","same_team_same_day","same_league_same_day"]</t>
        </is>
      </c>
      <c r="BJ320" s="25" t="n"/>
      <c r="BK320" s="26" t="n">
        <v>144</v>
      </c>
      <c r="BL320" s="27" t="n">
        <v>2.44</v>
      </c>
      <c r="BM320" s="28" t="n">
        <v>0.409836</v>
      </c>
      <c r="BN320" s="28" t="n"/>
      <c r="BO320" s="28" t="n"/>
      <c r="BP320" s="25" t="n"/>
      <c r="BQ320" s="27" t="n">
        <v>2.44</v>
      </c>
      <c r="BR320" s="28" t="n">
        <v>0.41</v>
      </c>
      <c r="BS320" s="28" t="n"/>
      <c r="BT320" s="28" t="n"/>
      <c r="BU320" s="25" t="n"/>
      <c r="BV320" s="29" t="n"/>
      <c r="BW320" s="24" t="n"/>
      <c r="BX320" s="30" t="n">
        <v>1</v>
      </c>
      <c r="BY320" s="27" t="n">
        <v>-1</v>
      </c>
      <c r="BZ320" s="24" t="inlineStr">
        <is>
          <t>2026-09-13T04:31:56.581923Z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0.409836</t>
        </is>
      </c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"3d16277c2cfc0628d7ec79d04feee92735e5c503a3be195cb225c7c52d024308", "away_team": "Red Bull Bragantino", "event_id": "401841229", "event_start_utc": "2026-09-12T23:30Z", "features": {"away_goal_rate": 1.2418, "history_games": 9181, "home_goal_rate": 1.6423, "league_goals_per_team": 1.4281, "min_team_games": 0.0}, "historical_source_observation_times_verified": false, "home_team": "Botafogo",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"5c3c70449c7cf3356e12c075dd2d32a351582d6b98e9998526b148698a77b4ac", "sport": "SOCCER"}</t>
        </is>
      </c>
    </row>
    <row r="321" ht="36" customHeight="1">
      <c r="A321" s="24" t="inlineStr">
        <is>
          <t>464f3f88b6074701</t>
        </is>
      </c>
      <c r="B321" s="24" t="inlineStr">
        <is>
          <t>2026-09-12T22:41:45.616998Z</t>
        </is>
      </c>
      <c r="C321" s="24" t="inlineStr">
        <is>
          <t>2026-09-13T00:00Z</t>
        </is>
      </c>
      <c r="D321" s="24" t="inlineStr">
        <is>
          <t>401841233</t>
        </is>
      </c>
      <c r="E321" s="24" t="inlineStr">
        <is>
          <t>SOCCER</t>
        </is>
      </c>
      <c r="F321" s="24" t="inlineStr">
        <is>
          <t>Cruzeiro</t>
        </is>
      </c>
      <c r="G321" s="24" t="inlineStr">
        <is>
          <t>Santos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186</v>
      </c>
      <c r="M321" s="27" t="n">
        <v>2.86</v>
      </c>
      <c r="N321" s="28" t="n">
        <v>0.34965</v>
      </c>
      <c r="O321" s="28" t="n">
        <v>0.456135</v>
      </c>
      <c r="P321" s="28" t="n">
        <v>0.2</v>
      </c>
      <c r="Q321" s="28" t="n">
        <v>0.106485</v>
      </c>
      <c r="R321" s="26" t="n">
        <v>0</v>
      </c>
      <c r="S321" s="29" t="n">
        <v>1</v>
      </c>
      <c r="T321" s="24" t="inlineStr">
        <is>
          <t>soccer-poisson-dc-v1</t>
        </is>
      </c>
      <c r="U321" s="24" t="inlineStr">
        <is>
          <t>settled</t>
        </is>
      </c>
      <c r="V321" s="24" t="inlineStr">
        <is>
          <t>win</t>
        </is>
      </c>
      <c r="W321" s="26" t="n">
        <v>1</v>
      </c>
      <c r="X321" s="26" t="n">
        <v>2</v>
      </c>
      <c r="Y321" s="25" t="n"/>
      <c r="Z321" s="26" t="n">
        <v>186</v>
      </c>
      <c r="AA321" s="28" t="n">
        <v>0.35</v>
      </c>
      <c r="AB321" s="28" t="n">
        <v>0.00035</v>
      </c>
      <c r="AC321" s="30" t="n">
        <v>1.86</v>
      </c>
      <c r="AD321" s="24" t="inlineStr">
        <is>
          <t>2026-09-13T04:31:57.866649Z</t>
        </is>
      </c>
      <c r="AE321" s="31" t="inlineStr">
        <is>
          <t>Poisson-DC rates 1.64 (home) / 1.24 (away) from EWMA attack/defense strengths. Executable ask 0.3500 (atc-bra-san-cru-2026-09-12-san).</t>
        </is>
      </c>
      <c r="AF321" s="31" t="inlineStr">
        <is>
          <t>Research-only soccer score model; draw-aware, but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PAPER_CALL_MODEL_UNVALIDATED</t>
        </is>
      </c>
      <c r="AP321" s="24" t="inlineStr">
        <is>
          <t>Cruzeiro</t>
        </is>
      </c>
      <c r="AQ321" s="24" t="inlineStr">
        <is>
          <t>Cruzeiro</t>
        </is>
      </c>
      <c r="AR321" s="24" t="inlineStr">
        <is>
          <t>Cruzeiro</t>
        </is>
      </c>
      <c r="AS321" s="24" t="inlineStr">
        <is>
          <t>Santos</t>
        </is>
      </c>
      <c r="AT321" s="24" t="inlineStr">
        <is>
          <t>Santos</t>
        </is>
      </c>
      <c r="AU321" s="24" t="inlineStr">
        <is>
          <t>Santos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3d16277c2cfc0628d7ec79d04feee92735e5c503a3be195cb225c7c52d024308</t>
        </is>
      </c>
      <c r="BB321" s="24" t="inlineStr">
        <is>
          <t>poisson_dixon_coles</t>
        </is>
      </c>
      <c r="BC321" s="24" t="inlineStr">
        <is>
          <t>soccer-poisson-dc-v1</t>
        </is>
      </c>
      <c r="BD321" s="24" t="inlineStr">
        <is>
          <t>3d16277c2cfc0628d7ec79d04feee92735e5c503a3be195cb225c7c52d024308</t>
        </is>
      </c>
      <c r="BE321" s="24" t="inlineStr">
        <is>
          <t>soccer-poisson-dc-v1</t>
        </is>
      </c>
      <c r="BF321" s="24" t="inlineStr">
        <is>
          <t>1</t>
        </is>
      </c>
      <c r="BG321" s="24" t="inlineStr">
        <is>
          <t>3d16277c2cfc0628d7ec79d04feee92735e5c503a3be195cb225c7c52d024308</t>
        </is>
      </c>
      <c r="BH321" s="24" t="inlineStr">
        <is>
          <t>2026-09-12T16:06:14.384301Z</t>
        </is>
      </c>
      <c r="BI321" s="24" t="inlineStr">
        <is>
          <t>["same_event","same_team_same_day","same_league_same_day"]</t>
        </is>
      </c>
      <c r="BJ321" s="25" t="n"/>
      <c r="BK321" s="26" t="n">
        <v>186</v>
      </c>
      <c r="BL321" s="27" t="n">
        <v>2.86</v>
      </c>
      <c r="BM321" s="28" t="n">
        <v>0.34965</v>
      </c>
      <c r="BN321" s="28" t="n"/>
      <c r="BO321" s="28" t="n"/>
      <c r="BP321" s="25" t="n"/>
      <c r="BQ321" s="27" t="n">
        <v>2.86</v>
      </c>
      <c r="BR321" s="28" t="n">
        <v>0.35</v>
      </c>
      <c r="BS321" s="28" t="n"/>
      <c r="BT321" s="28" t="n"/>
      <c r="BU321" s="25" t="n"/>
      <c r="BV321" s="29" t="n"/>
      <c r="BW321" s="24" t="n"/>
      <c r="BX321" s="30" t="n">
        <v>1</v>
      </c>
      <c r="BY321" s="27" t="n">
        <v>1.860003</v>
      </c>
      <c r="BZ321" s="24" t="inlineStr">
        <is>
          <t>2026-09-13T04:31:57.866649Z</t>
        </is>
      </c>
      <c r="CA321" s="31" t="inlineStr">
        <is>
          <t>fixed one-unit hypothetical scoring; no real exposure or execution</t>
        </is>
      </c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0.34965</t>
        </is>
      </c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"3d16277c2cfc0628d7ec79d04feee92735e5c503a3be195cb225c7c52d024308", "away_team": "Cruzeiro", "event_id": "401841233", "event_start_utc": "2026-09-13T00:00Z", "features": {"away_goal_rate": 1.2418, "history_games": 9181, "home_goal_rate": 1.6423, "league_goals_per_team": 1.4281, "min_team_games": 0.0}, "historical_source_observation_times_verified": false, "home_team": "Santos",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"a24d9723056792db986f4175ddf906b824a083858812efc5596bd91b8f08b327", "sport": "SOCCER"}</t>
        </is>
      </c>
    </row>
    <row r="322" ht="36" customHeight="1">
      <c r="A322" s="24" t="inlineStr">
        <is>
          <t>8dc8afd9c5bf4835</t>
        </is>
      </c>
      <c r="B322" s="24" t="inlineStr">
        <is>
          <t>2026-09-12T22:41:45.616998Z</t>
        </is>
      </c>
      <c r="C322" s="24" t="inlineStr">
        <is>
          <t>2026-09-13T01:00Z</t>
        </is>
      </c>
      <c r="D322" s="24" t="inlineStr">
        <is>
          <t>401886202</t>
        </is>
      </c>
      <c r="E322" s="24" t="inlineStr">
        <is>
          <t>SOCCER</t>
        </is>
      </c>
      <c r="F322" s="24" t="inlineStr">
        <is>
          <t>Universitario</t>
        </is>
      </c>
      <c r="G322" s="24" t="inlineStr">
        <is>
          <t>Alianza Lima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144</v>
      </c>
      <c r="M322" s="27" t="n">
        <v>2.44</v>
      </c>
      <c r="N322" s="28" t="n">
        <v>0.409836</v>
      </c>
      <c r="O322" s="28" t="n">
        <v>0.430486</v>
      </c>
      <c r="P322" s="28" t="n">
        <v>0.2</v>
      </c>
      <c r="Q322" s="28" t="n">
        <v>0.02065</v>
      </c>
      <c r="R322" s="26" t="n">
        <v>0</v>
      </c>
      <c r="S322" s="29" t="n">
        <v>1</v>
      </c>
      <c r="T322" s="24" t="inlineStr">
        <is>
          <t>soccer-poisson-dc-v1</t>
        </is>
      </c>
      <c r="U322" s="24" t="inlineStr">
        <is>
          <t>settled</t>
        </is>
      </c>
      <c r="V322" s="24" t="inlineStr">
        <is>
          <t>loss</t>
        </is>
      </c>
      <c r="W322" s="26" t="n">
        <v>2</v>
      </c>
      <c r="X322" s="26" t="n">
        <v>1</v>
      </c>
      <c r="Y322" s="25" t="n"/>
      <c r="Z322" s="26" t="n">
        <v>144</v>
      </c>
      <c r="AA322" s="28" t="n">
        <v>0.41</v>
      </c>
      <c r="AB322" s="28" t="n">
        <v>0.000164</v>
      </c>
      <c r="AC322" s="30" t="n">
        <v>-1</v>
      </c>
      <c r="AD322" s="24" t="inlineStr">
        <is>
          <t>2026-09-13T04:31:59.174356Z</t>
        </is>
      </c>
      <c r="AE322" s="31" t="inlineStr">
        <is>
          <t>Poisson-DC rates 1.59 (home) / 1.30 (away) from EWMA attack/defense strengths. Executable ask 0.4100 (atc-pl1-ali-uni-2026-09-12-ali).</t>
        </is>
      </c>
      <c r="AF322" s="31" t="inlineStr">
        <is>
          <t>Research-only soccer score model; draw-aware, but not yet locked-holdout qualified.</t>
        </is>
      </c>
      <c r="AG322" s="24" t="inlineStr">
        <is>
          <t>review_required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PAPER_CALL_MODEL_UNVALIDATED</t>
        </is>
      </c>
      <c r="AP322" s="24" t="inlineStr">
        <is>
          <t>Universitario</t>
        </is>
      </c>
      <c r="AQ322" s="24" t="inlineStr">
        <is>
          <t>Universitario</t>
        </is>
      </c>
      <c r="AR322" s="24" t="inlineStr">
        <is>
          <t>Universitario</t>
        </is>
      </c>
      <c r="AS322" s="24" t="inlineStr">
        <is>
          <t>Alianza Lima</t>
        </is>
      </c>
      <c r="AT322" s="24" t="inlineStr">
        <is>
          <t>Alianza Lima</t>
        </is>
      </c>
      <c r="AU322" s="24" t="inlineStr">
        <is>
          <t>Alianza Lima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3d16277c2cfc0628d7ec79d04feee92735e5c503a3be195cb225c7c52d024308</t>
        </is>
      </c>
      <c r="BB322" s="24" t="inlineStr">
        <is>
          <t>poisson_dixon_coles</t>
        </is>
      </c>
      <c r="BC322" s="24" t="inlineStr">
        <is>
          <t>soccer-poisson-dc-v1</t>
        </is>
      </c>
      <c r="BD322" s="24" t="inlineStr">
        <is>
          <t>3d16277c2cfc0628d7ec79d04feee92735e5c503a3be195cb225c7c52d024308</t>
        </is>
      </c>
      <c r="BE322" s="24" t="inlineStr">
        <is>
          <t>soccer-poisson-dc-v1</t>
        </is>
      </c>
      <c r="BF322" s="24" t="inlineStr">
        <is>
          <t>1</t>
        </is>
      </c>
      <c r="BG322" s="24" t="inlineStr">
        <is>
          <t>3d16277c2cfc0628d7ec79d04feee92735e5c503a3be195cb225c7c52d024308</t>
        </is>
      </c>
      <c r="BH322" s="24" t="inlineStr">
        <is>
          <t>2026-09-12T16:06:14.711057Z</t>
        </is>
      </c>
      <c r="BI322" s="24" t="inlineStr">
        <is>
          <t>["same_event","same_team_same_day","same_league_same_day"]</t>
        </is>
      </c>
      <c r="BJ322" s="25" t="n"/>
      <c r="BK322" s="26" t="n">
        <v>144</v>
      </c>
      <c r="BL322" s="27" t="n">
        <v>2.44</v>
      </c>
      <c r="BM322" s="28" t="n">
        <v>0.409836</v>
      </c>
      <c r="BN322" s="28" t="n"/>
      <c r="BO322" s="28" t="n"/>
      <c r="BP322" s="25" t="n"/>
      <c r="BQ322" s="27" t="n">
        <v>2.44</v>
      </c>
      <c r="BR322" s="28" t="n">
        <v>0.41</v>
      </c>
      <c r="BS322" s="28" t="n"/>
      <c r="BT322" s="28" t="n"/>
      <c r="BU322" s="25" t="n"/>
      <c r="BV322" s="29" t="n"/>
      <c r="BW322" s="24" t="n"/>
      <c r="BX322" s="30" t="n">
        <v>1</v>
      </c>
      <c r="BY322" s="27" t="n">
        <v>-1</v>
      </c>
      <c r="BZ322" s="24" t="inlineStr">
        <is>
          <t>2026-09-13T04:31:59.174356Z</t>
        </is>
      </c>
      <c r="CA322" s="31" t="inlineStr">
        <is>
          <t>fixed one-unit hypothetical scoring; no real exposure or execution</t>
        </is>
      </c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0.409836</t>
        </is>
      </c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"3d16277c2cfc0628d7ec79d04feee92735e5c503a3be195cb225c7c52d024308", "away_team": "Universitario", "event_id": "401886202", "event_start_utc": "2026-09-13T01:00Z", "features": {"away_goal_rate": 1.297, "history_games": 9181, "home_goal_rate": 1.5876, "league_goals_per_team": 1.4281, "min_team_games": 0.0}, "historical_source_observation_times_verified": false, "home_team": "Alianza Lima",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"2026-09-12T22:41:44.815507+00:00", "probabilities": {"away": 0.30089, "draw": 0.268624, "home": 0.430486}, "replay_scope": "Exact full-precision serving state and rounding; upstream historical observation times are not certified.", "schema": "coded-moneyline-replay-v1", "snapshot_hash": "612c250d09ac0d9507d3ab320dcd4740864e0f6464ab30ca105c8580866fc459", "sport": "SOCCER"}</t>
        </is>
      </c>
    </row>
    <row r="323" ht="36" customHeight="1">
      <c r="A323" s="24" t="inlineStr">
        <is>
          <t>2bf464a33f9f4f60</t>
        </is>
      </c>
      <c r="B323" s="24" t="inlineStr">
        <is>
          <t>2026-09-13T10:26:30.359399Z</t>
        </is>
      </c>
      <c r="C323" s="24" t="inlineStr">
        <is>
          <t>2026-09-13T13:00Z</t>
        </is>
      </c>
      <c r="D323" s="24" t="inlineStr">
        <is>
          <t>401874936</t>
        </is>
      </c>
      <c r="E323" s="24" t="inlineStr">
        <is>
          <t>SOCCER</t>
        </is>
      </c>
      <c r="F323" s="24" t="inlineStr">
        <is>
          <t>Monza</t>
        </is>
      </c>
      <c r="G323" s="24" t="inlineStr">
        <is>
          <t>Lecce</t>
        </is>
      </c>
      <c r="H323" s="24" t="inlineStr">
        <is>
          <t>total</t>
        </is>
      </c>
      <c r="I323" s="24" t="inlineStr">
        <is>
          <t>under</t>
        </is>
      </c>
      <c r="J323" s="25" t="n">
        <v>2.5</v>
      </c>
      <c r="K323" s="24" t="inlineStr">
        <is>
          <t>polymarket_us</t>
        </is>
      </c>
      <c r="L323" s="26" t="n">
        <v>-9900</v>
      </c>
      <c r="M323" s="27" t="n">
        <v>1.010101</v>
      </c>
      <c r="N323" s="28" t="n">
        <v>0.99</v>
      </c>
      <c r="O323" s="28" t="n">
        <v>0.633481</v>
      </c>
      <c r="P323" s="28" t="n">
        <v>0.04</v>
      </c>
      <c r="Q323" s="28" t="n">
        <v>-0.356519</v>
      </c>
      <c r="R323" s="26" t="n">
        <v>0</v>
      </c>
      <c r="S323" s="29" t="n">
        <v>1</v>
      </c>
      <c r="T323" s="24" t="inlineStr">
        <is>
          <t>soccer-poisson-dc-v1</t>
        </is>
      </c>
      <c r="U323" s="24" t="inlineStr">
        <is>
          <t>settled</t>
        </is>
      </c>
      <c r="V323" s="24" t="inlineStr">
        <is>
          <t>loss</t>
        </is>
      </c>
      <c r="W323" s="26" t="n">
        <v>2</v>
      </c>
      <c r="X323" s="26" t="n">
        <v>3</v>
      </c>
      <c r="Y323" s="25" t="n"/>
      <c r="Z323" s="26" t="n">
        <v>-9900</v>
      </c>
      <c r="AA323" s="28" t="n">
        <v>0.99</v>
      </c>
      <c r="AB323" s="28" t="n">
        <v>0</v>
      </c>
      <c r="AC323" s="30" t="n">
        <v>-1</v>
      </c>
      <c r="AD323" s="24" t="inlineStr">
        <is>
          <t>2026-09-13T16:00:13.989171Z</t>
        </is>
      </c>
      <c r="AE323" s="31" t="inlineStr">
        <is>
          <t>Poisson-DC rates 1.53 (home) / 0.63 (away) from EWMA attack/defense strengths. Executable ask 0.9900 (tsc-sea-lec-mon-2026-09-13-sh-2pt5).</t>
        </is>
      </c>
      <c r="AF323" s="31" t="inlineStr">
        <is>
          <t>Research-only soccer score model; draw-aware, but not yet locked-holdout qualified.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Monza</t>
        </is>
      </c>
      <c r="AQ323" s="24" t="inlineStr">
        <is>
          <t>Monza</t>
        </is>
      </c>
      <c r="AR323" s="24" t="inlineStr">
        <is>
          <t>Monza</t>
        </is>
      </c>
      <c r="AS323" s="24" t="inlineStr">
        <is>
          <t>Lecce</t>
        </is>
      </c>
      <c r="AT323" s="24" t="inlineStr">
        <is>
          <t>Lecce</t>
        </is>
      </c>
      <c r="AU323" s="24" t="inlineStr">
        <is>
          <t>Lecce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3d16277c2cfc0628d7ec79d04feee92735e5c503a3be195cb225c7c52d024308</t>
        </is>
      </c>
      <c r="BB323" s="24" t="inlineStr">
        <is>
          <t>poisson_dixon_coles</t>
        </is>
      </c>
      <c r="BC323" s="24" t="inlineStr">
        <is>
          <t>soccer-poisson-dc-v1</t>
        </is>
      </c>
      <c r="BD323" s="24" t="inlineStr">
        <is>
          <t>3d16277c2cfc0628d7ec79d04feee92735e5c503a3be195cb225c7c52d024308</t>
        </is>
      </c>
      <c r="BE323" s="24" t="inlineStr">
        <is>
          <t>soccer-poisson-dc-v1</t>
        </is>
      </c>
      <c r="BF323" s="24" t="inlineStr">
        <is>
          <t>1</t>
        </is>
      </c>
      <c r="BG323" s="24" t="inlineStr">
        <is>
          <t>3d16277c2cfc0628d7ec79d04feee92735e5c503a3be195cb225c7c52d024308</t>
        </is>
      </c>
      <c r="BH323" s="24" t="inlineStr">
        <is>
          <t>2026-09-13T10:21:48.293296Z</t>
        </is>
      </c>
      <c r="BI323" s="24" t="inlineStr">
        <is>
          <t>["same_event","same_team_same_day","same_league_same_day"]</t>
        </is>
      </c>
      <c r="BJ323" s="25" t="n">
        <v>2.5</v>
      </c>
      <c r="BK323" s="26" t="n">
        <v>-9900</v>
      </c>
      <c r="BL323" s="27" t="n">
        <v>1.010101</v>
      </c>
      <c r="BM323" s="28" t="n">
        <v>0.99</v>
      </c>
      <c r="BN323" s="28" t="n"/>
      <c r="BO323" s="28" t="n"/>
      <c r="BP323" s="25" t="n"/>
      <c r="BQ323" s="27" t="n">
        <v>1.010101</v>
      </c>
      <c r="BR323" s="28" t="n">
        <v>0.99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-1</v>
      </c>
      <c r="BZ323" s="24" t="inlineStr">
        <is>
          <t>2026-09-13T16:00:13.989171Z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0.99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063af3f4664d441f</t>
        </is>
      </c>
      <c r="B324" s="24" t="inlineStr">
        <is>
          <t>2026-09-13T10:26:30.359399Z</t>
        </is>
      </c>
      <c r="C324" s="24" t="inlineStr">
        <is>
          <t>2026-09-13T14:15Z</t>
        </is>
      </c>
      <c r="D324" s="24" t="inlineStr">
        <is>
          <t>401882883</t>
        </is>
      </c>
      <c r="E324" s="24" t="inlineStr">
        <is>
          <t>SOCCER</t>
        </is>
      </c>
      <c r="F324" s="24" t="inlineStr">
        <is>
          <t>Barcelona</t>
        </is>
      </c>
      <c r="G324" s="24" t="inlineStr">
        <is>
          <t>Levante</t>
        </is>
      </c>
      <c r="H324" s="24" t="inlineStr">
        <is>
          <t>moneyline</t>
        </is>
      </c>
      <c r="I324" s="24" t="inlineStr">
        <is>
          <t>away</t>
        </is>
      </c>
      <c r="J324" s="25" t="n"/>
      <c r="K324" s="24" t="inlineStr">
        <is>
          <t>polymarket_us</t>
        </is>
      </c>
      <c r="L324" s="26" t="n">
        <v>-567</v>
      </c>
      <c r="M324" s="27" t="n">
        <v>1.176367</v>
      </c>
      <c r="N324" s="28" t="n">
        <v>0.850075</v>
      </c>
      <c r="O324" s="28" t="n">
        <v>0.5914970000000001</v>
      </c>
      <c r="P324" s="28" t="n">
        <v>0.04</v>
      </c>
      <c r="Q324" s="28" t="n">
        <v>-0.258578</v>
      </c>
      <c r="R324" s="26" t="n">
        <v>0</v>
      </c>
      <c r="S324" s="29" t="n">
        <v>1</v>
      </c>
      <c r="T324" s="24" t="inlineStr">
        <is>
          <t>soccer-poisson-dc-v1</t>
        </is>
      </c>
      <c r="U324" s="24" t="inlineStr">
        <is>
          <t>settled</t>
        </is>
      </c>
      <c r="V324" s="24" t="inlineStr">
        <is>
          <t>win</t>
        </is>
      </c>
      <c r="W324" s="26" t="n">
        <v>4</v>
      </c>
      <c r="X324" s="26" t="n">
        <v>2</v>
      </c>
      <c r="Y324" s="25" t="n"/>
      <c r="Z324" s="26" t="n">
        <v>525</v>
      </c>
      <c r="AA324" s="28" t="n">
        <v>0.16</v>
      </c>
      <c r="AB324" s="28" t="n">
        <v>-0.690075</v>
      </c>
      <c r="AC324" s="30" t="n">
        <v>0.1764</v>
      </c>
      <c r="AD324" s="24" t="inlineStr">
        <is>
          <t>2026-09-13T22:00:20.247693Z</t>
        </is>
      </c>
      <c r="AE324" s="31" t="inlineStr">
        <is>
          <t>Poisson-DC rates 1.14 (home) / 2.13 (away) from EWMA attack/defense strengths. Executable ask 0.8500 (atc-lal-lev-fcb-2026-09-13-fcb).</t>
        </is>
      </c>
      <c r="AF324" s="31" t="inlineStr">
        <is>
          <t>Research-only soccer score model; draw-aware, but not yet locked-holdout qualified.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Barcelona</t>
        </is>
      </c>
      <c r="AQ324" s="24" t="inlineStr">
        <is>
          <t>Barcelona</t>
        </is>
      </c>
      <c r="AR324" s="24" t="inlineStr">
        <is>
          <t>Barcelona</t>
        </is>
      </c>
      <c r="AS324" s="24" t="inlineStr">
        <is>
          <t>Levante</t>
        </is>
      </c>
      <c r="AT324" s="24" t="inlineStr">
        <is>
          <t>Levante</t>
        </is>
      </c>
      <c r="AU324" s="24" t="inlineStr">
        <is>
          <t>Levante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3d16277c2cfc0628d7ec79d04feee92735e5c503a3be195cb225c7c52d024308</t>
        </is>
      </c>
      <c r="BB324" s="24" t="inlineStr">
        <is>
          <t>poisson_dixon_coles</t>
        </is>
      </c>
      <c r="BC324" s="24" t="inlineStr">
        <is>
          <t>soccer-poisson-dc-v1</t>
        </is>
      </c>
      <c r="BD324" s="24" t="inlineStr">
        <is>
          <t>3d16277c2cfc0628d7ec79d04feee92735e5c503a3be195cb225c7c52d024308</t>
        </is>
      </c>
      <c r="BE324" s="24" t="inlineStr">
        <is>
          <t>soccer-poisson-dc-v1</t>
        </is>
      </c>
      <c r="BF324" s="24" t="inlineStr">
        <is>
          <t>1</t>
        </is>
      </c>
      <c r="BG324" s="24" t="inlineStr">
        <is>
          <t>3d16277c2cfc0628d7ec79d04feee92735e5c503a3be195cb225c7c52d024308</t>
        </is>
      </c>
      <c r="BH324" s="24" t="inlineStr">
        <is>
          <t>2026-09-13T10:21:15.131054Z</t>
        </is>
      </c>
      <c r="BI324" s="24" t="inlineStr">
        <is>
          <t>["same_event","same_team_same_day","same_league_same_day"]</t>
        </is>
      </c>
      <c r="BJ324" s="25" t="n"/>
      <c r="BK324" s="26" t="n">
        <v>-567</v>
      </c>
      <c r="BL324" s="27" t="n">
        <v>1.176367</v>
      </c>
      <c r="BM324" s="28" t="n">
        <v>0.850075</v>
      </c>
      <c r="BN324" s="28" t="n"/>
      <c r="BO324" s="28" t="n"/>
      <c r="BP324" s="25" t="n"/>
      <c r="BQ324" s="27" t="n">
        <v>6.25</v>
      </c>
      <c r="BR324" s="28" t="n">
        <v>0.16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0.176367</v>
      </c>
      <c r="BZ324" s="24" t="inlineStr">
        <is>
          <t>2026-09-13T22:00:20.247693Z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0.850075</t>
        </is>
      </c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"3d16277c2cfc0628d7ec79d04feee92735e5c503a3be195cb225c7c52d024308", "away_team": "Barcelona", "event_id": "401882883", "event_start_utc": "2026-09-13T14:15Z", "features": {"away_goal_rate": 2.1333, "history_games": 9181, "home_goal_rate": 1.1401, "league_goals_per_team": 1.325, "min_team_games": 38.0}, "historical_source_observation_times_verified": false, "home_team": "Levante", "inference_inputs": {"away_rate": 2.1333355935767804, "code_sha256": {"models/soccer.py": "3d16277c2cfc0628d7ec79d04feee92735e5c503a3be195cb225c7c52d024308"}, "home_rate": 1.1401242543090682, "sport": "SOCCER"}, "market_type": "moneyline", "model_version": "soccer-poisson-dc-v1", "observed_at_utc": "2026-09-13T10:26:29.598641+00:00", "probabilities": {"away": 0.591497, "draw": 0.222122, "home": 0.186381}, "replay_scope": "Exact full-precision serving state and rounding; upstream historical observation times are not certified.", "schema": "coded-moneyline-replay-v1", "snapshot_hash": "52a85397e80c758e29b466290802549753c75f4feae2f8da0b55d636c50cc06d", "sport": "SOCCER"}</t>
        </is>
      </c>
    </row>
    <row r="325" ht="36" customHeight="1">
      <c r="A325" s="24" t="inlineStr">
        <is>
          <t>33356d2c23004be3</t>
        </is>
      </c>
      <c r="B325" s="24" t="inlineStr">
        <is>
          <t>2026-09-13T10:26:30.359399Z</t>
        </is>
      </c>
      <c r="C325" s="24" t="inlineStr">
        <is>
          <t>2026-09-13T13:00Z</t>
        </is>
      </c>
      <c r="D325" s="24" t="inlineStr">
        <is>
          <t>401916230</t>
        </is>
      </c>
      <c r="E325" s="24" t="inlineStr">
        <is>
          <t>SOCCER</t>
        </is>
      </c>
      <c r="F325" s="24" t="inlineStr">
        <is>
          <t>Cerro</t>
        </is>
      </c>
      <c r="G325" s="24" t="inlineStr">
        <is>
          <t>Progreso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150</v>
      </c>
      <c r="M325" s="27" t="n">
        <v>2.5</v>
      </c>
      <c r="N325" s="28" t="n">
        <v>0.4</v>
      </c>
      <c r="O325" s="28" t="n">
        <v>0.459261</v>
      </c>
      <c r="P325" s="28" t="n">
        <v>0.2</v>
      </c>
      <c r="Q325" s="28" t="n">
        <v>0.059261</v>
      </c>
      <c r="R325" s="26" t="n">
        <v>0</v>
      </c>
      <c r="S325" s="29" t="n">
        <v>1</v>
      </c>
      <c r="T325" s="24" t="inlineStr">
        <is>
          <t>soccer-poisson-dc-v1</t>
        </is>
      </c>
      <c r="U325" s="24" t="inlineStr">
        <is>
          <t>settled</t>
        </is>
      </c>
      <c r="V325" s="24" t="inlineStr">
        <is>
          <t>loss</t>
        </is>
      </c>
      <c r="W325" s="26" t="n">
        <v>3</v>
      </c>
      <c r="X325" s="26" t="n">
        <v>1</v>
      </c>
      <c r="Y325" s="25" t="n"/>
      <c r="Z325" s="26" t="n">
        <v>150</v>
      </c>
      <c r="AA325" s="28" t="n">
        <v>0.4</v>
      </c>
      <c r="AB325" s="28" t="n">
        <v>0</v>
      </c>
      <c r="AC325" s="30" t="n">
        <v>-1</v>
      </c>
      <c r="AD325" s="24" t="inlineStr">
        <is>
          <t>2026-09-13T16:00:16.033592Z</t>
        </is>
      </c>
      <c r="AE325" s="31" t="inlineStr">
        <is>
          <t>Poisson-DC rates 1.43 (home) / 0.99 (away) from EWMA attack/defense strengths. Executable ask 0.4000 (atc-uru1-pro-cer-2026-09-13-pro).</t>
        </is>
      </c>
      <c r="AF325" s="31" t="inlineStr">
        <is>
          <t>Research-only soccer score model; draw-aware, but not yet locked-holdout qualified.</t>
        </is>
      </c>
      <c r="AG325" s="24" t="inlineStr">
        <is>
          <t>review_required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Cerro</t>
        </is>
      </c>
      <c r="AQ325" s="24" t="inlineStr">
        <is>
          <t>Cerro</t>
        </is>
      </c>
      <c r="AR325" s="24" t="inlineStr">
        <is>
          <t>Cerro</t>
        </is>
      </c>
      <c r="AS325" s="24" t="inlineStr">
        <is>
          <t>Progreso</t>
        </is>
      </c>
      <c r="AT325" s="24" t="inlineStr">
        <is>
          <t>Progreso</t>
        </is>
      </c>
      <c r="AU325" s="24" t="inlineStr">
        <is>
          <t>Progreso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3d16277c2cfc0628d7ec79d04feee92735e5c503a3be195cb225c7c52d024308</t>
        </is>
      </c>
      <c r="BB325" s="24" t="inlineStr">
        <is>
          <t>poisson_dixon_coles</t>
        </is>
      </c>
      <c r="BC325" s="24" t="inlineStr">
        <is>
          <t>soccer-poisson-dc-v1</t>
        </is>
      </c>
      <c r="BD325" s="24" t="inlineStr">
        <is>
          <t>3d16277c2cfc0628d7ec79d04feee92735e5c503a3be195cb225c7c52d024308</t>
        </is>
      </c>
      <c r="BE325" s="24" t="inlineStr">
        <is>
          <t>soccer-poisson-dc-v1</t>
        </is>
      </c>
      <c r="BF325" s="24" t="inlineStr">
        <is>
          <t>1</t>
        </is>
      </c>
      <c r="BG325" s="24" t="inlineStr">
        <is>
          <t>3d16277c2cfc0628d7ec79d04feee92735e5c503a3be195cb225c7c52d024308</t>
        </is>
      </c>
      <c r="BH325" s="24" t="inlineStr">
        <is>
          <t>2026-09-13T10:23:05.094588Z</t>
        </is>
      </c>
      <c r="BI325" s="24" t="inlineStr">
        <is>
          <t>["same_event","same_team_same_day","same_league_same_day"]</t>
        </is>
      </c>
      <c r="BJ325" s="25" t="n"/>
      <c r="BK325" s="26" t="n">
        <v>150</v>
      </c>
      <c r="BL325" s="27" t="n">
        <v>2.5</v>
      </c>
      <c r="BM325" s="28" t="n">
        <v>0.4</v>
      </c>
      <c r="BN325" s="28" t="n"/>
      <c r="BO325" s="28" t="n"/>
      <c r="BP325" s="25" t="n"/>
      <c r="BQ325" s="27" t="n">
        <v>2.5</v>
      </c>
      <c r="BR325" s="28" t="n">
        <v>0.4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-1</v>
      </c>
      <c r="BZ325" s="24" t="inlineStr">
        <is>
          <t>2026-09-13T16:00:16.033592Z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</t>
        </is>
      </c>
      <c r="DK325" s="24" t="n"/>
      <c r="DL325" s="24" t="n"/>
      <c r="DM325" s="24" t="n"/>
      <c r="DN325" s="24" t="n"/>
      <c r="DO325" s="24" t="n"/>
      <c r="DP325" s="24" t="n"/>
      <c r="DQ325" s="24" t="inlineStr">
        <is>
          <t>{"artifact_hash": "3d16277c2cfc0628d7ec79d04feee92735e5c503a3be195cb225c7c52d024308", "away_team": "Cerro", "event_id": "401916230", "event_start_utc": "2026-09-13T13:00Z", "features": {"away_goal_rate": 0.9934, "history_games": 9181, "home_goal_rate": 1.4328, "league_goals_per_team": 1.4281, "min_team_games": 0.0}, "historical_source_observation_times_verified": false, "home_team": "Progreso", "inference_inputs": {"away_rate": 0.9934316144400299, "code_sha256": {"models/soccer.py": "3d16277c2cfc0628d7ec79d04feee92735e5c503a3be195cb225c7c52d024308"}, "home_rate": 1.432797311408342, "sport": "SOCCER"}, "market_type": "moneyline", "model_version": "soccer-poisson-dc-v1", "observed_at_utc": "2026-09-13T10:26:29.598641+00:00", "probabilities": {"away": 0.248923, "draw": 0.291816, "home": 0.459261}, "replay_scope": "Exact full-precision serving state and rounding; upstream historical observation times are not certified.", "schema": "coded-moneyline-replay-v1", "snapshot_hash": "bd5e152f0f76323540df639ba5543389728b93a29fe7e61ba6867bf117ecf962", "sport": "SOCCER"}</t>
        </is>
      </c>
    </row>
    <row r="326" ht="36" customHeight="1">
      <c r="A326" s="24" t="inlineStr">
        <is>
          <t>6003a7b1d3444546</t>
        </is>
      </c>
      <c r="B326" s="24" t="inlineStr">
        <is>
          <t>2026-09-13T16:24:41.631534Z</t>
        </is>
      </c>
      <c r="C326" s="24" t="inlineStr">
        <is>
          <t>2026-09-13T16:30Z</t>
        </is>
      </c>
      <c r="D326" s="24" t="inlineStr">
        <is>
          <t>401882884</t>
        </is>
      </c>
      <c r="E326" s="24" t="inlineStr">
        <is>
          <t>SOCCER</t>
        </is>
      </c>
      <c r="F326" s="24" t="inlineStr">
        <is>
          <t>Deportivo</t>
        </is>
      </c>
      <c r="G326" s="24" t="inlineStr">
        <is>
          <t>Getafe</t>
        </is>
      </c>
      <c r="H326" s="24" t="inlineStr">
        <is>
          <t>total</t>
        </is>
      </c>
      <c r="I326" s="24" t="inlineStr">
        <is>
          <t>under</t>
        </is>
      </c>
      <c r="J326" s="25" t="n">
        <v>2.5</v>
      </c>
      <c r="K326" s="24" t="inlineStr">
        <is>
          <t>polymarket_us</t>
        </is>
      </c>
      <c r="L326" s="26" t="n">
        <v>-233</v>
      </c>
      <c r="M326" s="27" t="n">
        <v>1.429185</v>
      </c>
      <c r="N326" s="28" t="n">
        <v>0.6997</v>
      </c>
      <c r="O326" s="28" t="n">
        <v>0.726234</v>
      </c>
      <c r="P326" s="28" t="n">
        <v>0.2</v>
      </c>
      <c r="Q326" s="28" t="n">
        <v>0.026534</v>
      </c>
      <c r="R326" s="26" t="n">
        <v>0</v>
      </c>
      <c r="S326" s="29" t="n">
        <v>1</v>
      </c>
      <c r="T326" s="24" t="inlineStr">
        <is>
          <t>soccer-poisson-dc-v1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1</v>
      </c>
      <c r="Y326" s="25" t="n"/>
      <c r="Z326" s="26" t="n">
        <v>-233</v>
      </c>
      <c r="AA326" s="28" t="n">
        <v>0.7</v>
      </c>
      <c r="AB326" s="28" t="n">
        <v>0.0003</v>
      </c>
      <c r="AC326" s="30" t="n">
        <v>0.4292</v>
      </c>
      <c r="AD326" s="24" t="inlineStr">
        <is>
          <t>2026-09-13T22:00:57.877027Z</t>
        </is>
      </c>
      <c r="AE326" s="31" t="inlineStr">
        <is>
          <t>Poisson-DC rates 1.02 (home) / 0.80 (away) from EWMA attack/defense strengths. Executable ask 0.7000 (tsc-lal-get-dep-2026-09-13-2pt5).</t>
        </is>
      </c>
      <c r="AF326" s="31" t="inlineStr">
        <is>
          <t>Research-only soccer score model; draw-aware, but not yet locked-holdout qualified.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Deportivo</t>
        </is>
      </c>
      <c r="AQ326" s="24" t="inlineStr">
        <is>
          <t>Deportivo</t>
        </is>
      </c>
      <c r="AR326" s="24" t="inlineStr">
        <is>
          <t>Deportivo</t>
        </is>
      </c>
      <c r="AS326" s="24" t="inlineStr">
        <is>
          <t>Getafe</t>
        </is>
      </c>
      <c r="AT326" s="24" t="inlineStr">
        <is>
          <t>Getafe</t>
        </is>
      </c>
      <c r="AU326" s="24" t="inlineStr">
        <is>
          <t>Getafe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3d16277c2cfc0628d7ec79d04feee92735e5c503a3be195cb225c7c52d024308</t>
        </is>
      </c>
      <c r="BB326" s="24" t="inlineStr">
        <is>
          <t>poisson_dixon_coles</t>
        </is>
      </c>
      <c r="BC326" s="24" t="inlineStr">
        <is>
          <t>soccer-poisson-dc-v1</t>
        </is>
      </c>
      <c r="BD326" s="24" t="inlineStr">
        <is>
          <t>3d16277c2cfc0628d7ec79d04feee92735e5c503a3be195cb225c7c52d024308</t>
        </is>
      </c>
      <c r="BE326" s="24" t="inlineStr">
        <is>
          <t>soccer-poisson-dc-v1</t>
        </is>
      </c>
      <c r="BF326" s="24" t="inlineStr">
        <is>
          <t>1</t>
        </is>
      </c>
      <c r="BG326" s="24" t="inlineStr">
        <is>
          <t>3d16277c2cfc0628d7ec79d04feee92735e5c503a3be195cb225c7c52d024308</t>
        </is>
      </c>
      <c r="BH326" s="24" t="inlineStr">
        <is>
          <t>2026-09-13T04:55:13.551604Z</t>
        </is>
      </c>
      <c r="BI326" s="24" t="inlineStr">
        <is>
          <t>["same_event","same_team_same_day","same_league_same_day"]</t>
        </is>
      </c>
      <c r="BJ326" s="25" t="n">
        <v>2.5</v>
      </c>
      <c r="BK326" s="26" t="n">
        <v>-233</v>
      </c>
      <c r="BL326" s="27" t="n">
        <v>1.429185</v>
      </c>
      <c r="BM326" s="28" t="n">
        <v>0.6997</v>
      </c>
      <c r="BN326" s="28" t="n"/>
      <c r="BO326" s="28" t="n"/>
      <c r="BP326" s="25" t="n"/>
      <c r="BQ326" s="27" t="n">
        <v>1.429185</v>
      </c>
      <c r="BR326" s="28" t="n">
        <v>0.7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0.429184</v>
      </c>
      <c r="BZ326" s="24" t="inlineStr">
        <is>
          <t>2026-09-13T22:00:57.877027Z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True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0.6997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e13fb68fec1c4971</t>
        </is>
      </c>
      <c r="B327" s="24" t="inlineStr">
        <is>
          <t>2026-09-13T16:24:41.631534Z</t>
        </is>
      </c>
      <c r="C327" s="24" t="inlineStr">
        <is>
          <t>2026-09-13T21:30Z</t>
        </is>
      </c>
      <c r="D327" s="24" t="inlineStr">
        <is>
          <t>401860341</t>
        </is>
      </c>
      <c r="E327" s="24" t="inlineStr">
        <is>
          <t>SOCCER</t>
        </is>
      </c>
      <c r="F327" s="24" t="inlineStr">
        <is>
          <t>Ceará</t>
        </is>
      </c>
      <c r="G327" s="24" t="inlineStr">
        <is>
          <t>Fortaleza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100</v>
      </c>
      <c r="M327" s="27" t="n">
        <v>2</v>
      </c>
      <c r="N327" s="28" t="n">
        <v>0.5</v>
      </c>
      <c r="O327" s="28" t="n">
        <v>0.456135</v>
      </c>
      <c r="P327" s="28" t="n">
        <v>0.2</v>
      </c>
      <c r="Q327" s="28" t="n">
        <v>-0.043865</v>
      </c>
      <c r="R327" s="26" t="n">
        <v>0</v>
      </c>
      <c r="S327" s="29" t="n">
        <v>1</v>
      </c>
      <c r="T327" s="24" t="inlineStr">
        <is>
          <t>soccer-poisson-dc-v1</t>
        </is>
      </c>
      <c r="U327" s="24" t="inlineStr">
        <is>
          <t>settled</t>
        </is>
      </c>
      <c r="V327" s="24" t="inlineStr">
        <is>
          <t>loss</t>
        </is>
      </c>
      <c r="W327" s="26" t="n">
        <v>1</v>
      </c>
      <c r="X327" s="26" t="n">
        <v>1</v>
      </c>
      <c r="Y327" s="25" t="n"/>
      <c r="Z327" s="26" t="n">
        <v>100</v>
      </c>
      <c r="AA327" s="28" t="n">
        <v>0.5</v>
      </c>
      <c r="AB327" s="28" t="n">
        <v>0</v>
      </c>
      <c r="AC327" s="30" t="n">
        <v>-1</v>
      </c>
      <c r="AD327" s="24" t="inlineStr">
        <is>
          <t>2026-09-14T04:33:13.815142Z</t>
        </is>
      </c>
      <c r="AE327" s="31" t="inlineStr">
        <is>
          <t>Poisson-DC rates 1.64 (home) / 1.24 (away) from EWMA attack/defense strengths. Executable ask 0.5000 (atc-brb-fec-csc-2026-09-13-fec).</t>
        </is>
      </c>
      <c r="AF327" s="31" t="inlineStr">
        <is>
          <t>Research-only soccer score model; draw-aware, but not yet locked-holdout qualified.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Ceará</t>
        </is>
      </c>
      <c r="AQ327" s="24" t="inlineStr">
        <is>
          <t>Ceará</t>
        </is>
      </c>
      <c r="AR327" s="24" t="inlineStr">
        <is>
          <t>Ceará</t>
        </is>
      </c>
      <c r="AS327" s="24" t="inlineStr">
        <is>
          <t>Fortaleza</t>
        </is>
      </c>
      <c r="AT327" s="24" t="inlineStr">
        <is>
          <t>Fortaleza</t>
        </is>
      </c>
      <c r="AU327" s="24" t="inlineStr">
        <is>
          <t>Fortaleza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3d16277c2cfc0628d7ec79d04feee92735e5c503a3be195cb225c7c52d024308</t>
        </is>
      </c>
      <c r="BB327" s="24" t="inlineStr">
        <is>
          <t>poisson_dixon_coles</t>
        </is>
      </c>
      <c r="BC327" s="24" t="inlineStr">
        <is>
          <t>soccer-poisson-dc-v1</t>
        </is>
      </c>
      <c r="BD327" s="24" t="inlineStr">
        <is>
          <t>3d16277c2cfc0628d7ec79d04feee92735e5c503a3be195cb225c7c52d024308</t>
        </is>
      </c>
      <c r="BE327" s="24" t="inlineStr">
        <is>
          <t>soccer-poisson-dc-v1</t>
        </is>
      </c>
      <c r="BF327" s="24" t="inlineStr">
        <is>
          <t>1</t>
        </is>
      </c>
      <c r="BG327" s="24" t="inlineStr">
        <is>
          <t>3d16277c2cfc0628d7ec79d04feee92735e5c503a3be195cb225c7c52d024308</t>
        </is>
      </c>
      <c r="BH327" s="24" t="inlineStr">
        <is>
          <t>2026-09-13T16:21:44.279198Z</t>
        </is>
      </c>
      <c r="BI327" s="24" t="inlineStr">
        <is>
          <t>["same_event","same_team_same_day","same_league_same_day"]</t>
        </is>
      </c>
      <c r="BJ327" s="25" t="n"/>
      <c r="BK327" s="26" t="n">
        <v>100</v>
      </c>
      <c r="BL327" s="27" t="n">
        <v>2</v>
      </c>
      <c r="BM327" s="28" t="n">
        <v>0.5</v>
      </c>
      <c r="BN327" s="28" t="n"/>
      <c r="BO327" s="28" t="n"/>
      <c r="BP327" s="25" t="n"/>
      <c r="BQ327" s="27" t="n">
        <v>2</v>
      </c>
      <c r="BR327" s="28" t="n">
        <v>0.5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-1</v>
      </c>
      <c r="BZ327" s="24" t="inlineStr">
        <is>
          <t>2026-09-14T04:33:13.815142Z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</t>
        </is>
      </c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"3d16277c2cfc0628d7ec79d04feee92735e5c503a3be195cb225c7c52d024308", "away_team": "Cear\u00e1", "event_id": "401860341", "event_start_utc": "2026-09-13T21:30Z", "features": {"away_goal_rate": 1.2418, "history_games": 9181, "home_goal_rate": 1.6423, "league_goals_per_team": 1.4281, "min_team_games": 0.0}, "historical_source_observation_times_verified": false, "home_team": "Fortaleza",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"c7242cf5e28b397add5aff8144a6e94102fb2653e0a0c683191a7679443cab47", "sport": "SOCCER"}</t>
        </is>
      </c>
    </row>
    <row r="328" ht="36" customHeight="1">
      <c r="A328" s="24" t="inlineStr">
        <is>
          <t>fe8e806183724513</t>
        </is>
      </c>
      <c r="B328" s="24" t="inlineStr">
        <is>
          <t>2026-09-13T16:24:41.631534Z</t>
        </is>
      </c>
      <c r="C328" s="24" t="inlineStr">
        <is>
          <t>2026-09-13T20:00Z</t>
        </is>
      </c>
      <c r="D328" s="24" t="inlineStr">
        <is>
          <t>401841560</t>
        </is>
      </c>
      <c r="E328" s="24" t="inlineStr">
        <is>
          <t>SOCCER</t>
        </is>
      </c>
      <c r="F328" s="24" t="inlineStr">
        <is>
          <t>Gimnasia La Plata</t>
        </is>
      </c>
      <c r="G328" s="24" t="inlineStr">
        <is>
          <t>Argentinos Juniors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-122</v>
      </c>
      <c r="M328" s="27" t="n">
        <v>1.819672</v>
      </c>
      <c r="N328" s="28" t="n">
        <v>0.54955</v>
      </c>
      <c r="O328" s="28" t="n">
        <v>0.456135</v>
      </c>
      <c r="P328" s="28" t="n">
        <v>0.2</v>
      </c>
      <c r="Q328" s="28" t="n">
        <v>-0.093415</v>
      </c>
      <c r="R328" s="26" t="n">
        <v>0</v>
      </c>
      <c r="S328" s="29" t="n">
        <v>1</v>
      </c>
      <c r="T328" s="24" t="inlineStr">
        <is>
          <t>soccer-poisson-dc-v1</t>
        </is>
      </c>
      <c r="U328" s="24" t="inlineStr">
        <is>
          <t>settled</t>
        </is>
      </c>
      <c r="V328" s="24" t="inlineStr">
        <is>
          <t>loss</t>
        </is>
      </c>
      <c r="W328" s="26" t="n">
        <v>1</v>
      </c>
      <c r="X328" s="26" t="n">
        <v>1</v>
      </c>
      <c r="Y328" s="25" t="n"/>
      <c r="Z328" s="26" t="n">
        <v>-122</v>
      </c>
      <c r="AA328" s="28" t="n">
        <v>0.55</v>
      </c>
      <c r="AB328" s="28" t="n">
        <v>0.00045</v>
      </c>
      <c r="AC328" s="30" t="n">
        <v>-1</v>
      </c>
      <c r="AD328" s="24" t="inlineStr">
        <is>
          <t>2026-09-13T22:00:59.850566Z</t>
        </is>
      </c>
      <c r="AE328" s="31" t="inlineStr">
        <is>
          <t>Poisson-DC rates 1.64 (home) / 1.24 (away) from EWMA attack/defense strengths. Executable ask 0.5500 (atc-lpa-aaj-gim-2026-09-13-aaj).</t>
        </is>
      </c>
      <c r="AF328" s="31" t="inlineStr">
        <is>
          <t>Research-only soccer score model; draw-aware, but not yet locked-holdout qualified.</t>
        </is>
      </c>
      <c r="AG328" s="24" t="inlineStr">
        <is>
          <t>review_required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Gimnasia La Plata</t>
        </is>
      </c>
      <c r="AQ328" s="24" t="inlineStr">
        <is>
          <t>Gimnasia La Plata</t>
        </is>
      </c>
      <c r="AR328" s="24" t="inlineStr">
        <is>
          <t>Gimnasia La Plata</t>
        </is>
      </c>
      <c r="AS328" s="24" t="inlineStr">
        <is>
          <t>Argentinos Juniors</t>
        </is>
      </c>
      <c r="AT328" s="24" t="inlineStr">
        <is>
          <t>Argentinos Juniors</t>
        </is>
      </c>
      <c r="AU328" s="24" t="inlineStr">
        <is>
          <t>Argentinos Juniors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3d16277c2cfc0628d7ec79d04feee92735e5c503a3be195cb225c7c52d024308</t>
        </is>
      </c>
      <c r="BB328" s="24" t="inlineStr">
        <is>
          <t>poisson_dixon_coles</t>
        </is>
      </c>
      <c r="BC328" s="24" t="inlineStr">
        <is>
          <t>soccer-poisson-dc-v1</t>
        </is>
      </c>
      <c r="BD328" s="24" t="inlineStr">
        <is>
          <t>3d16277c2cfc0628d7ec79d04feee92735e5c503a3be195cb225c7c52d024308</t>
        </is>
      </c>
      <c r="BE328" s="24" t="inlineStr">
        <is>
          <t>soccer-poisson-dc-v1</t>
        </is>
      </c>
      <c r="BF328" s="24" t="inlineStr">
        <is>
          <t>1</t>
        </is>
      </c>
      <c r="BG328" s="24" t="inlineStr">
        <is>
          <t>3d16277c2cfc0628d7ec79d04feee92735e5c503a3be195cb225c7c52d024308</t>
        </is>
      </c>
      <c r="BH328" s="24" t="inlineStr">
        <is>
          <t>2026-09-13T16:21:44.548475Z</t>
        </is>
      </c>
      <c r="BI328" s="24" t="inlineStr">
        <is>
          <t>["same_event","same_team_same_day","same_league_same_day"]</t>
        </is>
      </c>
      <c r="BJ328" s="25" t="n"/>
      <c r="BK328" s="26" t="n">
        <v>-122</v>
      </c>
      <c r="BL328" s="27" t="n">
        <v>1.819672</v>
      </c>
      <c r="BM328" s="28" t="n">
        <v>0.54955</v>
      </c>
      <c r="BN328" s="28" t="n"/>
      <c r="BO328" s="28" t="n"/>
      <c r="BP328" s="25" t="n"/>
      <c r="BQ328" s="27" t="n">
        <v>1.819672</v>
      </c>
      <c r="BR328" s="28" t="n">
        <v>0.55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-1</v>
      </c>
      <c r="BZ328" s="24" t="inlineStr">
        <is>
          <t>2026-09-13T22:00:59.850566Z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0.54955</t>
        </is>
      </c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"3d16277c2cfc0628d7ec79d04feee92735e5c503a3be195cb225c7c52d024308", "away_team": "Gimnasia La Plata", "event_id": "401841560", "event_start_utc": "2026-09-13T20:00Z", "features": {"away_goal_rate": 1.2418, "history_games": 9181, "home_goal_rate": 1.6423, "league_goals_per_team": 1.4281, "min_team_games": 0.0}, "historical_source_observation_times_verified": false, "home_team": "Argentinos Juniors",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"646a68f381953f8ce65faad396a903f905ac8ac8c6843f924d97d762d228e450", "sport": "SOCCER"}</t>
        </is>
      </c>
    </row>
    <row r="329" ht="36" customHeight="1">
      <c r="A329" s="24" t="inlineStr">
        <is>
          <t>a69ba0fa452e4887</t>
        </is>
      </c>
      <c r="B329" s="24" t="inlineStr">
        <is>
          <t>2026-09-13T16:24:41.631534Z</t>
        </is>
      </c>
      <c r="C329" s="24" t="inlineStr">
        <is>
          <t>2026-09-13T19:00Z</t>
        </is>
      </c>
      <c r="D329" s="24" t="inlineStr">
        <is>
          <t>401844132</t>
        </is>
      </c>
      <c r="E329" s="24" t="inlineStr">
        <is>
          <t>SOCCER</t>
        </is>
      </c>
      <c r="F329" s="24" t="inlineStr">
        <is>
          <t>Chaco For Ever</t>
        </is>
      </c>
      <c r="G329" s="24" t="inlineStr">
        <is>
          <t>Mitre (Santiago del Estero)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122</v>
      </c>
      <c r="M329" s="27" t="n">
        <v>2.22</v>
      </c>
      <c r="N329" s="28" t="n">
        <v>0.45045</v>
      </c>
      <c r="O329" s="28" t="n">
        <v>0.456135</v>
      </c>
      <c r="P329" s="28" t="n">
        <v>0.2</v>
      </c>
      <c r="Q329" s="28" t="n">
        <v>0.005685</v>
      </c>
      <c r="R329" s="26" t="n">
        <v>0</v>
      </c>
      <c r="S329" s="29" t="n">
        <v>1</v>
      </c>
      <c r="T329" s="24" t="inlineStr">
        <is>
          <t>soccer-poisson-dc-v1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0</v>
      </c>
      <c r="Y329" s="25" t="n"/>
      <c r="Z329" s="26" t="n">
        <v>122</v>
      </c>
      <c r="AA329" s="28" t="n">
        <v>0.45</v>
      </c>
      <c r="AB329" s="28" t="n">
        <v>-0.00045</v>
      </c>
      <c r="AC329" s="30" t="n">
        <v>-1</v>
      </c>
      <c r="AD329" s="24" t="inlineStr">
        <is>
          <t>2026-09-13T22:01:01.241416Z</t>
        </is>
      </c>
      <c r="AE329" s="31" t="inlineStr">
        <is>
          <t>Poisson-DC rates 1.64 (home) / 1.24 (away) from EWMA attack/defense strengths. Executable ask 0.4500 (atc-arg2-cam-cfe-2026-09-12-cam).</t>
        </is>
      </c>
      <c r="AF329" s="31" t="inlineStr">
        <is>
          <t>Research-only soccer score model; draw-aware, but not yet locked-holdout qualified.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PAPER_CALL_MODEL_UNVALIDATED</t>
        </is>
      </c>
      <c r="AP329" s="24" t="inlineStr">
        <is>
          <t>Chaco For Ever</t>
        </is>
      </c>
      <c r="AQ329" s="24" t="inlineStr">
        <is>
          <t>Chaco For Ever</t>
        </is>
      </c>
      <c r="AR329" s="24" t="inlineStr">
        <is>
          <t>Chaco For Ever</t>
        </is>
      </c>
      <c r="AS329" s="24" t="inlineStr">
        <is>
          <t>Mitre (Santiago del Estero)</t>
        </is>
      </c>
      <c r="AT329" s="24" t="inlineStr">
        <is>
          <t>Mitre (Santiago del Estero)</t>
        </is>
      </c>
      <c r="AU329" s="24" t="inlineStr">
        <is>
          <t>Mitre (Santiago del Estero)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3d16277c2cfc0628d7ec79d04feee92735e5c503a3be195cb225c7c52d024308</t>
        </is>
      </c>
      <c r="BB329" s="24" t="inlineStr">
        <is>
          <t>poisson_dixon_coles</t>
        </is>
      </c>
      <c r="BC329" s="24" t="inlineStr">
        <is>
          <t>soccer-poisson-dc-v1</t>
        </is>
      </c>
      <c r="BD329" s="24" t="inlineStr">
        <is>
          <t>3d16277c2cfc0628d7ec79d04feee92735e5c503a3be195cb225c7c52d024308</t>
        </is>
      </c>
      <c r="BE329" s="24" t="inlineStr">
        <is>
          <t>soccer-poisson-dc-v1</t>
        </is>
      </c>
      <c r="BF329" s="24" t="inlineStr">
        <is>
          <t>1</t>
        </is>
      </c>
      <c r="BG329" s="24" t="inlineStr">
        <is>
          <t>3d16277c2cfc0628d7ec79d04feee92735e5c503a3be195cb225c7c52d024308</t>
        </is>
      </c>
      <c r="BH329" s="24" t="inlineStr">
        <is>
          <t>2026-09-13T04:56:44.330832Z</t>
        </is>
      </c>
      <c r="BI329" s="24" t="inlineStr">
        <is>
          <t>["same_event","same_team_same_day","same_league_same_day"]</t>
        </is>
      </c>
      <c r="BJ329" s="25" t="n"/>
      <c r="BK329" s="26" t="n">
        <v>122</v>
      </c>
      <c r="BL329" s="27" t="n">
        <v>2.22</v>
      </c>
      <c r="BM329" s="28" t="n">
        <v>0.45045</v>
      </c>
      <c r="BN329" s="28" t="n"/>
      <c r="BO329" s="28" t="n"/>
      <c r="BP329" s="25" t="n"/>
      <c r="BQ329" s="27" t="n">
        <v>2.22</v>
      </c>
      <c r="BR329" s="28" t="n">
        <v>0.45</v>
      </c>
      <c r="BS329" s="28" t="n"/>
      <c r="BT329" s="28" t="n"/>
      <c r="BU329" s="25" t="n"/>
      <c r="BV329" s="29" t="n"/>
      <c r="BW329" s="24" t="n"/>
      <c r="BX329" s="30" t="n">
        <v>1</v>
      </c>
      <c r="BY329" s="27" t="n">
        <v>-1</v>
      </c>
      <c r="BZ329" s="24" t="inlineStr">
        <is>
          <t>2026-09-13T22:01:01.241416Z</t>
        </is>
      </c>
      <c r="CA329" s="31" t="inlineStr">
        <is>
          <t>fixed one-unit hypothetical scoring; no real exposure or execution</t>
        </is>
      </c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0.45045</t>
        </is>
      </c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"3d16277c2cfc0628d7ec79d04feee92735e5c503a3be195cb225c7c52d024308", "away_team": "Chaco For Ever", "event_id": "401844132", "event_start_utc": "2026-09-13T19:00Z", "features": {"away_goal_rate": 1.2418, "history_games": 9181, "home_goal_rate": 1.6423, "league_goals_per_team": 1.4281, "min_team_games": 0.0}, "historical_source_observation_times_verified": false, "home_team": "Mitre (Santiago del Estero)",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"ce00f1487363420c935fadd9d1aca60ed2968d77afeb9dd93baee65f75c3fa9b", "sport": "SOCCER"}</t>
        </is>
      </c>
    </row>
    <row r="330" ht="36" customHeight="1">
      <c r="A330" s="24" t="inlineStr">
        <is>
          <t>744798ac3b2b4abe</t>
        </is>
      </c>
      <c r="B330" s="24" t="inlineStr">
        <is>
          <t>2026-09-13T16:24:41.631534Z</t>
        </is>
      </c>
      <c r="C330" s="24" t="inlineStr">
        <is>
          <t>2026-09-13T18:00Z</t>
        </is>
      </c>
      <c r="D330" s="24" t="inlineStr">
        <is>
          <t>401850656</t>
        </is>
      </c>
      <c r="E330" s="24" t="inlineStr">
        <is>
          <t>SOCCER</t>
        </is>
      </c>
      <c r="F330" s="24" t="inlineStr">
        <is>
          <t>Universidad de Chile</t>
        </is>
      </c>
      <c r="G330" s="24" t="inlineStr">
        <is>
          <t>La Serena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317</v>
      </c>
      <c r="M330" s="27" t="n">
        <v>4.17</v>
      </c>
      <c r="N330" s="28" t="n">
        <v>0.239808</v>
      </c>
      <c r="O330" s="28" t="n">
        <v>0.451659</v>
      </c>
      <c r="P330" s="28" t="n">
        <v>0.2</v>
      </c>
      <c r="Q330" s="28" t="n">
        <v>0.211851</v>
      </c>
      <c r="R330" s="26" t="n">
        <v>36</v>
      </c>
      <c r="S330" s="29" t="n">
        <v>1</v>
      </c>
      <c r="T330" s="24" t="inlineStr">
        <is>
          <t>soccer-poisson-dc-v1</t>
        </is>
      </c>
      <c r="U330" s="24" t="inlineStr">
        <is>
          <t>settled</t>
        </is>
      </c>
      <c r="V330" s="24" t="inlineStr">
        <is>
          <t>loss</t>
        </is>
      </c>
      <c r="W330" s="26" t="n">
        <v>3</v>
      </c>
      <c r="X330" s="26" t="n">
        <v>0</v>
      </c>
      <c r="Y330" s="25" t="n"/>
      <c r="Z330" s="26" t="n">
        <v>317</v>
      </c>
      <c r="AA330" s="28" t="n">
        <v>0.24</v>
      </c>
      <c r="AB330" s="28" t="n">
        <v>0.000192</v>
      </c>
      <c r="AC330" s="30" t="n">
        <v>-1</v>
      </c>
      <c r="AD330" s="24" t="inlineStr">
        <is>
          <t>2026-09-13T22:01:02.574917Z</t>
        </is>
      </c>
      <c r="AE330" s="31" t="inlineStr">
        <is>
          <t>Poisson-DC rates 1.59 (home) / 1.20 (away) from EWMA attack/defense strengths. Executable ask 0.2400 (atc-pdc-ser-unc-2026-09-13-ser).</t>
        </is>
      </c>
      <c r="AF330" s="31" t="inlineStr">
        <is>
          <t>Research-only soccer score model; draw-aware, but not yet locked-holdout qualified.</t>
        </is>
      </c>
      <c r="AG330" s="24" t="inlineStr">
        <is>
          <t>review_required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Universidad de Chile</t>
        </is>
      </c>
      <c r="AQ330" s="24" t="inlineStr">
        <is>
          <t>Universidad de Chile</t>
        </is>
      </c>
      <c r="AR330" s="24" t="inlineStr">
        <is>
          <t>Universidad de Chile</t>
        </is>
      </c>
      <c r="AS330" s="24" t="inlineStr">
        <is>
          <t>La Serena</t>
        </is>
      </c>
      <c r="AT330" s="24" t="inlineStr">
        <is>
          <t>La Serena</t>
        </is>
      </c>
      <c r="AU330" s="24" t="inlineStr">
        <is>
          <t>La Serena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3d16277c2cfc0628d7ec79d04feee92735e5c503a3be195cb225c7c52d024308</t>
        </is>
      </c>
      <c r="BB330" s="24" t="inlineStr">
        <is>
          <t>poisson_dixon_coles</t>
        </is>
      </c>
      <c r="BC330" s="24" t="inlineStr">
        <is>
          <t>soccer-poisson-dc-v1</t>
        </is>
      </c>
      <c r="BD330" s="24" t="inlineStr">
        <is>
          <t>3d16277c2cfc0628d7ec79d04feee92735e5c503a3be195cb225c7c52d024308</t>
        </is>
      </c>
      <c r="BE330" s="24" t="inlineStr">
        <is>
          <t>soccer-poisson-dc-v1</t>
        </is>
      </c>
      <c r="BF330" s="24" t="inlineStr">
        <is>
          <t>1</t>
        </is>
      </c>
      <c r="BG330" s="24" t="inlineStr">
        <is>
          <t>3d16277c2cfc0628d7ec79d04feee92735e5c503a3be195cb225c7c52d024308</t>
        </is>
      </c>
      <c r="BH330" s="24" t="inlineStr">
        <is>
          <t>2026-09-13T16:21:55.250366Z</t>
        </is>
      </c>
      <c r="BI330" s="24" t="inlineStr">
        <is>
          <t>["same_event","same_team_same_day","same_league_same_day"]</t>
        </is>
      </c>
      <c r="BJ330" s="25" t="n"/>
      <c r="BK330" s="26" t="n">
        <v>317</v>
      </c>
      <c r="BL330" s="27" t="n">
        <v>4.17</v>
      </c>
      <c r="BM330" s="28" t="n">
        <v>0.239808</v>
      </c>
      <c r="BN330" s="28" t="n"/>
      <c r="BO330" s="28" t="n"/>
      <c r="BP330" s="25" t="n"/>
      <c r="BQ330" s="27" t="n">
        <v>4.17</v>
      </c>
      <c r="BR330" s="28" t="n">
        <v>0.24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-1</v>
      </c>
      <c r="BZ330" s="24" t="inlineStr">
        <is>
          <t>2026-09-13T22:01:02.574917Z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0.239808</t>
        </is>
      </c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"3d16277c2cfc0628d7ec79d04feee92735e5c503a3be195cb225c7c52d024308", "away_team": "Universidad de Chile", "event_id": "401850656", "event_start_utc": "2026-09-13T18:00Z", "features": {"away_goal_rate": 1.2004, "history_games": 9181, "home_goal_rate": 1.5876, "league_goals_per_team": 1.4281, "min_team_games": 0.0}, "historical_source_observation_times_verified": false, "home_team": "La Serena",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"2026-09-13T16:24:40.604119+00:00", "probabilities": {"away": 0.276813, "draw": 0.271528, "home": 0.451659}, "replay_scope": "Exact full-precision serving state and rounding; upstream historical observation times are not certified.", "schema": "coded-moneyline-replay-v1", "snapshot_hash": "ffb797480d5d6f37d60d2562569eef016fb2f6de6ff87904b158564470596dd0", "sport": "SOCCER"}</t>
        </is>
      </c>
    </row>
    <row r="331" ht="36" customHeight="1">
      <c r="A331" s="24" t="inlineStr">
        <is>
          <t>b6b3cddb570344f8</t>
        </is>
      </c>
      <c r="B331" s="24" t="inlineStr">
        <is>
          <t>2026-09-13T22:10:06.507952Z</t>
        </is>
      </c>
      <c r="C331" s="24" t="inlineStr">
        <is>
          <t>2026-09-13T22:30Z</t>
        </is>
      </c>
      <c r="D331" s="24" t="inlineStr">
        <is>
          <t>761813</t>
        </is>
      </c>
      <c r="E331" s="24" t="inlineStr">
        <is>
          <t>SOCCER</t>
        </is>
      </c>
      <c r="F331" s="24" t="inlineStr">
        <is>
          <t>Austin FC</t>
        </is>
      </c>
      <c r="G331" s="24" t="inlineStr">
        <is>
          <t>Vancouver Whitecaps</t>
        </is>
      </c>
      <c r="H331" s="24" t="inlineStr">
        <is>
          <t>total</t>
        </is>
      </c>
      <c r="I331" s="24" t="inlineStr">
        <is>
          <t>over</t>
        </is>
      </c>
      <c r="J331" s="25" t="n">
        <v>2.5</v>
      </c>
      <c r="K331" s="24" t="inlineStr">
        <is>
          <t>polymarket_us</t>
        </is>
      </c>
      <c r="L331" s="26" t="n">
        <v>-223</v>
      </c>
      <c r="M331" s="27" t="n">
        <v>1.44843</v>
      </c>
      <c r="N331" s="28" t="n">
        <v>0.690402</v>
      </c>
      <c r="O331" s="28" t="n">
        <v>0.7569900000000001</v>
      </c>
      <c r="P331" s="28" t="n">
        <v>0.04</v>
      </c>
      <c r="Q331" s="28" t="n">
        <v>0.06658799999999999</v>
      </c>
      <c r="R331" s="26" t="n">
        <v>59</v>
      </c>
      <c r="S331" s="29" t="n">
        <v>1.25</v>
      </c>
      <c r="T331" s="24" t="inlineStr">
        <is>
          <t>soccer-poisson-dc-v1</t>
        </is>
      </c>
      <c r="U331" s="24" t="inlineStr">
        <is>
          <t>settled</t>
        </is>
      </c>
      <c r="V331" s="24" t="inlineStr">
        <is>
          <t>win</t>
        </is>
      </c>
      <c r="W331" s="26" t="n">
        <v>2</v>
      </c>
      <c r="X331" s="26" t="n">
        <v>1</v>
      </c>
      <c r="Y331" s="25" t="n"/>
      <c r="Z331" s="26" t="n">
        <v>-223</v>
      </c>
      <c r="AA331" s="28" t="n">
        <v>0.6899999999999999</v>
      </c>
      <c r="AB331" s="28" t="n">
        <v>-0.000402</v>
      </c>
      <c r="AC331" s="30" t="n">
        <v>0.5605</v>
      </c>
      <c r="AD331" s="24" t="inlineStr">
        <is>
          <t>2026-09-14T04:33:21.410094Z</t>
        </is>
      </c>
      <c r="AE331" s="31" t="inlineStr">
        <is>
          <t>Poisson-DC rates 3.18 (home) / 0.79 (away) from EWMA attack/defense strengths. Executable ask 0.6900 (tsc-mls-vwh-aus-2026-09-13-2pt5).</t>
        </is>
      </c>
      <c r="AF331" s="31" t="inlineStr">
        <is>
          <t>Research-only soccer score model; draw-aware, but not yet locked-holdout qualified.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4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Austin FC</t>
        </is>
      </c>
      <c r="AQ331" s="24" t="inlineStr">
        <is>
          <t>Austin FC</t>
        </is>
      </c>
      <c r="AR331" s="24" t="inlineStr">
        <is>
          <t>Austin FC</t>
        </is>
      </c>
      <c r="AS331" s="24" t="inlineStr">
        <is>
          <t>Vancouver Whitecaps</t>
        </is>
      </c>
      <c r="AT331" s="24" t="inlineStr">
        <is>
          <t>Vancouver Whitecaps</t>
        </is>
      </c>
      <c r="AU331" s="24" t="inlineStr">
        <is>
          <t>Vancouver Whitecaps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3d16277c2cfc0628d7ec79d04feee92735e5c503a3be195cb225c7c52d024308</t>
        </is>
      </c>
      <c r="BB331" s="24" t="inlineStr">
        <is>
          <t>poisson_dixon_coles</t>
        </is>
      </c>
      <c r="BC331" s="24" t="inlineStr">
        <is>
          <t>soccer-poisson-dc-v1</t>
        </is>
      </c>
      <c r="BD331" s="24" t="inlineStr">
        <is>
          <t>3d16277c2cfc0628d7ec79d04feee92735e5c503a3be195cb225c7c52d024308</t>
        </is>
      </c>
      <c r="BE331" s="24" t="inlineStr">
        <is>
          <t>soccer-poisson-dc-v1</t>
        </is>
      </c>
      <c r="BF331" s="24" t="inlineStr">
        <is>
          <t>1</t>
        </is>
      </c>
      <c r="BG331" s="24" t="inlineStr">
        <is>
          <t>3d16277c2cfc0628d7ec79d04feee92735e5c503a3be195cb225c7c52d024308</t>
        </is>
      </c>
      <c r="BH331" s="24" t="inlineStr">
        <is>
          <t>2026-09-13T16:21:33.005694Z</t>
        </is>
      </c>
      <c r="BI331" s="24" t="inlineStr">
        <is>
          <t>["same_event","same_team_same_day","same_league_same_day"]</t>
        </is>
      </c>
      <c r="BJ331" s="25" t="n">
        <v>2.5</v>
      </c>
      <c r="BK331" s="26" t="n">
        <v>-223</v>
      </c>
      <c r="BL331" s="27" t="n">
        <v>1.44843</v>
      </c>
      <c r="BM331" s="28" t="n">
        <v>0.690402</v>
      </c>
      <c r="BN331" s="28" t="n"/>
      <c r="BO331" s="28" t="n"/>
      <c r="BP331" s="25" t="n"/>
      <c r="BQ331" s="27" t="n">
        <v>1.44843</v>
      </c>
      <c r="BR331" s="28" t="n">
        <v>0.6899999999999999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0.690402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f41a761018b84477</t>
        </is>
      </c>
      <c r="B332" s="24" t="inlineStr">
        <is>
          <t>2026-09-13T22:10:06.507952Z</t>
        </is>
      </c>
      <c r="C332" s="24" t="inlineStr">
        <is>
          <t>2026-09-14T01:00Z</t>
        </is>
      </c>
      <c r="D332" s="24" t="inlineStr">
        <is>
          <t>761814</t>
        </is>
      </c>
      <c r="E332" s="24" t="inlineStr">
        <is>
          <t>SOCCER</t>
        </is>
      </c>
      <c r="F332" s="24" t="inlineStr">
        <is>
          <t>Philadelphia Union</t>
        </is>
      </c>
      <c r="G332" s="24" t="inlineStr">
        <is>
          <t>San Diego FC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178</v>
      </c>
      <c r="M332" s="27" t="n">
        <v>2.78</v>
      </c>
      <c r="N332" s="28" t="n">
        <v>0.359712</v>
      </c>
      <c r="O332" s="28" t="n">
        <v>0.619491</v>
      </c>
      <c r="P332" s="28" t="n">
        <v>0.04</v>
      </c>
      <c r="Q332" s="28" t="n">
        <v>0.259779</v>
      </c>
      <c r="R332" s="26" t="n">
        <v>100</v>
      </c>
      <c r="S332" s="29" t="n">
        <v>2</v>
      </c>
      <c r="T332" s="24" t="inlineStr">
        <is>
          <t>soccer-poisson-dc-v1</t>
        </is>
      </c>
      <c r="U332" s="24" t="inlineStr">
        <is>
          <t>settled</t>
        </is>
      </c>
      <c r="V332" s="24" t="inlineStr">
        <is>
          <t>loss</t>
        </is>
      </c>
      <c r="W332" s="26" t="n">
        <v>5</v>
      </c>
      <c r="X332" s="26" t="n">
        <v>0</v>
      </c>
      <c r="Y332" s="25" t="n"/>
      <c r="Z332" s="26" t="n">
        <v>178</v>
      </c>
      <c r="AA332" s="28" t="n">
        <v>0.36</v>
      </c>
      <c r="AB332" s="28" t="n">
        <v>0.000288</v>
      </c>
      <c r="AC332" s="30" t="n">
        <v>-2</v>
      </c>
      <c r="AD332" s="24" t="inlineStr">
        <is>
          <t>2026-09-14T04:33:22.608842Z</t>
        </is>
      </c>
      <c r="AE332" s="31" t="inlineStr">
        <is>
          <t>Poisson-DC rates 2.55 (home) / 1.38 (away) from EWMA attack/defense strengths. Executable ask 0.3600 (atc-mls-sdg-phi-2026-09-13-sdg).</t>
        </is>
      </c>
      <c r="AF332" s="31" t="inlineStr">
        <is>
          <t>Research-only soccer score model; draw-aware, but not yet locked-holdout qualified.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Philadelphia Union</t>
        </is>
      </c>
      <c r="AQ332" s="24" t="inlineStr">
        <is>
          <t>Philadelphia Union</t>
        </is>
      </c>
      <c r="AR332" s="24" t="inlineStr">
        <is>
          <t>Philadelphia Union</t>
        </is>
      </c>
      <c r="AS332" s="24" t="inlineStr">
        <is>
          <t>San Diego FC</t>
        </is>
      </c>
      <c r="AT332" s="24" t="inlineStr">
        <is>
          <t>San Diego FC</t>
        </is>
      </c>
      <c r="AU332" s="24" t="inlineStr">
        <is>
          <t>San Diego FC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3d16277c2cfc0628d7ec79d04feee92735e5c503a3be195cb225c7c52d024308</t>
        </is>
      </c>
      <c r="BB332" s="24" t="inlineStr">
        <is>
          <t>poisson_dixon_coles</t>
        </is>
      </c>
      <c r="BC332" s="24" t="inlineStr">
        <is>
          <t>soccer-poisson-dc-v1</t>
        </is>
      </c>
      <c r="BD332" s="24" t="inlineStr">
        <is>
          <t>3d16277c2cfc0628d7ec79d04feee92735e5c503a3be195cb225c7c52d024308</t>
        </is>
      </c>
      <c r="BE332" s="24" t="inlineStr">
        <is>
          <t>soccer-poisson-dc-v1</t>
        </is>
      </c>
      <c r="BF332" s="24" t="inlineStr">
        <is>
          <t>1</t>
        </is>
      </c>
      <c r="BG332" s="24" t="inlineStr">
        <is>
          <t>3d16277c2cfc0628d7ec79d04feee92735e5c503a3be195cb225c7c52d024308</t>
        </is>
      </c>
      <c r="BH332" s="24" t="inlineStr">
        <is>
          <t>2026-09-13T22:08:59.224786Z</t>
        </is>
      </c>
      <c r="BI332" s="24" t="inlineStr">
        <is>
          <t>["same_event","same_team_same_day","same_league_same_day"]</t>
        </is>
      </c>
      <c r="BJ332" s="25" t="n"/>
      <c r="BK332" s="26" t="n">
        <v>178</v>
      </c>
      <c r="BL332" s="27" t="n">
        <v>2.78</v>
      </c>
      <c r="BM332" s="28" t="n">
        <v>0.359712</v>
      </c>
      <c r="BN332" s="28" t="n"/>
      <c r="BO332" s="28" t="n"/>
      <c r="BP332" s="25" t="n"/>
      <c r="BQ332" s="27" t="n">
        <v>2.78</v>
      </c>
      <c r="BR332" s="28" t="n">
        <v>0.36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-1</v>
      </c>
      <c r="BZ332" s="24" t="inlineStr">
        <is>
          <t>2026-09-14T04:33:22.608842Z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0.359712</t>
        </is>
      </c>
      <c r="DK332" s="24" t="n"/>
      <c r="DL332" s="24" t="n"/>
      <c r="DM332" s="24" t="n"/>
      <c r="DN332" s="24" t="n"/>
      <c r="DO332" s="24" t="n"/>
      <c r="DP332" s="24" t="n"/>
      <c r="DQ332" s="24" t="inlineStr">
        <is>
          <t>{"artifact_hash": "3d16277c2cfc0628d7ec79d04feee92735e5c503a3be195cb225c7c52d024308", "away_team": "Philadelphia Union", "event_id": "761814", "event_start_utc": "2026-09-14T01:00Z", "features": {"away_goal_rate": 1.3837, "history_games": 9181, "home_goal_rate": 2.5455, "league_goals_per_team": 1.5536, "min_team_games": 54.0}, "historical_source_observation_times_verified": false, "home_team": "San Diego FC", "inference_inputs": {"away_rate": 1.3837322376978194, "code_sha256": {"models/soccer.py": "3d16277c2cfc0628d7ec79d04feee92735e5c503a3be195cb225c7c52d024308"}, "home_rate": 2.5455089270512454, "sport": "SOCCER"}, "market_type": "moneyline", "model_version": "soccer-poisson-dc-v1", "observed_at_utc": "2026-09-13T22:10:05.646802+00:00", "probabilities": {"away": 0.186836, "draw": 0.193674, "home": 0.619491}, "replay_scope": "Exact full-precision serving state and rounding; upstream historical observation times are not certified.", "schema": "coded-moneyline-replay-v1", "snapshot_hash": "07d062e4c077882817553a7a9508aa09cec5954acec8d641292ac7c659873f7f", "sport": "SOCCER"}</t>
        </is>
      </c>
    </row>
    <row r="333" ht="36" customHeight="1">
      <c r="A333" s="24" t="inlineStr">
        <is>
          <t>44bb5eb4cd7643d8</t>
        </is>
      </c>
      <c r="B333" s="24" t="inlineStr">
        <is>
          <t>2026-09-14T16:13:41.796560Z</t>
        </is>
      </c>
      <c r="C333" s="24" t="inlineStr">
        <is>
          <t>2026-09-14T19:00Z</t>
        </is>
      </c>
      <c r="D333" s="24" t="inlineStr">
        <is>
          <t>401879280</t>
        </is>
      </c>
      <c r="E333" s="24" t="inlineStr">
        <is>
          <t>SOCCER</t>
        </is>
      </c>
      <c r="F333" s="24" t="inlineStr">
        <is>
          <t>Newcastle United</t>
        </is>
      </c>
      <c r="G333" s="24" t="inlineStr">
        <is>
          <t>Leeds United</t>
        </is>
      </c>
      <c r="H333" s="24" t="inlineStr">
        <is>
          <t>total</t>
        </is>
      </c>
      <c r="I333" s="24" t="inlineStr">
        <is>
          <t>under</t>
        </is>
      </c>
      <c r="J333" s="25" t="n">
        <v>2.5</v>
      </c>
      <c r="K333" s="24" t="inlineStr">
        <is>
          <t>polymarket_us</t>
        </is>
      </c>
      <c r="L333" s="26" t="n">
        <v>117</v>
      </c>
      <c r="M333" s="27" t="n">
        <v>2.17</v>
      </c>
      <c r="N333" s="28" t="n">
        <v>0.460829</v>
      </c>
      <c r="O333" s="28" t="n">
        <v>0.507695</v>
      </c>
      <c r="P333" s="28" t="n">
        <v>0.04</v>
      </c>
      <c r="Q333" s="28" t="n">
        <v>0.046866</v>
      </c>
      <c r="R333" s="26" t="n">
        <v>49</v>
      </c>
      <c r="S333" s="29" t="n">
        <v>1</v>
      </c>
      <c r="T333" s="24" t="inlineStr">
        <is>
          <t>soccer-poisson-dc-v1</t>
        </is>
      </c>
      <c r="U333" s="24" t="inlineStr">
        <is>
          <t>settled</t>
        </is>
      </c>
      <c r="V333" s="24" t="inlineStr">
        <is>
          <t>loss</t>
        </is>
      </c>
      <c r="W333" s="26" t="n">
        <v>1</v>
      </c>
      <c r="X333" s="26" t="n">
        <v>4</v>
      </c>
      <c r="Y333" s="25" t="n"/>
      <c r="Z333" s="26" t="n">
        <v>117</v>
      </c>
      <c r="AA333" s="28" t="n">
        <v>0.46</v>
      </c>
      <c r="AB333" s="28" t="n">
        <v>-0.000829</v>
      </c>
      <c r="AC333" s="30" t="n">
        <v>-1</v>
      </c>
      <c r="AD333" s="24" t="inlineStr">
        <is>
          <t>2026-09-14T22:00:18.197678Z</t>
        </is>
      </c>
      <c r="AE333" s="31" t="inlineStr">
        <is>
          <t>Poisson-DC rates 1.53 (home) / 1.11 (away) from EWMA attack/defense strengths. Executable ask 0.4600 (tsc-epl-lee-new-2026-09-14-2pt5).</t>
        </is>
      </c>
      <c r="AF333" s="31" t="inlineStr">
        <is>
          <t>Research-only soccer score model; draw-aware, but not yet locked-holdout qualified.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Newcastle United</t>
        </is>
      </c>
      <c r="AQ333" s="24" t="inlineStr">
        <is>
          <t>Newcastle United</t>
        </is>
      </c>
      <c r="AR333" s="24" t="inlineStr">
        <is>
          <t>Newcastle United</t>
        </is>
      </c>
      <c r="AS333" s="24" t="inlineStr">
        <is>
          <t>Leeds United</t>
        </is>
      </c>
      <c r="AT333" s="24" t="inlineStr">
        <is>
          <t>Leeds United</t>
        </is>
      </c>
      <c r="AU333" s="24" t="inlineStr">
        <is>
          <t>Leeds United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3d16277c2cfc0628d7ec79d04feee92735e5c503a3be195cb225c7c52d024308</t>
        </is>
      </c>
      <c r="BB333" s="24" t="inlineStr">
        <is>
          <t>poisson_dixon_coles</t>
        </is>
      </c>
      <c r="BC333" s="24" t="inlineStr">
        <is>
          <t>soccer-poisson-dc-v1</t>
        </is>
      </c>
      <c r="BD333" s="24" t="inlineStr">
        <is>
          <t>3d16277c2cfc0628d7ec79d04feee92735e5c503a3be195cb225c7c52d024308</t>
        </is>
      </c>
      <c r="BE333" s="24" t="inlineStr">
        <is>
          <t>soccer-poisson-dc-v1</t>
        </is>
      </c>
      <c r="BF333" s="24" t="inlineStr">
        <is>
          <t>1</t>
        </is>
      </c>
      <c r="BG333" s="24" t="inlineStr">
        <is>
          <t>3d16277c2cfc0628d7ec79d04feee92735e5c503a3be195cb225c7c52d024308</t>
        </is>
      </c>
      <c r="BH333" s="24" t="inlineStr">
        <is>
          <t>2026-09-14T10:04:10.160841Z</t>
        </is>
      </c>
      <c r="BI333" s="24" t="inlineStr">
        <is>
          <t>["same_event","same_team_same_day","same_league_same_day"]</t>
        </is>
      </c>
      <c r="BJ333" s="25" t="n">
        <v>2.5</v>
      </c>
      <c r="BK333" s="26" t="n">
        <v>117</v>
      </c>
      <c r="BL333" s="27" t="n">
        <v>2.17</v>
      </c>
      <c r="BM333" s="28" t="n">
        <v>0.460829</v>
      </c>
      <c r="BN333" s="28" t="n"/>
      <c r="BO333" s="28" t="n"/>
      <c r="BP333" s="25" t="n"/>
      <c r="BQ333" s="27" t="n">
        <v>2.17</v>
      </c>
      <c r="BR333" s="28" t="n">
        <v>0.46</v>
      </c>
      <c r="BS333" s="28" t="n"/>
      <c r="BT333" s="28" t="n"/>
      <c r="BU333" s="25" t="n"/>
      <c r="BV333" s="29" t="n"/>
      <c r="BW333" s="24" t="n"/>
      <c r="BX333" s="30" t="n">
        <v>1</v>
      </c>
      <c r="BY333" s="27" t="n">
        <v>-1</v>
      </c>
      <c r="BZ333" s="24" t="inlineStr">
        <is>
          <t>2026-09-14T22:00:18.197678Z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0.460829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80c3d09607f449a5</t>
        </is>
      </c>
      <c r="B334" s="24" t="inlineStr">
        <is>
          <t>2026-09-14T16:13:41.796560Z</t>
        </is>
      </c>
      <c r="C334" s="24" t="inlineStr">
        <is>
          <t>2026-09-14T19:00Z</t>
        </is>
      </c>
      <c r="D334" s="24" t="inlineStr">
        <is>
          <t>401882877</t>
        </is>
      </c>
      <c r="E334" s="24" t="inlineStr">
        <is>
          <t>SOCCER</t>
        </is>
      </c>
      <c r="F334" s="24" t="inlineStr">
        <is>
          <t>Real Betis</t>
        </is>
      </c>
      <c r="G334" s="24" t="inlineStr">
        <is>
          <t>Villarreal</t>
        </is>
      </c>
      <c r="H334" s="24" t="inlineStr">
        <is>
          <t>total</t>
        </is>
      </c>
      <c r="I334" s="24" t="inlineStr">
        <is>
          <t>over</t>
        </is>
      </c>
      <c r="J334" s="25" t="n">
        <v>2.5</v>
      </c>
      <c r="K334" s="24" t="inlineStr">
        <is>
          <t>polymarket_us</t>
        </is>
      </c>
      <c r="L334" s="26" t="n">
        <v>-203</v>
      </c>
      <c r="M334" s="27" t="n">
        <v>1.492611</v>
      </c>
      <c r="N334" s="28" t="n">
        <v>0.669967</v>
      </c>
      <c r="O334" s="28" t="n">
        <v>0.6915210000000001</v>
      </c>
      <c r="P334" s="28" t="n">
        <v>0.04</v>
      </c>
      <c r="Q334" s="28" t="n">
        <v>0.021554</v>
      </c>
      <c r="R334" s="26" t="n">
        <v>37</v>
      </c>
      <c r="S334" s="29" t="n">
        <v>1</v>
      </c>
      <c r="T334" s="24" t="inlineStr">
        <is>
          <t>soccer-poisson-dc-v1</t>
        </is>
      </c>
      <c r="U334" s="24" t="inlineStr">
        <is>
          <t>settled</t>
        </is>
      </c>
      <c r="V334" s="24" t="inlineStr">
        <is>
          <t>win</t>
        </is>
      </c>
      <c r="W334" s="26" t="n">
        <v>2</v>
      </c>
      <c r="X334" s="26" t="n">
        <v>1</v>
      </c>
      <c r="Y334" s="25" t="n"/>
      <c r="Z334" s="26" t="n">
        <v>-203</v>
      </c>
      <c r="AA334" s="28" t="n">
        <v>0.67</v>
      </c>
      <c r="AB334" s="28" t="n">
        <v>3.3e-05</v>
      </c>
      <c r="AC334" s="30" t="n">
        <v>0.4926</v>
      </c>
      <c r="AD334" s="24" t="inlineStr">
        <is>
          <t>2026-09-14T22:00:20.718248Z</t>
        </is>
      </c>
      <c r="AE334" s="31" t="inlineStr">
        <is>
          <t>Poisson-DC rates 2.20 (home) / 1.36 (away) from EWMA attack/defense strengths. Executable ask 0.6700 (tsc-lal-vil-bet-2026-09-14-2pt5).</t>
        </is>
      </c>
      <c r="AF334" s="31" t="inlineStr">
        <is>
          <t>Research-only soccer score model; draw-aware, but not yet locked-holdout qualified.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Real Betis</t>
        </is>
      </c>
      <c r="AQ334" s="24" t="inlineStr">
        <is>
          <t>Real Betis</t>
        </is>
      </c>
      <c r="AR334" s="24" t="inlineStr">
        <is>
          <t>Real Betis</t>
        </is>
      </c>
      <c r="AS334" s="24" t="inlineStr">
        <is>
          <t>Villarreal</t>
        </is>
      </c>
      <c r="AT334" s="24" t="inlineStr">
        <is>
          <t>Villarreal</t>
        </is>
      </c>
      <c r="AU334" s="24" t="inlineStr">
        <is>
          <t>Villarreal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3d16277c2cfc0628d7ec79d04feee92735e5c503a3be195cb225c7c52d024308</t>
        </is>
      </c>
      <c r="BB334" s="24" t="inlineStr">
        <is>
          <t>poisson_dixon_coles</t>
        </is>
      </c>
      <c r="BC334" s="24" t="inlineStr">
        <is>
          <t>soccer-poisson-dc-v1</t>
        </is>
      </c>
      <c r="BD334" s="24" t="inlineStr">
        <is>
          <t>3d16277c2cfc0628d7ec79d04feee92735e5c503a3be195cb225c7c52d024308</t>
        </is>
      </c>
      <c r="BE334" s="24" t="inlineStr">
        <is>
          <t>soccer-poisson-dc-v1</t>
        </is>
      </c>
      <c r="BF334" s="24" t="inlineStr">
        <is>
          <t>1</t>
        </is>
      </c>
      <c r="BG334" s="24" t="inlineStr">
        <is>
          <t>3d16277c2cfc0628d7ec79d04feee92735e5c503a3be195cb225c7c52d024308</t>
        </is>
      </c>
      <c r="BH334" s="24" t="inlineStr">
        <is>
          <t>2026-09-14T16:08:45.982178Z</t>
        </is>
      </c>
      <c r="BI334" s="24" t="inlineStr">
        <is>
          <t>["same_event","same_team_same_day","same_league_same_day"]</t>
        </is>
      </c>
      <c r="BJ334" s="25" t="n">
        <v>2.5</v>
      </c>
      <c r="BK334" s="26" t="n">
        <v>-203</v>
      </c>
      <c r="BL334" s="27" t="n">
        <v>1.492611</v>
      </c>
      <c r="BM334" s="28" t="n">
        <v>0.669967</v>
      </c>
      <c r="BN334" s="28" t="n"/>
      <c r="BO334" s="28" t="n"/>
      <c r="BP334" s="25" t="n"/>
      <c r="BQ334" s="27" t="n">
        <v>1.492611</v>
      </c>
      <c r="BR334" s="28" t="n">
        <v>0.67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0.492611</v>
      </c>
      <c r="BZ334" s="24" t="inlineStr">
        <is>
          <t>2026-09-14T22:00:20.718248Z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0.669967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69d5e53cb8e04608</t>
        </is>
      </c>
      <c r="B335" s="24" t="inlineStr">
        <is>
          <t>2026-09-14T16:13:41.796560Z</t>
        </is>
      </c>
      <c r="C335" s="24" t="inlineStr">
        <is>
          <t>2026-09-14T16:30Z</t>
        </is>
      </c>
      <c r="D335" s="24" t="inlineStr">
        <is>
          <t>401874933</t>
        </is>
      </c>
      <c r="E335" s="24" t="inlineStr">
        <is>
          <t>SOCCER</t>
        </is>
      </c>
      <c r="F335" s="24" t="inlineStr">
        <is>
          <t>Parma</t>
        </is>
      </c>
      <c r="G335" s="24" t="inlineStr">
        <is>
          <t>Como</t>
        </is>
      </c>
      <c r="H335" s="24" t="inlineStr">
        <is>
          <t>total</t>
        </is>
      </c>
      <c r="I335" s="24" t="inlineStr">
        <is>
          <t>under</t>
        </is>
      </c>
      <c r="J335" s="25" t="n">
        <v>2.5</v>
      </c>
      <c r="K335" s="24" t="inlineStr">
        <is>
          <t>polymarket_us</t>
        </is>
      </c>
      <c r="L335" s="26" t="n">
        <v>-4900</v>
      </c>
      <c r="M335" s="27" t="n">
        <v>1.020408</v>
      </c>
      <c r="N335" s="28" t="n">
        <v>0.98</v>
      </c>
      <c r="O335" s="28" t="n">
        <v>0.563163</v>
      </c>
      <c r="P335" s="28" t="n">
        <v>0.04</v>
      </c>
      <c r="Q335" s="28" t="n">
        <v>-0.416837</v>
      </c>
      <c r="R335" s="26" t="n">
        <v>0</v>
      </c>
      <c r="S335" s="29" t="n">
        <v>1</v>
      </c>
      <c r="T335" s="24" t="inlineStr">
        <is>
          <t>soccer-poisson-dc-v1</t>
        </is>
      </c>
      <c r="U335" s="24" t="inlineStr">
        <is>
          <t>settled</t>
        </is>
      </c>
      <c r="V335" s="24" t="inlineStr">
        <is>
          <t>loss</t>
        </is>
      </c>
      <c r="W335" s="26" t="n">
        <v>1</v>
      </c>
      <c r="X335" s="26" t="n">
        <v>2</v>
      </c>
      <c r="Y335" s="25" t="n"/>
      <c r="Z335" s="26" t="n">
        <v>-4900</v>
      </c>
      <c r="AA335" s="28" t="n">
        <v>0.98</v>
      </c>
      <c r="AB335" s="28" t="n">
        <v>0</v>
      </c>
      <c r="AC335" s="30" t="n">
        <v>-1</v>
      </c>
      <c r="AD335" s="24" t="inlineStr">
        <is>
          <t>2026-09-14T22:00:23.284984Z</t>
        </is>
      </c>
      <c r="AE335" s="31" t="inlineStr">
        <is>
          <t>Poisson-DC rates 1.94 (home) / 0.48 (away) from EWMA attack/defense strengths. Executable ask 0.9800 (tsc-sea-com-par-2026-09-14-sh-2pt5).</t>
        </is>
      </c>
      <c r="AF335" s="31" t="inlineStr">
        <is>
          <t>Research-only soccer score model; draw-aware, but not yet locked-holdout qualified.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Parma</t>
        </is>
      </c>
      <c r="AQ335" s="24" t="inlineStr">
        <is>
          <t>Parma</t>
        </is>
      </c>
      <c r="AR335" s="24" t="inlineStr">
        <is>
          <t>Parma</t>
        </is>
      </c>
      <c r="AS335" s="24" t="inlineStr">
        <is>
          <t>Como</t>
        </is>
      </c>
      <c r="AT335" s="24" t="inlineStr">
        <is>
          <t>Como</t>
        </is>
      </c>
      <c r="AU335" s="24" t="inlineStr">
        <is>
          <t>Como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3d16277c2cfc0628d7ec79d04feee92735e5c503a3be195cb225c7c52d024308</t>
        </is>
      </c>
      <c r="BB335" s="24" t="inlineStr">
        <is>
          <t>poisson_dixon_coles</t>
        </is>
      </c>
      <c r="BC335" s="24" t="inlineStr">
        <is>
          <t>soccer-poisson-dc-v1</t>
        </is>
      </c>
      <c r="BD335" s="24" t="inlineStr">
        <is>
          <t>3d16277c2cfc0628d7ec79d04feee92735e5c503a3be195cb225c7c52d024308</t>
        </is>
      </c>
      <c r="BE335" s="24" t="inlineStr">
        <is>
          <t>soccer-poisson-dc-v1</t>
        </is>
      </c>
      <c r="BF335" s="24" t="inlineStr">
        <is>
          <t>1</t>
        </is>
      </c>
      <c r="BG335" s="24" t="inlineStr">
        <is>
          <t>3d16277c2cfc0628d7ec79d04feee92735e5c503a3be195cb225c7c52d024308</t>
        </is>
      </c>
      <c r="BH335" s="24" t="inlineStr">
        <is>
          <t>2026-09-14T16:08:46.049720Z</t>
        </is>
      </c>
      <c r="BI335" s="24" t="inlineStr">
        <is>
          <t>["same_event","same_team_same_day","same_league_same_day"]</t>
        </is>
      </c>
      <c r="BJ335" s="25" t="n">
        <v>2.5</v>
      </c>
      <c r="BK335" s="26" t="n">
        <v>-4900</v>
      </c>
      <c r="BL335" s="27" t="n">
        <v>1.020408</v>
      </c>
      <c r="BM335" s="28" t="n">
        <v>0.98</v>
      </c>
      <c r="BN335" s="28" t="n"/>
      <c r="BO335" s="28" t="n"/>
      <c r="BP335" s="25" t="n"/>
      <c r="BQ335" s="27" t="n">
        <v>1.020408</v>
      </c>
      <c r="BR335" s="28" t="n">
        <v>0.98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-1</v>
      </c>
      <c r="BZ335" s="24" t="inlineStr">
        <is>
          <t>2026-09-14T22:00:23.284984Z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0.98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35644403d77b4c29</t>
        </is>
      </c>
      <c r="B336" s="24" t="inlineStr">
        <is>
          <t>2026-09-14T16:13:41.796560Z</t>
        </is>
      </c>
      <c r="C336" s="24" t="inlineStr">
        <is>
          <t>2026-09-14T16:30Z</t>
        </is>
      </c>
      <c r="D336" s="24" t="inlineStr">
        <is>
          <t>401874950</t>
        </is>
      </c>
      <c r="E336" s="24" t="inlineStr">
        <is>
          <t>SOCCER</t>
        </is>
      </c>
      <c r="F336" s="24" t="inlineStr">
        <is>
          <t>AS Roma</t>
        </is>
      </c>
      <c r="G336" s="24" t="inlineStr">
        <is>
          <t>Torino</t>
        </is>
      </c>
      <c r="H336" s="24" t="inlineStr">
        <is>
          <t>total</t>
        </is>
      </c>
      <c r="I336" s="24" t="inlineStr">
        <is>
          <t>over</t>
        </is>
      </c>
      <c r="J336" s="25" t="n">
        <v>2.5</v>
      </c>
      <c r="K336" s="24" t="inlineStr">
        <is>
          <t>polymarket_us</t>
        </is>
      </c>
      <c r="L336" s="26" t="n">
        <v>-127</v>
      </c>
      <c r="M336" s="27" t="n">
        <v>1.787402</v>
      </c>
      <c r="N336" s="28" t="n">
        <v>0.5594710000000001</v>
      </c>
      <c r="O336" s="28" t="n">
        <v>0.571242</v>
      </c>
      <c r="P336" s="28" t="n">
        <v>0.04</v>
      </c>
      <c r="Q336" s="28" t="n">
        <v>0.011771</v>
      </c>
      <c r="R336" s="26" t="n">
        <v>32</v>
      </c>
      <c r="S336" s="29" t="n">
        <v>1</v>
      </c>
      <c r="T336" s="24" t="inlineStr">
        <is>
          <t>soccer-poisson-dc-v1</t>
        </is>
      </c>
      <c r="U336" s="24" t="inlineStr">
        <is>
          <t>settled</t>
        </is>
      </c>
      <c r="V336" s="24" t="inlineStr">
        <is>
          <t>loss</t>
        </is>
      </c>
      <c r="W336" s="26" t="n">
        <v>2</v>
      </c>
      <c r="X336" s="26" t="n">
        <v>0</v>
      </c>
      <c r="Y336" s="25" t="n"/>
      <c r="Z336" s="26" t="n">
        <v>-127</v>
      </c>
      <c r="AA336" s="28" t="n">
        <v>0.5600000000000001</v>
      </c>
      <c r="AB336" s="28" t="n">
        <v>0.000529</v>
      </c>
      <c r="AC336" s="30" t="n">
        <v>-1</v>
      </c>
      <c r="AD336" s="24" t="inlineStr">
        <is>
          <t>2026-09-14T22:00:25.733590Z</t>
        </is>
      </c>
      <c r="AE336" s="31" t="inlineStr">
        <is>
          <t>Poisson-DC rates 1.05 (home) / 1.92 (away) from EWMA attack/defense strengths. Executable ask 0.5600 (tsc-sea-tor-rom-2026-09-14-2pt5).</t>
        </is>
      </c>
      <c r="AF336" s="31" t="inlineStr">
        <is>
          <t>Research-only soccer score model; draw-aware, but not yet locked-holdout qualified.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AS Roma</t>
        </is>
      </c>
      <c r="AQ336" s="24" t="inlineStr">
        <is>
          <t>AS Roma</t>
        </is>
      </c>
      <c r="AR336" s="24" t="inlineStr">
        <is>
          <t>AS Roma</t>
        </is>
      </c>
      <c r="AS336" s="24" t="inlineStr">
        <is>
          <t>Torino</t>
        </is>
      </c>
      <c r="AT336" s="24" t="inlineStr">
        <is>
          <t>Torino</t>
        </is>
      </c>
      <c r="AU336" s="24" t="inlineStr">
        <is>
          <t>Torino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3d16277c2cfc0628d7ec79d04feee92735e5c503a3be195cb225c7c52d024308</t>
        </is>
      </c>
      <c r="BB336" s="24" t="inlineStr">
        <is>
          <t>poisson_dixon_coles</t>
        </is>
      </c>
      <c r="BC336" s="24" t="inlineStr">
        <is>
          <t>soccer-poisson-dc-v1</t>
        </is>
      </c>
      <c r="BD336" s="24" t="inlineStr">
        <is>
          <t>3d16277c2cfc0628d7ec79d04feee92735e5c503a3be195cb225c7c52d024308</t>
        </is>
      </c>
      <c r="BE336" s="24" t="inlineStr">
        <is>
          <t>soccer-poisson-dc-v1</t>
        </is>
      </c>
      <c r="BF336" s="24" t="inlineStr">
        <is>
          <t>1</t>
        </is>
      </c>
      <c r="BG336" s="24" t="inlineStr">
        <is>
          <t>3d16277c2cfc0628d7ec79d04feee92735e5c503a3be195cb225c7c52d024308</t>
        </is>
      </c>
      <c r="BH336" s="24" t="inlineStr">
        <is>
          <t>2026-09-14T16:08:57.218379Z</t>
        </is>
      </c>
      <c r="BI336" s="24" t="inlineStr">
        <is>
          <t>["same_event","same_team_same_day","same_league_same_day"]</t>
        </is>
      </c>
      <c r="BJ336" s="25" t="n">
        <v>2.5</v>
      </c>
      <c r="BK336" s="26" t="n">
        <v>-127</v>
      </c>
      <c r="BL336" s="27" t="n">
        <v>1.787402</v>
      </c>
      <c r="BM336" s="28" t="n">
        <v>0.5594710000000001</v>
      </c>
      <c r="BN336" s="28" t="n"/>
      <c r="BO336" s="28" t="n"/>
      <c r="BP336" s="25" t="n"/>
      <c r="BQ336" s="27" t="n">
        <v>1.787402</v>
      </c>
      <c r="BR336" s="28" t="n">
        <v>0.5600000000000001</v>
      </c>
      <c r="BS336" s="28" t="n"/>
      <c r="BT336" s="28" t="n"/>
      <c r="BU336" s="25" t="n"/>
      <c r="BV336" s="29" t="n"/>
      <c r="BW336" s="24" t="n"/>
      <c r="BX336" s="30" t="n">
        <v>1</v>
      </c>
      <c r="BY336" s="27" t="n">
        <v>-1</v>
      </c>
      <c r="BZ336" s="24" t="inlineStr">
        <is>
          <t>2026-09-14T22:00:25.733590Z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0.559471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6b2239397b634ee1</t>
        </is>
      </c>
      <c r="B337" s="24" t="inlineStr">
        <is>
          <t>2026-09-15T00:16:39.677622Z</t>
        </is>
      </c>
      <c r="C337" s="24" t="inlineStr">
        <is>
          <t>2026-09-15T00:30Z</t>
        </is>
      </c>
      <c r="D337" s="24" t="inlineStr">
        <is>
          <t>401860333</t>
        </is>
      </c>
      <c r="E337" s="24" t="inlineStr">
        <is>
          <t>SOCCER</t>
        </is>
      </c>
      <c r="F337" s="24" t="inlineStr">
        <is>
          <t>Vila Nova</t>
        </is>
      </c>
      <c r="G337" s="24" t="inlineStr">
        <is>
          <t>Avaí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170</v>
      </c>
      <c r="M337" s="27" t="n">
        <v>2.7</v>
      </c>
      <c r="N337" s="28" t="n">
        <v>0.37037</v>
      </c>
      <c r="O337" s="28" t="n">
        <v>0.486715</v>
      </c>
      <c r="P337" s="28" t="n">
        <v>0.19</v>
      </c>
      <c r="Q337" s="28" t="n">
        <v>0.116345</v>
      </c>
      <c r="R337" s="26" t="n">
        <v>0</v>
      </c>
      <c r="S337" s="29" t="n">
        <v>1</v>
      </c>
      <c r="T337" s="24" t="inlineStr">
        <is>
          <t>soccer-poisson-dc-v1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1</v>
      </c>
      <c r="Y337" s="25" t="n"/>
      <c r="Z337" s="26" t="n">
        <v>170</v>
      </c>
      <c r="AA337" s="28" t="n">
        <v>0.37</v>
      </c>
      <c r="AB337" s="28" t="n">
        <v>-0.00037</v>
      </c>
      <c r="AC337" s="30" t="n">
        <v>-1</v>
      </c>
      <c r="AD337" s="24" t="inlineStr">
        <is>
          <t>2026-09-15T04:30:42.152682Z</t>
        </is>
      </c>
      <c r="AE337" s="31" t="inlineStr">
        <is>
          <t>Poisson-DC rates 1.52 (home) / 0.98 (away) from EWMA attack/defense strengths. Executable ask 0.3700 (atc-brb-ava-vln-2026-09-14-ava).</t>
        </is>
      </c>
      <c r="AF337" s="31" t="inlineStr">
        <is>
          <t>Research-only soccer score model; draw-aware, but not yet locked-holdout qualified.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PAPER_CALL_MODEL_UNVALIDATED</t>
        </is>
      </c>
      <c r="AP337" s="24" t="inlineStr">
        <is>
          <t>Vila Nova</t>
        </is>
      </c>
      <c r="AQ337" s="24" t="inlineStr">
        <is>
          <t>Vila Nova</t>
        </is>
      </c>
      <c r="AR337" s="24" t="inlineStr">
        <is>
          <t>Vila Nova</t>
        </is>
      </c>
      <c r="AS337" s="24" t="inlineStr">
        <is>
          <t>Avaí</t>
        </is>
      </c>
      <c r="AT337" s="24" t="inlineStr">
        <is>
          <t>Avaí</t>
        </is>
      </c>
      <c r="AU337" s="24" t="inlineStr">
        <is>
          <t>Avaí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3d16277c2cfc0628d7ec79d04feee92735e5c503a3be195cb225c7c52d024308</t>
        </is>
      </c>
      <c r="BB337" s="24" t="inlineStr">
        <is>
          <t>poisson_dixon_coles</t>
        </is>
      </c>
      <c r="BC337" s="24" t="inlineStr">
        <is>
          <t>soccer-poisson-dc-v1</t>
        </is>
      </c>
      <c r="BD337" s="24" t="inlineStr">
        <is>
          <t>3d16277c2cfc0628d7ec79d04feee92735e5c503a3be195cb225c7c52d024308</t>
        </is>
      </c>
      <c r="BE337" s="24" t="inlineStr">
        <is>
          <t>soccer-poisson-dc-v1</t>
        </is>
      </c>
      <c r="BF337" s="24" t="inlineStr">
        <is>
          <t>1</t>
        </is>
      </c>
      <c r="BG337" s="24" t="inlineStr">
        <is>
          <t>3d16277c2cfc0628d7ec79d04feee92735e5c503a3be195cb225c7c52d024308</t>
        </is>
      </c>
      <c r="BH337" s="24" t="inlineStr">
        <is>
          <t>2026-09-15T00:07:04.652643Z</t>
        </is>
      </c>
      <c r="BI337" s="24" t="inlineStr">
        <is>
          <t>["same_event","same_team_same_day","same_league_same_day"]</t>
        </is>
      </c>
      <c r="BJ337" s="25" t="n"/>
      <c r="BK337" s="26" t="n">
        <v>170</v>
      </c>
      <c r="BL337" s="27" t="n">
        <v>2.7</v>
      </c>
      <c r="BM337" s="28" t="n">
        <v>0.37037</v>
      </c>
      <c r="BN337" s="28" t="n"/>
      <c r="BO337" s="28" t="n"/>
      <c r="BP337" s="25" t="n"/>
      <c r="BQ337" s="27" t="n">
        <v>2.7</v>
      </c>
      <c r="BR337" s="28" t="n">
        <v>0.37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2026-09-15T04:30:42.152682Z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0.37037</t>
        </is>
      </c>
      <c r="DK337" s="24" t="n"/>
      <c r="DL337" s="24" t="n"/>
      <c r="DM337" s="24" t="n"/>
      <c r="DN337" s="24" t="n"/>
      <c r="DO337" s="24" t="n"/>
      <c r="DP337" s="24" t="n"/>
      <c r="DQ337" s="24" t="inlineStr">
        <is>
          <t>{"artifact_hash": "3d16277c2cfc0628d7ec79d04feee92735e5c503a3be195cb225c7c52d024308", "away_team": "Vila Nova", "event_id": "401860333", "event_start_utc": "2026-09-15T00:30Z", "features": {"away_goal_rate": 0.9812, "history_games": 9181, "home_goal_rate": 1.5248, "league_goals_per_team": 1.4281, "min_team_games": 1.0}, "historical_source_observation_times_verified": false, "home_team": "Ava\u00ed", "inference_inputs": {"away_rate": 0.9811670266074368, "code_sha256": {"models/soccer.py": "3d16277c2cfc0628d7ec79d04feee92735e5c503a3be195cb225c7c52d024308"}, "home_rate": 1.5247538865154955, "sport": "SOCCER"}, "market_type": "moneyline", "model_version": "soccer-poisson-dc-v1", "observed_at_utc": "2026-09-15T00:16:38.766652+00:00", "probabilities": {"away": 0.23119, "draw": 0.282095, "home": 0.486715}, "replay_scope": "Exact full-precision serving state and rounding; upstream historical observation times are not certified.", "schema": "coded-moneyline-replay-v1", "snapshot_hash": "c12afe4e142a84435fdc4dbfff81ffb230d4be5d5a23bf2b9bc8f455d03c38c6", "sport": "SOCCER"}</t>
        </is>
      </c>
    </row>
    <row r="338" ht="36" customHeight="1">
      <c r="A338" s="24" t="inlineStr">
        <is>
          <t>fc9c8eafc26244d1</t>
        </is>
      </c>
      <c r="B338" s="24" t="inlineStr">
        <is>
          <t>2026-09-15T16:12:40.391410Z</t>
        </is>
      </c>
      <c r="C338" s="24" t="inlineStr">
        <is>
          <t>2026-09-15T17:00Z</t>
        </is>
      </c>
      <c r="D338" s="24" t="inlineStr">
        <is>
          <t>401882868</t>
        </is>
      </c>
      <c r="E338" s="24" t="inlineStr">
        <is>
          <t>SOCCER</t>
        </is>
      </c>
      <c r="F338" s="24" t="inlineStr">
        <is>
          <t>Espanyol</t>
        </is>
      </c>
      <c r="G338" s="24" t="inlineStr">
        <is>
          <t>Rayo Vallecano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138</v>
      </c>
      <c r="M338" s="27" t="n">
        <v>2.38</v>
      </c>
      <c r="N338" s="28" t="n">
        <v>0.420168</v>
      </c>
      <c r="O338" s="28" t="n">
        <v>0.549996</v>
      </c>
      <c r="P338" s="28" t="n">
        <v>0.04</v>
      </c>
      <c r="Q338" s="28" t="n">
        <v>0.129828</v>
      </c>
      <c r="R338" s="26" t="n">
        <v>91</v>
      </c>
      <c r="S338" s="29" t="n">
        <v>1.5</v>
      </c>
      <c r="T338" s="24" t="inlineStr">
        <is>
          <t>soccer-poisson-dc-v1</t>
        </is>
      </c>
      <c r="U338" s="24" t="inlineStr">
        <is>
          <t>settled</t>
        </is>
      </c>
      <c r="V338" s="24" t="inlineStr">
        <is>
          <t>win</t>
        </is>
      </c>
      <c r="W338" s="26" t="n">
        <v>1</v>
      </c>
      <c r="X338" s="26" t="n">
        <v>2</v>
      </c>
      <c r="Y338" s="25" t="n"/>
      <c r="Z338" s="26" t="n">
        <v>138</v>
      </c>
      <c r="AA338" s="28" t="n">
        <v>0.42</v>
      </c>
      <c r="AB338" s="28" t="n">
        <v>-0.000168</v>
      </c>
      <c r="AC338" s="30" t="n">
        <v>2.07</v>
      </c>
      <c r="AD338" s="24" t="inlineStr">
        <is>
          <t>2026-09-15T22:07:11.371108Z</t>
        </is>
      </c>
      <c r="AE338" s="31" t="inlineStr">
        <is>
          <t>Poisson-DC rates 1.57 (home) / 0.78 (away) from EWMA attack/defense strengths. Executable ask 0.4200 (atc-lal-ray-esp-2026-09-15-ray).</t>
        </is>
      </c>
      <c r="AF338" s="31" t="inlineStr">
        <is>
          <t>Research-only soccer score model; draw-aware, but not yet locked-holdout qualified.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Espanyol</t>
        </is>
      </c>
      <c r="AQ338" s="24" t="inlineStr">
        <is>
          <t>Espanyol</t>
        </is>
      </c>
      <c r="AR338" s="24" t="inlineStr">
        <is>
          <t>Espanyol</t>
        </is>
      </c>
      <c r="AS338" s="24" t="inlineStr">
        <is>
          <t>Rayo Vallecano</t>
        </is>
      </c>
      <c r="AT338" s="24" t="inlineStr">
        <is>
          <t>Rayo Vallecano</t>
        </is>
      </c>
      <c r="AU338" s="24" t="inlineStr">
        <is>
          <t>Rayo Vallecano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3d16277c2cfc0628d7ec79d04feee92735e5c503a3be195cb225c7c52d024308</t>
        </is>
      </c>
      <c r="BB338" s="24" t="inlineStr">
        <is>
          <t>poisson_dixon_coles</t>
        </is>
      </c>
      <c r="BC338" s="24" t="inlineStr">
        <is>
          <t>soccer-poisson-dc-v1</t>
        </is>
      </c>
      <c r="BD338" s="24" t="inlineStr">
        <is>
          <t>3d16277c2cfc0628d7ec79d04feee92735e5c503a3be195cb225c7c52d024308</t>
        </is>
      </c>
      <c r="BE338" s="24" t="inlineStr">
        <is>
          <t>soccer-poisson-dc-v1</t>
        </is>
      </c>
      <c r="BF338" s="24" t="inlineStr">
        <is>
          <t>1</t>
        </is>
      </c>
      <c r="BG338" s="24" t="inlineStr">
        <is>
          <t>3d16277c2cfc0628d7ec79d04feee92735e5c503a3be195cb225c7c52d024308</t>
        </is>
      </c>
      <c r="BH338" s="24" t="inlineStr">
        <is>
          <t>2026-09-15T10:04:24.327640Z</t>
        </is>
      </c>
      <c r="BI338" s="24" t="inlineStr">
        <is>
          <t>["same_event","same_team_same_day","same_league_same_day"]</t>
        </is>
      </c>
      <c r="BJ338" s="25" t="n"/>
      <c r="BK338" s="26" t="n">
        <v>138</v>
      </c>
      <c r="BL338" s="27" t="n">
        <v>2.38</v>
      </c>
      <c r="BM338" s="28" t="n">
        <v>0.420168</v>
      </c>
      <c r="BN338" s="28" t="n"/>
      <c r="BO338" s="28" t="n"/>
      <c r="BP338" s="25" t="n"/>
      <c r="BQ338" s="27" t="n">
        <v>2.38</v>
      </c>
      <c r="BR338" s="28" t="n">
        <v>0.42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1.38</v>
      </c>
      <c r="BZ338" s="24" t="inlineStr">
        <is>
          <t>2026-09-15T22:07:11.371108Z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0.420168</t>
        </is>
      </c>
      <c r="DK338" s="24" t="n"/>
      <c r="DL338" s="24" t="n"/>
      <c r="DM338" s="24" t="n"/>
      <c r="DN338" s="24" t="n"/>
      <c r="DO338" s="24" t="n"/>
      <c r="DP338" s="24" t="n"/>
      <c r="DQ338" s="24" t="inlineStr">
        <is>
          <t>{"artifact_hash": "3d16277c2cfc0628d7ec79d04feee92735e5c503a3be195cb225c7c52d024308", "away_team": "Espanyol", "event_id": "401882868", "event_start_utc": "2026-09-15T17:00Z", "features": {"away_goal_rate": 0.7791, "history_games": 9181, "home_goal_rate": 1.5701, "league_goals_per_team": 1.325, "min_team_games": 76.0}, "historical_source_observation_times_verified": false, "home_team": "Rayo Vallecano", "inference_inputs": {"away_rate": 0.7790914209228635, "code_sha256": {"models/soccer.py": "3d16277c2cfc0628d7ec79d04feee92735e5c503a3be195cb225c7c52d024308"}, "home_rate": 1.5700507542893771, "sport": "SOCCER"}, "market_type": "moneyline", "model_version": "soccer-poisson-dc-v1", "observed_at_utc": "2026-09-15T16:12:39.118690+00:00", "probabilities": {"away": 0.173497, "draw": 0.276507, "home": 0.549996}, "replay_scope": "Exact full-precision serving state and rounding; upstream historical observation times are not certified.", "schema": "coded-moneyline-replay-v1", "snapshot_hash": "442e7893e2c60ef26b4393825f3fe5b2ca7235593b058f20f8d80a21e37e680c", "sport": "SOCCER"}</t>
        </is>
      </c>
    </row>
    <row r="339" ht="36" customHeight="1">
      <c r="A339" s="24" t="inlineStr">
        <is>
          <t>546c57e6357b4fda</t>
        </is>
      </c>
      <c r="B339" s="24" t="inlineStr">
        <is>
          <t>2026-09-15T16:12:40.391410Z</t>
        </is>
      </c>
      <c r="C339" s="24" t="inlineStr">
        <is>
          <t>2026-09-15T19:30Z</t>
        </is>
      </c>
      <c r="D339" s="24" t="inlineStr">
        <is>
          <t>401882872</t>
        </is>
      </c>
      <c r="E339" s="24" t="inlineStr">
        <is>
          <t>SOCCER</t>
        </is>
      </c>
      <c r="F339" s="24" t="inlineStr">
        <is>
          <t>Real Madrid</t>
        </is>
      </c>
      <c r="G339" s="24" t="inlineStr">
        <is>
          <t>Elche</t>
        </is>
      </c>
      <c r="H339" s="24" t="inlineStr">
        <is>
          <t>moneyline</t>
        </is>
      </c>
      <c r="I339" s="24" t="inlineStr">
        <is>
          <t>away</t>
        </is>
      </c>
      <c r="J339" s="25" t="n"/>
      <c r="K339" s="24" t="inlineStr">
        <is>
          <t>polymarket_us</t>
        </is>
      </c>
      <c r="L339" s="26" t="n">
        <v>-456</v>
      </c>
      <c r="M339" s="27" t="n">
        <v>1.219298</v>
      </c>
      <c r="N339" s="28" t="n">
        <v>0.820144</v>
      </c>
      <c r="O339" s="28" t="n">
        <v>0.536281</v>
      </c>
      <c r="P339" s="28" t="n">
        <v>0.04</v>
      </c>
      <c r="Q339" s="28" t="n">
        <v>-0.283863</v>
      </c>
      <c r="R339" s="26" t="n">
        <v>0</v>
      </c>
      <c r="S339" s="29" t="n">
        <v>1</v>
      </c>
      <c r="T339" s="24" t="inlineStr">
        <is>
          <t>soccer-poisson-dc-v1</t>
        </is>
      </c>
      <c r="U339" s="24" t="inlineStr">
        <is>
          <t>settled</t>
        </is>
      </c>
      <c r="V339" s="24" t="inlineStr">
        <is>
          <t>win</t>
        </is>
      </c>
      <c r="W339" s="26" t="n">
        <v>3</v>
      </c>
      <c r="X339" s="26" t="n">
        <v>2</v>
      </c>
      <c r="Y339" s="25" t="n"/>
      <c r="Z339" s="26" t="n">
        <v>426</v>
      </c>
      <c r="AA339" s="28" t="n">
        <v>0.19</v>
      </c>
      <c r="AB339" s="28" t="n">
        <v>-0.630144</v>
      </c>
      <c r="AC339" s="30" t="n">
        <v>0.2193</v>
      </c>
      <c r="AD339" s="24" t="inlineStr">
        <is>
          <t>2026-09-15T22:07:13.893171Z</t>
        </is>
      </c>
      <c r="AE339" s="31" t="inlineStr">
        <is>
          <t>Poisson-DC rates 1.11 (home) / 1.85 (away) from EWMA attack/defense strengths. Executable ask 0.8200 (atc-lal-elc-rma-2026-09-15-rma).</t>
        </is>
      </c>
      <c r="AF339" s="31" t="inlineStr">
        <is>
          <t>Research-only soccer score model; draw-aware, but not yet locked-holdout qualified.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Real Madrid</t>
        </is>
      </c>
      <c r="AQ339" s="24" t="inlineStr">
        <is>
          <t>Real Madrid</t>
        </is>
      </c>
      <c r="AR339" s="24" t="inlineStr">
        <is>
          <t>Real Madrid</t>
        </is>
      </c>
      <c r="AS339" s="24" t="inlineStr">
        <is>
          <t>Elche</t>
        </is>
      </c>
      <c r="AT339" s="24" t="inlineStr">
        <is>
          <t>Elche</t>
        </is>
      </c>
      <c r="AU339" s="24" t="inlineStr">
        <is>
          <t>Elche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3d16277c2cfc0628d7ec79d04feee92735e5c503a3be195cb225c7c52d024308</t>
        </is>
      </c>
      <c r="BB339" s="24" t="inlineStr">
        <is>
          <t>poisson_dixon_coles</t>
        </is>
      </c>
      <c r="BC339" s="24" t="inlineStr">
        <is>
          <t>soccer-poisson-dc-v1</t>
        </is>
      </c>
      <c r="BD339" s="24" t="inlineStr">
        <is>
          <t>3d16277c2cfc0628d7ec79d04feee92735e5c503a3be195cb225c7c52d024308</t>
        </is>
      </c>
      <c r="BE339" s="24" t="inlineStr">
        <is>
          <t>soccer-poisson-dc-v1</t>
        </is>
      </c>
      <c r="BF339" s="24" t="inlineStr">
        <is>
          <t>1</t>
        </is>
      </c>
      <c r="BG339" s="24" t="inlineStr">
        <is>
          <t>3d16277c2cfc0628d7ec79d04feee92735e5c503a3be195cb225c7c52d024308</t>
        </is>
      </c>
      <c r="BH339" s="24" t="inlineStr">
        <is>
          <t>2026-09-15T16:08:16.418251Z</t>
        </is>
      </c>
      <c r="BI339" s="24" t="inlineStr">
        <is>
          <t>["same_event","same_team_same_day","same_league_same_day"]</t>
        </is>
      </c>
      <c r="BJ339" s="25" t="n"/>
      <c r="BK339" s="26" t="n">
        <v>-456</v>
      </c>
      <c r="BL339" s="27" t="n">
        <v>1.219298</v>
      </c>
      <c r="BM339" s="28" t="n">
        <v>0.820144</v>
      </c>
      <c r="BN339" s="28" t="n"/>
      <c r="BO339" s="28" t="n"/>
      <c r="BP339" s="25" t="n"/>
      <c r="BQ339" s="27" t="n">
        <v>5.26</v>
      </c>
      <c r="BR339" s="28" t="n">
        <v>0.19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0.219298</v>
      </c>
      <c r="BZ339" s="24" t="inlineStr">
        <is>
          <t>2026-09-15T22:07:13.893171Z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0.820144</t>
        </is>
      </c>
      <c r="DK339" s="24" t="n"/>
      <c r="DL339" s="24" t="n"/>
      <c r="DM339" s="24" t="n"/>
      <c r="DN339" s="24" t="n"/>
      <c r="DO339" s="24" t="n"/>
      <c r="DP339" s="24" t="n"/>
      <c r="DQ339" s="24" t="inlineStr">
        <is>
          <t>{"artifact_hash": "3d16277c2cfc0628d7ec79d04feee92735e5c503a3be195cb225c7c52d024308", "away_team": "Real Madrid", "event_id": "401882872", "event_start_utc": "2026-09-15T19:30Z", "features": {"away_goal_rate": 1.8477, "history_games": 9181, "home_goal_rate": 1.1068, "league_goals_per_team": 1.325, "min_team_games": 38.0}, "historical_source_observation_times_verified": false, "home_team": "Elche", "inference_inputs": {"away_rate": 1.8477043172663954, "code_sha256": {"models/soccer.py": "3d16277c2cfc0628d7ec79d04feee92735e5c503a3be195cb225c7c52d024308"}, "home_rate": 1.1068025573488665, "sport": "SOCCER"}, "market_type": "moneyline", "model_version": "soccer-poisson-dc-v1", "observed_at_utc": "2026-09-15T16:12:39.118690+00:00", "probabilities": {"away": 0.536281, "draw": 0.248548, "home": 0.215171}, "replay_scope": "Exact full-precision serving state and rounding; upstream historical observation times are not certified.", "schema": "coded-moneyline-replay-v1", "snapshot_hash": "32672294e8bfb761e4fc5054a928bd74077cd6c2ee919042c66fbae19f0c1387", "sport": "SOCCER"}</t>
        </is>
      </c>
    </row>
    <row r="340" ht="36" customHeight="1">
      <c r="A340" s="24" t="inlineStr">
        <is>
          <t>bca6112603c34ef4</t>
        </is>
      </c>
      <c r="B340" s="24" t="inlineStr">
        <is>
          <t>2026-09-15T16:12:40.391410Z</t>
        </is>
      </c>
      <c r="C340" s="24" t="inlineStr">
        <is>
          <t>2026-09-15T22:30Z</t>
        </is>
      </c>
      <c r="D340" s="24" t="inlineStr">
        <is>
          <t>401860339</t>
        </is>
      </c>
      <c r="E340" s="24" t="inlineStr">
        <is>
          <t>SOCCER</t>
        </is>
      </c>
      <c r="F340" s="24" t="inlineStr">
        <is>
          <t>Ponte Preta</t>
        </is>
      </c>
      <c r="G340" s="24" t="inlineStr">
        <is>
          <t>Londrina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polymarket_us</t>
        </is>
      </c>
      <c r="L340" s="26" t="n">
        <v>-285</v>
      </c>
      <c r="M340" s="27" t="n">
        <v>1.350877</v>
      </c>
      <c r="N340" s="28" t="n">
        <v>0.74026</v>
      </c>
      <c r="O340" s="28" t="n">
        <v>0.483295</v>
      </c>
      <c r="P340" s="28" t="n">
        <v>0.2</v>
      </c>
      <c r="Q340" s="28" t="n">
        <v>-0.256965</v>
      </c>
      <c r="R340" s="26" t="n">
        <v>0</v>
      </c>
      <c r="S340" s="29" t="n">
        <v>1</v>
      </c>
      <c r="T340" s="24" t="inlineStr">
        <is>
          <t>soccer-poisson-dc-v1</t>
        </is>
      </c>
      <c r="U340" s="24" t="inlineStr">
        <is>
          <t>settled</t>
        </is>
      </c>
      <c r="V340" s="24" t="inlineStr">
        <is>
          <t>win</t>
        </is>
      </c>
      <c r="W340" s="26" t="n">
        <v>0</v>
      </c>
      <c r="X340" s="26" t="n">
        <v>6</v>
      </c>
      <c r="Y340" s="25" t="n"/>
      <c r="Z340" s="26" t="n">
        <v>-285</v>
      </c>
      <c r="AA340" s="28" t="n">
        <v>0.74</v>
      </c>
      <c r="AB340" s="28" t="n">
        <v>-0.00026</v>
      </c>
      <c r="AC340" s="30" t="n">
        <v>0.3509</v>
      </c>
      <c r="AD340" s="24" t="inlineStr">
        <is>
          <t>2026-09-16T04:40:23.817723Z</t>
        </is>
      </c>
      <c r="AE340" s="31" t="inlineStr">
        <is>
          <t>Poisson-DC rates 1.72 (home) / 1.20 (away) from EWMA attack/defense strengths. Executable ask 0.7400 (atc-brb-lon-pop-2026-09-15-lon).</t>
        </is>
      </c>
      <c r="AF340" s="31" t="inlineStr">
        <is>
          <t>Research-only soccer score model; draw-aware, but not yet locked-holdout qualified.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PAPER_CALL_MODEL_UNVALIDATED</t>
        </is>
      </c>
      <c r="AP340" s="24" t="inlineStr">
        <is>
          <t>Ponte Preta</t>
        </is>
      </c>
      <c r="AQ340" s="24" t="inlineStr">
        <is>
          <t>Ponte Preta</t>
        </is>
      </c>
      <c r="AR340" s="24" t="inlineStr">
        <is>
          <t>Ponte Preta</t>
        </is>
      </c>
      <c r="AS340" s="24" t="inlineStr">
        <is>
          <t>Londrina</t>
        </is>
      </c>
      <c r="AT340" s="24" t="inlineStr">
        <is>
          <t>Londrina</t>
        </is>
      </c>
      <c r="AU340" s="24" t="inlineStr">
        <is>
          <t>Londrina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3d16277c2cfc0628d7ec79d04feee92735e5c503a3be195cb225c7c52d024308</t>
        </is>
      </c>
      <c r="BB340" s="24" t="inlineStr">
        <is>
          <t>poisson_dixon_coles</t>
        </is>
      </c>
      <c r="BC340" s="24" t="inlineStr">
        <is>
          <t>soccer-poisson-dc-v1</t>
        </is>
      </c>
      <c r="BD340" s="24" t="inlineStr">
        <is>
          <t>3d16277c2cfc0628d7ec79d04feee92735e5c503a3be195cb225c7c52d024308</t>
        </is>
      </c>
      <c r="BE340" s="24" t="inlineStr">
        <is>
          <t>soccer-poisson-dc-v1</t>
        </is>
      </c>
      <c r="BF340" s="24" t="inlineStr">
        <is>
          <t>1</t>
        </is>
      </c>
      <c r="BG340" s="24" t="inlineStr">
        <is>
          <t>3d16277c2cfc0628d7ec79d04feee92735e5c503a3be195cb225c7c52d024308</t>
        </is>
      </c>
      <c r="BH340" s="24" t="inlineStr">
        <is>
          <t>2026-09-15T16:08:28.096609Z</t>
        </is>
      </c>
      <c r="BI340" s="24" t="inlineStr">
        <is>
          <t>["same_event","same_team_same_day","same_league_same_day"]</t>
        </is>
      </c>
      <c r="BJ340" s="25" t="n"/>
      <c r="BK340" s="26" t="n">
        <v>-285</v>
      </c>
      <c r="BL340" s="27" t="n">
        <v>1.350877</v>
      </c>
      <c r="BM340" s="28" t="n">
        <v>0.74026</v>
      </c>
      <c r="BN340" s="28" t="n"/>
      <c r="BO340" s="28" t="n"/>
      <c r="BP340" s="25" t="n"/>
      <c r="BQ340" s="27" t="n">
        <v>1.350877</v>
      </c>
      <c r="BR340" s="28" t="n">
        <v>0.74</v>
      </c>
      <c r="BS340" s="28" t="n"/>
      <c r="BT340" s="28" t="n"/>
      <c r="BU340" s="25" t="n"/>
      <c r="BV340" s="29" t="n"/>
      <c r="BW340" s="24" t="n"/>
      <c r="BX340" s="30" t="n">
        <v>1</v>
      </c>
      <c r="BY340" s="27" t="n">
        <v>0.350877</v>
      </c>
      <c r="BZ340" s="24" t="inlineStr">
        <is>
          <t>2026-09-16T04:40:23.817723Z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0.74026</t>
        </is>
      </c>
      <c r="DK340" s="24" t="n"/>
      <c r="DL340" s="24" t="n"/>
      <c r="DM340" s="24" t="n"/>
      <c r="DN340" s="24" t="n"/>
      <c r="DO340" s="24" t="n"/>
      <c r="DP340" s="24" t="n"/>
      <c r="DQ340" s="24" t="inlineStr">
        <is>
          <t>{"artifact_hash": "3d16277c2cfc0628d7ec79d04feee92735e5c503a3be195cb225c7c52d024308", "away_team": "Ponte Preta", "event_id": "401860339", "event_start_utc": "2026-09-15T22:30Z", "features": {"away_goal_rate": 1.2004, "history_games": 9181, "home_goal_rate": 1.7153, "league_goals_per_team": 1.4281, "min_team_games": 0.0}, "historical_source_observation_times_verified": false, "home_team": "Londrina",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"2026-09-15T16:12:39.118690+00:00", "probabilities": {"away": 0.256322, "draw": 0.260383, "home": 0.483295}, "replay_scope": "Exact full-precision serving state and rounding; upstream historical observation times are not certified.", "schema": "coded-moneyline-replay-v1", "snapshot_hash": "6e8fe7d953cd4d6bc071f5b51a141f5055a28dd2a14e9309d874b4dd6f26195a", "sport": "SOCCER"}</t>
        </is>
      </c>
    </row>
    <row r="341" ht="36" customHeight="1">
      <c r="A341" s="24" t="inlineStr">
        <is>
          <t>6a9d692ae38342a1</t>
        </is>
      </c>
      <c r="B341" s="24" t="inlineStr">
        <is>
          <t>2026-09-16T16:24:04.737545Z</t>
        </is>
      </c>
      <c r="C341" s="24" t="inlineStr">
        <is>
          <t>2026-09-16T17:00Z</t>
        </is>
      </c>
      <c r="D341" s="24" t="inlineStr">
        <is>
          <t>401882873</t>
        </is>
      </c>
      <c r="E341" s="24" t="inlineStr">
        <is>
          <t>SOCCER</t>
        </is>
      </c>
      <c r="F341" s="24" t="inlineStr">
        <is>
          <t>Sevilla</t>
        </is>
      </c>
      <c r="G341" s="24" t="inlineStr">
        <is>
          <t>Deportivo</t>
        </is>
      </c>
      <c r="H341" s="24" t="inlineStr">
        <is>
          <t>total</t>
        </is>
      </c>
      <c r="I341" s="24" t="inlineStr">
        <is>
          <t>over</t>
        </is>
      </c>
      <c r="J341" s="25" t="n">
        <v>2.5</v>
      </c>
      <c r="K341" s="24" t="inlineStr">
        <is>
          <t>polymarket_us</t>
        </is>
      </c>
      <c r="L341" s="26" t="n">
        <v>525</v>
      </c>
      <c r="M341" s="27" t="n">
        <v>6.25</v>
      </c>
      <c r="N341" s="28" t="n">
        <v>0.16</v>
      </c>
      <c r="O341" s="28" t="n">
        <v>0.502997</v>
      </c>
      <c r="P341" s="28" t="n">
        <v>0.2</v>
      </c>
      <c r="Q341" s="28" t="n">
        <v>0.342997</v>
      </c>
      <c r="R341" s="26" t="n">
        <v>100</v>
      </c>
      <c r="S341" s="29" t="n">
        <v>2</v>
      </c>
      <c r="T341" s="24" t="inlineStr">
        <is>
          <t>soccer-poisson-dc-v1</t>
        </is>
      </c>
      <c r="U341" s="24" t="inlineStr">
        <is>
          <t>settled</t>
        </is>
      </c>
      <c r="V341" s="24" t="inlineStr">
        <is>
          <t>loss</t>
        </is>
      </c>
      <c r="W341" s="26" t="n">
        <v>1</v>
      </c>
      <c r="X341" s="26" t="n">
        <v>0</v>
      </c>
      <c r="Y341" s="25" t="n"/>
      <c r="Z341" s="26" t="n">
        <v>525</v>
      </c>
      <c r="AA341" s="28" t="n">
        <v>0.16</v>
      </c>
      <c r="AB341" s="28" t="n">
        <v>0</v>
      </c>
      <c r="AC341" s="30" t="n">
        <v>-2</v>
      </c>
      <c r="AD341" s="24" t="inlineStr">
        <is>
          <t>2026-09-17T04:31:53.273114Z</t>
        </is>
      </c>
      <c r="AE341" s="31" t="inlineStr">
        <is>
          <t>Poisson-DC rates 1.72 (home) / 0.97 (away) from EWMA attack/defense strengths. Executable ask 0.1600 (tsc-lal-dep-sev-2026-09-16-sh-2pt5).</t>
        </is>
      </c>
      <c r="AF341" s="31" t="inlineStr">
        <is>
          <t>Research-only soccer score model; draw-aware, but not yet locked-holdout qualified.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PAPER_CALL_MODEL_UNVALIDATED</t>
        </is>
      </c>
      <c r="AP341" s="24" t="inlineStr">
        <is>
          <t>Sevilla</t>
        </is>
      </c>
      <c r="AQ341" s="24" t="inlineStr">
        <is>
          <t>Sevilla</t>
        </is>
      </c>
      <c r="AR341" s="24" t="inlineStr">
        <is>
          <t>Sevilla</t>
        </is>
      </c>
      <c r="AS341" s="24" t="inlineStr">
        <is>
          <t>Deportivo</t>
        </is>
      </c>
      <c r="AT341" s="24" t="inlineStr">
        <is>
          <t>Deportivo</t>
        </is>
      </c>
      <c r="AU341" s="24" t="inlineStr">
        <is>
          <t>Deportivo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3d16277c2cfc0628d7ec79d04feee92735e5c503a3be195cb225c7c52d024308</t>
        </is>
      </c>
      <c r="BB341" s="24" t="inlineStr">
        <is>
          <t>poisson_dixon_coles</t>
        </is>
      </c>
      <c r="BC341" s="24" t="inlineStr">
        <is>
          <t>soccer-poisson-dc-v1</t>
        </is>
      </c>
      <c r="BD341" s="24" t="inlineStr">
        <is>
          <t>3d16277c2cfc0628d7ec79d04feee92735e5c503a3be195cb225c7c52d024308</t>
        </is>
      </c>
      <c r="BE341" s="24" t="inlineStr">
        <is>
          <t>soccer-poisson-dc-v1</t>
        </is>
      </c>
      <c r="BF341" s="24" t="inlineStr">
        <is>
          <t>1</t>
        </is>
      </c>
      <c r="BG341" s="24" t="inlineStr">
        <is>
          <t>3d16277c2cfc0628d7ec79d04feee92735e5c503a3be195cb225c7c52d024308</t>
        </is>
      </c>
      <c r="BH341" s="24" t="inlineStr">
        <is>
          <t>2026-09-16T16:18:44.100386Z</t>
        </is>
      </c>
      <c r="BI341" s="24" t="inlineStr">
        <is>
          <t>["same_event","same_team_same_day","same_league_same_day"]</t>
        </is>
      </c>
      <c r="BJ341" s="25" t="n">
        <v>2.5</v>
      </c>
      <c r="BK341" s="26" t="n">
        <v>525</v>
      </c>
      <c r="BL341" s="27" t="n">
        <v>6.25</v>
      </c>
      <c r="BM341" s="28" t="n">
        <v>0.16</v>
      </c>
      <c r="BN341" s="28" t="n"/>
      <c r="BO341" s="28" t="n"/>
      <c r="BP341" s="25" t="n"/>
      <c r="BQ341" s="27" t="n">
        <v>6.25</v>
      </c>
      <c r="BR341" s="28" t="n">
        <v>0.16</v>
      </c>
      <c r="BS341" s="28" t="n"/>
      <c r="BT341" s="28" t="n"/>
      <c r="BU341" s="25" t="n"/>
      <c r="BV341" s="29" t="n"/>
      <c r="BW341" s="24" t="n"/>
      <c r="BX341" s="30" t="n">
        <v>1</v>
      </c>
      <c r="BY341" s="27" t="n">
        <v>-1</v>
      </c>
      <c r="BZ341" s="24" t="inlineStr">
        <is>
          <t>2026-09-17T04:31:53.273114Z</t>
        </is>
      </c>
      <c r="CA341" s="31" t="inlineStr">
        <is>
          <t>fixed one-unit hypothetical scoring; no real exposure or execution</t>
        </is>
      </c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0.16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1149c9d0e91f414d</t>
        </is>
      </c>
      <c r="B342" s="24" t="inlineStr">
        <is>
          <t>2026-09-16T16:24:04.737545Z</t>
        </is>
      </c>
      <c r="C342" s="24" t="inlineStr">
        <is>
          <t>2026-09-16T19:30Z</t>
        </is>
      </c>
      <c r="D342" s="24" t="inlineStr">
        <is>
          <t>401882870</t>
        </is>
      </c>
      <c r="E342" s="24" t="inlineStr">
        <is>
          <t>SOCCER</t>
        </is>
      </c>
      <c r="F342" s="24" t="inlineStr">
        <is>
          <t>Athletic Club</t>
        </is>
      </c>
      <c r="G342" s="24" t="inlineStr">
        <is>
          <t>Levante</t>
        </is>
      </c>
      <c r="H342" s="24" t="inlineStr">
        <is>
          <t>total</t>
        </is>
      </c>
      <c r="I342" s="24" t="inlineStr">
        <is>
          <t>over</t>
        </is>
      </c>
      <c r="J342" s="25" t="n">
        <v>2.5</v>
      </c>
      <c r="K342" s="24" t="inlineStr">
        <is>
          <t>polymarket_us</t>
        </is>
      </c>
      <c r="L342" s="26" t="n">
        <v>300</v>
      </c>
      <c r="M342" s="27" t="n">
        <v>4</v>
      </c>
      <c r="N342" s="28" t="n">
        <v>0.25</v>
      </c>
      <c r="O342" s="28" t="n">
        <v>0.602436</v>
      </c>
      <c r="P342" s="28" t="n">
        <v>0.04</v>
      </c>
      <c r="Q342" s="28" t="n">
        <v>0.352436</v>
      </c>
      <c r="R342" s="26" t="n">
        <v>100</v>
      </c>
      <c r="S342" s="29" t="n">
        <v>2</v>
      </c>
      <c r="T342" s="24" t="inlineStr">
        <is>
          <t>soccer-poisson-dc-v1</t>
        </is>
      </c>
      <c r="U342" s="24" t="inlineStr">
        <is>
          <t>settled</t>
        </is>
      </c>
      <c r="V342" s="24" t="inlineStr">
        <is>
          <t>loss</t>
        </is>
      </c>
      <c r="W342" s="26" t="n">
        <v>2</v>
      </c>
      <c r="X342" s="26" t="n">
        <v>0</v>
      </c>
      <c r="Y342" s="25" t="n"/>
      <c r="Z342" s="26" t="n">
        <v>300</v>
      </c>
      <c r="AA342" s="28" t="n">
        <v>0.25</v>
      </c>
      <c r="AB342" s="28" t="n">
        <v>0</v>
      </c>
      <c r="AC342" s="30" t="n">
        <v>-2</v>
      </c>
      <c r="AD342" s="24" t="inlineStr">
        <is>
          <t>2026-09-16T22:00:46.489979Z</t>
        </is>
      </c>
      <c r="AE342" s="31" t="inlineStr">
        <is>
          <t>Poisson-DC rates 1.92 (home) / 1.20 (away) from EWMA attack/defense strengths. Executable ask 0.2500 (tsc-lal-lev-ath-2026-09-16-sh-2pt5).</t>
        </is>
      </c>
      <c r="AF342" s="31" t="inlineStr">
        <is>
          <t>Research-only soccer score model; draw-aware, but not yet locked-holdout qualified.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Athletic Club</t>
        </is>
      </c>
      <c r="AQ342" s="24" t="inlineStr">
        <is>
          <t>Athletic Club</t>
        </is>
      </c>
      <c r="AR342" s="24" t="inlineStr">
        <is>
          <t>Athletic Club</t>
        </is>
      </c>
      <c r="AS342" s="24" t="inlineStr">
        <is>
          <t>Levante</t>
        </is>
      </c>
      <c r="AT342" s="24" t="inlineStr">
        <is>
          <t>Levante</t>
        </is>
      </c>
      <c r="AU342" s="24" t="inlineStr">
        <is>
          <t>Levante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3d16277c2cfc0628d7ec79d04feee92735e5c503a3be195cb225c7c52d024308</t>
        </is>
      </c>
      <c r="BB342" s="24" t="inlineStr">
        <is>
          <t>poisson_dixon_coles</t>
        </is>
      </c>
      <c r="BC342" s="24" t="inlineStr">
        <is>
          <t>soccer-poisson-dc-v1</t>
        </is>
      </c>
      <c r="BD342" s="24" t="inlineStr">
        <is>
          <t>3d16277c2cfc0628d7ec79d04feee92735e5c503a3be195cb225c7c52d024308</t>
        </is>
      </c>
      <c r="BE342" s="24" t="inlineStr">
        <is>
          <t>soccer-poisson-dc-v1</t>
        </is>
      </c>
      <c r="BF342" s="24" t="inlineStr">
        <is>
          <t>1</t>
        </is>
      </c>
      <c r="BG342" s="24" t="inlineStr">
        <is>
          <t>3d16277c2cfc0628d7ec79d04feee92735e5c503a3be195cb225c7c52d024308</t>
        </is>
      </c>
      <c r="BH342" s="24" t="inlineStr">
        <is>
          <t>2026-09-16T16:19:06.115786Z</t>
        </is>
      </c>
      <c r="BI342" s="24" t="inlineStr">
        <is>
          <t>["same_event","same_team_same_day","same_league_same_day"]</t>
        </is>
      </c>
      <c r="BJ342" s="25" t="n">
        <v>2.5</v>
      </c>
      <c r="BK342" s="26" t="n">
        <v>300</v>
      </c>
      <c r="BL342" s="27" t="n">
        <v>4</v>
      </c>
      <c r="BM342" s="28" t="n">
        <v>0.25</v>
      </c>
      <c r="BN342" s="28" t="n"/>
      <c r="BO342" s="28" t="n"/>
      <c r="BP342" s="25" t="n"/>
      <c r="BQ342" s="27" t="n">
        <v>4</v>
      </c>
      <c r="BR342" s="28" t="n">
        <v>0.25</v>
      </c>
      <c r="BS342" s="28" t="n"/>
      <c r="BT342" s="28" t="n"/>
      <c r="BU342" s="25" t="n"/>
      <c r="BV342" s="29" t="n"/>
      <c r="BW342" s="24" t="n"/>
      <c r="BX342" s="30" t="n">
        <v>1</v>
      </c>
      <c r="BY342" s="27" t="n">
        <v>-1</v>
      </c>
      <c r="BZ342" s="24" t="inlineStr">
        <is>
          <t>2026-09-16T22:00:46.489979Z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0.25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65f4c2272ad540b9</t>
        </is>
      </c>
      <c r="B343" s="24" t="inlineStr">
        <is>
          <t>2026-09-17T16:16:35.715975Z</t>
        </is>
      </c>
      <c r="C343" s="24" t="inlineStr">
        <is>
          <t>2026-09-17T17:00Z</t>
        </is>
      </c>
      <c r="D343" s="24" t="inlineStr">
        <is>
          <t>401882874</t>
        </is>
      </c>
      <c r="E343" s="24" t="inlineStr">
        <is>
          <t>SOCCER</t>
        </is>
      </c>
      <c r="F343" s="24" t="inlineStr">
        <is>
          <t>Getafe</t>
        </is>
      </c>
      <c r="G343" s="24" t="inlineStr">
        <is>
          <t>Real Betis</t>
        </is>
      </c>
      <c r="H343" s="24" t="inlineStr">
        <is>
          <t>total</t>
        </is>
      </c>
      <c r="I343" s="24" t="inlineStr">
        <is>
          <t>under</t>
        </is>
      </c>
      <c r="J343" s="25" t="n">
        <v>2.5</v>
      </c>
      <c r="K343" s="24" t="inlineStr">
        <is>
          <t>polymarket_us</t>
        </is>
      </c>
      <c r="L343" s="26" t="n">
        <v>-2400</v>
      </c>
      <c r="M343" s="27" t="n">
        <v>1.041667</v>
      </c>
      <c r="N343" s="28" t="n">
        <v>0.96</v>
      </c>
      <c r="O343" s="28" t="n">
        <v>0.673515</v>
      </c>
      <c r="P343" s="28" t="n">
        <v>0.04</v>
      </c>
      <c r="Q343" s="28" t="n">
        <v>-0.286485</v>
      </c>
      <c r="R343" s="26" t="n">
        <v>0</v>
      </c>
      <c r="S343" s="29" t="n">
        <v>1</v>
      </c>
      <c r="T343" s="24" t="inlineStr">
        <is>
          <t>soccer-poisson-dc-v1</t>
        </is>
      </c>
      <c r="U343" s="24" t="inlineStr">
        <is>
          <t>settled</t>
        </is>
      </c>
      <c r="V343" s="24" t="inlineStr">
        <is>
          <t>win</t>
        </is>
      </c>
      <c r="W343" s="26" t="n">
        <v>0</v>
      </c>
      <c r="X343" s="26" t="n">
        <v>1</v>
      </c>
      <c r="Y343" s="25" t="n"/>
      <c r="Z343" s="26" t="n">
        <v>-2400</v>
      </c>
      <c r="AA343" s="28" t="n">
        <v>0.96</v>
      </c>
      <c r="AB343" s="28" t="n">
        <v>0</v>
      </c>
      <c r="AC343" s="30" t="n">
        <v>0.0417</v>
      </c>
      <c r="AD343" s="24" t="inlineStr">
        <is>
          <t>2026-09-17T22:00:29.542945Z</t>
        </is>
      </c>
      <c r="AE343" s="31" t="inlineStr">
        <is>
          <t>Poisson-DC rates 1.24 (home) / 0.77 (away) from EWMA attack/defense strengths. Executable ask 0.9600 (tsc-lal-bet-get-2026-09-17-sh-2pt5).</t>
        </is>
      </c>
      <c r="AF343" s="31" t="inlineStr">
        <is>
          <t>Research-only soccer score model; draw-aware, but not yet locked-holdout qualified.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Getafe</t>
        </is>
      </c>
      <c r="AQ343" s="24" t="inlineStr">
        <is>
          <t>Getafe</t>
        </is>
      </c>
      <c r="AR343" s="24" t="inlineStr">
        <is>
          <t>Getafe</t>
        </is>
      </c>
      <c r="AS343" s="24" t="inlineStr">
        <is>
          <t>Real Betis</t>
        </is>
      </c>
      <c r="AT343" s="24" t="inlineStr">
        <is>
          <t>Real Betis</t>
        </is>
      </c>
      <c r="AU343" s="24" t="inlineStr">
        <is>
          <t>Real Betis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3d16277c2cfc0628d7ec79d04feee92735e5c503a3be195cb225c7c52d024308</t>
        </is>
      </c>
      <c r="BB343" s="24" t="inlineStr">
        <is>
          <t>poisson_dixon_coles</t>
        </is>
      </c>
      <c r="BC343" s="24" t="inlineStr">
        <is>
          <t>soccer-poisson-dc-v1</t>
        </is>
      </c>
      <c r="BD343" s="24" t="inlineStr">
        <is>
          <t>3d16277c2cfc0628d7ec79d04feee92735e5c503a3be195cb225c7c52d024308</t>
        </is>
      </c>
      <c r="BE343" s="24" t="inlineStr">
        <is>
          <t>soccer-poisson-dc-v1</t>
        </is>
      </c>
      <c r="BF343" s="24" t="inlineStr">
        <is>
          <t>1</t>
        </is>
      </c>
      <c r="BG343" s="24" t="inlineStr">
        <is>
          <t>3d16277c2cfc0628d7ec79d04feee92735e5c503a3be195cb225c7c52d024308</t>
        </is>
      </c>
      <c r="BH343" s="24" t="inlineStr">
        <is>
          <t>2026-09-17T10:05:58.135099Z</t>
        </is>
      </c>
      <c r="BI343" s="24" t="inlineStr">
        <is>
          <t>["same_event","same_team_same_day","same_league_same_day"]</t>
        </is>
      </c>
      <c r="BJ343" s="25" t="n">
        <v>2.5</v>
      </c>
      <c r="BK343" s="26" t="n">
        <v>-2400</v>
      </c>
      <c r="BL343" s="27" t="n">
        <v>1.041667</v>
      </c>
      <c r="BM343" s="28" t="n">
        <v>0.96</v>
      </c>
      <c r="BN343" s="28" t="n"/>
      <c r="BO343" s="28" t="n"/>
      <c r="BP343" s="25" t="n"/>
      <c r="BQ343" s="27" t="n">
        <v>1.041667</v>
      </c>
      <c r="BR343" s="28" t="n">
        <v>0.96</v>
      </c>
      <c r="BS343" s="28" t="n"/>
      <c r="BT343" s="28" t="n"/>
      <c r="BU343" s="25" t="n"/>
      <c r="BV343" s="29" t="n"/>
      <c r="BW343" s="24" t="n"/>
      <c r="BX343" s="30" t="n">
        <v>1</v>
      </c>
      <c r="BY343" s="27" t="n">
        <v>0.041667</v>
      </c>
      <c r="BZ343" s="24" t="inlineStr">
        <is>
          <t>2026-09-17T22:00:29.542945Z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0.96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97969c9743674b33</t>
        </is>
      </c>
      <c r="B344" s="24" t="inlineStr">
        <is>
          <t>2026-09-18T17:55:01.283929Z</t>
        </is>
      </c>
      <c r="C344" s="24" t="inlineStr">
        <is>
          <t>2026-09-18T18:45Z</t>
        </is>
      </c>
      <c r="D344" s="24" t="inlineStr">
        <is>
          <t>401874756</t>
        </is>
      </c>
      <c r="E344" s="24" t="inlineStr">
        <is>
          <t>SOCCER</t>
        </is>
      </c>
      <c r="F344" s="24" t="inlineStr">
        <is>
          <t>Sassuolo</t>
        </is>
      </c>
      <c r="G344" s="24" t="inlineStr">
        <is>
          <t>Monza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170</v>
      </c>
      <c r="M344" s="27" t="n">
        <v>2.7</v>
      </c>
      <c r="N344" s="28" t="n">
        <v>0.37037</v>
      </c>
      <c r="O344" s="28" t="n">
        <v>0.526677</v>
      </c>
      <c r="P344" s="28" t="n">
        <v>0.04</v>
      </c>
      <c r="Q344" s="28" t="n">
        <v>0.156307</v>
      </c>
      <c r="R344" s="26" t="n">
        <v>100</v>
      </c>
      <c r="S344" s="29" t="n">
        <v>1.75</v>
      </c>
      <c r="T344" s="24" t="inlineStr">
        <is>
          <t>soccer-poisson-dc-v1</t>
        </is>
      </c>
      <c r="U344" s="24" t="inlineStr">
        <is>
          <t>settled</t>
        </is>
      </c>
      <c r="V344" s="24" t="inlineStr">
        <is>
          <t>loss</t>
        </is>
      </c>
      <c r="W344" s="26" t="n">
        <v>1</v>
      </c>
      <c r="X344" s="26" t="n">
        <v>2</v>
      </c>
      <c r="Y344" s="25" t="n"/>
      <c r="Z344" s="26" t="n">
        <v>-178</v>
      </c>
      <c r="AA344" s="28" t="n">
        <v>0.64</v>
      </c>
      <c r="AB344" s="28" t="n">
        <v>0.26963</v>
      </c>
      <c r="AC344" s="30" t="n">
        <v>-1.75</v>
      </c>
      <c r="AD344" s="24" t="inlineStr">
        <is>
          <t>2026-09-18T22:00:11.118997Z</t>
        </is>
      </c>
      <c r="AE344" s="31" t="inlineStr">
        <is>
          <t>Poisson-DC rates 0.89 (home) / 1.59 (away) from EWMA attack/defense strengths. Executable ask 0.3700 (atc-sea-mon-sas-2026-09-18-sas).</t>
        </is>
      </c>
      <c r="AF344" s="31" t="inlineStr">
        <is>
          <t>Research-only soccer score model; draw-aware, but not yet locked-holdout qualified.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Sassuolo</t>
        </is>
      </c>
      <c r="AQ344" s="24" t="inlineStr">
        <is>
          <t>Sassuolo</t>
        </is>
      </c>
      <c r="AR344" s="24" t="inlineStr">
        <is>
          <t>Sassuolo</t>
        </is>
      </c>
      <c r="AS344" s="24" t="inlineStr">
        <is>
          <t>Monza</t>
        </is>
      </c>
      <c r="AT344" s="24" t="inlineStr">
        <is>
          <t>Monza</t>
        </is>
      </c>
      <c r="AU344" s="24" t="inlineStr">
        <is>
          <t>Monza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3d16277c2cfc0628d7ec79d04feee92735e5c503a3be195cb225c7c52d024308</t>
        </is>
      </c>
      <c r="BB344" s="24" t="inlineStr">
        <is>
          <t>poisson_dixon_coles</t>
        </is>
      </c>
      <c r="BC344" s="24" t="inlineStr">
        <is>
          <t>soccer-poisson-dc-v1</t>
        </is>
      </c>
      <c r="BD344" s="24" t="inlineStr">
        <is>
          <t>3d16277c2cfc0628d7ec79d04feee92735e5c503a3be195cb225c7c52d024308</t>
        </is>
      </c>
      <c r="BE344" s="24" t="inlineStr">
        <is>
          <t>soccer-poisson-dc-v1</t>
        </is>
      </c>
      <c r="BF344" s="24" t="inlineStr">
        <is>
          <t>1</t>
        </is>
      </c>
      <c r="BG344" s="24" t="inlineStr">
        <is>
          <t>3d16277c2cfc0628d7ec79d04feee92735e5c503a3be195cb225c7c52d024308</t>
        </is>
      </c>
      <c r="BH344" s="24" t="inlineStr">
        <is>
          <t>2026-09-18T17:09:09.310347Z</t>
        </is>
      </c>
      <c r="BI344" s="24" t="inlineStr">
        <is>
          <t>["same_event","same_team_same_day","same_league_same_day"]</t>
        </is>
      </c>
      <c r="BJ344" s="25" t="n"/>
      <c r="BK344" s="26" t="n">
        <v>170</v>
      </c>
      <c r="BL344" s="27" t="n">
        <v>2.7</v>
      </c>
      <c r="BM344" s="28" t="n">
        <v>0.37037</v>
      </c>
      <c r="BN344" s="28" t="n"/>
      <c r="BO344" s="28" t="n"/>
      <c r="BP344" s="25" t="n"/>
      <c r="BQ344" s="27" t="n">
        <v>1.561798</v>
      </c>
      <c r="BR344" s="28" t="n">
        <v>0.64</v>
      </c>
      <c r="BS344" s="28" t="n"/>
      <c r="BT344" s="28" t="n"/>
      <c r="BU344" s="25" t="n"/>
      <c r="BV344" s="29" t="n"/>
      <c r="BW344" s="24" t="n"/>
      <c r="BX344" s="30" t="n">
        <v>1</v>
      </c>
      <c r="BY344" s="27" t="n">
        <v>-1</v>
      </c>
      <c r="BZ344" s="24" t="inlineStr">
        <is>
          <t>2026-09-18T22:00:11.118997Z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0.37037</t>
        </is>
      </c>
      <c r="DK344" s="24" t="n"/>
      <c r="DL344" s="24" t="n"/>
      <c r="DM344" s="24" t="n"/>
      <c r="DN344" s="24" t="n"/>
      <c r="DO344" s="24" t="n"/>
      <c r="DP344" s="24" t="n"/>
      <c r="DQ344" s="24" t="inlineStr">
        <is>
          <t>{"artifact_hash": "3d16277c2cfc0628d7ec79d04feee92735e5c503a3be195cb225c7c52d024308", "away_team": "Sassuolo", "event_id": "401874756", "event_start_utc": "2026-09-18T18:45Z", "features": {"away_goal_rate": 1.5927, "history_games": 9181, "home_goal_rate": 0.8913, "league_goals_per_team": 1.2703, "min_team_games": 58.0}, "historical_source_observation_times_verified": false, "home_team": "Monza", "inference_inputs": {"away_rate": 1.5927172595406545, "code_sha256": {"models/soccer.py": "3d16277c2cfc0628d7ec79d04feee92735e5c503a3be195cb225c7c52d024308"}, "home_rate": 0.8913317751721037, "sport": "SOCCER"}, "market_type": "moneyline", "model_version": "soccer-poisson-dc-v1", "observed_at_utc": "2026-09-18T17:55:00.247936+00:00", "probabilities": {"away": 0.526677, "draw": 0.274765, "home": 0.198558}, "replay_scope": "Exact full-precision serving state and rounding; upstream historical observation times are not certified.", "schema": "coded-moneyline-replay-v1", "snapshot_hash": "b541db6b6abc07d5457ba6898f20ab3aa67970971f3b877ad077986521a58ffc", "sport": "SOCCER"}</t>
        </is>
      </c>
    </row>
    <row r="345" ht="36" customHeight="1">
      <c r="A345" s="24" t="inlineStr">
        <is>
          <t>2f3161c053324402</t>
        </is>
      </c>
      <c r="B345" s="24" t="inlineStr">
        <is>
          <t>2026-09-18T22:08:31.407710Z</t>
        </is>
      </c>
      <c r="C345" s="24" t="inlineStr">
        <is>
          <t>2026-09-18T23:30Z</t>
        </is>
      </c>
      <c r="D345" s="24" t="inlineStr">
        <is>
          <t>401860343</t>
        </is>
      </c>
      <c r="E345" s="24" t="inlineStr">
        <is>
          <t>SOCCER</t>
        </is>
      </c>
      <c r="F345" s="24" t="inlineStr">
        <is>
          <t>Novorizontino</t>
        </is>
      </c>
      <c r="G345" s="24" t="inlineStr">
        <is>
          <t>Ceará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polymarket_us</t>
        </is>
      </c>
      <c r="L345" s="26" t="n">
        <v>212</v>
      </c>
      <c r="M345" s="27" t="n">
        <v>3.12</v>
      </c>
      <c r="N345" s="28" t="n">
        <v>0.320513</v>
      </c>
      <c r="O345" s="28" t="n">
        <v>0.456135</v>
      </c>
      <c r="P345" s="28" t="n">
        <v>0.2</v>
      </c>
      <c r="Q345" s="28" t="n">
        <v>0.135622</v>
      </c>
      <c r="R345" s="26" t="n">
        <v>0</v>
      </c>
      <c r="S345" s="29" t="n">
        <v>1</v>
      </c>
      <c r="T345" s="24" t="inlineStr">
        <is>
          <t>soccer-poisson-dc-v1</t>
        </is>
      </c>
      <c r="U345" s="24" t="inlineStr">
        <is>
          <t>settled</t>
        </is>
      </c>
      <c r="V345" s="24" t="inlineStr">
        <is>
          <t>win</t>
        </is>
      </c>
      <c r="W345" s="26" t="n">
        <v>1</v>
      </c>
      <c r="X345" s="26" t="n">
        <v>2</v>
      </c>
      <c r="Y345" s="25" t="n"/>
      <c r="Z345" s="26" t="n">
        <v>212</v>
      </c>
      <c r="AA345" s="28" t="n">
        <v>0.32</v>
      </c>
      <c r="AB345" s="28" t="n">
        <v>-0.000513</v>
      </c>
      <c r="AC345" s="30" t="n">
        <v>2.12</v>
      </c>
      <c r="AD345" s="24" t="inlineStr">
        <is>
          <t>2026-09-19T04:31:08.439859Z</t>
        </is>
      </c>
      <c r="AE345" s="31" t="inlineStr">
        <is>
          <t>Poisson-DC rates 1.64 (home) / 1.24 (away) from EWMA attack/defense strengths. Executable ask 0.3200 (atc-brb-csc-nov-2026-09-18-csc).</t>
        </is>
      </c>
      <c r="AF345" s="31" t="inlineStr">
        <is>
          <t>Research-only soccer score model; draw-aware, but not yet locked-holdout qualified.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Novorizontino</t>
        </is>
      </c>
      <c r="AQ345" s="24" t="inlineStr">
        <is>
          <t>Novorizontino</t>
        </is>
      </c>
      <c r="AR345" s="24" t="inlineStr">
        <is>
          <t>Novorizontino</t>
        </is>
      </c>
      <c r="AS345" s="24" t="inlineStr">
        <is>
          <t>Ceará</t>
        </is>
      </c>
      <c r="AT345" s="24" t="inlineStr">
        <is>
          <t>Ceará</t>
        </is>
      </c>
      <c r="AU345" s="24" t="inlineStr">
        <is>
          <t>Ceará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3d16277c2cfc0628d7ec79d04feee92735e5c503a3be195cb225c7c52d024308</t>
        </is>
      </c>
      <c r="BB345" s="24" t="inlineStr">
        <is>
          <t>poisson_dixon_coles</t>
        </is>
      </c>
      <c r="BC345" s="24" t="inlineStr">
        <is>
          <t>soccer-poisson-dc-v1</t>
        </is>
      </c>
      <c r="BD345" s="24" t="inlineStr">
        <is>
          <t>3d16277c2cfc0628d7ec79d04feee92735e5c503a3be195cb225c7c52d024308</t>
        </is>
      </c>
      <c r="BE345" s="24" t="inlineStr">
        <is>
          <t>soccer-poisson-dc-v1</t>
        </is>
      </c>
      <c r="BF345" s="24" t="inlineStr">
        <is>
          <t>1</t>
        </is>
      </c>
      <c r="BG345" s="24" t="inlineStr">
        <is>
          <t>3d16277c2cfc0628d7ec79d04feee92735e5c503a3be195cb225c7c52d024308</t>
        </is>
      </c>
      <c r="BH345" s="24" t="inlineStr">
        <is>
          <t>2026-09-18T07:22:50.145746Z</t>
        </is>
      </c>
      <c r="BI345" s="24" t="inlineStr">
        <is>
          <t>["same_event","same_team_same_day","same_league_same_day"]</t>
        </is>
      </c>
      <c r="BJ345" s="25" t="n"/>
      <c r="BK345" s="26" t="n">
        <v>212</v>
      </c>
      <c r="BL345" s="27" t="n">
        <v>3.12</v>
      </c>
      <c r="BM345" s="28" t="n">
        <v>0.320513</v>
      </c>
      <c r="BN345" s="28" t="n"/>
      <c r="BO345" s="28" t="n"/>
      <c r="BP345" s="25" t="n"/>
      <c r="BQ345" s="27" t="n">
        <v>3.12</v>
      </c>
      <c r="BR345" s="28" t="n">
        <v>0.32</v>
      </c>
      <c r="BS345" s="28" t="n"/>
      <c r="BT345" s="28" t="n"/>
      <c r="BU345" s="25" t="n"/>
      <c r="BV345" s="29" t="n"/>
      <c r="BW345" s="24" t="n"/>
      <c r="BX345" s="30" t="n">
        <v>1</v>
      </c>
      <c r="BY345" s="27" t="n">
        <v>2.119998</v>
      </c>
      <c r="BZ345" s="24" t="inlineStr">
        <is>
          <t>2026-09-19T04:31:08.439859Z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0.320513</t>
        </is>
      </c>
      <c r="DK345" s="24" t="n"/>
      <c r="DL345" s="24" t="n"/>
      <c r="DM345" s="24" t="n"/>
      <c r="DN345" s="24" t="n"/>
      <c r="DO345" s="24" t="n"/>
      <c r="DP345" s="24" t="n"/>
      <c r="DQ345" s="24" t="inlineStr">
        <is>
          <t>{"artifact_hash": "3d16277c2cfc0628d7ec79d04feee92735e5c503a3be195cb225c7c52d024308", "away_team": "Novorizontino", "event_id": "401860343", "event_start_utc": "2026-09-18T23:30Z", "features": {"away_goal_rate": 1.2418, "history_games": 9181, "home_goal_rate": 1.6423, "league_goals_per_team": 1.4281, "min_team_games": 0.0}, "historical_source_observation_times_verified": false, "home_team": "Cear\u00e1",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"2026-09-18T22:08:30.699494+00:00", "probabilities": {"away": 0.278015, "draw": 0.265851, "home": 0.456135}, "replay_scope": "Exact full-precision serving state and rounding; upstream historical observation times are not certified.", "schema": "coded-moneyline-replay-v1", "snapshot_hash": "43727f3ba79377bb0792f1cda69fff51818956f540d2b287f10d6d20fe96acec", "sport": "SOCCER"}</t>
        </is>
      </c>
    </row>
    <row r="346" ht="36" customHeight="1">
      <c r="A346" s="24" t="inlineStr">
        <is>
          <t>79b5e4c3823c46f0</t>
        </is>
      </c>
      <c r="B346" s="24" t="inlineStr">
        <is>
          <t>2026-09-19T11:12:56.904467Z</t>
        </is>
      </c>
      <c r="C346" s="24" t="inlineStr">
        <is>
          <t>2026-09-19T14:00Z</t>
        </is>
      </c>
      <c r="D346" s="24" t="inlineStr">
        <is>
          <t>401879274</t>
        </is>
      </c>
      <c r="E346" s="24" t="inlineStr">
        <is>
          <t>SOCCER</t>
        </is>
      </c>
      <c r="F346" s="24" t="inlineStr">
        <is>
          <t>Arsenal</t>
        </is>
      </c>
      <c r="G346" s="24" t="inlineStr">
        <is>
          <t>Brighton &amp; Hove Albion</t>
        </is>
      </c>
      <c r="H346" s="24" t="inlineStr">
        <is>
          <t>total</t>
        </is>
      </c>
      <c r="I346" s="24" t="inlineStr">
        <is>
          <t>under</t>
        </is>
      </c>
      <c r="J346" s="25" t="n">
        <v>2.5</v>
      </c>
      <c r="K346" s="24" t="inlineStr">
        <is>
          <t>polymarket_us</t>
        </is>
      </c>
      <c r="L346" s="26" t="n">
        <v>113</v>
      </c>
      <c r="M346" s="27" t="n">
        <v>2.13</v>
      </c>
      <c r="N346" s="28" t="n">
        <v>0.469484</v>
      </c>
      <c r="O346" s="28" t="n">
        <v>0.6498969999999999</v>
      </c>
      <c r="P346" s="28" t="n">
        <v>0.04</v>
      </c>
      <c r="Q346" s="28" t="n">
        <v>0.180413</v>
      </c>
      <c r="R346" s="26" t="n">
        <v>100</v>
      </c>
      <c r="S346" s="29" t="n">
        <v>2</v>
      </c>
      <c r="T346" s="24" t="inlineStr">
        <is>
          <t>soccer-poisson-dc-v1</t>
        </is>
      </c>
      <c r="U346" s="24" t="inlineStr">
        <is>
          <t>settled</t>
        </is>
      </c>
      <c r="V346" s="24" t="inlineStr">
        <is>
          <t>loss</t>
        </is>
      </c>
      <c r="W346" s="26" t="n">
        <v>0</v>
      </c>
      <c r="X346" s="26" t="n">
        <v>3</v>
      </c>
      <c r="Y346" s="25" t="n"/>
      <c r="Z346" s="26" t="n">
        <v>113</v>
      </c>
      <c r="AA346" s="28" t="n">
        <v>0.47</v>
      </c>
      <c r="AB346" s="28" t="n">
        <v>0.000516</v>
      </c>
      <c r="AC346" s="30" t="n">
        <v>-2</v>
      </c>
      <c r="AD346" s="24" t="inlineStr">
        <is>
          <t>2026-09-19T16:00:11.350451Z</t>
        </is>
      </c>
      <c r="AE346" s="31" t="inlineStr">
        <is>
          <t>Poisson-DC rates 0.83 (home) / 1.26 (away) from EWMA attack/defense strengths. Executable ask 0.4700 (tsc-epl-bha-ars-2026-09-19-2pt5).</t>
        </is>
      </c>
      <c r="AF346" s="31" t="inlineStr">
        <is>
          <t>Research-only soccer score model; draw-aware, but not yet locked-holdout qualified.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PAPER_CALL_LOW_EDGE</t>
        </is>
      </c>
      <c r="AP346" s="24" t="inlineStr">
        <is>
          <t>Arsenal</t>
        </is>
      </c>
      <c r="AQ346" s="24" t="inlineStr">
        <is>
          <t>Arsenal</t>
        </is>
      </c>
      <c r="AR346" s="24" t="inlineStr">
        <is>
          <t>Arsenal</t>
        </is>
      </c>
      <c r="AS346" s="24" t="inlineStr">
        <is>
          <t>Brighton &amp; Hove Albion</t>
        </is>
      </c>
      <c r="AT346" s="24" t="inlineStr">
        <is>
          <t>Brighton &amp; Hove Albion</t>
        </is>
      </c>
      <c r="AU346" s="24" t="inlineStr">
        <is>
          <t>Brighton &amp; Hove Albion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3d16277c2cfc0628d7ec79d04feee92735e5c503a3be195cb225c7c52d024308</t>
        </is>
      </c>
      <c r="BB346" s="24" t="inlineStr">
        <is>
          <t>poisson_dixon_coles</t>
        </is>
      </c>
      <c r="BC346" s="24" t="inlineStr">
        <is>
          <t>soccer-poisson-dc-v1</t>
        </is>
      </c>
      <c r="BD346" s="24" t="inlineStr">
        <is>
          <t>3d16277c2cfc0628d7ec79d04feee92735e5c503a3be195cb225c7c52d024308</t>
        </is>
      </c>
      <c r="BE346" s="24" t="inlineStr">
        <is>
          <t>soccer-poisson-dc-v1</t>
        </is>
      </c>
      <c r="BF346" s="24" t="inlineStr">
        <is>
          <t>1</t>
        </is>
      </c>
      <c r="BG346" s="24" t="inlineStr">
        <is>
          <t>3d16277c2cfc0628d7ec79d04feee92735e5c503a3be195cb225c7c52d024308</t>
        </is>
      </c>
      <c r="BH346" s="24" t="inlineStr">
        <is>
          <t>2026-09-19T11:04:56.033980Z</t>
        </is>
      </c>
      <c r="BI346" s="24" t="inlineStr">
        <is>
          <t>["same_event","same_team_same_day","same_league_same_day"]</t>
        </is>
      </c>
      <c r="BJ346" s="25" t="n">
        <v>2.5</v>
      </c>
      <c r="BK346" s="26" t="n">
        <v>113</v>
      </c>
      <c r="BL346" s="27" t="n">
        <v>2.13</v>
      </c>
      <c r="BM346" s="28" t="n">
        <v>0.469484</v>
      </c>
      <c r="BN346" s="28" t="n"/>
      <c r="BO346" s="28" t="n"/>
      <c r="BP346" s="25" t="n"/>
      <c r="BQ346" s="27" t="n">
        <v>2.13</v>
      </c>
      <c r="BR346" s="28" t="n">
        <v>0.47</v>
      </c>
      <c r="BS346" s="28" t="n"/>
      <c r="BT346" s="28" t="n"/>
      <c r="BU346" s="25" t="n"/>
      <c r="BV346" s="29" t="n"/>
      <c r="BW346" s="24" t="n"/>
      <c r="BX346" s="30" t="n">
        <v>1</v>
      </c>
      <c r="BY346" s="27" t="n">
        <v>-1</v>
      </c>
      <c r="BZ346" s="24" t="inlineStr">
        <is>
          <t>2026-09-19T16:00:11.350451Z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0.469484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4fd4c2d588c946fa</t>
        </is>
      </c>
      <c r="B347" s="24" t="inlineStr">
        <is>
          <t>2026-09-19T11:12:56.904467Z</t>
        </is>
      </c>
      <c r="C347" s="24" t="inlineStr">
        <is>
          <t>2026-09-19T14:00Z</t>
        </is>
      </c>
      <c r="D347" s="24" t="inlineStr">
        <is>
          <t>401878778</t>
        </is>
      </c>
      <c r="E347" s="24" t="inlineStr">
        <is>
          <t>SOCCER</t>
        </is>
      </c>
      <c r="F347" s="24" t="inlineStr">
        <is>
          <t>Ipswich Town</t>
        </is>
      </c>
      <c r="G347" s="24" t="inlineStr">
        <is>
          <t>Everton</t>
        </is>
      </c>
      <c r="H347" s="24" t="inlineStr">
        <is>
          <t>total</t>
        </is>
      </c>
      <c r="I347" s="24" t="inlineStr">
        <is>
          <t>over</t>
        </is>
      </c>
      <c r="J347" s="25" t="n">
        <v>2.5</v>
      </c>
      <c r="K347" s="24" t="inlineStr">
        <is>
          <t>polymarket_us</t>
        </is>
      </c>
      <c r="L347" s="26" t="n">
        <v>-127</v>
      </c>
      <c r="M347" s="27" t="n">
        <v>1.787402</v>
      </c>
      <c r="N347" s="28" t="n">
        <v>0.5594710000000001</v>
      </c>
      <c r="O347" s="28" t="n">
        <v>0.605098</v>
      </c>
      <c r="P347" s="28" t="n">
        <v>0.04</v>
      </c>
      <c r="Q347" s="28" t="n">
        <v>0.045627</v>
      </c>
      <c r="R347" s="26" t="n">
        <v>49</v>
      </c>
      <c r="S347" s="29" t="n">
        <v>1</v>
      </c>
      <c r="T347" s="24" t="inlineStr">
        <is>
          <t>soccer-poisson-dc-v1</t>
        </is>
      </c>
      <c r="U347" s="24" t="inlineStr">
        <is>
          <t>settled</t>
        </is>
      </c>
      <c r="V347" s="24" t="inlineStr">
        <is>
          <t>loss</t>
        </is>
      </c>
      <c r="W347" s="26" t="n">
        <v>0</v>
      </c>
      <c r="X347" s="26" t="n">
        <v>1</v>
      </c>
      <c r="Y347" s="25" t="n"/>
      <c r="Z347" s="26" t="n">
        <v>-127</v>
      </c>
      <c r="AA347" s="28" t="n">
        <v>0.5600000000000001</v>
      </c>
      <c r="AB347" s="28" t="n">
        <v>0.000529</v>
      </c>
      <c r="AC347" s="30" t="n">
        <v>-1</v>
      </c>
      <c r="AD347" s="24" t="inlineStr">
        <is>
          <t>2026-09-19T16:00:12.513655Z</t>
        </is>
      </c>
      <c r="AE347" s="31" t="inlineStr">
        <is>
          <t>Poisson-DC rates 2.24 (home) / 0.88 (away) from EWMA attack/defense strengths. Executable ask 0.5600 (tsc-epl-eve-ips-2026-09-19-2pt5).</t>
        </is>
      </c>
      <c r="AF347" s="31" t="inlineStr">
        <is>
          <t>Research-only soccer score model; draw-aware, but not yet locked-holdout qualified.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Ipswich Town</t>
        </is>
      </c>
      <c r="AQ347" s="24" t="inlineStr">
        <is>
          <t>Ipswich Town</t>
        </is>
      </c>
      <c r="AR347" s="24" t="inlineStr">
        <is>
          <t>Ipswich Town</t>
        </is>
      </c>
      <c r="AS347" s="24" t="inlineStr">
        <is>
          <t>Everton</t>
        </is>
      </c>
      <c r="AT347" s="24" t="inlineStr">
        <is>
          <t>Everton</t>
        </is>
      </c>
      <c r="AU347" s="24" t="inlineStr">
        <is>
          <t>Everton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3d16277c2cfc0628d7ec79d04feee92735e5c503a3be195cb225c7c52d024308</t>
        </is>
      </c>
      <c r="BB347" s="24" t="inlineStr">
        <is>
          <t>poisson_dixon_coles</t>
        </is>
      </c>
      <c r="BC347" s="24" t="inlineStr">
        <is>
          <t>soccer-poisson-dc-v1</t>
        </is>
      </c>
      <c r="BD347" s="24" t="inlineStr">
        <is>
          <t>3d16277c2cfc0628d7ec79d04feee92735e5c503a3be195cb225c7c52d024308</t>
        </is>
      </c>
      <c r="BE347" s="24" t="inlineStr">
        <is>
          <t>soccer-poisson-dc-v1</t>
        </is>
      </c>
      <c r="BF347" s="24" t="inlineStr">
        <is>
          <t>1</t>
        </is>
      </c>
      <c r="BG347" s="24" t="inlineStr">
        <is>
          <t>3d16277c2cfc0628d7ec79d04feee92735e5c503a3be195cb225c7c52d024308</t>
        </is>
      </c>
      <c r="BH347" s="24" t="inlineStr">
        <is>
          <t>2026-09-19T05:36:22.036060Z</t>
        </is>
      </c>
      <c r="BI347" s="24" t="inlineStr">
        <is>
          <t>["same_event","same_team_same_day","same_league_same_day"]</t>
        </is>
      </c>
      <c r="BJ347" s="25" t="n">
        <v>2.5</v>
      </c>
      <c r="BK347" s="26" t="n">
        <v>-127</v>
      </c>
      <c r="BL347" s="27" t="n">
        <v>1.787402</v>
      </c>
      <c r="BM347" s="28" t="n">
        <v>0.5594710000000001</v>
      </c>
      <c r="BN347" s="28" t="n"/>
      <c r="BO347" s="28" t="n"/>
      <c r="BP347" s="25" t="n"/>
      <c r="BQ347" s="27" t="n">
        <v>1.787402</v>
      </c>
      <c r="BR347" s="28" t="n">
        <v>0.5600000000000001</v>
      </c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2026-09-19T16:00:12.513655Z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0.559471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1406b814120e47a3</t>
        </is>
      </c>
      <c r="B348" s="24" t="inlineStr">
        <is>
          <t>2026-09-19T11:12:56.904467Z</t>
        </is>
      </c>
      <c r="C348" s="24" t="inlineStr">
        <is>
          <t>2026-09-19T16:00Z</t>
        </is>
      </c>
      <c r="D348" s="24" t="inlineStr">
        <is>
          <t>401874753</t>
        </is>
      </c>
      <c r="E348" s="24" t="inlineStr">
        <is>
          <t>SOCCER</t>
        </is>
      </c>
      <c r="F348" s="24" t="inlineStr">
        <is>
          <t>Internazionale</t>
        </is>
      </c>
      <c r="G348" s="24" t="inlineStr">
        <is>
          <t>AS Roma</t>
        </is>
      </c>
      <c r="H348" s="24" t="inlineStr">
        <is>
          <t>total</t>
        </is>
      </c>
      <c r="I348" s="24" t="inlineStr">
        <is>
          <t>over</t>
        </is>
      </c>
      <c r="J348" s="25" t="n">
        <v>2.5</v>
      </c>
      <c r="K348" s="24" t="inlineStr">
        <is>
          <t>polymarket_us</t>
        </is>
      </c>
      <c r="L348" s="26" t="n">
        <v>300</v>
      </c>
      <c r="M348" s="27" t="n">
        <v>4</v>
      </c>
      <c r="N348" s="28" t="n">
        <v>0.25</v>
      </c>
      <c r="O348" s="28" t="n">
        <v>0.60218</v>
      </c>
      <c r="P348" s="28" t="n">
        <v>0.04</v>
      </c>
      <c r="Q348" s="28" t="n">
        <v>0.35218</v>
      </c>
      <c r="R348" s="26" t="n">
        <v>100</v>
      </c>
      <c r="S348" s="29" t="n">
        <v>2</v>
      </c>
      <c r="T348" s="24" t="inlineStr">
        <is>
          <t>soccer-poisson-dc-v1</t>
        </is>
      </c>
      <c r="U348" s="24" t="inlineStr">
        <is>
          <t>settled</t>
        </is>
      </c>
      <c r="V348" s="24" t="inlineStr">
        <is>
          <t>win</t>
        </is>
      </c>
      <c r="W348" s="26" t="n">
        <v>2</v>
      </c>
      <c r="X348" s="26" t="n">
        <v>2</v>
      </c>
      <c r="Y348" s="25" t="n"/>
      <c r="Z348" s="26" t="n">
        <v>300</v>
      </c>
      <c r="AA348" s="28" t="n">
        <v>0.25</v>
      </c>
      <c r="AB348" s="28" t="n">
        <v>0</v>
      </c>
      <c r="AC348" s="30" t="n">
        <v>6</v>
      </c>
      <c r="AD348" s="24" t="inlineStr">
        <is>
          <t>2026-09-19T22:00:10.867079Z</t>
        </is>
      </c>
      <c r="AE348" s="31" t="inlineStr">
        <is>
          <t>Poisson-DC rates 1.69 (home) / 1.43 (away) from EWMA attack/defense strengths. Executable ask 0.2500 (tsc-sea-rom-int-2026-09-19-sh-2pt5).</t>
        </is>
      </c>
      <c r="AF348" s="31" t="inlineStr">
        <is>
          <t>Research-only soccer score model; draw-aware, but not yet locked-holdout qualified.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Internazionale</t>
        </is>
      </c>
      <c r="AQ348" s="24" t="inlineStr">
        <is>
          <t>Internazionale</t>
        </is>
      </c>
      <c r="AR348" s="24" t="inlineStr">
        <is>
          <t>Internazionale</t>
        </is>
      </c>
      <c r="AS348" s="24" t="inlineStr">
        <is>
          <t>AS Roma</t>
        </is>
      </c>
      <c r="AT348" s="24" t="inlineStr">
        <is>
          <t>AS Roma</t>
        </is>
      </c>
      <c r="AU348" s="24" t="inlineStr">
        <is>
          <t>AS Roma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3d16277c2cfc0628d7ec79d04feee92735e5c503a3be195cb225c7c52d024308</t>
        </is>
      </c>
      <c r="BB348" s="24" t="inlineStr">
        <is>
          <t>poisson_dixon_coles</t>
        </is>
      </c>
      <c r="BC348" s="24" t="inlineStr">
        <is>
          <t>soccer-poisson-dc-v1</t>
        </is>
      </c>
      <c r="BD348" s="24" t="inlineStr">
        <is>
          <t>3d16277c2cfc0628d7ec79d04feee92735e5c503a3be195cb225c7c52d024308</t>
        </is>
      </c>
      <c r="BE348" s="24" t="inlineStr">
        <is>
          <t>soccer-poisson-dc-v1</t>
        </is>
      </c>
      <c r="BF348" s="24" t="inlineStr">
        <is>
          <t>1</t>
        </is>
      </c>
      <c r="BG348" s="24" t="inlineStr">
        <is>
          <t>3d16277c2cfc0628d7ec79d04feee92735e5c503a3be195cb225c7c52d024308</t>
        </is>
      </c>
      <c r="BH348" s="24" t="inlineStr">
        <is>
          <t>2026-09-19T11:06:34.301236Z</t>
        </is>
      </c>
      <c r="BI348" s="24" t="inlineStr">
        <is>
          <t>["same_event","same_team_same_day","same_league_same_day"]</t>
        </is>
      </c>
      <c r="BJ348" s="25" t="n">
        <v>2.5</v>
      </c>
      <c r="BK348" s="26" t="n">
        <v>300</v>
      </c>
      <c r="BL348" s="27" t="n">
        <v>4</v>
      </c>
      <c r="BM348" s="28" t="n">
        <v>0.25</v>
      </c>
      <c r="BN348" s="28" t="n"/>
      <c r="BO348" s="28" t="n"/>
      <c r="BP348" s="25" t="n"/>
      <c r="BQ348" s="27" t="n">
        <v>4</v>
      </c>
      <c r="BR348" s="28" t="n">
        <v>0.25</v>
      </c>
      <c r="BS348" s="28" t="n"/>
      <c r="BT348" s="28" t="n"/>
      <c r="BU348" s="25" t="n"/>
      <c r="BV348" s="29" t="n"/>
      <c r="BW348" s="24" t="n"/>
      <c r="BX348" s="30" t="n">
        <v>1</v>
      </c>
      <c r="BY348" s="27" t="n">
        <v>3</v>
      </c>
      <c r="BZ348" s="24" t="inlineStr">
        <is>
          <t>2026-09-19T22:00:10.867079Z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0.25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0bb2d70dba214123</t>
        </is>
      </c>
      <c r="B349" s="24" t="inlineStr">
        <is>
          <t>2026-09-19T11:12:56.904467Z</t>
        </is>
      </c>
      <c r="C349" s="24" t="inlineStr">
        <is>
          <t>2026-09-19T14:00Z</t>
        </is>
      </c>
      <c r="D349" s="24" t="inlineStr">
        <is>
          <t>401879271</t>
        </is>
      </c>
      <c r="E349" s="24" t="inlineStr">
        <is>
          <t>SOCCER</t>
        </is>
      </c>
      <c r="F349" s="24" t="inlineStr">
        <is>
          <t>Hull City</t>
        </is>
      </c>
      <c r="G349" s="24" t="inlineStr">
        <is>
          <t>Newcastle United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-150</v>
      </c>
      <c r="M349" s="27" t="n">
        <v>1.666667</v>
      </c>
      <c r="N349" s="28" t="n">
        <v>0.6</v>
      </c>
      <c r="O349" s="28" t="n">
        <v>0.44735</v>
      </c>
      <c r="P349" s="28" t="n">
        <v>0.2</v>
      </c>
      <c r="Q349" s="28" t="n">
        <v>-0.15265</v>
      </c>
      <c r="R349" s="26" t="n">
        <v>0</v>
      </c>
      <c r="S349" s="29" t="n">
        <v>1</v>
      </c>
      <c r="T349" s="24" t="inlineStr">
        <is>
          <t>soccer-poisson-dc-v1</t>
        </is>
      </c>
      <c r="U349" s="24" t="inlineStr">
        <is>
          <t>settled</t>
        </is>
      </c>
      <c r="V349" s="24" t="inlineStr">
        <is>
          <t>win</t>
        </is>
      </c>
      <c r="W349" s="26" t="n">
        <v>1</v>
      </c>
      <c r="X349" s="26" t="n">
        <v>2</v>
      </c>
      <c r="Y349" s="25" t="n"/>
      <c r="Z349" s="26" t="n">
        <v>-150</v>
      </c>
      <c r="AA349" s="28" t="n">
        <v>0.6</v>
      </c>
      <c r="AB349" s="28" t="n">
        <v>0</v>
      </c>
      <c r="AC349" s="30" t="n">
        <v>0.6667</v>
      </c>
      <c r="AD349" s="24" t="inlineStr">
        <is>
          <t>2026-09-19T16:00:13.793331Z</t>
        </is>
      </c>
      <c r="AE349" s="31" t="inlineStr">
        <is>
          <t>Poisson-DC rates 1.66 (home) / 1.30 (away) from EWMA attack/defense strengths. Executable ask 0.6000 (atc-epl-new-hul-2026-09-19-new).</t>
        </is>
      </c>
      <c r="AF349" s="31" t="inlineStr">
        <is>
          <t>Research-only soccer score model; draw-aware, but not yet locked-holdout qualified.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PAPER_CALL_MODEL_UNVALIDATED</t>
        </is>
      </c>
      <c r="AP349" s="24" t="inlineStr">
        <is>
          <t>Hull City</t>
        </is>
      </c>
      <c r="AQ349" s="24" t="inlineStr">
        <is>
          <t>Hull City</t>
        </is>
      </c>
      <c r="AR349" s="24" t="inlineStr">
        <is>
          <t>Hull City</t>
        </is>
      </c>
      <c r="AS349" s="24" t="inlineStr">
        <is>
          <t>Newcastle United</t>
        </is>
      </c>
      <c r="AT349" s="24" t="inlineStr">
        <is>
          <t>Newcastle United</t>
        </is>
      </c>
      <c r="AU349" s="24" t="inlineStr">
        <is>
          <t>Newcastle United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3d16277c2cfc0628d7ec79d04feee92735e5c503a3be195cb225c7c52d024308</t>
        </is>
      </c>
      <c r="BB349" s="24" t="inlineStr">
        <is>
          <t>poisson_dixon_coles</t>
        </is>
      </c>
      <c r="BC349" s="24" t="inlineStr">
        <is>
          <t>soccer-poisson-dc-v1</t>
        </is>
      </c>
      <c r="BD349" s="24" t="inlineStr">
        <is>
          <t>3d16277c2cfc0628d7ec79d04feee92735e5c503a3be195cb225c7c52d024308</t>
        </is>
      </c>
      <c r="BE349" s="24" t="inlineStr">
        <is>
          <t>soccer-poisson-dc-v1</t>
        </is>
      </c>
      <c r="BF349" s="24" t="inlineStr">
        <is>
          <t>1</t>
        </is>
      </c>
      <c r="BG349" s="24" t="inlineStr">
        <is>
          <t>3d16277c2cfc0628d7ec79d04feee92735e5c503a3be195cb225c7c52d024308</t>
        </is>
      </c>
      <c r="BH349" s="24" t="inlineStr">
        <is>
          <t>2026-09-19T05:36:22.077082Z</t>
        </is>
      </c>
      <c r="BI349" s="24" t="inlineStr">
        <is>
          <t>["same_event","same_team_same_day","same_league_same_day"]</t>
        </is>
      </c>
      <c r="BJ349" s="25" t="n"/>
      <c r="BK349" s="26" t="n">
        <v>-150</v>
      </c>
      <c r="BL349" s="27" t="n">
        <v>1.666667</v>
      </c>
      <c r="BM349" s="28" t="n">
        <v>0.6</v>
      </c>
      <c r="BN349" s="28" t="n"/>
      <c r="BO349" s="28" t="n"/>
      <c r="BP349" s="25" t="n"/>
      <c r="BQ349" s="27" t="n">
        <v>1.666667</v>
      </c>
      <c r="BR349" s="28" t="n">
        <v>0.6</v>
      </c>
      <c r="BS349" s="28" t="n"/>
      <c r="BT349" s="28" t="n"/>
      <c r="BU349" s="25" t="n"/>
      <c r="BV349" s="29" t="n"/>
      <c r="BW349" s="24" t="n"/>
      <c r="BX349" s="30" t="n">
        <v>1</v>
      </c>
      <c r="BY349" s="27" t="n">
        <v>0.666667</v>
      </c>
      <c r="BZ349" s="24" t="inlineStr">
        <is>
          <t>2026-09-19T16:00:13.793331Z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</t>
        </is>
      </c>
      <c r="DK349" s="24" t="n"/>
      <c r="DL349" s="24" t="n"/>
      <c r="DM349" s="24" t="n"/>
      <c r="DN349" s="24" t="n"/>
      <c r="DO349" s="24" t="n"/>
      <c r="DP349" s="24" t="n"/>
      <c r="DQ349" s="24" t="inlineStr">
        <is>
          <t>{"artifact_hash": "3d16277c2cfc0628d7ec79d04feee92735e5c503a3be195cb225c7c52d024308", "away_team": "Hull City", "event_id": "401879271", "event_start_utc": "2026-09-19T14:00Z", "features": {"away_goal_rate": 1.2969, "history_games": 9181, "home_goal_rate": 1.6555, "league_goals_per_team": 1.4809, "min_team_games": 0.0}, "historical_source_observation_times_verified": false, "home_team": "Newcastle United", "inference_inputs": {"away_rate": 1.296906053331065, "code_sha256": {"models/soccer.py": "3d16277c2cfc0628d7ec79d04feee92735e5c503a3be195cb225c7c52d024308"}, "home_rate": 1.655544684940988, "sport": "SOCCER"}, "market_type": "moneyline", "model_version": "soccer-poisson-dc-v1", "observed_at_utc": "2026-09-19T11:12:55.938246+00:00", "probabilities": {"away": 0.289284, "draw": 0.263366, "home": 0.44735}, "replay_scope": "Exact full-precision serving state and rounding; upstream historical observation times are not certified.", "schema": "coded-moneyline-replay-v1", "snapshot_hash": "6877c29b7c72bd0527f16070eee6bbffd833af0f2b315de1c1ff4f910037bdf6", "sport": "SOCCER"}</t>
        </is>
      </c>
    </row>
    <row r="350" ht="36" customHeight="1">
      <c r="A350" s="24" t="inlineStr">
        <is>
          <t>e762946b49474352</t>
        </is>
      </c>
      <c r="B350" s="24" t="inlineStr">
        <is>
          <t>2026-09-19T11:12:56.904467Z</t>
        </is>
      </c>
      <c r="C350" s="24" t="inlineStr">
        <is>
          <t>2026-09-19T13:30Z</t>
        </is>
      </c>
      <c r="D350" s="24" t="inlineStr">
        <is>
          <t>401884787</t>
        </is>
      </c>
      <c r="E350" s="24" t="inlineStr">
        <is>
          <t>SOCCER</t>
        </is>
      </c>
      <c r="F350" s="24" t="inlineStr">
        <is>
          <t>SC Freiburg</t>
        </is>
      </c>
      <c r="G350" s="24" t="inlineStr">
        <is>
          <t>Eintracht Frankfurt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156</v>
      </c>
      <c r="M350" s="27" t="n">
        <v>2.56</v>
      </c>
      <c r="N350" s="28" t="n">
        <v>0.390625</v>
      </c>
      <c r="O350" s="28" t="n">
        <v>0.481997</v>
      </c>
      <c r="P350" s="28" t="n">
        <v>0.04</v>
      </c>
      <c r="Q350" s="28" t="n">
        <v>0.09137199999999999</v>
      </c>
      <c r="R350" s="26" t="n">
        <v>72</v>
      </c>
      <c r="S350" s="29" t="n">
        <v>1.25</v>
      </c>
      <c r="T350" s="24" t="inlineStr">
        <is>
          <t>soccer-poisson-dc-v1</t>
        </is>
      </c>
      <c r="U350" s="24" t="inlineStr">
        <is>
          <t>settled</t>
        </is>
      </c>
      <c r="V350" s="24" t="inlineStr">
        <is>
          <t>loss</t>
        </is>
      </c>
      <c r="W350" s="26" t="n">
        <v>2</v>
      </c>
      <c r="X350" s="26" t="n">
        <v>2</v>
      </c>
      <c r="Y350" s="25" t="n"/>
      <c r="Z350" s="26" t="n">
        <v>156</v>
      </c>
      <c r="AA350" s="28" t="n">
        <v>0.39</v>
      </c>
      <c r="AB350" s="28" t="n">
        <v>-0.000625</v>
      </c>
      <c r="AC350" s="30" t="n">
        <v>-1.25</v>
      </c>
      <c r="AD350" s="24" t="inlineStr">
        <is>
          <t>2026-09-19T16:00:14.938440Z</t>
        </is>
      </c>
      <c r="AE350" s="31" t="inlineStr">
        <is>
          <t>Poisson-DC rates 1.99 (home) / 1.50 (away) from EWMA attack/defense strengths. Executable ask 0.3900 (atc-bun-fra-scf-2026-09-19-fra).</t>
        </is>
      </c>
      <c r="AF350" s="31" t="inlineStr">
        <is>
          <t>Research-only soccer score model; draw-aware, but not yet locked-holdout qualified.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SC Freiburg</t>
        </is>
      </c>
      <c r="AQ350" s="24" t="inlineStr">
        <is>
          <t>SC Freiburg</t>
        </is>
      </c>
      <c r="AR350" s="24" t="inlineStr">
        <is>
          <t>SC Freiburg</t>
        </is>
      </c>
      <c r="AS350" s="24" t="inlineStr">
        <is>
          <t>Eintracht Frankfurt</t>
        </is>
      </c>
      <c r="AT350" s="24" t="inlineStr">
        <is>
          <t>Eintracht Frankfurt</t>
        </is>
      </c>
      <c r="AU350" s="24" t="inlineStr">
        <is>
          <t>Eintracht Frankfurt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3d16277c2cfc0628d7ec79d04feee92735e5c503a3be195cb225c7c52d024308</t>
        </is>
      </c>
      <c r="BB350" s="24" t="inlineStr">
        <is>
          <t>poisson_dixon_coles</t>
        </is>
      </c>
      <c r="BC350" s="24" t="inlineStr">
        <is>
          <t>soccer-poisson-dc-v1</t>
        </is>
      </c>
      <c r="BD350" s="24" t="inlineStr">
        <is>
          <t>3d16277c2cfc0628d7ec79d04feee92735e5c503a3be195cb225c7c52d024308</t>
        </is>
      </c>
      <c r="BE350" s="24" t="inlineStr">
        <is>
          <t>soccer-poisson-dc-v1</t>
        </is>
      </c>
      <c r="BF350" s="24" t="inlineStr">
        <is>
          <t>1</t>
        </is>
      </c>
      <c r="BG350" s="24" t="inlineStr">
        <is>
          <t>3d16277c2cfc0628d7ec79d04feee92735e5c503a3be195cb225c7c52d024308</t>
        </is>
      </c>
      <c r="BH350" s="24" t="inlineStr">
        <is>
          <t>2026-09-19T11:05:40.191699Z</t>
        </is>
      </c>
      <c r="BI350" s="24" t="inlineStr">
        <is>
          <t>["same_event","same_team_same_day","same_league_same_day"]</t>
        </is>
      </c>
      <c r="BJ350" s="25" t="n"/>
      <c r="BK350" s="26" t="n">
        <v>156</v>
      </c>
      <c r="BL350" s="27" t="n">
        <v>2.56</v>
      </c>
      <c r="BM350" s="28" t="n">
        <v>0.390625</v>
      </c>
      <c r="BN350" s="28" t="n"/>
      <c r="BO350" s="28" t="n"/>
      <c r="BP350" s="25" t="n"/>
      <c r="BQ350" s="27" t="n">
        <v>2.56</v>
      </c>
      <c r="BR350" s="28" t="n">
        <v>0.39</v>
      </c>
      <c r="BS350" s="28" t="n"/>
      <c r="BT350" s="28" t="n"/>
      <c r="BU350" s="25" t="n"/>
      <c r="BV350" s="29" t="n"/>
      <c r="BW350" s="24" t="n"/>
      <c r="BX350" s="30" t="n">
        <v>1</v>
      </c>
      <c r="BY350" s="27" t="n">
        <v>-1</v>
      </c>
      <c r="BZ350" s="24" t="inlineStr">
        <is>
          <t>2026-09-19T16:00:14.938440Z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0.390625</t>
        </is>
      </c>
      <c r="DK350" s="24" t="n"/>
      <c r="DL350" s="24" t="n"/>
      <c r="DM350" s="24" t="n"/>
      <c r="DN350" s="24" t="n"/>
      <c r="DO350" s="24" t="n"/>
      <c r="DP350" s="24" t="n"/>
      <c r="DQ350" s="24" t="inlineStr">
        <is>
          <t>{"artifact_hash": "3d16277c2cfc0628d7ec79d04feee92735e5c503a3be195cb225c7c52d024308", "away_team": "SC Freiburg", "event_id": "401884787", "event_start_utc": "2026-09-19T13:30Z", "features": {"away_goal_rate": 1.4962, "history_games": 9181, "home_goal_rate": 1.9851, "league_goals_per_team": 1.5832, "min_team_games": 86.0}, "historical_source_observation_times_verified": false, "home_team": "Eintracht Frankfurt", "inference_inputs": {"away_rate": 1.4961946975964486, "code_sha256": {"models/soccer.py": "3d16277c2cfc0628d7ec79d04feee92735e5c503a3be195cb225c7c52d024308"}, "home_rate": 1.9851297926161025, "sport": "SOCCER"}, "market_type": "moneyline", "model_version": "soccer-poisson-dc-v1", "observed_at_utc": "2026-09-19T11:12:55.938246+00:00", "probabilities": {"away": 0.282637, "draw": 0.235367, "home": 0.481997}, "replay_scope": "Exact full-precision serving state and rounding; upstream historical observation times are not certified.", "schema": "coded-moneyline-replay-v1", "snapshot_hash": "84ce05f21a0f6b306e29658d44ccde0cf3fa130eaea6ad7fb4a3296a46edbd1b", "sport": "SOCCER"}</t>
        </is>
      </c>
    </row>
    <row r="351" ht="36" customHeight="1">
      <c r="A351" s="24" t="inlineStr">
        <is>
          <t>655d57fd9fa84dd8</t>
        </is>
      </c>
      <c r="B351" s="24" t="inlineStr">
        <is>
          <t>2026-09-19T11:12:56.904467Z</t>
        </is>
      </c>
      <c r="C351" s="24" t="inlineStr">
        <is>
          <t>2026-09-19T16:00Z</t>
        </is>
      </c>
      <c r="D351" s="24" t="inlineStr">
        <is>
          <t>401874753</t>
        </is>
      </c>
      <c r="E351" s="24" t="inlineStr">
        <is>
          <t>SOCCER</t>
        </is>
      </c>
      <c r="F351" s="24" t="inlineStr">
        <is>
          <t>Internazionale</t>
        </is>
      </c>
      <c r="G351" s="24" t="inlineStr">
        <is>
          <t>AS Roma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polymarket_us</t>
        </is>
      </c>
      <c r="L351" s="26" t="n">
        <v>178</v>
      </c>
      <c r="M351" s="27" t="n">
        <v>2.78</v>
      </c>
      <c r="N351" s="28" t="n">
        <v>0.359712</v>
      </c>
      <c r="O351" s="28" t="n">
        <v>0.427265</v>
      </c>
      <c r="P351" s="28" t="n">
        <v>0.04</v>
      </c>
      <c r="Q351" s="28" t="n">
        <v>0.067553</v>
      </c>
      <c r="R351" s="26" t="n">
        <v>60</v>
      </c>
      <c r="S351" s="29" t="n">
        <v>1.25</v>
      </c>
      <c r="T351" s="24" t="inlineStr">
        <is>
          <t>soccer-poisson-dc-v1</t>
        </is>
      </c>
      <c r="U351" s="24" t="inlineStr">
        <is>
          <t>settled</t>
        </is>
      </c>
      <c r="V351" s="24" t="inlineStr">
        <is>
          <t>loss</t>
        </is>
      </c>
      <c r="W351" s="26" t="n">
        <v>2</v>
      </c>
      <c r="X351" s="26" t="n">
        <v>2</v>
      </c>
      <c r="Y351" s="25" t="n"/>
      <c r="Z351" s="26" t="n">
        <v>178</v>
      </c>
      <c r="AA351" s="28" t="n">
        <v>0.36</v>
      </c>
      <c r="AB351" s="28" t="n">
        <v>0.000288</v>
      </c>
      <c r="AC351" s="30" t="n">
        <v>-1.25</v>
      </c>
      <c r="AD351" s="24" t="inlineStr">
        <is>
          <t>2026-09-19T22:00:12.005820Z</t>
        </is>
      </c>
      <c r="AE351" s="31" t="inlineStr">
        <is>
          <t>Poisson-DC rates 1.69 (home) / 1.43 (away) from EWMA attack/defense strengths. Executable ask 0.3600 (atc-sea-rom-int-2026-09-19-rom).</t>
        </is>
      </c>
      <c r="AF351" s="31" t="inlineStr">
        <is>
          <t>Research-only soccer score model; draw-aware, but not yet locked-holdout qualified.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Internazionale</t>
        </is>
      </c>
      <c r="AQ351" s="24" t="inlineStr">
        <is>
          <t>Internazionale</t>
        </is>
      </c>
      <c r="AR351" s="24" t="inlineStr">
        <is>
          <t>Internazionale</t>
        </is>
      </c>
      <c r="AS351" s="24" t="inlineStr">
        <is>
          <t>AS Roma</t>
        </is>
      </c>
      <c r="AT351" s="24" t="inlineStr">
        <is>
          <t>AS Roma</t>
        </is>
      </c>
      <c r="AU351" s="24" t="inlineStr">
        <is>
          <t>AS Roma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3d16277c2cfc0628d7ec79d04feee92735e5c503a3be195cb225c7c52d024308</t>
        </is>
      </c>
      <c r="BB351" s="24" t="inlineStr">
        <is>
          <t>poisson_dixon_coles</t>
        </is>
      </c>
      <c r="BC351" s="24" t="inlineStr">
        <is>
          <t>soccer-poisson-dc-v1</t>
        </is>
      </c>
      <c r="BD351" s="24" t="inlineStr">
        <is>
          <t>3d16277c2cfc0628d7ec79d04feee92735e5c503a3be195cb225c7c52d024308</t>
        </is>
      </c>
      <c r="BE351" s="24" t="inlineStr">
        <is>
          <t>soccer-poisson-dc-v1</t>
        </is>
      </c>
      <c r="BF351" s="24" t="inlineStr">
        <is>
          <t>1</t>
        </is>
      </c>
      <c r="BG351" s="24" t="inlineStr">
        <is>
          <t>3d16277c2cfc0628d7ec79d04feee92735e5c503a3be195cb225c7c52d024308</t>
        </is>
      </c>
      <c r="BH351" s="24" t="inlineStr">
        <is>
          <t>2026-09-19T05:37:50.043973Z</t>
        </is>
      </c>
      <c r="BI351" s="24" t="inlineStr">
        <is>
          <t>["same_event","same_team_same_day","same_league_same_day"]</t>
        </is>
      </c>
      <c r="BJ351" s="25" t="n"/>
      <c r="BK351" s="26" t="n">
        <v>178</v>
      </c>
      <c r="BL351" s="27" t="n">
        <v>2.78</v>
      </c>
      <c r="BM351" s="28" t="n">
        <v>0.359712</v>
      </c>
      <c r="BN351" s="28" t="n"/>
      <c r="BO351" s="28" t="n"/>
      <c r="BP351" s="25" t="n"/>
      <c r="BQ351" s="27" t="n">
        <v>2.78</v>
      </c>
      <c r="BR351" s="28" t="n">
        <v>0.36</v>
      </c>
      <c r="BS351" s="28" t="n"/>
      <c r="BT351" s="28" t="n"/>
      <c r="BU351" s="25" t="n"/>
      <c r="BV351" s="29" t="n"/>
      <c r="BW351" s="24" t="n"/>
      <c r="BX351" s="30" t="n">
        <v>1</v>
      </c>
      <c r="BY351" s="27" t="n">
        <v>-1</v>
      </c>
      <c r="BZ351" s="24" t="inlineStr">
        <is>
          <t>2026-09-19T22:00:12.005820Z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0.359712</t>
        </is>
      </c>
      <c r="DK351" s="24" t="n"/>
      <c r="DL351" s="24" t="n"/>
      <c r="DM351" s="24" t="n"/>
      <c r="DN351" s="24" t="n"/>
      <c r="DO351" s="24" t="n"/>
      <c r="DP351" s="24" t="n"/>
      <c r="DQ351" s="24" t="inlineStr">
        <is>
          <t>{"artifact_hash": "3d16277c2cfc0628d7ec79d04feee92735e5c503a3be195cb225c7c52d024308", "away_team": "Internazionale", "event_id": "401874753", "event_start_utc": "2026-09-19T16:00Z", "features": {"away_goal_rate": 1.4283, "history_games": 9181, "home_goal_rate": 1.6872, "league_goals_per_team": 1.2703, "min_team_games": 96.0}, "historical_source_observation_times_verified": false, "home_team": "AS Roma", "inference_inputs": {"away_rate": 1.4283052480670408, "code_sha256": {"models/soccer.py": "3d16277c2cfc0628d7ec79d04feee92735e5c503a3be195cb225c7c52d024308"}, "home_rate": 1.6871839610639243, "sport": "SOCCER"}, "market_type": "moneyline", "model_version": "soccer-poisson-dc-v1", "observed_at_utc": "2026-09-19T11:12:55.938246+00:00", "probabilities": {"away": 0.315603, "draw": 0.257132, "home": 0.427265}, "replay_scope": "Exact full-precision serving state and rounding; upstream historical observation times are not certified.", "schema": "coded-moneyline-replay-v1", "snapshot_hash": "518d39c841cb2cdd43edc25d013cf4cb1b8edbc64fe1a14d3ae18ea2083f54e4", "sport": "SOCCER"}</t>
        </is>
      </c>
    </row>
    <row r="352" ht="36" customHeight="1">
      <c r="A352" s="24" t="inlineStr">
        <is>
          <t>9794aafdc36e4c4b</t>
        </is>
      </c>
      <c r="B352" s="24" t="inlineStr">
        <is>
          <t>2026-09-19T11:12:56.904467Z</t>
        </is>
      </c>
      <c r="C352" s="24" t="inlineStr">
        <is>
          <t>2026-09-19T15:00Z</t>
        </is>
      </c>
      <c r="D352" s="24" t="inlineStr">
        <is>
          <t>401921405</t>
        </is>
      </c>
      <c r="E352" s="24" t="inlineStr">
        <is>
          <t>SOCCER</t>
        </is>
      </c>
      <c r="F352" s="24" t="inlineStr">
        <is>
          <t>Progreso</t>
        </is>
      </c>
      <c r="G352" s="24" t="inlineStr">
        <is>
          <t>Boston River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317</v>
      </c>
      <c r="M352" s="27" t="n">
        <v>4.17</v>
      </c>
      <c r="N352" s="28" t="n">
        <v>0.239808</v>
      </c>
      <c r="O352" s="28" t="n">
        <v>0.359782</v>
      </c>
      <c r="P352" s="28" t="n">
        <v>0.19</v>
      </c>
      <c r="Q352" s="28" t="n">
        <v>0.119974</v>
      </c>
      <c r="R352" s="26" t="n">
        <v>0</v>
      </c>
      <c r="S352" s="29" t="n">
        <v>1</v>
      </c>
      <c r="T352" s="24" t="inlineStr">
        <is>
          <t>soccer-poisson-dc-v1</t>
        </is>
      </c>
      <c r="U352" s="24" t="inlineStr">
        <is>
          <t>settled</t>
        </is>
      </c>
      <c r="V352" s="24" t="inlineStr">
        <is>
          <t>win</t>
        </is>
      </c>
      <c r="W352" s="26" t="n">
        <v>2</v>
      </c>
      <c r="X352" s="26" t="n">
        <v>1</v>
      </c>
      <c r="Y352" s="25" t="n"/>
      <c r="Z352" s="26" t="n">
        <v>-355</v>
      </c>
      <c r="AA352" s="28" t="n">
        <v>0.78</v>
      </c>
      <c r="AB352" s="28" t="n">
        <v>0.540192</v>
      </c>
      <c r="AC352" s="30" t="n">
        <v>3.17</v>
      </c>
      <c r="AD352" s="24" t="inlineStr">
        <is>
          <t>2026-09-19T22:00:14.101160Z</t>
        </is>
      </c>
      <c r="AE352" s="31" t="inlineStr">
        <is>
          <t>Poisson-DC rates 1.17 (home) / 1.22 (away) from EWMA attack/defense strengths. Executable ask 0.2400 (atc-uru1-bri-pro-2026-09-19-pro).</t>
        </is>
      </c>
      <c r="AF352" s="31" t="inlineStr">
        <is>
          <t>Research-only soccer score model; draw-aware, but not yet locked-holdout qualified.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PAPER_CALL_MODEL_UNVALIDATED</t>
        </is>
      </c>
      <c r="AP352" s="24" t="inlineStr">
        <is>
          <t>Progreso</t>
        </is>
      </c>
      <c r="AQ352" s="24" t="inlineStr">
        <is>
          <t>Progreso</t>
        </is>
      </c>
      <c r="AR352" s="24" t="inlineStr">
        <is>
          <t>Progreso</t>
        </is>
      </c>
      <c r="AS352" s="24" t="inlineStr">
        <is>
          <t>Boston River</t>
        </is>
      </c>
      <c r="AT352" s="24" t="inlineStr">
        <is>
          <t>Boston River</t>
        </is>
      </c>
      <c r="AU352" s="24" t="inlineStr">
        <is>
          <t>Boston River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3d16277c2cfc0628d7ec79d04feee92735e5c503a3be195cb225c7c52d024308</t>
        </is>
      </c>
      <c r="BB352" s="24" t="inlineStr">
        <is>
          <t>poisson_dixon_coles</t>
        </is>
      </c>
      <c r="BC352" s="24" t="inlineStr">
        <is>
          <t>soccer-poisson-dc-v1</t>
        </is>
      </c>
      <c r="BD352" s="24" t="inlineStr">
        <is>
          <t>3d16277c2cfc0628d7ec79d04feee92735e5c503a3be195cb225c7c52d024308</t>
        </is>
      </c>
      <c r="BE352" s="24" t="inlineStr">
        <is>
          <t>soccer-poisson-dc-v1</t>
        </is>
      </c>
      <c r="BF352" s="24" t="inlineStr">
        <is>
          <t>1</t>
        </is>
      </c>
      <c r="BG352" s="24" t="inlineStr">
        <is>
          <t>3d16277c2cfc0628d7ec79d04feee92735e5c503a3be195cb225c7c52d024308</t>
        </is>
      </c>
      <c r="BH352" s="24" t="inlineStr">
        <is>
          <t>2026-09-19T11:08:58.405770Z</t>
        </is>
      </c>
      <c r="BI352" s="24" t="inlineStr">
        <is>
          <t>["same_event","same_team_same_day","same_league_same_day"]</t>
        </is>
      </c>
      <c r="BJ352" s="25" t="n"/>
      <c r="BK352" s="26" t="n">
        <v>317</v>
      </c>
      <c r="BL352" s="27" t="n">
        <v>4.17</v>
      </c>
      <c r="BM352" s="28" t="n">
        <v>0.239808</v>
      </c>
      <c r="BN352" s="28" t="n"/>
      <c r="BO352" s="28" t="n"/>
      <c r="BP352" s="25" t="n"/>
      <c r="BQ352" s="27" t="n">
        <v>1.28169</v>
      </c>
      <c r="BR352" s="28" t="n">
        <v>0.78</v>
      </c>
      <c r="BS352" s="28" t="n"/>
      <c r="BT352" s="28" t="n"/>
      <c r="BU352" s="25" t="n"/>
      <c r="BV352" s="29" t="n"/>
      <c r="BW352" s="24" t="n"/>
      <c r="BX352" s="30" t="n">
        <v>1</v>
      </c>
      <c r="BY352" s="27" t="n">
        <v>3.170003</v>
      </c>
      <c r="BZ352" s="24" t="inlineStr">
        <is>
          <t>2026-09-19T22:00:14.101160Z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0.239808</t>
        </is>
      </c>
      <c r="DK352" s="24" t="n"/>
      <c r="DL352" s="24" t="n"/>
      <c r="DM352" s="24" t="n"/>
      <c r="DN352" s="24" t="n"/>
      <c r="DO352" s="24" t="n"/>
      <c r="DP352" s="24" t="n"/>
      <c r="DQ352" s="24" t="inlineStr">
        <is>
          <t>{"artifact_hash": "3d16277c2cfc0628d7ec79d04feee92735e5c503a3be195cb225c7c52d024308", "away_team": "Progreso", "event_id": "401921405", "event_start_utc": "2026-09-19T15:00Z", "features": {"away_goal_rate": 1.2159, "history_games": 9181, "home_goal_rate": 1.1678, "league_goals_per_team": 1.4281, "min_team_games": 1.0}, "historical_source_observation_times_verified": false, "home_team": "Boston River", "inference_inputs": {"away_rate": 1.2159071403307247, "code_sha256": {"models/soccer.py": "3d16277c2cfc0628d7ec79d04feee92735e5c503a3be195cb225c7c52d024308"}, "home_rate": 1.1678340534195017, "sport": "SOCCER"}, "market_type": "moneyline", "model_version": "soccer-poisson-dc-v1", "observed_at_utc": "2026-09-19T11:12:55.938246+00:00", "probabilities": {"away": 0.359782, "draw": 0.303821, "home": 0.336396}, "replay_scope": "Exact full-precision serving state and rounding; upstream historical observation times are not certified.", "schema": "coded-moneyline-replay-v1", "snapshot_hash": "5fc998bbdeaeabe6d506299496d5ca6b8ab3d125943cc5fef25fbd135b321aa6", "sport": "SOCCER"}</t>
        </is>
      </c>
    </row>
    <row r="353" ht="36" customHeight="1">
      <c r="A353" s="24" t="inlineStr">
        <is>
          <t>6be13a2fbaf649b4</t>
        </is>
      </c>
      <c r="B353" s="24" t="inlineStr">
        <is>
          <t>2026-09-19T17:08:23.369947Z</t>
        </is>
      </c>
      <c r="C353" s="24" t="inlineStr">
        <is>
          <t>2026-09-19T17:30Z</t>
        </is>
      </c>
      <c r="D353" s="24" t="inlineStr">
        <is>
          <t>401841573</t>
        </is>
      </c>
      <c r="E353" s="24" t="inlineStr">
        <is>
          <t>SOCCER</t>
        </is>
      </c>
      <c r="F353" s="24" t="inlineStr">
        <is>
          <t>Banfield</t>
        </is>
      </c>
      <c r="G353" s="24" t="inlineStr">
        <is>
          <t>Gimnasia La Plata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-138</v>
      </c>
      <c r="M353" s="27" t="n">
        <v>1.724638</v>
      </c>
      <c r="N353" s="28" t="n">
        <v>0.579832</v>
      </c>
      <c r="O353" s="28" t="n">
        <v>0.456135</v>
      </c>
      <c r="P353" s="28" t="n">
        <v>0.2</v>
      </c>
      <c r="Q353" s="28" t="n">
        <v>-0.123697</v>
      </c>
      <c r="R353" s="26" t="n">
        <v>0</v>
      </c>
      <c r="S353" s="29" t="n">
        <v>1</v>
      </c>
      <c r="T353" s="24" t="inlineStr">
        <is>
          <t>soccer-poisson-dc-v1</t>
        </is>
      </c>
      <c r="U353" s="24" t="inlineStr">
        <is>
          <t>settled</t>
        </is>
      </c>
      <c r="V353" s="24" t="inlineStr">
        <is>
          <t>loss</t>
        </is>
      </c>
      <c r="W353" s="26" t="n">
        <v>2</v>
      </c>
      <c r="X353" s="26" t="n">
        <v>2</v>
      </c>
      <c r="Y353" s="25" t="n"/>
      <c r="Z353" s="26" t="n">
        <v>-138</v>
      </c>
      <c r="AA353" s="28" t="n">
        <v>0.58</v>
      </c>
      <c r="AB353" s="28" t="n">
        <v>0.000168</v>
      </c>
      <c r="AC353" s="30" t="n">
        <v>-1</v>
      </c>
      <c r="AD353" s="24" t="inlineStr">
        <is>
          <t>2026-09-19T22:00:37.275487Z</t>
        </is>
      </c>
      <c r="AE353" s="31" t="inlineStr">
        <is>
          <t>Poisson-DC rates 1.64 (home) / 1.24 (away) from EWMA attack/defense strengths. Executable ask 0.5800 (atc-lpa-gim-ban-2026-09-19-gim).</t>
        </is>
      </c>
      <c r="AF353" s="31" t="inlineStr">
        <is>
          <t>Research-only soccer score model; draw-aware, but not yet locked-holdout qualified.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Banfield</t>
        </is>
      </c>
      <c r="AQ353" s="24" t="inlineStr">
        <is>
          <t>Banfield</t>
        </is>
      </c>
      <c r="AR353" s="24" t="inlineStr">
        <is>
          <t>Banfield</t>
        </is>
      </c>
      <c r="AS353" s="24" t="inlineStr">
        <is>
          <t>Gimnasia La Plata</t>
        </is>
      </c>
      <c r="AT353" s="24" t="inlineStr">
        <is>
          <t>Gimnasia La Plata</t>
        </is>
      </c>
      <c r="AU353" s="24" t="inlineStr">
        <is>
          <t>Gimnasia La Plata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3d16277c2cfc0628d7ec79d04feee92735e5c503a3be195cb225c7c52d024308</t>
        </is>
      </c>
      <c r="BB353" s="24" t="inlineStr">
        <is>
          <t>poisson_dixon_coles</t>
        </is>
      </c>
      <c r="BC353" s="24" t="inlineStr">
        <is>
          <t>soccer-poisson-dc-v1</t>
        </is>
      </c>
      <c r="BD353" s="24" t="inlineStr">
        <is>
          <t>3d16277c2cfc0628d7ec79d04feee92735e5c503a3be195cb225c7c52d024308</t>
        </is>
      </c>
      <c r="BE353" s="24" t="inlineStr">
        <is>
          <t>soccer-poisson-dc-v1</t>
        </is>
      </c>
      <c r="BF353" s="24" t="inlineStr">
        <is>
          <t>1</t>
        </is>
      </c>
      <c r="BG353" s="24" t="inlineStr">
        <is>
          <t>3d16277c2cfc0628d7ec79d04feee92735e5c503a3be195cb225c7c52d024308</t>
        </is>
      </c>
      <c r="BH353" s="24" t="inlineStr">
        <is>
          <t>2026-09-19T17:05:19.433312Z</t>
        </is>
      </c>
      <c r="BI353" s="24" t="inlineStr">
        <is>
          <t>["same_event","same_team_same_day","same_league_same_day"]</t>
        </is>
      </c>
      <c r="BJ353" s="25" t="n"/>
      <c r="BK353" s="26" t="n">
        <v>-138</v>
      </c>
      <c r="BL353" s="27" t="n">
        <v>1.724638</v>
      </c>
      <c r="BM353" s="28" t="n">
        <v>0.579832</v>
      </c>
      <c r="BN353" s="28" t="n"/>
      <c r="BO353" s="28" t="n"/>
      <c r="BP353" s="25" t="n"/>
      <c r="BQ353" s="27" t="n">
        <v>1.724638</v>
      </c>
      <c r="BR353" s="28" t="n">
        <v>0.58</v>
      </c>
      <c r="BS353" s="28" t="n"/>
      <c r="BT353" s="28" t="n"/>
      <c r="BU353" s="25" t="n"/>
      <c r="BV353" s="29" t="n"/>
      <c r="BW353" s="24" t="n"/>
      <c r="BX353" s="30" t="n">
        <v>1</v>
      </c>
      <c r="BY353" s="27" t="n">
        <v>-1</v>
      </c>
      <c r="BZ353" s="24" t="inlineStr">
        <is>
          <t>2026-09-19T22:00:37.275487Z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0.579832</t>
        </is>
      </c>
      <c r="DK353" s="24" t="n"/>
      <c r="DL353" s="24" t="n"/>
      <c r="DM353" s="24" t="n"/>
      <c r="DN353" s="24" t="n"/>
      <c r="DO353" s="24" t="n"/>
      <c r="DP353" s="24" t="n"/>
      <c r="DQ353" s="24" t="inlineStr">
        <is>
          <t>{"artifact_hash": "3d16277c2cfc0628d7ec79d04feee92735e5c503a3be195cb225c7c52d024308", "away_team": "Banfield", "event_id": "401841573", "event_start_utc": "2026-09-19T17:30Z", "features": {"away_goal_rate": 1.2418, "history_games": 9181, "home_goal_rate": 1.6423, "league_goals_per_team": 1.4281, "min_team_games": 0.0}, "historical_source_observation_times_verified": false, "home_team": "Gimnasia La Plata",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"2026-09-19T17:08:22.436487+00:00", "probabilities": {"away": 0.278015, "draw": 0.265851, "home": 0.456135}, "replay_scope": "Exact full-precision serving state and rounding; upstream historical observation times are not certified.", "schema": "coded-moneyline-replay-v1", "snapshot_hash": "9ed1a05adfb1f5a45c23669b8f685983fdc4ab3f7e05d4d01cac3bf809fc6063", "sport": "SOCCER"}</t>
        </is>
      </c>
    </row>
    <row r="354" ht="36" customHeight="1">
      <c r="A354" s="24" t="inlineStr">
        <is>
          <t>dd22fcc14e824676</t>
        </is>
      </c>
      <c r="B354" s="24" t="inlineStr">
        <is>
          <t>2026-09-19T17:08:23.369947Z</t>
        </is>
      </c>
      <c r="C354" s="24" t="inlineStr">
        <is>
          <t>2026-09-19T21:05Z</t>
        </is>
      </c>
      <c r="D354" s="24" t="inlineStr">
        <is>
          <t>401877842</t>
        </is>
      </c>
      <c r="E354" s="24" t="inlineStr">
        <is>
          <t>SOCCER</t>
        </is>
      </c>
      <c r="F354" s="24" t="inlineStr">
        <is>
          <t>Independiente Santa Fe</t>
        </is>
      </c>
      <c r="G354" s="24" t="inlineStr">
        <is>
          <t>Alianza FC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194</v>
      </c>
      <c r="M354" s="27" t="n">
        <v>2.94</v>
      </c>
      <c r="N354" s="28" t="n">
        <v>0.340136</v>
      </c>
      <c r="O354" s="28" t="n">
        <v>0.440521</v>
      </c>
      <c r="P354" s="28" t="n">
        <v>0.2</v>
      </c>
      <c r="Q354" s="28" t="n">
        <v>0.100385</v>
      </c>
      <c r="R354" s="26" t="n">
        <v>0</v>
      </c>
      <c r="S354" s="29" t="n">
        <v>1</v>
      </c>
      <c r="T354" s="24" t="inlineStr">
        <is>
          <t>soccer-poisson-dc-v1</t>
        </is>
      </c>
      <c r="U354" s="24" t="inlineStr">
        <is>
          <t>settled</t>
        </is>
      </c>
      <c r="V354" s="24" t="inlineStr">
        <is>
          <t>loss</t>
        </is>
      </c>
      <c r="W354" s="26" t="n">
        <v>4</v>
      </c>
      <c r="X354" s="26" t="n">
        <v>1</v>
      </c>
      <c r="Y354" s="25" t="n"/>
      <c r="Z354" s="26" t="n">
        <v>194</v>
      </c>
      <c r="AA354" s="28" t="n">
        <v>0.34</v>
      </c>
      <c r="AB354" s="28" t="n">
        <v>-0.000136</v>
      </c>
      <c r="AC354" s="30" t="n">
        <v>-1</v>
      </c>
      <c r="AD354" s="24" t="inlineStr">
        <is>
          <t>2026-09-20T04:30:35.263073Z</t>
        </is>
      </c>
      <c r="AE354" s="31" t="inlineStr">
        <is>
          <t>Poisson-DC rates 1.46 (home) / 1.10 (away) from EWMA attack/defense strengths. Executable ask 0.3400 (atc-lco-alp-san-2026-09-19-alp).</t>
        </is>
      </c>
      <c r="AF354" s="31" t="inlineStr">
        <is>
          <t>Research-only soccer score model; draw-aware, but not yet locked-holdout qualified.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Independiente Santa Fe</t>
        </is>
      </c>
      <c r="AQ354" s="24" t="inlineStr">
        <is>
          <t>Independiente Santa Fe</t>
        </is>
      </c>
      <c r="AR354" s="24" t="inlineStr">
        <is>
          <t>Independiente Santa Fe</t>
        </is>
      </c>
      <c r="AS354" s="24" t="inlineStr">
        <is>
          <t>Alianza FC</t>
        </is>
      </c>
      <c r="AT354" s="24" t="inlineStr">
        <is>
          <t>Alianza FC</t>
        </is>
      </c>
      <c r="AU354" s="24" t="inlineStr">
        <is>
          <t>Alianza FC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3d16277c2cfc0628d7ec79d04feee92735e5c503a3be195cb225c7c52d024308</t>
        </is>
      </c>
      <c r="BB354" s="24" t="inlineStr">
        <is>
          <t>poisson_dixon_coles</t>
        </is>
      </c>
      <c r="BC354" s="24" t="inlineStr">
        <is>
          <t>soccer-poisson-dc-v1</t>
        </is>
      </c>
      <c r="BD354" s="24" t="inlineStr">
        <is>
          <t>3d16277c2cfc0628d7ec79d04feee92735e5c503a3be195cb225c7c52d024308</t>
        </is>
      </c>
      <c r="BE354" s="24" t="inlineStr">
        <is>
          <t>soccer-poisson-dc-v1</t>
        </is>
      </c>
      <c r="BF354" s="24" t="inlineStr">
        <is>
          <t>1</t>
        </is>
      </c>
      <c r="BG354" s="24" t="inlineStr">
        <is>
          <t>3d16277c2cfc0628d7ec79d04feee92735e5c503a3be195cb225c7c52d024308</t>
        </is>
      </c>
      <c r="BH354" s="24" t="inlineStr">
        <is>
          <t>2026-09-19T11:08:58.411781Z</t>
        </is>
      </c>
      <c r="BI354" s="24" t="inlineStr">
        <is>
          <t>["same_event","same_team_same_day","same_league_same_day"]</t>
        </is>
      </c>
      <c r="BJ354" s="25" t="n"/>
      <c r="BK354" s="26" t="n">
        <v>194</v>
      </c>
      <c r="BL354" s="27" t="n">
        <v>2.94</v>
      </c>
      <c r="BM354" s="28" t="n">
        <v>0.340136</v>
      </c>
      <c r="BN354" s="28" t="n"/>
      <c r="BO354" s="28" t="n"/>
      <c r="BP354" s="25" t="n"/>
      <c r="BQ354" s="27" t="n">
        <v>2.94</v>
      </c>
      <c r="BR354" s="28" t="n">
        <v>0.34</v>
      </c>
      <c r="BS354" s="28" t="n"/>
      <c r="BT354" s="28" t="n"/>
      <c r="BU354" s="25" t="n"/>
      <c r="BV354" s="29" t="n"/>
      <c r="BW354" s="24" t="n"/>
      <c r="BX354" s="30" t="n">
        <v>1</v>
      </c>
      <c r="BY354" s="27" t="n">
        <v>-1</v>
      </c>
      <c r="BZ354" s="24" t="inlineStr">
        <is>
          <t>2026-09-20T04:30:35.263073Z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0.340136</t>
        </is>
      </c>
      <c r="DK354" s="24" t="n"/>
      <c r="DL354" s="24" t="n"/>
      <c r="DM354" s="24" t="n"/>
      <c r="DN354" s="24" t="n"/>
      <c r="DO354" s="24" t="n"/>
      <c r="DP354" s="24" t="n"/>
      <c r="DQ354" s="24" t="inlineStr">
        <is>
          <t>{"artifact_hash": "3d16277c2cfc0628d7ec79d04feee92735e5c503a3be195cb225c7c52d024308", "away_team": "Independiente Santa Fe", "event_id": "401877842", "event_start_utc": "2026-09-19T21:05Z", "features": {"away_goal_rate": 1.1038, "history_games": 9181, "home_goal_rate": 1.4598, "league_goals_per_team": 1.4281, "min_team_games": 0.0}, "historical_source_observation_times_verified": false, "home_team": "Alianza FC",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"2026-09-19T17:08:22.436487+00:00", "probabilities": {"away": 0.273602, "draw": 0.285877, "home": 0.440521}, "replay_scope": "Exact full-precision serving state and rounding; upstream historical observation times are not certified.", "schema": "coded-moneyline-replay-v1", "snapshot_hash": "8ca1e126880a270ed458bbbc9e5360c2b2473ebfc2cb04ae313346f59bd80ef7", "sport": "SOCCER"}</t>
        </is>
      </c>
    </row>
    <row r="355" ht="36" customHeight="1">
      <c r="A355" s="24" t="inlineStr">
        <is>
          <t>97d67ac949a84360</t>
        </is>
      </c>
      <c r="B355" s="24" t="inlineStr">
        <is>
          <t>2026-09-19T22:46:24.294324Z</t>
        </is>
      </c>
      <c r="C355" s="24" t="inlineStr">
        <is>
          <t>2026-09-19T23:30Z</t>
        </is>
      </c>
      <c r="D355" s="24" t="inlineStr">
        <is>
          <t>761816</t>
        </is>
      </c>
      <c r="E355" s="24" t="inlineStr">
        <is>
          <t>SOCCER</t>
        </is>
      </c>
      <c r="F355" s="24" t="inlineStr">
        <is>
          <t>Orlando City SC</t>
        </is>
      </c>
      <c r="G355" s="24" t="inlineStr">
        <is>
          <t>New England Revolution</t>
        </is>
      </c>
      <c r="H355" s="24" t="inlineStr">
        <is>
          <t>total</t>
        </is>
      </c>
      <c r="I355" s="24" t="inlineStr">
        <is>
          <t>over</t>
        </is>
      </c>
      <c r="J355" s="25" t="n">
        <v>2.5</v>
      </c>
      <c r="K355" s="24" t="inlineStr">
        <is>
          <t>polymarket_us</t>
        </is>
      </c>
      <c r="L355" s="26" t="n">
        <v>-245</v>
      </c>
      <c r="M355" s="27" t="n">
        <v>1.408163</v>
      </c>
      <c r="N355" s="28" t="n">
        <v>0.710145</v>
      </c>
      <c r="O355" s="28" t="n">
        <v>0.747335</v>
      </c>
      <c r="P355" s="28" t="n">
        <v>0.04</v>
      </c>
      <c r="Q355" s="28" t="n">
        <v>0.03719</v>
      </c>
      <c r="R355" s="26" t="n">
        <v>45</v>
      </c>
      <c r="S355" s="29" t="n">
        <v>1</v>
      </c>
      <c r="T355" s="24" t="inlineStr">
        <is>
          <t>soccer-poisson-dc-v1</t>
        </is>
      </c>
      <c r="U355" s="24" t="inlineStr">
        <is>
          <t>settled</t>
        </is>
      </c>
      <c r="V355" s="24" t="inlineStr">
        <is>
          <t>win</t>
        </is>
      </c>
      <c r="W355" s="26" t="n">
        <v>2</v>
      </c>
      <c r="X355" s="26" t="n">
        <v>4</v>
      </c>
      <c r="Y355" s="25" t="n"/>
      <c r="Z355" s="26" t="n">
        <v>-245</v>
      </c>
      <c r="AA355" s="28" t="n">
        <v>0.71</v>
      </c>
      <c r="AB355" s="28" t="n">
        <v>-0.000145</v>
      </c>
      <c r="AC355" s="30" t="n">
        <v>0.4082</v>
      </c>
      <c r="AD355" s="24" t="inlineStr">
        <is>
          <t>2026-09-20T04:31:30.068835Z</t>
        </is>
      </c>
      <c r="AE355" s="31" t="inlineStr">
        <is>
          <t>Poisson-DC rates 2.54 (home) / 1.37 (away) from EWMA attack/defense strengths. Executable ask 0.7100 (tsc-mls-ner-orl-2026-09-19-2pt5).</t>
        </is>
      </c>
      <c r="AF355" s="31" t="inlineStr">
        <is>
          <t>Research-only soccer score model; draw-aware, but not yet locked-holdout qualified.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4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Orlando City SC</t>
        </is>
      </c>
      <c r="AQ355" s="24" t="inlineStr">
        <is>
          <t>Orlando City SC</t>
        </is>
      </c>
      <c r="AR355" s="24" t="inlineStr">
        <is>
          <t>Orlando City SC</t>
        </is>
      </c>
      <c r="AS355" s="24" t="inlineStr">
        <is>
          <t>New England Revolution</t>
        </is>
      </c>
      <c r="AT355" s="24" t="inlineStr">
        <is>
          <t>New England Revolution</t>
        </is>
      </c>
      <c r="AU355" s="24" t="inlineStr">
        <is>
          <t>New England Revolution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3d16277c2cfc0628d7ec79d04feee92735e5c503a3be195cb225c7c52d024308</t>
        </is>
      </c>
      <c r="BB355" s="24" t="inlineStr">
        <is>
          <t>poisson_dixon_coles</t>
        </is>
      </c>
      <c r="BC355" s="24" t="inlineStr">
        <is>
          <t>soccer-poisson-dc-v1</t>
        </is>
      </c>
      <c r="BD355" s="24" t="inlineStr">
        <is>
          <t>3d16277c2cfc0628d7ec79d04feee92735e5c503a3be195cb225c7c52d024308</t>
        </is>
      </c>
      <c r="BE355" s="24" t="inlineStr">
        <is>
          <t>soccer-poisson-dc-v1</t>
        </is>
      </c>
      <c r="BF355" s="24" t="inlineStr">
        <is>
          <t>1</t>
        </is>
      </c>
      <c r="BG355" s="24" t="inlineStr">
        <is>
          <t>3d16277c2cfc0628d7ec79d04feee92735e5c503a3be195cb225c7c52d024308</t>
        </is>
      </c>
      <c r="BH355" s="24" t="inlineStr">
        <is>
          <t>2026-09-19T17:04:24.136187Z</t>
        </is>
      </c>
      <c r="BI355" s="24" t="inlineStr">
        <is>
          <t>["same_event","same_team_same_day","same_league_same_day"]</t>
        </is>
      </c>
      <c r="BJ355" s="25" t="n">
        <v>2.5</v>
      </c>
      <c r="BK355" s="26" t="n">
        <v>-245</v>
      </c>
      <c r="BL355" s="27" t="n">
        <v>1.408163</v>
      </c>
      <c r="BM355" s="28" t="n">
        <v>0.710145</v>
      </c>
      <c r="BN355" s="28" t="n"/>
      <c r="BO355" s="28" t="n"/>
      <c r="BP355" s="25" t="n"/>
      <c r="BQ355" s="27" t="n">
        <v>1.408163</v>
      </c>
      <c r="BR355" s="28" t="n">
        <v>0.71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0.710145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ea0dfdb7c04d4f4c</t>
        </is>
      </c>
      <c r="B356" s="24" t="inlineStr">
        <is>
          <t>2026-09-19T22:46:24.294324Z</t>
        </is>
      </c>
      <c r="C356" s="24" t="inlineStr">
        <is>
          <t>2026-09-19T23:30Z</t>
        </is>
      </c>
      <c r="D356" s="24" t="inlineStr">
        <is>
          <t>761819</t>
        </is>
      </c>
      <c r="E356" s="24" t="inlineStr">
        <is>
          <t>SOCCER</t>
        </is>
      </c>
      <c r="F356" s="24" t="inlineStr">
        <is>
          <t>Charlotte FC</t>
        </is>
      </c>
      <c r="G356" s="24" t="inlineStr">
        <is>
          <t>D.C. United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138</v>
      </c>
      <c r="M356" s="27" t="n">
        <v>2.38</v>
      </c>
      <c r="N356" s="28" t="n">
        <v>0.420168</v>
      </c>
      <c r="O356" s="28" t="n">
        <v>0.389257</v>
      </c>
      <c r="P356" s="28" t="n">
        <v>0.04</v>
      </c>
      <c r="Q356" s="28" t="n">
        <v>-0.030911</v>
      </c>
      <c r="R356" s="26" t="n">
        <v>11</v>
      </c>
      <c r="S356" s="29" t="n">
        <v>1</v>
      </c>
      <c r="T356" s="24" t="inlineStr">
        <is>
          <t>soccer-poisson-dc-v1</t>
        </is>
      </c>
      <c r="U356" s="24" t="inlineStr">
        <is>
          <t>settled</t>
        </is>
      </c>
      <c r="V356" s="24" t="inlineStr">
        <is>
          <t>win</t>
        </is>
      </c>
      <c r="W356" s="26" t="n">
        <v>2</v>
      </c>
      <c r="X356" s="26" t="n">
        <v>1</v>
      </c>
      <c r="Y356" s="25" t="n"/>
      <c r="Z356" s="26" t="n">
        <v>-144</v>
      </c>
      <c r="AA356" s="28" t="n">
        <v>0.59</v>
      </c>
      <c r="AB356" s="28" t="n">
        <v>0.169832</v>
      </c>
      <c r="AC356" s="30" t="n">
        <v>1.38</v>
      </c>
      <c r="AD356" s="24" t="inlineStr">
        <is>
          <t>2026-09-20T04:31:31.297893Z</t>
        </is>
      </c>
      <c r="AE356" s="31" t="inlineStr">
        <is>
          <t>Poisson-DC rates 1.45 (home) / 1.55 (away) from EWMA attack/defense strengths. Executable ask 0.4200 (atc-mls-dcu-clt-2026-09-19-clt).</t>
        </is>
      </c>
      <c r="AF356" s="31" t="inlineStr">
        <is>
          <t>Research-only soccer score model; draw-aware, but not yet locked-holdout qualified.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Charlotte FC</t>
        </is>
      </c>
      <c r="AQ356" s="24" t="inlineStr">
        <is>
          <t>Charlotte FC</t>
        </is>
      </c>
      <c r="AR356" s="24" t="inlineStr">
        <is>
          <t>Charlotte FC</t>
        </is>
      </c>
      <c r="AS356" s="24" t="inlineStr">
        <is>
          <t>D.C. United</t>
        </is>
      </c>
      <c r="AT356" s="24" t="inlineStr">
        <is>
          <t>D.C. United</t>
        </is>
      </c>
      <c r="AU356" s="24" t="inlineStr">
        <is>
          <t>D.C. United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3d16277c2cfc0628d7ec79d04feee92735e5c503a3be195cb225c7c52d024308</t>
        </is>
      </c>
      <c r="BB356" s="24" t="inlineStr">
        <is>
          <t>poisson_dixon_coles</t>
        </is>
      </c>
      <c r="BC356" s="24" t="inlineStr">
        <is>
          <t>soccer-poisson-dc-v1</t>
        </is>
      </c>
      <c r="BD356" s="24" t="inlineStr">
        <is>
          <t>3d16277c2cfc0628d7ec79d04feee92735e5c503a3be195cb225c7c52d024308</t>
        </is>
      </c>
      <c r="BE356" s="24" t="inlineStr">
        <is>
          <t>soccer-poisson-dc-v1</t>
        </is>
      </c>
      <c r="BF356" s="24" t="inlineStr">
        <is>
          <t>1</t>
        </is>
      </c>
      <c r="BG356" s="24" t="inlineStr">
        <is>
          <t>3d16277c2cfc0628d7ec79d04feee92735e5c503a3be195cb225c7c52d024308</t>
        </is>
      </c>
      <c r="BH356" s="24" t="inlineStr">
        <is>
          <t>2026-09-19T17:04:19.142451Z</t>
        </is>
      </c>
      <c r="BI356" s="24" t="inlineStr">
        <is>
          <t>["same_event","same_team_same_day","same_league_same_day"]</t>
        </is>
      </c>
      <c r="BJ356" s="25" t="n"/>
      <c r="BK356" s="26" t="n">
        <v>138</v>
      </c>
      <c r="BL356" s="27" t="n">
        <v>2.38</v>
      </c>
      <c r="BM356" s="28" t="n">
        <v>0.420168</v>
      </c>
      <c r="BN356" s="28" t="n"/>
      <c r="BO356" s="28" t="n"/>
      <c r="BP356" s="25" t="n"/>
      <c r="BQ356" s="27" t="n">
        <v>1.694444</v>
      </c>
      <c r="BR356" s="28" t="n">
        <v>0.59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1.38</v>
      </c>
      <c r="BZ356" s="24" t="inlineStr">
        <is>
          <t>2026-09-20T04:31:31.297893Z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False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0.420168</t>
        </is>
      </c>
      <c r="DK356" s="24" t="n"/>
      <c r="DL356" s="24" t="n"/>
      <c r="DM356" s="24" t="n"/>
      <c r="DN356" s="24" t="n"/>
      <c r="DO356" s="24" t="n"/>
      <c r="DP356" s="24" t="n"/>
      <c r="DQ356" s="24" t="inlineStr">
        <is>
          <t>{"artifact_hash": "3d16277c2cfc0628d7ec79d04feee92735e5c503a3be195cb225c7c52d024308", "away_team": "Charlotte FC", "event_id": "761819", "event_start_utc": "2026-09-19T23:30Z", "features": {"away_goal_rate": 1.5477, "history_games": 9181, "home_goal_rate": 1.4482, "league_goals_per_team": 1.5536, "min_team_games": 83.0}, "historical_source_observation_times_verified": false, "home_team": "D.C. United", "inference_inputs": {"away_rate": 1.5477167003098697, "code_sha256": {"models/soccer.py": "3d16277c2cfc0628d7ec79d04feee92735e5c503a3be195cb225c7c52d024308"}, "home_rate": 1.4481779537711246, "sport": "SOCCER"}, "market_type": "moneyline", "model_version": "soccer-poisson-dc-v1", "observed_at_utc": "2026-09-19T22:46:22.989562+00:00", "probabilities": {"away": 0.389257, "draw": 0.265275, "home": 0.345468}, "replay_scope": "Exact full-precision serving state and rounding; upstream historical observation times are not certified.", "schema": "coded-moneyline-replay-v1", "snapshot_hash": "01f1a4283fa5ceaef520e1f8cbdf1d019e6713ad9d6196e7b5cc2d4b134bbf3e", "sport": "SOCCER"}</t>
        </is>
      </c>
    </row>
    <row r="357" ht="36" customHeight="1">
      <c r="A357" s="24" t="inlineStr">
        <is>
          <t>5413e18326e44dc6</t>
        </is>
      </c>
      <c r="B357" s="24" t="inlineStr">
        <is>
          <t>2026-09-19T22:46:24.294324Z</t>
        </is>
      </c>
      <c r="C357" s="24" t="inlineStr">
        <is>
          <t>2026-09-19T23:30Z</t>
        </is>
      </c>
      <c r="D357" s="24" t="inlineStr">
        <is>
          <t>761816</t>
        </is>
      </c>
      <c r="E357" s="24" t="inlineStr">
        <is>
          <t>SOCCER</t>
        </is>
      </c>
      <c r="F357" s="24" t="inlineStr">
        <is>
          <t>Orlando City SC</t>
        </is>
      </c>
      <c r="G357" s="24" t="inlineStr">
        <is>
          <t>New England Revolution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-122</v>
      </c>
      <c r="M357" s="27" t="n">
        <v>1.819672</v>
      </c>
      <c r="N357" s="28" t="n">
        <v>0.54955</v>
      </c>
      <c r="O357" s="28" t="n">
        <v>0.621466</v>
      </c>
      <c r="P357" s="28" t="n">
        <v>0.04</v>
      </c>
      <c r="Q357" s="28" t="n">
        <v>0.07191599999999999</v>
      </c>
      <c r="R357" s="26" t="n">
        <v>62</v>
      </c>
      <c r="S357" s="29" t="n">
        <v>1.25</v>
      </c>
      <c r="T357" s="24" t="inlineStr">
        <is>
          <t>soccer-poisson-dc-v1</t>
        </is>
      </c>
      <c r="U357" s="24" t="inlineStr">
        <is>
          <t>settled</t>
        </is>
      </c>
      <c r="V357" s="24" t="inlineStr">
        <is>
          <t>win</t>
        </is>
      </c>
      <c r="W357" s="26" t="n">
        <v>2</v>
      </c>
      <c r="X357" s="26" t="n">
        <v>4</v>
      </c>
      <c r="Y357" s="25" t="n"/>
      <c r="Z357" s="26" t="n">
        <v>-122</v>
      </c>
      <c r="AA357" s="28" t="n">
        <v>0.55</v>
      </c>
      <c r="AB357" s="28" t="n">
        <v>0.00045</v>
      </c>
      <c r="AC357" s="30" t="n">
        <v>1.0246</v>
      </c>
      <c r="AD357" s="24" t="inlineStr">
        <is>
          <t>2026-09-20T04:31:32.521414Z</t>
        </is>
      </c>
      <c r="AE357" s="31" t="inlineStr">
        <is>
          <t>Poisson-DC rates 2.54 (home) / 1.37 (away) from EWMA attack/defense strengths. Executable ask 0.5500 (atc-mls-ner-orl-2026-09-19-ner).</t>
        </is>
      </c>
      <c r="AF357" s="31" t="inlineStr">
        <is>
          <t>Research-only soccer score model; draw-aware, but not yet locked-holdout qualified.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Orlando City SC</t>
        </is>
      </c>
      <c r="AQ357" s="24" t="inlineStr">
        <is>
          <t>Orlando City SC</t>
        </is>
      </c>
      <c r="AR357" s="24" t="inlineStr">
        <is>
          <t>Orlando City SC</t>
        </is>
      </c>
      <c r="AS357" s="24" t="inlineStr">
        <is>
          <t>New England Revolution</t>
        </is>
      </c>
      <c r="AT357" s="24" t="inlineStr">
        <is>
          <t>New England Revolution</t>
        </is>
      </c>
      <c r="AU357" s="24" t="inlineStr">
        <is>
          <t>New England Revolution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3d16277c2cfc0628d7ec79d04feee92735e5c503a3be195cb225c7c52d024308</t>
        </is>
      </c>
      <c r="BB357" s="24" t="inlineStr">
        <is>
          <t>poisson_dixon_coles</t>
        </is>
      </c>
      <c r="BC357" s="24" t="inlineStr">
        <is>
          <t>soccer-poisson-dc-v1</t>
        </is>
      </c>
      <c r="BD357" s="24" t="inlineStr">
        <is>
          <t>3d16277c2cfc0628d7ec79d04feee92735e5c503a3be195cb225c7c52d024308</t>
        </is>
      </c>
      <c r="BE357" s="24" t="inlineStr">
        <is>
          <t>soccer-poisson-dc-v1</t>
        </is>
      </c>
      <c r="BF357" s="24" t="inlineStr">
        <is>
          <t>1</t>
        </is>
      </c>
      <c r="BG357" s="24" t="inlineStr">
        <is>
          <t>3d16277c2cfc0628d7ec79d04feee92735e5c503a3be195cb225c7c52d024308</t>
        </is>
      </c>
      <c r="BH357" s="24" t="inlineStr">
        <is>
          <t>2026-09-19T05:39:06.984474Z</t>
        </is>
      </c>
      <c r="BI357" s="24" t="inlineStr">
        <is>
          <t>["same_event","same_team_same_day","same_league_same_day"]</t>
        </is>
      </c>
      <c r="BJ357" s="25" t="n"/>
      <c r="BK357" s="26" t="n">
        <v>-122</v>
      </c>
      <c r="BL357" s="27" t="n">
        <v>1.819672</v>
      </c>
      <c r="BM357" s="28" t="n">
        <v>0.54955</v>
      </c>
      <c r="BN357" s="28" t="n"/>
      <c r="BO357" s="28" t="n"/>
      <c r="BP357" s="25" t="n"/>
      <c r="BQ357" s="27" t="n">
        <v>1.819672</v>
      </c>
      <c r="BR357" s="28" t="n">
        <v>0.55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0.819671</v>
      </c>
      <c r="BZ357" s="24" t="inlineStr">
        <is>
          <t>2026-09-20T04:31:32.521414Z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0.54955</t>
        </is>
      </c>
      <c r="DK357" s="24" t="n"/>
      <c r="DL357" s="24" t="n"/>
      <c r="DM357" s="24" t="n"/>
      <c r="DN357" s="24" t="n"/>
      <c r="DO357" s="24" t="n"/>
      <c r="DP357" s="24" t="n"/>
      <c r="DQ357" s="24" t="inlineStr">
        <is>
          <t>{"artifact_hash": "3d16277c2cfc0628d7ec79d04feee92735e5c503a3be195cb225c7c52d024308", "away_team": "Orlando City SC", "event_id": "761816", "event_start_utc": "2026-09-19T23:30Z", "features": {"away_goal_rate": 1.3664, "history_games": 9181, "home_goal_rate": 2.5367, "league_goals_per_team": 1.5536, "min_team_games": 82.0}, "historical_source_observation_times_verified": false, "home_team": "New England Revolution", "inference_inputs": {"away_rate": 1.3663637931686097, "code_sha256": {"models/soccer.py": "3d16277c2cfc0628d7ec79d04feee92735e5c503a3be195cb225c7c52d024308"}, "home_rate": 2.53674538488757, "sport": "SOCCER"}, "market_type": "moneyline", "model_version": "soccer-poisson-dc-v1", "observed_at_utc": "2026-09-19T22:46:22.989562+00:00", "probabilities": {"away": 0.18463, "draw": 0.193904, "home": 0.621466}, "replay_scope": "Exact full-precision serving state and rounding; upstream historical observation times are not certified.", "schema": "coded-moneyline-replay-v1", "snapshot_hash": "daf4092774e318f876379ab3662cd68fb83c146a089e645288d87ee4c8273080", "sport": "SOCCER"}</t>
        </is>
      </c>
    </row>
    <row r="358" ht="36" customHeight="1">
      <c r="A358" s="24" t="inlineStr">
        <is>
          <t>57a820769f9f4ea9</t>
        </is>
      </c>
      <c r="B358" s="24" t="inlineStr">
        <is>
          <t>2026-09-19T22:46:24.294324Z</t>
        </is>
      </c>
      <c r="C358" s="24" t="inlineStr">
        <is>
          <t>2026-09-20T00:30Z</t>
        </is>
      </c>
      <c r="D358" s="24" t="inlineStr">
        <is>
          <t>761822</t>
        </is>
      </c>
      <c r="E358" s="24" t="inlineStr">
        <is>
          <t>SOCCER</t>
        </is>
      </c>
      <c r="F358" s="24" t="inlineStr">
        <is>
          <t>Austin FC</t>
        </is>
      </c>
      <c r="G358" s="24" t="inlineStr">
        <is>
          <t>FC Dallas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-133</v>
      </c>
      <c r="M358" s="27" t="n">
        <v>1.75188</v>
      </c>
      <c r="N358" s="28" t="n">
        <v>0.570815</v>
      </c>
      <c r="O358" s="28" t="n">
        <v>0.712388</v>
      </c>
      <c r="P358" s="28" t="n">
        <v>0.04</v>
      </c>
      <c r="Q358" s="28" t="n">
        <v>0.141573</v>
      </c>
      <c r="R358" s="26" t="n">
        <v>97</v>
      </c>
      <c r="S358" s="29" t="n">
        <v>1.75</v>
      </c>
      <c r="T358" s="24" t="inlineStr">
        <is>
          <t>soccer-poisson-dc-v1</t>
        </is>
      </c>
      <c r="U358" s="24" t="inlineStr">
        <is>
          <t>settled</t>
        </is>
      </c>
      <c r="V358" s="24" t="inlineStr">
        <is>
          <t>loss</t>
        </is>
      </c>
      <c r="W358" s="26" t="n">
        <v>0</v>
      </c>
      <c r="X358" s="26" t="n">
        <v>0</v>
      </c>
      <c r="Y358" s="25" t="n"/>
      <c r="Z358" s="26" t="n">
        <v>-133</v>
      </c>
      <c r="AA358" s="28" t="n">
        <v>0.57</v>
      </c>
      <c r="AB358" s="28" t="n">
        <v>-0.000815</v>
      </c>
      <c r="AC358" s="30" t="n">
        <v>-1.75</v>
      </c>
      <c r="AD358" s="24" t="inlineStr">
        <is>
          <t>2026-09-20T04:31:33.744735Z</t>
        </is>
      </c>
      <c r="AE358" s="31" t="inlineStr">
        <is>
          <t>Poisson-DC rates 2.69 (home) / 1.05 (away) from EWMA attack/defense strengths. Executable ask 0.5700 (atc-mls-dal-aus-2026-09-19-dal).</t>
        </is>
      </c>
      <c r="AF358" s="31" t="inlineStr">
        <is>
          <t>Research-only soccer score model; draw-aware, but not yet locked-holdout qualified.</t>
        </is>
      </c>
      <c r="AG358" s="24" t="inlineStr">
        <is>
          <t>review_required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Austin FC</t>
        </is>
      </c>
      <c r="AQ358" s="24" t="inlineStr">
        <is>
          <t>Austin FC</t>
        </is>
      </c>
      <c r="AR358" s="24" t="inlineStr">
        <is>
          <t>Austin FC</t>
        </is>
      </c>
      <c r="AS358" s="24" t="inlineStr">
        <is>
          <t>FC Dallas</t>
        </is>
      </c>
      <c r="AT358" s="24" t="inlineStr">
        <is>
          <t>FC Dallas</t>
        </is>
      </c>
      <c r="AU358" s="24" t="inlineStr">
        <is>
          <t>FC Dallas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3d16277c2cfc0628d7ec79d04feee92735e5c503a3be195cb225c7c52d024308</t>
        </is>
      </c>
      <c r="BB358" s="24" t="inlineStr">
        <is>
          <t>poisson_dixon_coles</t>
        </is>
      </c>
      <c r="BC358" s="24" t="inlineStr">
        <is>
          <t>soccer-poisson-dc-v1</t>
        </is>
      </c>
      <c r="BD358" s="24" t="inlineStr">
        <is>
          <t>3d16277c2cfc0628d7ec79d04feee92735e5c503a3be195cb225c7c52d024308</t>
        </is>
      </c>
      <c r="BE358" s="24" t="inlineStr">
        <is>
          <t>soccer-poisson-dc-v1</t>
        </is>
      </c>
      <c r="BF358" s="24" t="inlineStr">
        <is>
          <t>1</t>
        </is>
      </c>
      <c r="BG358" s="24" t="inlineStr">
        <is>
          <t>3d16277c2cfc0628d7ec79d04feee92735e5c503a3be195cb225c7c52d024308</t>
        </is>
      </c>
      <c r="BH358" s="24" t="inlineStr">
        <is>
          <t>2026-09-19T05:39:15.968379Z</t>
        </is>
      </c>
      <c r="BI358" s="24" t="inlineStr">
        <is>
          <t>["same_event","same_team_same_day","same_league_same_day"]</t>
        </is>
      </c>
      <c r="BJ358" s="25" t="n"/>
      <c r="BK358" s="26" t="n">
        <v>-133</v>
      </c>
      <c r="BL358" s="27" t="n">
        <v>1.75188</v>
      </c>
      <c r="BM358" s="28" t="n">
        <v>0.570815</v>
      </c>
      <c r="BN358" s="28" t="n"/>
      <c r="BO358" s="28" t="n"/>
      <c r="BP358" s="25" t="n"/>
      <c r="BQ358" s="27" t="n">
        <v>1.75188</v>
      </c>
      <c r="BR358" s="28" t="n">
        <v>0.57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-1</v>
      </c>
      <c r="BZ358" s="24" t="inlineStr">
        <is>
          <t>2026-09-20T04:31:33.744735Z</t>
        </is>
      </c>
      <c r="CA358" s="31" t="inlineStr">
        <is>
          <t>fixed one-unit hypothetical scoring; no real exposure or execution</t>
        </is>
      </c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0.570815</t>
        </is>
      </c>
      <c r="DK358" s="24" t="n"/>
      <c r="DL358" s="24" t="n"/>
      <c r="DM358" s="24" t="n"/>
      <c r="DN358" s="24" t="n"/>
      <c r="DO358" s="24" t="n"/>
      <c r="DP358" s="24" t="n"/>
      <c r="DQ358" s="24" t="inlineStr">
        <is>
          <t>{"artifact_hash": "3d16277c2cfc0628d7ec79d04feee92735e5c503a3be195cb225c7c52d024308", "away_team": "Austin FC", "event_id": "761822", "event_start_utc": "2026-09-20T00:30Z", "features": {"away_goal_rate": 1.0533, "history_games": 9181, "home_goal_rate": 2.6853, "league_goals_per_team": 1.5536, "min_team_games": 85.0}, "historical_source_observation_times_verified": false, "home_team": "FC Dallas", "inference_inputs": {"away_rate": 1.0532678015203296, "code_sha256": {"models/soccer.py": "3d16277c2cfc0628d7ec79d04feee92735e5c503a3be195cb225c7c52d024308"}, "home_rate": 2.6852570771916895, "sport": "SOCCER"}, "market_type": "moneyline", "model_version": "soccer-poisson-dc-v1", "observed_at_utc": "2026-09-19T22:46:22.989562+00:00", "probabilities": {"away": 0.117573, "draw": 0.170039, "home": 0.712388}, "replay_scope": "Exact full-precision serving state and rounding; upstream historical observation times are not certified.", "schema": "coded-moneyline-replay-v1", "snapshot_hash": "3d3cc4f7fa4b4612c26398b95840cbeea0a35b427d9d9dbde56d5d990ff0a3d2", "sport": "SOCCER"}</t>
        </is>
      </c>
    </row>
    <row r="359" ht="36" customHeight="1">
      <c r="A359" s="24" t="inlineStr">
        <is>
          <t>9469bae57472469a</t>
        </is>
      </c>
      <c r="B359" s="24" t="inlineStr">
        <is>
          <t>2026-09-19T22:46:24.294324Z</t>
        </is>
      </c>
      <c r="C359" s="24" t="inlineStr">
        <is>
          <t>2026-09-20T01:30Z</t>
        </is>
      </c>
      <c r="D359" s="24" t="inlineStr">
        <is>
          <t>761826</t>
        </is>
      </c>
      <c r="E359" s="24" t="inlineStr">
        <is>
          <t>SOCCER</t>
        </is>
      </c>
      <c r="F359" s="24" t="inlineStr">
        <is>
          <t>Seattle Sounders FC</t>
        </is>
      </c>
      <c r="G359" s="24" t="inlineStr">
        <is>
          <t>Colorado Rapids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-108</v>
      </c>
      <c r="M359" s="27" t="n">
        <v>1.925926</v>
      </c>
      <c r="N359" s="28" t="n">
        <v>0.519231</v>
      </c>
      <c r="O359" s="28" t="n">
        <v>0.396706</v>
      </c>
      <c r="P359" s="28" t="n">
        <v>0.04</v>
      </c>
      <c r="Q359" s="28" t="n">
        <v>-0.122525</v>
      </c>
      <c r="R359" s="26" t="n">
        <v>0</v>
      </c>
      <c r="S359" s="29" t="n">
        <v>1</v>
      </c>
      <c r="T359" s="24" t="inlineStr">
        <is>
          <t>soccer-poisson-dc-v1</t>
        </is>
      </c>
      <c r="U359" s="24" t="inlineStr">
        <is>
          <t>settled</t>
        </is>
      </c>
      <c r="V359" s="24" t="inlineStr">
        <is>
          <t>loss</t>
        </is>
      </c>
      <c r="W359" s="26" t="n">
        <v>3</v>
      </c>
      <c r="X359" s="26" t="n">
        <v>3</v>
      </c>
      <c r="Y359" s="25" t="n"/>
      <c r="Z359" s="26" t="n">
        <v>-108</v>
      </c>
      <c r="AA359" s="28" t="n">
        <v>0.52</v>
      </c>
      <c r="AB359" s="28" t="n">
        <v>0.000769</v>
      </c>
      <c r="AC359" s="30" t="n">
        <v>-1</v>
      </c>
      <c r="AD359" s="24" t="inlineStr">
        <is>
          <t>2026-09-20T04:31:34.965732Z</t>
        </is>
      </c>
      <c r="AE359" s="31" t="inlineStr">
        <is>
          <t>Poisson-DC rates 1.52 (home) / 1.38 (away) from EWMA attack/defense strengths. Executable ask 0.5200 (atc-mls-col-sea-2026-09-19-col).</t>
        </is>
      </c>
      <c r="AF359" s="31" t="inlineStr">
        <is>
          <t>Research-only soccer score model; draw-aware, but not yet locked-holdout qualified.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Seattle Sounders FC</t>
        </is>
      </c>
      <c r="AQ359" s="24" t="inlineStr">
        <is>
          <t>Seattle Sounders FC</t>
        </is>
      </c>
      <c r="AR359" s="24" t="inlineStr">
        <is>
          <t>Seattle Sounders FC</t>
        </is>
      </c>
      <c r="AS359" s="24" t="inlineStr">
        <is>
          <t>Colorado Rapids</t>
        </is>
      </c>
      <c r="AT359" s="24" t="inlineStr">
        <is>
          <t>Colorado Rapids</t>
        </is>
      </c>
      <c r="AU359" s="24" t="inlineStr">
        <is>
          <t>Colorado Rapids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3d16277c2cfc0628d7ec79d04feee92735e5c503a3be195cb225c7c52d024308</t>
        </is>
      </c>
      <c r="BB359" s="24" t="inlineStr">
        <is>
          <t>poisson_dixon_coles</t>
        </is>
      </c>
      <c r="BC359" s="24" t="inlineStr">
        <is>
          <t>soccer-poisson-dc-v1</t>
        </is>
      </c>
      <c r="BD359" s="24" t="inlineStr">
        <is>
          <t>3d16277c2cfc0628d7ec79d04feee92735e5c503a3be195cb225c7c52d024308</t>
        </is>
      </c>
      <c r="BE359" s="24" t="inlineStr">
        <is>
          <t>soccer-poisson-dc-v1</t>
        </is>
      </c>
      <c r="BF359" s="24" t="inlineStr">
        <is>
          <t>1</t>
        </is>
      </c>
      <c r="BG359" s="24" t="inlineStr">
        <is>
          <t>3d16277c2cfc0628d7ec79d04feee92735e5c503a3be195cb225c7c52d024308</t>
        </is>
      </c>
      <c r="BH359" s="24" t="inlineStr">
        <is>
          <t>2026-09-19T05:39:39.133816Z</t>
        </is>
      </c>
      <c r="BI359" s="24" t="inlineStr">
        <is>
          <t>["same_event","same_team_same_day","same_league_same_day"]</t>
        </is>
      </c>
      <c r="BJ359" s="25" t="n"/>
      <c r="BK359" s="26" t="n">
        <v>-108</v>
      </c>
      <c r="BL359" s="27" t="n">
        <v>1.925926</v>
      </c>
      <c r="BM359" s="28" t="n">
        <v>0.519231</v>
      </c>
      <c r="BN359" s="28" t="n"/>
      <c r="BO359" s="28" t="n"/>
      <c r="BP359" s="25" t="n"/>
      <c r="BQ359" s="27" t="n">
        <v>1.925926</v>
      </c>
      <c r="BR359" s="28" t="n">
        <v>0.52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2026-09-20T04:31:34.965732Z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0.519231</t>
        </is>
      </c>
      <c r="DK359" s="24" t="n"/>
      <c r="DL359" s="24" t="n"/>
      <c r="DM359" s="24" t="n"/>
      <c r="DN359" s="24" t="n"/>
      <c r="DO359" s="24" t="n"/>
      <c r="DP359" s="24" t="n"/>
      <c r="DQ359" s="24" t="inlineStr">
        <is>
          <t>{"artifact_hash": "3d16277c2cfc0628d7ec79d04feee92735e5c503a3be195cb225c7c52d024308", "away_team": "Seattle Sounders FC", "event_id": "761826", "event_start_utc": "2026-09-20T01:30Z", "features": {"away_goal_rate": 1.3781, "history_games": 9181, "home_goal_rate": 1.5207, "league_goals_per_team": 1.5536, "min_team_games": 85.0}, "historical_source_observation_times_verified": false, "home_team": "Colorado Rapids", "inference_inputs": {"away_rate": 1.3781431649981197, "code_sha256": {"models/soccer.py": "3d16277c2cfc0628d7ec79d04feee92735e5c503a3be195cb225c7c52d024308"}, "home_rate": 1.5207041931673015, "sport": "SOCCER"}, "market_type": "moneyline", "model_version": "soccer-poisson-dc-v1", "observed_at_utc": "2026-09-19T22:46:22.989562+00:00", "probabilities": {"away": 0.333088, "draw": 0.270206, "home": 0.396706}, "replay_scope": "Exact full-precision serving state and rounding; upstream historical observation times are not certified.", "schema": "coded-moneyline-replay-v1", "snapshot_hash": "fcf1726f90923dc834daff2717ca6cb7726a4eb5909d278debc7e3159fb90fdf", "sport": "SOCCER"}</t>
        </is>
      </c>
    </row>
    <row r="360" ht="36" customHeight="1">
      <c r="A360" s="24" t="inlineStr">
        <is>
          <t>55a69fc4f35d429b</t>
        </is>
      </c>
      <c r="B360" s="24" t="inlineStr">
        <is>
          <t>2026-09-19T22:46:24.294324Z</t>
        </is>
      </c>
      <c r="C360" s="24" t="inlineStr">
        <is>
          <t>2026-09-20T02:30Z</t>
        </is>
      </c>
      <c r="D360" s="24" t="inlineStr">
        <is>
          <t>761828</t>
        </is>
      </c>
      <c r="E360" s="24" t="inlineStr">
        <is>
          <t>SOCCER</t>
        </is>
      </c>
      <c r="F360" s="24" t="inlineStr">
        <is>
          <t>Atlanta United FC</t>
        </is>
      </c>
      <c r="G360" s="24" t="inlineStr">
        <is>
          <t>Portland Timbers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100</v>
      </c>
      <c r="M360" s="27" t="n">
        <v>2</v>
      </c>
      <c r="N360" s="28" t="n">
        <v>0.5</v>
      </c>
      <c r="O360" s="28" t="n">
        <v>0.592638</v>
      </c>
      <c r="P360" s="28" t="n">
        <v>0.04</v>
      </c>
      <c r="Q360" s="28" t="n">
        <v>0.092638</v>
      </c>
      <c r="R360" s="26" t="n">
        <v>72</v>
      </c>
      <c r="S360" s="29" t="n">
        <v>1.25</v>
      </c>
      <c r="T360" s="24" t="inlineStr">
        <is>
          <t>soccer-poisson-dc-v1</t>
        </is>
      </c>
      <c r="U360" s="24" t="inlineStr">
        <is>
          <t>settled</t>
        </is>
      </c>
      <c r="V360" s="24" t="inlineStr">
        <is>
          <t>loss</t>
        </is>
      </c>
      <c r="W360" s="26" t="n">
        <v>1</v>
      </c>
      <c r="X360" s="26" t="n">
        <v>0</v>
      </c>
      <c r="Y360" s="25" t="n"/>
      <c r="Z360" s="26" t="n">
        <v>100</v>
      </c>
      <c r="AA360" s="28" t="n">
        <v>0.5</v>
      </c>
      <c r="AB360" s="28" t="n">
        <v>0</v>
      </c>
      <c r="AC360" s="30" t="n">
        <v>-1.25</v>
      </c>
      <c r="AD360" s="24" t="inlineStr">
        <is>
          <t>2026-09-20T10:00:19.390497Z</t>
        </is>
      </c>
      <c r="AE360" s="31" t="inlineStr">
        <is>
          <t>Poisson-DC rates 2.00 (home) / 1.01 (away) from EWMA attack/defense strengths. Executable ask 0.5000 (atc-mls-por-atl-2026-09-19-por).</t>
        </is>
      </c>
      <c r="AF360" s="31" t="inlineStr">
        <is>
          <t>Research-only soccer score model; draw-aware, but not yet locked-holdout qualified.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Atlanta United FC</t>
        </is>
      </c>
      <c r="AQ360" s="24" t="inlineStr">
        <is>
          <t>Atlanta United FC</t>
        </is>
      </c>
      <c r="AR360" s="24" t="inlineStr">
        <is>
          <t>Atlanta United FC</t>
        </is>
      </c>
      <c r="AS360" s="24" t="inlineStr">
        <is>
          <t>Portland Timbers</t>
        </is>
      </c>
      <c r="AT360" s="24" t="inlineStr">
        <is>
          <t>Portland Timbers</t>
        </is>
      </c>
      <c r="AU360" s="24" t="inlineStr">
        <is>
          <t>Portland Timbers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3d16277c2cfc0628d7ec79d04feee92735e5c503a3be195cb225c7c52d024308</t>
        </is>
      </c>
      <c r="BB360" s="24" t="inlineStr">
        <is>
          <t>poisson_dixon_coles</t>
        </is>
      </c>
      <c r="BC360" s="24" t="inlineStr">
        <is>
          <t>soccer-poisson-dc-v1</t>
        </is>
      </c>
      <c r="BD360" s="24" t="inlineStr">
        <is>
          <t>3d16277c2cfc0628d7ec79d04feee92735e5c503a3be195cb225c7c52d024308</t>
        </is>
      </c>
      <c r="BE360" s="24" t="inlineStr">
        <is>
          <t>soccer-poisson-dc-v1</t>
        </is>
      </c>
      <c r="BF360" s="24" t="inlineStr">
        <is>
          <t>1</t>
        </is>
      </c>
      <c r="BG360" s="24" t="inlineStr">
        <is>
          <t>3d16277c2cfc0628d7ec79d04feee92735e5c503a3be195cb225c7c52d024308</t>
        </is>
      </c>
      <c r="BH360" s="24" t="inlineStr">
        <is>
          <t>2026-09-19T11:08:36.091308Z</t>
        </is>
      </c>
      <c r="BI360" s="24" t="inlineStr">
        <is>
          <t>["same_event","same_team_same_day","same_league_same_day"]</t>
        </is>
      </c>
      <c r="BJ360" s="25" t="n"/>
      <c r="BK360" s="26" t="n">
        <v>100</v>
      </c>
      <c r="BL360" s="27" t="n">
        <v>2</v>
      </c>
      <c r="BM360" s="28" t="n">
        <v>0.5</v>
      </c>
      <c r="BN360" s="28" t="n"/>
      <c r="BO360" s="28" t="n"/>
      <c r="BP360" s="25" t="n"/>
      <c r="BQ360" s="27" t="n">
        <v>2</v>
      </c>
      <c r="BR360" s="28" t="n">
        <v>0.5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-1</v>
      </c>
      <c r="BZ360" s="24" t="inlineStr">
        <is>
          <t>2026-09-20T10:00:19.390497Z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</t>
        </is>
      </c>
      <c r="DK360" s="24" t="n"/>
      <c r="DL360" s="24" t="n"/>
      <c r="DM360" s="24" t="n"/>
      <c r="DN360" s="24" t="n"/>
      <c r="DO360" s="24" t="n"/>
      <c r="DP360" s="24" t="n"/>
      <c r="DQ360" s="24" t="inlineStr">
        <is>
          <t>{"artifact_hash": "3d16277c2cfc0628d7ec79d04feee92735e5c503a3be195cb225c7c52d024308", "away_team": "Atlanta United FC", "event_id": "761828", "event_start_utc": "2026-09-20T02:30Z", "features": {"away_goal_rate": 1.0123, "history_games": 9181, "home_goal_rate": 1.9991, "league_goals_per_team": 1.5536, "min_team_games": 88.0}, "historical_source_observation_times_verified": false, "home_team": "Portland Timbers", "inference_inputs": {"away_rate": 1.0122643915476863, "code_sha256": {"models/soccer.py": "3d16277c2cfc0628d7ec79d04feee92735e5c503a3be195cb225c7c52d024308"}, "home_rate": 1.9991479897867737, "sport": "SOCCER"}, "market_type": "moneyline", "model_version": "soccer-poisson-dc-v1", "observed_at_utc": "2026-09-19T22:46:22.989562+00:00", "probabilities": {"away": 0.175326, "draw": 0.232036, "home": 0.592638}, "replay_scope": "Exact full-precision serving state and rounding; upstream historical observation times are not certified.", "schema": "coded-moneyline-replay-v1", "snapshot_hash": "1b8a392169de4a300efad12bb0cc564855952a8a021436256311fb2238b1d496", "sport": "SOCCER"}</t>
        </is>
      </c>
    </row>
    <row r="361" ht="36" customHeight="1">
      <c r="A361" s="24" t="inlineStr">
        <is>
          <t>4dc39dc3f9314f45</t>
        </is>
      </c>
      <c r="B361" s="24" t="inlineStr">
        <is>
          <t>2026-09-19T22:46:24.294324Z</t>
        </is>
      </c>
      <c r="C361" s="24" t="inlineStr">
        <is>
          <t>2026-09-19T23:30Z</t>
        </is>
      </c>
      <c r="D361" s="24" t="inlineStr">
        <is>
          <t>401841247</t>
        </is>
      </c>
      <c r="E361" s="24" t="inlineStr">
        <is>
          <t>SOCCER</t>
        </is>
      </c>
      <c r="F361" s="24" t="inlineStr">
        <is>
          <t>Coritiba</t>
        </is>
      </c>
      <c r="G361" s="24" t="inlineStr">
        <is>
          <t>Vasco da Gama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-245</v>
      </c>
      <c r="M361" s="27" t="n">
        <v>1.408163</v>
      </c>
      <c r="N361" s="28" t="n">
        <v>0.710145</v>
      </c>
      <c r="O361" s="28" t="n">
        <v>0.456135</v>
      </c>
      <c r="P361" s="28" t="n">
        <v>0.2</v>
      </c>
      <c r="Q361" s="28" t="n">
        <v>-0.25401</v>
      </c>
      <c r="R361" s="26" t="n">
        <v>0</v>
      </c>
      <c r="S361" s="29" t="n">
        <v>1</v>
      </c>
      <c r="T361" s="24" t="inlineStr">
        <is>
          <t>soccer-poisson-dc-v1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5</v>
      </c>
      <c r="Y361" s="25" t="n"/>
      <c r="Z361" s="26" t="n">
        <v>-245</v>
      </c>
      <c r="AA361" s="28" t="n">
        <v>0.71</v>
      </c>
      <c r="AB361" s="28" t="n">
        <v>-0.000145</v>
      </c>
      <c r="AC361" s="30" t="n">
        <v>0.4082</v>
      </c>
      <c r="AD361" s="24" t="inlineStr">
        <is>
          <t>2026-09-20T04:31:36.191561Z</t>
        </is>
      </c>
      <c r="AE361" s="31" t="inlineStr">
        <is>
          <t>Poisson-DC rates 1.64 (home) / 1.24 (away) from EWMA attack/defense strengths. Executable ask 0.7100 (atc-bra-vas-cor-2026-09-19-vas).</t>
        </is>
      </c>
      <c r="AF361" s="31" t="inlineStr">
        <is>
          <t>Research-only soccer score model; draw-aware, but not yet locked-holdout qualified.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Coritiba</t>
        </is>
      </c>
      <c r="AQ361" s="24" t="inlineStr">
        <is>
          <t>Coritiba</t>
        </is>
      </c>
      <c r="AR361" s="24" t="inlineStr">
        <is>
          <t>Coritiba</t>
        </is>
      </c>
      <c r="AS361" s="24" t="inlineStr">
        <is>
          <t>Vasco da Gama</t>
        </is>
      </c>
      <c r="AT361" s="24" t="inlineStr">
        <is>
          <t>Vasco da Gama</t>
        </is>
      </c>
      <c r="AU361" s="24" t="inlineStr">
        <is>
          <t>Vasco da Gama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3d16277c2cfc0628d7ec79d04feee92735e5c503a3be195cb225c7c52d024308</t>
        </is>
      </c>
      <c r="BB361" s="24" t="inlineStr">
        <is>
          <t>poisson_dixon_coles</t>
        </is>
      </c>
      <c r="BC361" s="24" t="inlineStr">
        <is>
          <t>soccer-poisson-dc-v1</t>
        </is>
      </c>
      <c r="BD361" s="24" t="inlineStr">
        <is>
          <t>3d16277c2cfc0628d7ec79d04feee92735e5c503a3be195cb225c7c52d024308</t>
        </is>
      </c>
      <c r="BE361" s="24" t="inlineStr">
        <is>
          <t>soccer-poisson-dc-v1</t>
        </is>
      </c>
      <c r="BF361" s="24" t="inlineStr">
        <is>
          <t>1</t>
        </is>
      </c>
      <c r="BG361" s="24" t="inlineStr">
        <is>
          <t>3d16277c2cfc0628d7ec79d04feee92735e5c503a3be195cb225c7c52d024308</t>
        </is>
      </c>
      <c r="BH361" s="24" t="inlineStr">
        <is>
          <t>2026-09-19T22:44:32.337571Z</t>
        </is>
      </c>
      <c r="BI361" s="24" t="inlineStr">
        <is>
          <t>["same_event","same_team_same_day","same_league_same_day"]</t>
        </is>
      </c>
      <c r="BJ361" s="25" t="n"/>
      <c r="BK361" s="26" t="n">
        <v>-245</v>
      </c>
      <c r="BL361" s="27" t="n">
        <v>1.408163</v>
      </c>
      <c r="BM361" s="28" t="n">
        <v>0.710145</v>
      </c>
      <c r="BN361" s="28" t="n"/>
      <c r="BO361" s="28" t="n"/>
      <c r="BP361" s="25" t="n"/>
      <c r="BQ361" s="27" t="n">
        <v>1.408163</v>
      </c>
      <c r="BR361" s="28" t="n">
        <v>0.71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0.408163</v>
      </c>
      <c r="BZ361" s="24" t="inlineStr">
        <is>
          <t>2026-09-20T04:31:36.191561Z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0.710145</t>
        </is>
      </c>
      <c r="DK361" s="24" t="n"/>
      <c r="DL361" s="24" t="n"/>
      <c r="DM361" s="24" t="n"/>
      <c r="DN361" s="24" t="n"/>
      <c r="DO361" s="24" t="n"/>
      <c r="DP361" s="24" t="n"/>
      <c r="DQ361" s="24" t="inlineStr">
        <is>
          <t>{"artifact_hash": "3d16277c2cfc0628d7ec79d04feee92735e5c503a3be195cb225c7c52d024308", "away_team": "Coritiba", "event_id": "401841247", "event_start_utc": "2026-09-19T23:30Z", "features": {"away_goal_rate": 1.2418, "history_games": 9181, "home_goal_rate": 1.6423, "league_goals_per_team": 1.4281, "min_team_games": 0.0}, "historical_source_observation_times_verified": false, "home_team": "Vasco da Gama",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"2026-09-19T22:46:22.989562+00:00", "probabilities": {"away": 0.278015, "draw": 0.265851, "home": 0.456135}, "replay_scope": "Exact full-precision serving state and rounding; upstream historical observation times are not certified.", "schema": "coded-moneyline-replay-v1", "snapshot_hash": "0899953642575bdb32256b15946f7907834f10bcccb3696fe3e2c40b1f317716", "sport": "SOCCER"}</t>
        </is>
      </c>
    </row>
    <row r="362" ht="36" customHeight="1">
      <c r="A362" s="24" t="inlineStr">
        <is>
          <t>7c8b48049cbc4caa</t>
        </is>
      </c>
      <c r="B362" s="24" t="inlineStr">
        <is>
          <t>2026-09-20T10:29:39.194933Z</t>
        </is>
      </c>
      <c r="C362" s="24" t="inlineStr">
        <is>
          <t>2026-09-20T13:00Z</t>
        </is>
      </c>
      <c r="D362" s="24" t="inlineStr">
        <is>
          <t>401879276</t>
        </is>
      </c>
      <c r="E362" s="24" t="inlineStr">
        <is>
          <t>SOCCER</t>
        </is>
      </c>
      <c r="F362" s="24" t="inlineStr">
        <is>
          <t>Liverpool</t>
        </is>
      </c>
      <c r="G362" s="24" t="inlineStr">
        <is>
          <t>AFC Bournemouth</t>
        </is>
      </c>
      <c r="H362" s="24" t="inlineStr">
        <is>
          <t>total</t>
        </is>
      </c>
      <c r="I362" s="24" t="inlineStr">
        <is>
          <t>over</t>
        </is>
      </c>
      <c r="J362" s="25" t="n">
        <v>2.5</v>
      </c>
      <c r="K362" s="24" t="inlineStr">
        <is>
          <t>polymarket_us</t>
        </is>
      </c>
      <c r="L362" s="26" t="n">
        <v>-186</v>
      </c>
      <c r="M362" s="27" t="n">
        <v>1.537634</v>
      </c>
      <c r="N362" s="28" t="n">
        <v>0.65035</v>
      </c>
      <c r="O362" s="28" t="n">
        <v>0.54048</v>
      </c>
      <c r="P362" s="28" t="n">
        <v>0.04</v>
      </c>
      <c r="Q362" s="28" t="n">
        <v>-0.10987</v>
      </c>
      <c r="R362" s="26" t="n">
        <v>0</v>
      </c>
      <c r="S362" s="29" t="n">
        <v>1</v>
      </c>
      <c r="T362" s="24" t="inlineStr">
        <is>
          <t>soccer-poisson-dc-v1</t>
        </is>
      </c>
      <c r="U362" s="24" t="inlineStr">
        <is>
          <t>settled</t>
        </is>
      </c>
      <c r="V362" s="24" t="inlineStr">
        <is>
          <t>loss</t>
        </is>
      </c>
      <c r="W362" s="26" t="n">
        <v>1</v>
      </c>
      <c r="X362" s="26" t="n">
        <v>0</v>
      </c>
      <c r="Y362" s="25" t="n"/>
      <c r="Z362" s="26" t="n">
        <v>-186</v>
      </c>
      <c r="AA362" s="28" t="n">
        <v>0.65</v>
      </c>
      <c r="AB362" s="28" t="n">
        <v>-0.00035</v>
      </c>
      <c r="AC362" s="30" t="n">
        <v>-1</v>
      </c>
      <c r="AD362" s="24" t="inlineStr">
        <is>
          <t>2026-09-20T16:00:12.745662Z</t>
        </is>
      </c>
      <c r="AE362" s="31" t="inlineStr">
        <is>
          <t>Poisson-DC rates 1.67 (home) / 1.17 (away) from EWMA attack/defense strengths. Executable ask 0.6500 (tsc-epl-bor-liv-2026-09-20-2pt5).</t>
        </is>
      </c>
      <c r="AF362" s="31" t="inlineStr">
        <is>
          <t>Research-only soccer score model; draw-aware, but not yet locked-holdout qualified.</t>
        </is>
      </c>
      <c r="AG362" s="24" t="inlineStr">
        <is>
          <t>review_required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Liverpool</t>
        </is>
      </c>
      <c r="AQ362" s="24" t="inlineStr">
        <is>
          <t>Liverpool</t>
        </is>
      </c>
      <c r="AR362" s="24" t="inlineStr">
        <is>
          <t>Liverpool</t>
        </is>
      </c>
      <c r="AS362" s="24" t="inlineStr">
        <is>
          <t>AFC Bournemouth</t>
        </is>
      </c>
      <c r="AT362" s="24" t="inlineStr">
        <is>
          <t>AFC Bournemouth</t>
        </is>
      </c>
      <c r="AU362" s="24" t="inlineStr">
        <is>
          <t>AFC Bournemouth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3d16277c2cfc0628d7ec79d04feee92735e5c503a3be195cb225c7c52d024308</t>
        </is>
      </c>
      <c r="BB362" s="24" t="inlineStr">
        <is>
          <t>poisson_dixon_coles</t>
        </is>
      </c>
      <c r="BC362" s="24" t="inlineStr">
        <is>
          <t>soccer-poisson-dc-v1</t>
        </is>
      </c>
      <c r="BD362" s="24" t="inlineStr">
        <is>
          <t>3d16277c2cfc0628d7ec79d04feee92735e5c503a3be195cb225c7c52d024308</t>
        </is>
      </c>
      <c r="BE362" s="24" t="inlineStr">
        <is>
          <t>soccer-poisson-dc-v1</t>
        </is>
      </c>
      <c r="BF362" s="24" t="inlineStr">
        <is>
          <t>1</t>
        </is>
      </c>
      <c r="BG362" s="24" t="inlineStr">
        <is>
          <t>3d16277c2cfc0628d7ec79d04feee92735e5c503a3be195cb225c7c52d024308</t>
        </is>
      </c>
      <c r="BH362" s="24" t="inlineStr">
        <is>
          <t>2026-09-20T10:23:15.217228Z</t>
        </is>
      </c>
      <c r="BI362" s="24" t="inlineStr">
        <is>
          <t>["same_event","same_team_same_day","same_league_same_day"]</t>
        </is>
      </c>
      <c r="BJ362" s="25" t="n">
        <v>2.5</v>
      </c>
      <c r="BK362" s="26" t="n">
        <v>-186</v>
      </c>
      <c r="BL362" s="27" t="n">
        <v>1.537634</v>
      </c>
      <c r="BM362" s="28" t="n">
        <v>0.65035</v>
      </c>
      <c r="BN362" s="28" t="n"/>
      <c r="BO362" s="28" t="n"/>
      <c r="BP362" s="25" t="n"/>
      <c r="BQ362" s="27" t="n">
        <v>1.537634</v>
      </c>
      <c r="BR362" s="28" t="n">
        <v>0.65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-1</v>
      </c>
      <c r="BZ362" s="24" t="inlineStr">
        <is>
          <t>2026-09-20T16:00:12.745662Z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0.65035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a93ce484bbb24f2f</t>
        </is>
      </c>
      <c r="B363" s="24" t="inlineStr">
        <is>
          <t>2026-09-20T10:29:39.194933Z</t>
        </is>
      </c>
      <c r="C363" s="24" t="inlineStr">
        <is>
          <t>2026-09-20T13:00Z</t>
        </is>
      </c>
      <c r="D363" s="24" t="inlineStr">
        <is>
          <t>401879273</t>
        </is>
      </c>
      <c r="E363" s="24" t="inlineStr">
        <is>
          <t>SOCCER</t>
        </is>
      </c>
      <c r="F363" s="24" t="inlineStr">
        <is>
          <t>Crystal Palace</t>
        </is>
      </c>
      <c r="G363" s="24" t="inlineStr">
        <is>
          <t>Leeds United</t>
        </is>
      </c>
      <c r="H363" s="24" t="inlineStr">
        <is>
          <t>total</t>
        </is>
      </c>
      <c r="I363" s="24" t="inlineStr">
        <is>
          <t>under</t>
        </is>
      </c>
      <c r="J363" s="25" t="n">
        <v>2.5</v>
      </c>
      <c r="K363" s="24" t="inlineStr">
        <is>
          <t>polymarket_us</t>
        </is>
      </c>
      <c r="L363" s="26" t="n">
        <v>133</v>
      </c>
      <c r="M363" s="27" t="n">
        <v>2.33</v>
      </c>
      <c r="N363" s="28" t="n">
        <v>0.429185</v>
      </c>
      <c r="O363" s="28" t="n">
        <v>0.5466839999999999</v>
      </c>
      <c r="P363" s="28" t="n">
        <v>0.04</v>
      </c>
      <c r="Q363" s="28" t="n">
        <v>0.117499</v>
      </c>
      <c r="R363" s="26" t="n">
        <v>85</v>
      </c>
      <c r="S363" s="29" t="n">
        <v>1.5</v>
      </c>
      <c r="T363" s="24" t="inlineStr">
        <is>
          <t>soccer-poisson-dc-v1</t>
        </is>
      </c>
      <c r="U363" s="24" t="inlineStr">
        <is>
          <t>settled</t>
        </is>
      </c>
      <c r="V363" s="24" t="inlineStr">
        <is>
          <t>win</t>
        </is>
      </c>
      <c r="W363" s="26" t="n">
        <v>0</v>
      </c>
      <c r="X363" s="26" t="n">
        <v>0</v>
      </c>
      <c r="Y363" s="25" t="n"/>
      <c r="Z363" s="26" t="n">
        <v>133</v>
      </c>
      <c r="AA363" s="28" t="n">
        <v>0.43</v>
      </c>
      <c r="AB363" s="28" t="n">
        <v>0.000815</v>
      </c>
      <c r="AC363" s="30" t="n">
        <v>1.995</v>
      </c>
      <c r="AD363" s="24" t="inlineStr">
        <is>
          <t>2026-09-20T16:00:14.240607Z</t>
        </is>
      </c>
      <c r="AE363" s="31" t="inlineStr">
        <is>
          <t>Poisson-DC rates 1.63 (home) / 0.86 (away) from EWMA attack/defense strengths. Executable ask 0.4300 (tsc-epl-lee-cry-2026-09-20-2pt5).</t>
        </is>
      </c>
      <c r="AF363" s="31" t="inlineStr">
        <is>
          <t>Research-only soccer score model; draw-aware, but not yet locked-holdout qualified.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Crystal Palace</t>
        </is>
      </c>
      <c r="AQ363" s="24" t="inlineStr">
        <is>
          <t>Crystal Palace</t>
        </is>
      </c>
      <c r="AR363" s="24" t="inlineStr">
        <is>
          <t>Crystal Palace</t>
        </is>
      </c>
      <c r="AS363" s="24" t="inlineStr">
        <is>
          <t>Leeds United</t>
        </is>
      </c>
      <c r="AT363" s="24" t="inlineStr">
        <is>
          <t>Leeds United</t>
        </is>
      </c>
      <c r="AU363" s="24" t="inlineStr">
        <is>
          <t>Leeds United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3d16277c2cfc0628d7ec79d04feee92735e5c503a3be195cb225c7c52d024308</t>
        </is>
      </c>
      <c r="BB363" s="24" t="inlineStr">
        <is>
          <t>poisson_dixon_coles</t>
        </is>
      </c>
      <c r="BC363" s="24" t="inlineStr">
        <is>
          <t>soccer-poisson-dc-v1</t>
        </is>
      </c>
      <c r="BD363" s="24" t="inlineStr">
        <is>
          <t>3d16277c2cfc0628d7ec79d04feee92735e5c503a3be195cb225c7c52d024308</t>
        </is>
      </c>
      <c r="BE363" s="24" t="inlineStr">
        <is>
          <t>soccer-poisson-dc-v1</t>
        </is>
      </c>
      <c r="BF363" s="24" t="inlineStr">
        <is>
          <t>1</t>
        </is>
      </c>
      <c r="BG363" s="24" t="inlineStr">
        <is>
          <t>3d16277c2cfc0628d7ec79d04feee92735e5c503a3be195cb225c7c52d024308</t>
        </is>
      </c>
      <c r="BH363" s="24" t="inlineStr">
        <is>
          <t>2026-09-20T04:55:38.999499Z</t>
        </is>
      </c>
      <c r="BI363" s="24" t="inlineStr">
        <is>
          <t>["same_event","same_team_same_day","same_league_same_day"]</t>
        </is>
      </c>
      <c r="BJ363" s="25" t="n">
        <v>2.5</v>
      </c>
      <c r="BK363" s="26" t="n">
        <v>133</v>
      </c>
      <c r="BL363" s="27" t="n">
        <v>2.33</v>
      </c>
      <c r="BM363" s="28" t="n">
        <v>0.429185</v>
      </c>
      <c r="BN363" s="28" t="n"/>
      <c r="BO363" s="28" t="n"/>
      <c r="BP363" s="25" t="n"/>
      <c r="BQ363" s="27" t="n">
        <v>2.33</v>
      </c>
      <c r="BR363" s="28" t="n">
        <v>0.43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1.329998</v>
      </c>
      <c r="BZ363" s="24" t="inlineStr">
        <is>
          <t>2026-09-20T16:00:14.240607Z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0.429185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b92b3ba0d28744b4</t>
        </is>
      </c>
      <c r="B364" s="24" t="inlineStr">
        <is>
          <t>2026-09-20T10:29:39.194933Z</t>
        </is>
      </c>
      <c r="C364" s="24" t="inlineStr">
        <is>
          <t>2026-09-20T13:30Z</t>
        </is>
      </c>
      <c r="D364" s="24" t="inlineStr">
        <is>
          <t>401884788</t>
        </is>
      </c>
      <c r="E364" s="24" t="inlineStr">
        <is>
          <t>SOCCER</t>
        </is>
      </c>
      <c r="F364" s="24" t="inlineStr">
        <is>
          <t>RB Leipzig</t>
        </is>
      </c>
      <c r="G364" s="24" t="inlineStr">
        <is>
          <t>Bayer Leverkusen</t>
        </is>
      </c>
      <c r="H364" s="24" t="inlineStr">
        <is>
          <t>total</t>
        </is>
      </c>
      <c r="I364" s="24" t="inlineStr">
        <is>
          <t>over</t>
        </is>
      </c>
      <c r="J364" s="25" t="n">
        <v>2.5</v>
      </c>
      <c r="K364" s="24" t="inlineStr">
        <is>
          <t>polymarket_us</t>
        </is>
      </c>
      <c r="L364" s="26" t="n">
        <v>-270</v>
      </c>
      <c r="M364" s="27" t="n">
        <v>1.37037</v>
      </c>
      <c r="N364" s="28" t="n">
        <v>0.72973</v>
      </c>
      <c r="O364" s="28" t="n">
        <v>0.701624</v>
      </c>
      <c r="P364" s="28" t="n">
        <v>0.04</v>
      </c>
      <c r="Q364" s="28" t="n">
        <v>-0.028106</v>
      </c>
      <c r="R364" s="26" t="n">
        <v>12</v>
      </c>
      <c r="S364" s="29" t="n">
        <v>1</v>
      </c>
      <c r="T364" s="24" t="inlineStr">
        <is>
          <t>soccer-poisson-dc-v1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2</v>
      </c>
      <c r="Y364" s="25" t="n"/>
      <c r="Z364" s="26" t="n">
        <v>-270</v>
      </c>
      <c r="AA364" s="28" t="n">
        <v>0.73</v>
      </c>
      <c r="AB364" s="28" t="n">
        <v>0.00027</v>
      </c>
      <c r="AC364" s="30" t="n">
        <v>-1</v>
      </c>
      <c r="AD364" s="24" t="inlineStr">
        <is>
          <t>2026-09-20T16:00:17.358667Z</t>
        </is>
      </c>
      <c r="AE364" s="31" t="inlineStr">
        <is>
          <t>Poisson-DC rates 2.15 (home) / 1.47 (away) from EWMA attack/defense strengths. Executable ask 0.7300 (tsc-bun-lev-rbl-2026-09-20-2pt5).</t>
        </is>
      </c>
      <c r="AF364" s="31" t="inlineStr">
        <is>
          <t>Research-only soccer score model; draw-aware, but not yet locked-holdout qualified.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RB Leipzig</t>
        </is>
      </c>
      <c r="AQ364" s="24" t="inlineStr">
        <is>
          <t>RB Leipzig</t>
        </is>
      </c>
      <c r="AR364" s="24" t="inlineStr">
        <is>
          <t>RB Leipzig</t>
        </is>
      </c>
      <c r="AS364" s="24" t="inlineStr">
        <is>
          <t>Bayer Leverkusen</t>
        </is>
      </c>
      <c r="AT364" s="24" t="inlineStr">
        <is>
          <t>Bayer Leverkusen</t>
        </is>
      </c>
      <c r="AU364" s="24" t="inlineStr">
        <is>
          <t>Bayer Leverkusen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3d16277c2cfc0628d7ec79d04feee92735e5c503a3be195cb225c7c52d024308</t>
        </is>
      </c>
      <c r="BB364" s="24" t="inlineStr">
        <is>
          <t>poisson_dixon_coles</t>
        </is>
      </c>
      <c r="BC364" s="24" t="inlineStr">
        <is>
          <t>soccer-poisson-dc-v1</t>
        </is>
      </c>
      <c r="BD364" s="24" t="inlineStr">
        <is>
          <t>3d16277c2cfc0628d7ec79d04feee92735e5c503a3be195cb225c7c52d024308</t>
        </is>
      </c>
      <c r="BE364" s="24" t="inlineStr">
        <is>
          <t>soccer-poisson-dc-v1</t>
        </is>
      </c>
      <c r="BF364" s="24" t="inlineStr">
        <is>
          <t>1</t>
        </is>
      </c>
      <c r="BG364" s="24" t="inlineStr">
        <is>
          <t>3d16277c2cfc0628d7ec79d04feee92735e5c503a3be195cb225c7c52d024308</t>
        </is>
      </c>
      <c r="BH364" s="24" t="inlineStr">
        <is>
          <t>2026-09-20T04:56:29.805695Z</t>
        </is>
      </c>
      <c r="BI364" s="24" t="inlineStr">
        <is>
          <t>["same_event","same_team_same_day","same_league_same_day"]</t>
        </is>
      </c>
      <c r="BJ364" s="25" t="n">
        <v>2.5</v>
      </c>
      <c r="BK364" s="26" t="n">
        <v>-270</v>
      </c>
      <c r="BL364" s="27" t="n">
        <v>1.37037</v>
      </c>
      <c r="BM364" s="28" t="n">
        <v>0.72973</v>
      </c>
      <c r="BN364" s="28" t="n"/>
      <c r="BO364" s="28" t="n"/>
      <c r="BP364" s="25" t="n"/>
      <c r="BQ364" s="27" t="n">
        <v>1.37037</v>
      </c>
      <c r="BR364" s="28" t="n">
        <v>0.73</v>
      </c>
      <c r="BS364" s="28" t="n"/>
      <c r="BT364" s="28" t="n"/>
      <c r="BU364" s="25" t="n"/>
      <c r="BV364" s="29" t="n"/>
      <c r="BW364" s="24" t="n"/>
      <c r="BX364" s="30" t="n">
        <v>1</v>
      </c>
      <c r="BY364" s="27" t="n">
        <v>-1</v>
      </c>
      <c r="BZ364" s="24" t="inlineStr">
        <is>
          <t>2026-09-20T16:00:17.358667Z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0.72973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6d4db706e3f84dfa</t>
        </is>
      </c>
      <c r="B365" s="24" t="inlineStr">
        <is>
          <t>2026-09-20T10:29:39.194933Z</t>
        </is>
      </c>
      <c r="C365" s="24" t="inlineStr">
        <is>
          <t>2026-09-20T15:30Z</t>
        </is>
      </c>
      <c r="D365" s="24" t="inlineStr">
        <is>
          <t>401884783</t>
        </is>
      </c>
      <c r="E365" s="24" t="inlineStr">
        <is>
          <t>SOCCER</t>
        </is>
      </c>
      <c r="F365" s="24" t="inlineStr">
        <is>
          <t>SV Elversberg</t>
        </is>
      </c>
      <c r="G365" s="24" t="inlineStr">
        <is>
          <t>Schalke 04</t>
        </is>
      </c>
      <c r="H365" s="24" t="inlineStr">
        <is>
          <t>total</t>
        </is>
      </c>
      <c r="I365" s="24" t="inlineStr">
        <is>
          <t>over</t>
        </is>
      </c>
      <c r="J365" s="25" t="n">
        <v>2.5</v>
      </c>
      <c r="K365" s="24" t="inlineStr">
        <is>
          <t>polymarket_us</t>
        </is>
      </c>
      <c r="L365" s="26" t="n">
        <v>-178</v>
      </c>
      <c r="M365" s="27" t="n">
        <v>1.561798</v>
      </c>
      <c r="N365" s="28" t="n">
        <v>0.640288</v>
      </c>
      <c r="O365" s="28" t="n">
        <v>0.6195580000000001</v>
      </c>
      <c r="P365" s="28" t="n">
        <v>0.2</v>
      </c>
      <c r="Q365" s="28" t="n">
        <v>-0.02073</v>
      </c>
      <c r="R365" s="26" t="n">
        <v>0</v>
      </c>
      <c r="S365" s="29" t="n">
        <v>1</v>
      </c>
      <c r="T365" s="24" t="inlineStr">
        <is>
          <t>soccer-poisson-dc-v1</t>
        </is>
      </c>
      <c r="U365" s="24" t="inlineStr">
        <is>
          <t>settled</t>
        </is>
      </c>
      <c r="V365" s="24" t="inlineStr">
        <is>
          <t>loss</t>
        </is>
      </c>
      <c r="W365" s="26" t="n">
        <v>0</v>
      </c>
      <c r="X365" s="26" t="n">
        <v>0</v>
      </c>
      <c r="Y365" s="25" t="n"/>
      <c r="Z365" s="26" t="n">
        <v>-178</v>
      </c>
      <c r="AA365" s="28" t="n">
        <v>0.64</v>
      </c>
      <c r="AB365" s="28" t="n">
        <v>-0.000288</v>
      </c>
      <c r="AC365" s="30" t="n">
        <v>-1</v>
      </c>
      <c r="AD365" s="24" t="inlineStr">
        <is>
          <t>2026-09-20T22:00:11.147958Z</t>
        </is>
      </c>
      <c r="AE365" s="31" t="inlineStr">
        <is>
          <t>Poisson-DC rates 1.82 (home) / 1.38 (away) from EWMA attack/defense strengths. Executable ask 0.6400 (tsc-bun-s04-elv-2026-09-20-2pt5).</t>
        </is>
      </c>
      <c r="AF365" s="31" t="inlineStr">
        <is>
          <t>Research-only soccer score model; draw-aware, but not yet locked-holdout qualified.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PAPER_CALL_MODEL_UNVALIDATED</t>
        </is>
      </c>
      <c r="AP365" s="24" t="inlineStr">
        <is>
          <t>SV Elversberg</t>
        </is>
      </c>
      <c r="AQ365" s="24" t="inlineStr">
        <is>
          <t>SV Elversberg</t>
        </is>
      </c>
      <c r="AR365" s="24" t="inlineStr">
        <is>
          <t>SV Elversberg</t>
        </is>
      </c>
      <c r="AS365" s="24" t="inlineStr">
        <is>
          <t>Schalke 04</t>
        </is>
      </c>
      <c r="AT365" s="24" t="inlineStr">
        <is>
          <t>Schalke 04</t>
        </is>
      </c>
      <c r="AU365" s="24" t="inlineStr">
        <is>
          <t>Schalke 04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3d16277c2cfc0628d7ec79d04feee92735e5c503a3be195cb225c7c52d024308</t>
        </is>
      </c>
      <c r="BB365" s="24" t="inlineStr">
        <is>
          <t>poisson_dixon_coles</t>
        </is>
      </c>
      <c r="BC365" s="24" t="inlineStr">
        <is>
          <t>soccer-poisson-dc-v1</t>
        </is>
      </c>
      <c r="BD365" s="24" t="inlineStr">
        <is>
          <t>3d16277c2cfc0628d7ec79d04feee92735e5c503a3be195cb225c7c52d024308</t>
        </is>
      </c>
      <c r="BE365" s="24" t="inlineStr">
        <is>
          <t>soccer-poisson-dc-v1</t>
        </is>
      </c>
      <c r="BF365" s="24" t="inlineStr">
        <is>
          <t>1</t>
        </is>
      </c>
      <c r="BG365" s="24" t="inlineStr">
        <is>
          <t>3d16277c2cfc0628d7ec79d04feee92735e5c503a3be195cb225c7c52d024308</t>
        </is>
      </c>
      <c r="BH365" s="24" t="inlineStr">
        <is>
          <t>2026-09-20T10:24:24.973519Z</t>
        </is>
      </c>
      <c r="BI365" s="24" t="inlineStr">
        <is>
          <t>["same_event","same_team_same_day","same_league_same_day"]</t>
        </is>
      </c>
      <c r="BJ365" s="25" t="n">
        <v>2.5</v>
      </c>
      <c r="BK365" s="26" t="n">
        <v>-178</v>
      </c>
      <c r="BL365" s="27" t="n">
        <v>1.561798</v>
      </c>
      <c r="BM365" s="28" t="n">
        <v>0.640288</v>
      </c>
      <c r="BN365" s="28" t="n"/>
      <c r="BO365" s="28" t="n"/>
      <c r="BP365" s="25" t="n"/>
      <c r="BQ365" s="27" t="n">
        <v>1.561798</v>
      </c>
      <c r="BR365" s="28" t="n">
        <v>0.64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-1</v>
      </c>
      <c r="BZ365" s="24" t="inlineStr">
        <is>
          <t>2026-09-20T22:00:11.147958Z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0.640288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00d3aaa0b6d142d9</t>
        </is>
      </c>
      <c r="B366" s="24" t="inlineStr">
        <is>
          <t>2026-09-20T10:29:39.194933Z</t>
        </is>
      </c>
      <c r="C366" s="24" t="inlineStr">
        <is>
          <t>2026-09-20T10:30Z</t>
        </is>
      </c>
      <c r="D366" s="24" t="inlineStr">
        <is>
          <t>401874934</t>
        </is>
      </c>
      <c r="E366" s="24" t="inlineStr">
        <is>
          <t>SOCCER</t>
        </is>
      </c>
      <c r="F366" s="24" t="inlineStr">
        <is>
          <t>Napoli</t>
        </is>
      </c>
      <c r="G366" s="24" t="inlineStr">
        <is>
          <t>Fiorentina</t>
        </is>
      </c>
      <c r="H366" s="24" t="inlineStr">
        <is>
          <t>total</t>
        </is>
      </c>
      <c r="I366" s="24" t="inlineStr">
        <is>
          <t>under</t>
        </is>
      </c>
      <c r="J366" s="25" t="n">
        <v>2.5</v>
      </c>
      <c r="K366" s="24" t="inlineStr">
        <is>
          <t>polymarket_us</t>
        </is>
      </c>
      <c r="L366" s="26" t="n">
        <v>-300</v>
      </c>
      <c r="M366" s="27" t="n">
        <v>1.333333</v>
      </c>
      <c r="N366" s="28" t="n">
        <v>0.75</v>
      </c>
      <c r="O366" s="28" t="n">
        <v>0.652322</v>
      </c>
      <c r="P366" s="28" t="n">
        <v>0.04</v>
      </c>
      <c r="Q366" s="28" t="n">
        <v>-0.097678</v>
      </c>
      <c r="R366" s="26" t="n">
        <v>0</v>
      </c>
      <c r="S366" s="29" t="n">
        <v>1</v>
      </c>
      <c r="T366" s="24" t="inlineStr">
        <is>
          <t>soccer-poisson-dc-v1</t>
        </is>
      </c>
      <c r="U366" s="24" t="inlineStr">
        <is>
          <t>settled</t>
        </is>
      </c>
      <c r="V366" s="24" t="inlineStr">
        <is>
          <t>win</t>
        </is>
      </c>
      <c r="W366" s="26" t="n">
        <v>1</v>
      </c>
      <c r="X366" s="26" t="n">
        <v>1</v>
      </c>
      <c r="Y366" s="25" t="n"/>
      <c r="Z366" s="26" t="n">
        <v>-300</v>
      </c>
      <c r="AA366" s="28" t="n">
        <v>0.75</v>
      </c>
      <c r="AB366" s="28" t="n">
        <v>0</v>
      </c>
      <c r="AC366" s="30" t="n">
        <v>0.3333</v>
      </c>
      <c r="AD366" s="24" t="inlineStr">
        <is>
          <t>2026-09-20T16:00:20.000361Z</t>
        </is>
      </c>
      <c r="AE366" s="31" t="inlineStr">
        <is>
          <t>Poisson-DC rates 0.93 (home) / 1.16 (away) from EWMA attack/defense strengths. Executable ask 0.7500 (tsc-sea-fio-nap-2026-09-20-sh-2pt5).</t>
        </is>
      </c>
      <c r="AF366" s="31" t="inlineStr">
        <is>
          <t>Research-only soccer score model; draw-aware, but not yet locked-holdout qualified.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Napoli</t>
        </is>
      </c>
      <c r="AQ366" s="24" t="inlineStr">
        <is>
          <t>Napoli</t>
        </is>
      </c>
      <c r="AR366" s="24" t="inlineStr">
        <is>
          <t>Napoli</t>
        </is>
      </c>
      <c r="AS366" s="24" t="inlineStr">
        <is>
          <t>Fiorentina</t>
        </is>
      </c>
      <c r="AT366" s="24" t="inlineStr">
        <is>
          <t>Fiorentina</t>
        </is>
      </c>
      <c r="AU366" s="24" t="inlineStr">
        <is>
          <t>Fiorentina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3d16277c2cfc0628d7ec79d04feee92735e5c503a3be195cb225c7c52d024308</t>
        </is>
      </c>
      <c r="BB366" s="24" t="inlineStr">
        <is>
          <t>poisson_dixon_coles</t>
        </is>
      </c>
      <c r="BC366" s="24" t="inlineStr">
        <is>
          <t>soccer-poisson-dc-v1</t>
        </is>
      </c>
      <c r="BD366" s="24" t="inlineStr">
        <is>
          <t>3d16277c2cfc0628d7ec79d04feee92735e5c503a3be195cb225c7c52d024308</t>
        </is>
      </c>
      <c r="BE366" s="24" t="inlineStr">
        <is>
          <t>soccer-poisson-dc-v1</t>
        </is>
      </c>
      <c r="BF366" s="24" t="inlineStr">
        <is>
          <t>1</t>
        </is>
      </c>
      <c r="BG366" s="24" t="inlineStr">
        <is>
          <t>3d16277c2cfc0628d7ec79d04feee92735e5c503a3be195cb225c7c52d024308</t>
        </is>
      </c>
      <c r="BH366" s="24" t="inlineStr">
        <is>
          <t>2026-09-20T10:24:36.029528Z</t>
        </is>
      </c>
      <c r="BI366" s="24" t="inlineStr">
        <is>
          <t>["same_event","same_team_same_day","same_league_same_day"]</t>
        </is>
      </c>
      <c r="BJ366" s="25" t="n">
        <v>2.5</v>
      </c>
      <c r="BK366" s="26" t="n">
        <v>-300</v>
      </c>
      <c r="BL366" s="27" t="n">
        <v>1.333333</v>
      </c>
      <c r="BM366" s="28" t="n">
        <v>0.75</v>
      </c>
      <c r="BN366" s="28" t="n"/>
      <c r="BO366" s="28" t="n"/>
      <c r="BP366" s="25" t="n"/>
      <c r="BQ366" s="27" t="n">
        <v>1.333333</v>
      </c>
      <c r="BR366" s="28" t="n">
        <v>0.75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0.333333</v>
      </c>
      <c r="BZ366" s="24" t="inlineStr">
        <is>
          <t>2026-09-20T16:00:20.000361Z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0.75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38384b6e0b7e4491</t>
        </is>
      </c>
      <c r="B367" s="24" t="inlineStr">
        <is>
          <t>2026-09-20T16:26:25.346096Z</t>
        </is>
      </c>
      <c r="C367" s="24" t="inlineStr">
        <is>
          <t>2026-09-20T16:30Z</t>
        </is>
      </c>
      <c r="D367" s="24" t="inlineStr">
        <is>
          <t>401882863</t>
        </is>
      </c>
      <c r="E367" s="24" t="inlineStr">
        <is>
          <t>SOCCER</t>
        </is>
      </c>
      <c r="F367" s="24" t="inlineStr">
        <is>
          <t>Real Betis</t>
        </is>
      </c>
      <c r="G367" s="24" t="inlineStr">
        <is>
          <t>Deportivo</t>
        </is>
      </c>
      <c r="H367" s="24" t="inlineStr">
        <is>
          <t>total</t>
        </is>
      </c>
      <c r="I367" s="24" t="inlineStr">
        <is>
          <t>over</t>
        </is>
      </c>
      <c r="J367" s="25" t="n">
        <v>2.5</v>
      </c>
      <c r="K367" s="24" t="inlineStr">
        <is>
          <t>polymarket_us</t>
        </is>
      </c>
      <c r="L367" s="26" t="n">
        <v>-117</v>
      </c>
      <c r="M367" s="27" t="n">
        <v>1.854701</v>
      </c>
      <c r="N367" s="28" t="n">
        <v>0.539171</v>
      </c>
      <c r="O367" s="28" t="n">
        <v>0.548995</v>
      </c>
      <c r="P367" s="28" t="n">
        <v>0.2</v>
      </c>
      <c r="Q367" s="28" t="n">
        <v>0.009823999999999999</v>
      </c>
      <c r="R367" s="26" t="n">
        <v>0</v>
      </c>
      <c r="S367" s="29" t="n">
        <v>1</v>
      </c>
      <c r="T367" s="24" t="inlineStr">
        <is>
          <t>soccer-poisson-dc-v1</t>
        </is>
      </c>
      <c r="U367" s="24" t="inlineStr">
        <is>
          <t>settled</t>
        </is>
      </c>
      <c r="V367" s="24" t="inlineStr">
        <is>
          <t>loss</t>
        </is>
      </c>
      <c r="W367" s="26" t="n">
        <v>1</v>
      </c>
      <c r="X367" s="26" t="n">
        <v>1</v>
      </c>
      <c r="Y367" s="25" t="n"/>
      <c r="Z367" s="26" t="n">
        <v>-117</v>
      </c>
      <c r="AA367" s="28" t="n">
        <v>0.54</v>
      </c>
      <c r="AB367" s="28" t="n">
        <v>0.000829</v>
      </c>
      <c r="AC367" s="30" t="n">
        <v>-1</v>
      </c>
      <c r="AD367" s="24" t="inlineStr">
        <is>
          <t>2026-09-20T22:00:52.974929Z</t>
        </is>
      </c>
      <c r="AE367" s="31" t="inlineStr">
        <is>
          <t>Poisson-DC rates 1.53 (home) / 1.35 (away) from EWMA attack/defense strengths. Executable ask 0.5400 (tsc-lal-dep-bet-2026-09-20-2pt5).</t>
        </is>
      </c>
      <c r="AF367" s="31" t="inlineStr">
        <is>
          <t>Research-only soccer score model; draw-aware, but not yet locked-holdout qualified.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PAPER_CALL_MODEL_UNVALIDATED</t>
        </is>
      </c>
      <c r="AP367" s="24" t="inlineStr">
        <is>
          <t>Real Betis</t>
        </is>
      </c>
      <c r="AQ367" s="24" t="inlineStr">
        <is>
          <t>Real Betis</t>
        </is>
      </c>
      <c r="AR367" s="24" t="inlineStr">
        <is>
          <t>Real Betis</t>
        </is>
      </c>
      <c r="AS367" s="24" t="inlineStr">
        <is>
          <t>Deportivo</t>
        </is>
      </c>
      <c r="AT367" s="24" t="inlineStr">
        <is>
          <t>Deportivo</t>
        </is>
      </c>
      <c r="AU367" s="24" t="inlineStr">
        <is>
          <t>Deportivo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3d16277c2cfc0628d7ec79d04feee92735e5c503a3be195cb225c7c52d024308</t>
        </is>
      </c>
      <c r="BB367" s="24" t="inlineStr">
        <is>
          <t>poisson_dixon_coles</t>
        </is>
      </c>
      <c r="BC367" s="24" t="inlineStr">
        <is>
          <t>soccer-poisson-dc-v1</t>
        </is>
      </c>
      <c r="BD367" s="24" t="inlineStr">
        <is>
          <t>3d16277c2cfc0628d7ec79d04feee92735e5c503a3be195cb225c7c52d024308</t>
        </is>
      </c>
      <c r="BE367" s="24" t="inlineStr">
        <is>
          <t>soccer-poisson-dc-v1</t>
        </is>
      </c>
      <c r="BF367" s="24" t="inlineStr">
        <is>
          <t>1</t>
        </is>
      </c>
      <c r="BG367" s="24" t="inlineStr">
        <is>
          <t>3d16277c2cfc0628d7ec79d04feee92735e5c503a3be195cb225c7c52d024308</t>
        </is>
      </c>
      <c r="BH367" s="24" t="inlineStr">
        <is>
          <t>2026-09-20T04:56:08.523916Z</t>
        </is>
      </c>
      <c r="BI367" s="24" t="inlineStr">
        <is>
          <t>["same_event","same_team_same_day","same_league_same_day"]</t>
        </is>
      </c>
      <c r="BJ367" s="25" t="n">
        <v>2.5</v>
      </c>
      <c r="BK367" s="26" t="n">
        <v>-117</v>
      </c>
      <c r="BL367" s="27" t="n">
        <v>1.854701</v>
      </c>
      <c r="BM367" s="28" t="n">
        <v>0.539171</v>
      </c>
      <c r="BN367" s="28" t="n"/>
      <c r="BO367" s="28" t="n"/>
      <c r="BP367" s="25" t="n"/>
      <c r="BQ367" s="27" t="n">
        <v>1.854701</v>
      </c>
      <c r="BR367" s="28" t="n">
        <v>0.54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-1</v>
      </c>
      <c r="BZ367" s="24" t="inlineStr">
        <is>
          <t>2026-09-20T22:00:52.974929Z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0.539171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d09f1d7df0fe4625</t>
        </is>
      </c>
      <c r="B368" s="24" t="inlineStr">
        <is>
          <t>2026-09-20T16:26:25.346096Z</t>
        </is>
      </c>
      <c r="C368" s="24" t="inlineStr">
        <is>
          <t>2026-09-20T17:30Z</t>
        </is>
      </c>
      <c r="D368" s="24" t="inlineStr">
        <is>
          <t>401884782</t>
        </is>
      </c>
      <c r="E368" s="24" t="inlineStr">
        <is>
          <t>SOCCER</t>
        </is>
      </c>
      <c r="F368" s="24" t="inlineStr">
        <is>
          <t>TSG Hoffenheim</t>
        </is>
      </c>
      <c r="G368" s="24" t="inlineStr">
        <is>
          <t>SC Paderborn 07</t>
        </is>
      </c>
      <c r="H368" s="24" t="inlineStr">
        <is>
          <t>total</t>
        </is>
      </c>
      <c r="I368" s="24" t="inlineStr">
        <is>
          <t>over</t>
        </is>
      </c>
      <c r="J368" s="25" t="n">
        <v>2.5</v>
      </c>
      <c r="K368" s="24" t="inlineStr">
        <is>
          <t>polymarket_us</t>
        </is>
      </c>
      <c r="L368" s="26" t="n">
        <v>-245</v>
      </c>
      <c r="M368" s="27" t="n">
        <v>1.408163</v>
      </c>
      <c r="N368" s="28" t="n">
        <v>0.710145</v>
      </c>
      <c r="O368" s="28" t="n">
        <v>0.67663</v>
      </c>
      <c r="P368" s="28" t="n">
        <v>0.2</v>
      </c>
      <c r="Q368" s="28" t="n">
        <v>-0.033515</v>
      </c>
      <c r="R368" s="26" t="n">
        <v>0</v>
      </c>
      <c r="S368" s="29" t="n">
        <v>1</v>
      </c>
      <c r="T368" s="24" t="inlineStr">
        <is>
          <t>soccer-poisson-dc-v1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3</v>
      </c>
      <c r="Y368" s="25" t="n"/>
      <c r="Z368" s="26" t="n">
        <v>-245</v>
      </c>
      <c r="AA368" s="28" t="n">
        <v>0.71</v>
      </c>
      <c r="AB368" s="28" t="n">
        <v>-0.000145</v>
      </c>
      <c r="AC368" s="30" t="n">
        <v>0.4082</v>
      </c>
      <c r="AD368" s="24" t="inlineStr">
        <is>
          <t>2026-09-20T22:00:54.248251Z</t>
        </is>
      </c>
      <c r="AE368" s="31" t="inlineStr">
        <is>
          <t>Poisson-DC rates 2.00 (home) / 1.49 (away) from EWMA attack/defense strengths. Executable ask 0.7100 (tsc-bun-scp-hof-2026-09-20-2pt5).</t>
        </is>
      </c>
      <c r="AF368" s="31" t="inlineStr">
        <is>
          <t>Research-only soccer score model; draw-aware, but not yet locked-holdout qualified.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TSG Hoffenheim</t>
        </is>
      </c>
      <c r="AQ368" s="24" t="inlineStr">
        <is>
          <t>TSG Hoffenheim</t>
        </is>
      </c>
      <c r="AR368" s="24" t="inlineStr">
        <is>
          <t>TSG Hoffenheim</t>
        </is>
      </c>
      <c r="AS368" s="24" t="inlineStr">
        <is>
          <t>SC Paderborn 07</t>
        </is>
      </c>
      <c r="AT368" s="24" t="inlineStr">
        <is>
          <t>SC Paderborn 07</t>
        </is>
      </c>
      <c r="AU368" s="24" t="inlineStr">
        <is>
          <t>SC Paderborn 07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3d16277c2cfc0628d7ec79d04feee92735e5c503a3be195cb225c7c52d024308</t>
        </is>
      </c>
      <c r="BB368" s="24" t="inlineStr">
        <is>
          <t>poisson_dixon_coles</t>
        </is>
      </c>
      <c r="BC368" s="24" t="inlineStr">
        <is>
          <t>soccer-poisson-dc-v1</t>
        </is>
      </c>
      <c r="BD368" s="24" t="inlineStr">
        <is>
          <t>3d16277c2cfc0628d7ec79d04feee92735e5c503a3be195cb225c7c52d024308</t>
        </is>
      </c>
      <c r="BE368" s="24" t="inlineStr">
        <is>
          <t>soccer-poisson-dc-v1</t>
        </is>
      </c>
      <c r="BF368" s="24" t="inlineStr">
        <is>
          <t>1</t>
        </is>
      </c>
      <c r="BG368" s="24" t="inlineStr">
        <is>
          <t>3d16277c2cfc0628d7ec79d04feee92735e5c503a3be195cb225c7c52d024308</t>
        </is>
      </c>
      <c r="BH368" s="24" t="inlineStr">
        <is>
          <t>2026-09-20T16:22:48.239534Z</t>
        </is>
      </c>
      <c r="BI368" s="24" t="inlineStr">
        <is>
          <t>["same_event","same_team_same_day","same_league_same_day"]</t>
        </is>
      </c>
      <c r="BJ368" s="25" t="n">
        <v>2.5</v>
      </c>
      <c r="BK368" s="26" t="n">
        <v>-245</v>
      </c>
      <c r="BL368" s="27" t="n">
        <v>1.408163</v>
      </c>
      <c r="BM368" s="28" t="n">
        <v>0.710145</v>
      </c>
      <c r="BN368" s="28" t="n"/>
      <c r="BO368" s="28" t="n"/>
      <c r="BP368" s="25" t="n"/>
      <c r="BQ368" s="27" t="n">
        <v>1.408163</v>
      </c>
      <c r="BR368" s="28" t="n">
        <v>0.71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0.408163</v>
      </c>
      <c r="BZ368" s="24" t="inlineStr">
        <is>
          <t>2026-09-20T22:00:54.248251Z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0.710145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3a52620e01694f90</t>
        </is>
      </c>
      <c r="B369" s="24" t="inlineStr">
        <is>
          <t>2026-09-20T16:26:25.346096Z</t>
        </is>
      </c>
      <c r="C369" s="24" t="inlineStr">
        <is>
          <t>2026-09-20T23:00Z</t>
        </is>
      </c>
      <c r="D369" s="24" t="inlineStr">
        <is>
          <t>761829</t>
        </is>
      </c>
      <c r="E369" s="24" t="inlineStr">
        <is>
          <t>SOCCER</t>
        </is>
      </c>
      <c r="F369" s="24" t="inlineStr">
        <is>
          <t>San Diego FC</t>
        </is>
      </c>
      <c r="G369" s="24" t="inlineStr">
        <is>
          <t>Inter Miami CF</t>
        </is>
      </c>
      <c r="H369" s="24" t="inlineStr">
        <is>
          <t>total</t>
        </is>
      </c>
      <c r="I369" s="24" t="inlineStr">
        <is>
          <t>over</t>
        </is>
      </c>
      <c r="J369" s="25" t="n">
        <v>2.5</v>
      </c>
      <c r="K369" s="24" t="inlineStr">
        <is>
          <t>polymarket_us</t>
        </is>
      </c>
      <c r="L369" s="26" t="n">
        <v>-426</v>
      </c>
      <c r="M369" s="27" t="n">
        <v>1.234742</v>
      </c>
      <c r="N369" s="28" t="n">
        <v>0.809886</v>
      </c>
      <c r="O369" s="28" t="n">
        <v>0.8992059999999999</v>
      </c>
      <c r="P369" s="28" t="n">
        <v>0.04</v>
      </c>
      <c r="Q369" s="28" t="n">
        <v>0.08932</v>
      </c>
      <c r="R369" s="26" t="n">
        <v>71</v>
      </c>
      <c r="S369" s="29" t="n">
        <v>1.25</v>
      </c>
      <c r="T369" s="24" t="inlineStr">
        <is>
          <t>soccer-poisson-dc-v1</t>
        </is>
      </c>
      <c r="U369" s="24" t="inlineStr">
        <is>
          <t>settled</t>
        </is>
      </c>
      <c r="V369" s="24" t="inlineStr">
        <is>
          <t>win</t>
        </is>
      </c>
      <c r="W369" s="26" t="n">
        <v>2</v>
      </c>
      <c r="X369" s="26" t="n">
        <v>2</v>
      </c>
      <c r="Y369" s="25" t="n"/>
      <c r="Z369" s="26" t="n">
        <v>-426</v>
      </c>
      <c r="AA369" s="28" t="n">
        <v>0.8100000000000001</v>
      </c>
      <c r="AB369" s="28" t="n">
        <v>0.000114</v>
      </c>
      <c r="AC369" s="30" t="n">
        <v>0.2934</v>
      </c>
      <c r="AD369" s="24" t="inlineStr">
        <is>
          <t>2026-09-21T04:30:34.119686Z</t>
        </is>
      </c>
      <c r="AE369" s="31" t="inlineStr">
        <is>
          <t>Poisson-DC rates 3.45 (home) / 1.86 (away) from EWMA attack/defense strengths. Executable ask 0.8100 (tsc-mls-mia-sdg-2026-09-20-2pt5).</t>
        </is>
      </c>
      <c r="AF369" s="31" t="inlineStr">
        <is>
          <t>Research-only soccer score model; draw-aware, but not yet locked-holdout qualified.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4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San Diego FC</t>
        </is>
      </c>
      <c r="AQ369" s="24" t="inlineStr">
        <is>
          <t>San Diego FC</t>
        </is>
      </c>
      <c r="AR369" s="24" t="inlineStr">
        <is>
          <t>San Diego FC</t>
        </is>
      </c>
      <c r="AS369" s="24" t="inlineStr">
        <is>
          <t>Inter Miami CF</t>
        </is>
      </c>
      <c r="AT369" s="24" t="inlineStr">
        <is>
          <t>Inter Miami CF</t>
        </is>
      </c>
      <c r="AU369" s="24" t="inlineStr">
        <is>
          <t>Inter Miami CF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3d16277c2cfc0628d7ec79d04feee92735e5c503a3be195cb225c7c52d024308</t>
        </is>
      </c>
      <c r="BB369" s="24" t="inlineStr">
        <is>
          <t>poisson_dixon_coles</t>
        </is>
      </c>
      <c r="BC369" s="24" t="inlineStr">
        <is>
          <t>soccer-poisson-dc-v1</t>
        </is>
      </c>
      <c r="BD369" s="24" t="inlineStr">
        <is>
          <t>3d16277c2cfc0628d7ec79d04feee92735e5c503a3be195cb225c7c52d024308</t>
        </is>
      </c>
      <c r="BE369" s="24" t="inlineStr">
        <is>
          <t>soccer-poisson-dc-v1</t>
        </is>
      </c>
      <c r="BF369" s="24" t="inlineStr">
        <is>
          <t>1</t>
        </is>
      </c>
      <c r="BG369" s="24" t="inlineStr">
        <is>
          <t>3d16277c2cfc0628d7ec79d04feee92735e5c503a3be195cb225c7c52d024308</t>
        </is>
      </c>
      <c r="BH369" s="24" t="inlineStr">
        <is>
          <t>2026-09-20T04:57:47.796015Z</t>
        </is>
      </c>
      <c r="BI369" s="24" t="inlineStr">
        <is>
          <t>["same_event","same_team_same_day","same_league_same_day"]</t>
        </is>
      </c>
      <c r="BJ369" s="25" t="n">
        <v>2.5</v>
      </c>
      <c r="BK369" s="26" t="n">
        <v>-426</v>
      </c>
      <c r="BL369" s="27" t="n">
        <v>1.234742</v>
      </c>
      <c r="BM369" s="28" t="n">
        <v>0.809886</v>
      </c>
      <c r="BN369" s="28" t="n"/>
      <c r="BO369" s="28" t="n"/>
      <c r="BP369" s="25" t="n"/>
      <c r="BQ369" s="27" t="n">
        <v>1.234742</v>
      </c>
      <c r="BR369" s="28" t="n">
        <v>0.8100000000000001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0.809886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ffff479d4c534c5d</t>
        </is>
      </c>
      <c r="B370" s="24" t="inlineStr">
        <is>
          <t>2026-09-20T16:26:25.346096Z</t>
        </is>
      </c>
      <c r="C370" s="24" t="inlineStr">
        <is>
          <t>2026-09-20T16:30Z</t>
        </is>
      </c>
      <c r="D370" s="24" t="inlineStr">
        <is>
          <t>401882857</t>
        </is>
      </c>
      <c r="E370" s="24" t="inlineStr">
        <is>
          <t>SOCCER</t>
        </is>
      </c>
      <c r="F370" s="24" t="inlineStr">
        <is>
          <t>Levante</t>
        </is>
      </c>
      <c r="G370" s="24" t="inlineStr">
        <is>
          <t>Villarreal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-170</v>
      </c>
      <c r="M370" s="27" t="n">
        <v>1.588235</v>
      </c>
      <c r="N370" s="28" t="n">
        <v>0.62963</v>
      </c>
      <c r="O370" s="28" t="n">
        <v>0.646665</v>
      </c>
      <c r="P370" s="28" t="n">
        <v>0.04</v>
      </c>
      <c r="Q370" s="28" t="n">
        <v>0.017035</v>
      </c>
      <c r="R370" s="26" t="n">
        <v>35</v>
      </c>
      <c r="S370" s="29" t="n">
        <v>1</v>
      </c>
      <c r="T370" s="24" t="inlineStr">
        <is>
          <t>soccer-poisson-dc-v1</t>
        </is>
      </c>
      <c r="U370" s="24" t="inlineStr">
        <is>
          <t>settled</t>
        </is>
      </c>
      <c r="V370" s="24" t="inlineStr">
        <is>
          <t>win</t>
        </is>
      </c>
      <c r="W370" s="26" t="n">
        <v>1</v>
      </c>
      <c r="X370" s="26" t="n">
        <v>3</v>
      </c>
      <c r="Y370" s="25" t="n"/>
      <c r="Z370" s="26" t="n">
        <v>-170</v>
      </c>
      <c r="AA370" s="28" t="n">
        <v>0.63</v>
      </c>
      <c r="AB370" s="28" t="n">
        <v>0.00037</v>
      </c>
      <c r="AC370" s="30" t="n">
        <v>0.5881999999999999</v>
      </c>
      <c r="AD370" s="24" t="inlineStr">
        <is>
          <t>2026-09-20T22:00:55.542300Z</t>
        </is>
      </c>
      <c r="AE370" s="31" t="inlineStr">
        <is>
          <t>Poisson-DC rates 2.48 (home) / 1.20 (away) from EWMA attack/defense strengths. Executable ask 0.6300 (atc-lal-vil-lev-2026-09-20-vil).</t>
        </is>
      </c>
      <c r="AF370" s="31" t="inlineStr">
        <is>
          <t>Research-only soccer score model; draw-aware, but not yet locked-holdout qualified.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Levante</t>
        </is>
      </c>
      <c r="AQ370" s="24" t="inlineStr">
        <is>
          <t>Levante</t>
        </is>
      </c>
      <c r="AR370" s="24" t="inlineStr">
        <is>
          <t>Levante</t>
        </is>
      </c>
      <c r="AS370" s="24" t="inlineStr">
        <is>
          <t>Villarreal</t>
        </is>
      </c>
      <c r="AT370" s="24" t="inlineStr">
        <is>
          <t>Villarreal</t>
        </is>
      </c>
      <c r="AU370" s="24" t="inlineStr">
        <is>
          <t>Villarreal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3d16277c2cfc0628d7ec79d04feee92735e5c503a3be195cb225c7c52d024308</t>
        </is>
      </c>
      <c r="BB370" s="24" t="inlineStr">
        <is>
          <t>poisson_dixon_coles</t>
        </is>
      </c>
      <c r="BC370" s="24" t="inlineStr">
        <is>
          <t>soccer-poisson-dc-v1</t>
        </is>
      </c>
      <c r="BD370" s="24" t="inlineStr">
        <is>
          <t>3d16277c2cfc0628d7ec79d04feee92735e5c503a3be195cb225c7c52d024308</t>
        </is>
      </c>
      <c r="BE370" s="24" t="inlineStr">
        <is>
          <t>soccer-poisson-dc-v1</t>
        </is>
      </c>
      <c r="BF370" s="24" t="inlineStr">
        <is>
          <t>1</t>
        </is>
      </c>
      <c r="BG370" s="24" t="inlineStr">
        <is>
          <t>3d16277c2cfc0628d7ec79d04feee92735e5c503a3be195cb225c7c52d024308</t>
        </is>
      </c>
      <c r="BH370" s="24" t="inlineStr">
        <is>
          <t>2026-09-20T16:22:26.000781Z</t>
        </is>
      </c>
      <c r="BI370" s="24" t="inlineStr">
        <is>
          <t>["same_event","same_team_same_day","same_league_same_day"]</t>
        </is>
      </c>
      <c r="BJ370" s="25" t="n"/>
      <c r="BK370" s="26" t="n">
        <v>-170</v>
      </c>
      <c r="BL370" s="27" t="n">
        <v>1.588235</v>
      </c>
      <c r="BM370" s="28" t="n">
        <v>0.62963</v>
      </c>
      <c r="BN370" s="28" t="n"/>
      <c r="BO370" s="28" t="n"/>
      <c r="BP370" s="25" t="n"/>
      <c r="BQ370" s="27" t="n">
        <v>1.588235</v>
      </c>
      <c r="BR370" s="28" t="n">
        <v>0.63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0.588234</v>
      </c>
      <c r="BZ370" s="24" t="inlineStr">
        <is>
          <t>2026-09-20T22:00:55.542300Z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0.62963</t>
        </is>
      </c>
      <c r="DK370" s="24" t="n"/>
      <c r="DL370" s="24" t="n"/>
      <c r="DM370" s="24" t="n"/>
      <c r="DN370" s="24" t="n"/>
      <c r="DO370" s="24" t="n"/>
      <c r="DP370" s="24" t="n"/>
      <c r="DQ370" s="24" t="inlineStr">
        <is>
          <t>{"artifact_hash": "3d16277c2cfc0628d7ec79d04feee92735e5c503a3be195cb225c7c52d024308", "away_team": "Levante", "event_id": "401882857", "event_start_utc": "2026-09-20T16:30Z", "features": {"away_goal_rate": 1.1972, "history_games": 9181, "home_goal_rate": 2.4801, "league_goals_per_team": 1.325, "min_team_games": 38.0}, "historical_source_observation_times_verified": false, "home_team": "Villarreal", "inference_inputs": {"away_rate": 1.1972349832712137, "code_sha256": {"models/soccer.py": "3d16277c2cfc0628d7ec79d04feee92735e5c503a3be195cb225c7c52d024308"}, "home_rate": 2.480104440363798, "sport": "SOCCER"}, "market_type": "moneyline", "model_version": "soccer-poisson-dc-v1", "observed_at_utc": "2026-09-20T16:26:24.244789+00:00", "probabilities": {"away": 0.159935, "draw": 0.193401, "home": 0.646665}, "replay_scope": "Exact full-precision serving state and rounding; upstream historical observation times are not certified.", "schema": "coded-moneyline-replay-v1", "snapshot_hash": "52ecbf32b10c705aa39d4a3c484bba84afac9e9e3f83161b1f3a5a1688273209", "sport": "SOCCER"}</t>
        </is>
      </c>
    </row>
    <row r="371" ht="36" customHeight="1">
      <c r="A371" s="24" t="inlineStr">
        <is>
          <t>137f2ae7caa84dac</t>
        </is>
      </c>
      <c r="B371" s="24" t="inlineStr">
        <is>
          <t>2026-09-20T16:26:25.346096Z</t>
        </is>
      </c>
      <c r="C371" s="24" t="inlineStr">
        <is>
          <t>2026-09-20T18:00Z</t>
        </is>
      </c>
      <c r="D371" s="24" t="inlineStr">
        <is>
          <t>401844140</t>
        </is>
      </c>
      <c r="E371" s="24" t="inlineStr">
        <is>
          <t>SOCCER</t>
        </is>
      </c>
      <c r="F371" s="24" t="inlineStr">
        <is>
          <t>Quilmes</t>
        </is>
      </c>
      <c r="G371" s="24" t="inlineStr">
        <is>
          <t>Chacarita Juniors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polymarket_us</t>
        </is>
      </c>
      <c r="L371" s="26" t="n">
        <v>178</v>
      </c>
      <c r="M371" s="27" t="n">
        <v>2.78</v>
      </c>
      <c r="N371" s="28" t="n">
        <v>0.359712</v>
      </c>
      <c r="O371" s="28" t="n">
        <v>0.440521</v>
      </c>
      <c r="P371" s="28" t="n">
        <v>0.2</v>
      </c>
      <c r="Q371" s="28" t="n">
        <v>0.08080900000000001</v>
      </c>
      <c r="R371" s="26" t="n">
        <v>0</v>
      </c>
      <c r="S371" s="29" t="n">
        <v>1</v>
      </c>
      <c r="T371" s="24" t="inlineStr">
        <is>
          <t>soccer-poisson-dc-v1</t>
        </is>
      </c>
      <c r="U371" s="24" t="inlineStr">
        <is>
          <t>settled</t>
        </is>
      </c>
      <c r="V371" s="24" t="inlineStr">
        <is>
          <t>win</t>
        </is>
      </c>
      <c r="W371" s="26" t="n">
        <v>0</v>
      </c>
      <c r="X371" s="26" t="n">
        <v>3</v>
      </c>
      <c r="Y371" s="25" t="n"/>
      <c r="Z371" s="26" t="n">
        <v>178</v>
      </c>
      <c r="AA371" s="28" t="n">
        <v>0.36</v>
      </c>
      <c r="AB371" s="28" t="n">
        <v>0.000288</v>
      </c>
      <c r="AC371" s="30" t="n">
        <v>1.78</v>
      </c>
      <c r="AD371" s="24" t="inlineStr">
        <is>
          <t>2026-09-20T22:16:39.288292Z</t>
        </is>
      </c>
      <c r="AE371" s="31" t="inlineStr">
        <is>
          <t>Poisson-DC rates 1.46 (home) / 1.10 (away) from EWMA attack/defense strengths. Executable ask 0.3600 (atc-arg2-cjh-qui-2026-09-20-cjh).</t>
        </is>
      </c>
      <c r="AF371" s="31" t="inlineStr">
        <is>
          <t>Research-only soccer score model; draw-aware, but not yet locked-holdout qualified.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Quilmes</t>
        </is>
      </c>
      <c r="AQ371" s="24" t="inlineStr">
        <is>
          <t>Quilmes</t>
        </is>
      </c>
      <c r="AR371" s="24" t="inlineStr">
        <is>
          <t>Quilmes</t>
        </is>
      </c>
      <c r="AS371" s="24" t="inlineStr">
        <is>
          <t>Chacarita Juniors</t>
        </is>
      </c>
      <c r="AT371" s="24" t="inlineStr">
        <is>
          <t>Chacarita Juniors</t>
        </is>
      </c>
      <c r="AU371" s="24" t="inlineStr">
        <is>
          <t>Chacarita Juniors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3d16277c2cfc0628d7ec79d04feee92735e5c503a3be195cb225c7c52d024308</t>
        </is>
      </c>
      <c r="BB371" s="24" t="inlineStr">
        <is>
          <t>poisson_dixon_coles</t>
        </is>
      </c>
      <c r="BC371" s="24" t="inlineStr">
        <is>
          <t>soccer-poisson-dc-v1</t>
        </is>
      </c>
      <c r="BD371" s="24" t="inlineStr">
        <is>
          <t>3d16277c2cfc0628d7ec79d04feee92735e5c503a3be195cb225c7c52d024308</t>
        </is>
      </c>
      <c r="BE371" s="24" t="inlineStr">
        <is>
          <t>soccer-poisson-dc-v1</t>
        </is>
      </c>
      <c r="BF371" s="24" t="inlineStr">
        <is>
          <t>1</t>
        </is>
      </c>
      <c r="BG371" s="24" t="inlineStr">
        <is>
          <t>3d16277c2cfc0628d7ec79d04feee92735e5c503a3be195cb225c7c52d024308</t>
        </is>
      </c>
      <c r="BH371" s="24" t="inlineStr">
        <is>
          <t>2026-09-20T10:25:53.001252Z</t>
        </is>
      </c>
      <c r="BI371" s="24" t="inlineStr">
        <is>
          <t>["same_event","same_team_same_day","same_league_same_day"]</t>
        </is>
      </c>
      <c r="BJ371" s="25" t="n"/>
      <c r="BK371" s="26" t="n">
        <v>178</v>
      </c>
      <c r="BL371" s="27" t="n">
        <v>2.78</v>
      </c>
      <c r="BM371" s="28" t="n">
        <v>0.359712</v>
      </c>
      <c r="BN371" s="28" t="n"/>
      <c r="BO371" s="28" t="n"/>
      <c r="BP371" s="25" t="n"/>
      <c r="BQ371" s="27" t="n">
        <v>2.78</v>
      </c>
      <c r="BR371" s="28" t="n">
        <v>0.36</v>
      </c>
      <c r="BS371" s="28" t="n"/>
      <c r="BT371" s="28" t="n"/>
      <c r="BU371" s="25" t="n"/>
      <c r="BV371" s="29" t="n"/>
      <c r="BW371" s="24" t="n"/>
      <c r="BX371" s="30" t="n">
        <v>1</v>
      </c>
      <c r="BY371" s="27" t="n">
        <v>1.780002</v>
      </c>
      <c r="BZ371" s="24" t="inlineStr">
        <is>
          <t>2026-09-20T22:16:39.288292Z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0.359712</t>
        </is>
      </c>
      <c r="DK371" s="24" t="n"/>
      <c r="DL371" s="24" t="n"/>
      <c r="DM371" s="24" t="n"/>
      <c r="DN371" s="24" t="n"/>
      <c r="DO371" s="24" t="n"/>
      <c r="DP371" s="24" t="n"/>
      <c r="DQ371" s="24" t="inlineStr">
        <is>
          <t>{"artifact_hash": "3d16277c2cfc0628d7ec79d04feee92735e5c503a3be195cb225c7c52d024308", "away_team": "Quilmes", "event_id": "401844140", "event_start_utc": "2026-09-20T18:00Z", "features": {"away_goal_rate": 1.1038, "history_games": 9181, "home_goal_rate": 1.4598, "league_goals_per_team": 1.4281, "min_team_games": 0.0}, "historical_source_observation_times_verified": false, "home_team": "Chacarita Juniors",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"2026-09-20T16:26:24.244789+00:00", "probabilities": {"away": 0.273602, "draw": 0.285877, "home": 0.440521}, "replay_scope": "Exact full-precision serving state and rounding; upstream historical observation times are not certified.", "schema": "coded-moneyline-replay-v1", "snapshot_hash": "b4230aecc1ba5baf90ae6e813c5d5e10c3fbd98fa0abe5db44f4235aa6bc0174", "sport": "SOCCER"}</t>
        </is>
      </c>
    </row>
    <row r="372" ht="36" customHeight="1">
      <c r="A372" s="24" t="inlineStr">
        <is>
          <t>ff449ed7ce6843cb</t>
        </is>
      </c>
      <c r="B372" s="24" t="inlineStr">
        <is>
          <t>2026-09-21T16:15:55.772037Z</t>
        </is>
      </c>
      <c r="C372" s="24" t="inlineStr">
        <is>
          <t>2026-09-21T22:00Z</t>
        </is>
      </c>
      <c r="D372" s="24" t="inlineStr">
        <is>
          <t>401841583</t>
        </is>
      </c>
      <c r="E372" s="24" t="inlineStr">
        <is>
          <t>SOCCER</t>
        </is>
      </c>
      <c r="F372" s="24" t="inlineStr">
        <is>
          <t>Independiente Rivadavia</t>
        </is>
      </c>
      <c r="G372" s="24" t="inlineStr">
        <is>
          <t>Barracas Central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257</v>
      </c>
      <c r="M372" s="27" t="n">
        <v>3.57</v>
      </c>
      <c r="N372" s="28" t="n">
        <v>0.280112</v>
      </c>
      <c r="O372" s="28" t="n">
        <v>0.404104</v>
      </c>
      <c r="P372" s="28" t="n">
        <v>0.19</v>
      </c>
      <c r="Q372" s="28" t="n">
        <v>0.123992</v>
      </c>
      <c r="R372" s="26" t="n">
        <v>0</v>
      </c>
      <c r="S372" s="29" t="n">
        <v>1</v>
      </c>
      <c r="T372" s="24" t="inlineStr">
        <is>
          <t>soccer-poisson-dc-v1</t>
        </is>
      </c>
      <c r="U372" s="24" t="inlineStr">
        <is>
          <t>settled</t>
        </is>
      </c>
      <c r="V372" s="24" t="inlineStr">
        <is>
          <t>loss</t>
        </is>
      </c>
      <c r="W372" s="26" t="n">
        <v>1</v>
      </c>
      <c r="X372" s="26" t="n">
        <v>0</v>
      </c>
      <c r="Y372" s="25" t="n"/>
      <c r="Z372" s="26" t="n">
        <v>257</v>
      </c>
      <c r="AA372" s="28" t="n">
        <v>0.28</v>
      </c>
      <c r="AB372" s="28" t="n">
        <v>-0.000112</v>
      </c>
      <c r="AC372" s="30" t="n">
        <v>-1</v>
      </c>
      <c r="AD372" s="24" t="inlineStr">
        <is>
          <t>2026-09-22T04:37:27.907518Z</t>
        </is>
      </c>
      <c r="AE372" s="31" t="inlineStr">
        <is>
          <t>Poisson-DC rates 1.52 (home) / 1.35 (away) from EWMA attack/defense strengths. Executable ask 0.2800 (atc-lpa-bar-cir-2026-09-21-bar).</t>
        </is>
      </c>
      <c r="AF372" s="31" t="inlineStr">
        <is>
          <t>Research-only soccer score model; draw-aware, but not yet locked-holdout qualified.</t>
        </is>
      </c>
      <c r="AG372" s="24" t="inlineStr">
        <is>
          <t>review_required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Independiente Rivadavia</t>
        </is>
      </c>
      <c r="AQ372" s="24" t="inlineStr">
        <is>
          <t>Independiente Rivadavia</t>
        </is>
      </c>
      <c r="AR372" s="24" t="inlineStr">
        <is>
          <t>Independiente Rivadavia</t>
        </is>
      </c>
      <c r="AS372" s="24" t="inlineStr">
        <is>
          <t>Barracas Central</t>
        </is>
      </c>
      <c r="AT372" s="24" t="inlineStr">
        <is>
          <t>Barracas Central</t>
        </is>
      </c>
      <c r="AU372" s="24" t="inlineStr">
        <is>
          <t>Barracas Central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3d16277c2cfc0628d7ec79d04feee92735e5c503a3be195cb225c7c52d024308</t>
        </is>
      </c>
      <c r="BB372" s="24" t="inlineStr">
        <is>
          <t>poisson_dixon_coles</t>
        </is>
      </c>
      <c r="BC372" s="24" t="inlineStr">
        <is>
          <t>soccer-poisson-dc-v1</t>
        </is>
      </c>
      <c r="BD372" s="24" t="inlineStr">
        <is>
          <t>3d16277c2cfc0628d7ec79d04feee92735e5c503a3be195cb225c7c52d024308</t>
        </is>
      </c>
      <c r="BE372" s="24" t="inlineStr">
        <is>
          <t>soccer-poisson-dc-v1</t>
        </is>
      </c>
      <c r="BF372" s="24" t="inlineStr">
        <is>
          <t>1</t>
        </is>
      </c>
      <c r="BG372" s="24" t="inlineStr">
        <is>
          <t>3d16277c2cfc0628d7ec79d04feee92735e5c503a3be195cb225c7c52d024308</t>
        </is>
      </c>
      <c r="BH372" s="24" t="inlineStr">
        <is>
          <t>2026-09-21T16:14:03.937212Z</t>
        </is>
      </c>
      <c r="BI372" s="24" t="inlineStr">
        <is>
          <t>["same_event","same_team_same_day","same_league_same_day"]</t>
        </is>
      </c>
      <c r="BJ372" s="25" t="n"/>
      <c r="BK372" s="26" t="n">
        <v>257</v>
      </c>
      <c r="BL372" s="27" t="n">
        <v>3.57</v>
      </c>
      <c r="BM372" s="28" t="n">
        <v>0.280112</v>
      </c>
      <c r="BN372" s="28" t="n"/>
      <c r="BO372" s="28" t="n"/>
      <c r="BP372" s="25" t="n"/>
      <c r="BQ372" s="27" t="n">
        <v>3.57</v>
      </c>
      <c r="BR372" s="28" t="n">
        <v>0.28</v>
      </c>
      <c r="BS372" s="28" t="n"/>
      <c r="BT372" s="28" t="n"/>
      <c r="BU372" s="25" t="n"/>
      <c r="BV372" s="29" t="n"/>
      <c r="BW372" s="24" t="n"/>
      <c r="BX372" s="30" t="n">
        <v>1</v>
      </c>
      <c r="BY372" s="27" t="n">
        <v>-1</v>
      </c>
      <c r="BZ372" s="24" t="inlineStr">
        <is>
          <t>2026-09-22T04:37:27.907518Z</t>
        </is>
      </c>
      <c r="CA372" s="31" t="inlineStr">
        <is>
          <t>fixed one-unit hypothetical scoring; no real exposure or execution</t>
        </is>
      </c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0.280112</t>
        </is>
      </c>
      <c r="DK372" s="24" t="n"/>
      <c r="DL372" s="24" t="n"/>
      <c r="DM372" s="24" t="n"/>
      <c r="DN372" s="24" t="n"/>
      <c r="DO372" s="24" t="n"/>
      <c r="DP372" s="24" t="n"/>
      <c r="DQ372" s="24" t="inlineStr">
        <is>
          <t>{"artifact_hash": "3d16277c2cfc0628d7ec79d04feee92735e5c503a3be195cb225c7c52d024308", "away_team": "Independiente Rivadavia", "event_id": "401841583", "event_start_utc": "2026-09-21T22:00Z", "features": {"away_goal_rate": 1.3473, "history_games": 9181, "home_goal_rate": 1.5248, "league_goals_per_team": 1.4281, "min_team_games": 1.0}, "historical_source_observation_times_verified": false, "home_team": "Barracas Central", "inference_inputs": {"away_rate": 1.3472513539412516, "code_sha256": {"models/soccer.py": "3d16277c2cfc0628d7ec79d04feee92735e5c503a3be195cb225c7c52d024308"}, "home_rate": 1.5247538865154955, "sport": "SOCCER"}, "market_type": "moneyline", "model_version": "soccer-poisson-dc-v1", "observed_at_utc": "2026-09-21T16:15:54.857961+00:00", "probabilities": {"away": 0.324601, "draw": 0.271295, "home": 0.404104}, "replay_scope": "Exact full-precision serving state and rounding; upstream historical observation times are not certified.", "schema": "coded-moneyline-replay-v1", "snapshot_hash": "0da9c394357bbba51141bc08c0ef24faa12ed05b32775f9de6e107bd2372233c", "sport": "SOCCER"}</t>
        </is>
      </c>
    </row>
    <row r="373" ht="36" customHeight="1">
      <c r="A373" s="24" t="inlineStr">
        <is>
          <t>6831317b0d99460b</t>
        </is>
      </c>
      <c r="B373" s="24" t="inlineStr">
        <is>
          <t>2026-09-21T16:15:55.772037Z</t>
        </is>
      </c>
      <c r="C373" s="24" t="inlineStr">
        <is>
          <t>2026-09-21T19:00Z</t>
        </is>
      </c>
      <c r="D373" s="24" t="inlineStr">
        <is>
          <t>401921389</t>
        </is>
      </c>
      <c r="E373" s="24" t="inlineStr">
        <is>
          <t>SOCCER</t>
        </is>
      </c>
      <c r="F373" s="24" t="inlineStr">
        <is>
          <t>Orense</t>
        </is>
      </c>
      <c r="G373" s="24" t="inlineStr">
        <is>
          <t>Manta F.C.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203</v>
      </c>
      <c r="M373" s="27" t="n">
        <v>3.03</v>
      </c>
      <c r="N373" s="28" t="n">
        <v>0.330033</v>
      </c>
      <c r="O373" s="28" t="n">
        <v>0.505507</v>
      </c>
      <c r="P373" s="28" t="n">
        <v>0.2</v>
      </c>
      <c r="Q373" s="28" t="n">
        <v>0.175474</v>
      </c>
      <c r="R373" s="26" t="n">
        <v>18</v>
      </c>
      <c r="S373" s="29" t="n">
        <v>1</v>
      </c>
      <c r="T373" s="24" t="inlineStr">
        <is>
          <t>soccer-poisson-dc-v1</t>
        </is>
      </c>
      <c r="U373" s="24" t="inlineStr">
        <is>
          <t>settled</t>
        </is>
      </c>
      <c r="V373" s="24" t="inlineStr">
        <is>
          <t>win</t>
        </is>
      </c>
      <c r="W373" s="26" t="n">
        <v>1</v>
      </c>
      <c r="X373" s="26" t="n">
        <v>2</v>
      </c>
      <c r="Y373" s="25" t="n"/>
      <c r="Z373" s="26" t="n">
        <v>203</v>
      </c>
      <c r="AA373" s="28" t="n">
        <v>0.33</v>
      </c>
      <c r="AB373" s="28" t="n">
        <v>-3.3e-05</v>
      </c>
      <c r="AC373" s="30" t="n">
        <v>2.03</v>
      </c>
      <c r="AD373" s="24" t="inlineStr">
        <is>
          <t>2026-09-21T22:00:15.617360Z</t>
        </is>
      </c>
      <c r="AE373" s="31" t="inlineStr">
        <is>
          <t>Poisson-DC rates 1.72 (home) / 1.10 (away) from EWMA attack/defense strengths. Executable ask 0.3300 (atc-ecu1-man-ore-2026-09-20-man).</t>
        </is>
      </c>
      <c r="AF373" s="31" t="inlineStr">
        <is>
          <t>Research-only soccer score model; draw-aware, but not yet locked-holdout qualified.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Orense</t>
        </is>
      </c>
      <c r="AQ373" s="24" t="inlineStr">
        <is>
          <t>Orense</t>
        </is>
      </c>
      <c r="AR373" s="24" t="inlineStr">
        <is>
          <t>Orense</t>
        </is>
      </c>
      <c r="AS373" s="24" t="inlineStr">
        <is>
          <t>Manta F.C.</t>
        </is>
      </c>
      <c r="AT373" s="24" t="inlineStr">
        <is>
          <t>Manta F.C.</t>
        </is>
      </c>
      <c r="AU373" s="24" t="inlineStr">
        <is>
          <t>Manta F.C.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3d16277c2cfc0628d7ec79d04feee92735e5c503a3be195cb225c7c52d024308</t>
        </is>
      </c>
      <c r="BB373" s="24" t="inlineStr">
        <is>
          <t>poisson_dixon_coles</t>
        </is>
      </c>
      <c r="BC373" s="24" t="inlineStr">
        <is>
          <t>soccer-poisson-dc-v1</t>
        </is>
      </c>
      <c r="BD373" s="24" t="inlineStr">
        <is>
          <t>3d16277c2cfc0628d7ec79d04feee92735e5c503a3be195cb225c7c52d024308</t>
        </is>
      </c>
      <c r="BE373" s="24" t="inlineStr">
        <is>
          <t>soccer-poisson-dc-v1</t>
        </is>
      </c>
      <c r="BF373" s="24" t="inlineStr">
        <is>
          <t>1</t>
        </is>
      </c>
      <c r="BG373" s="24" t="inlineStr">
        <is>
          <t>3d16277c2cfc0628d7ec79d04feee92735e5c503a3be195cb225c7c52d024308</t>
        </is>
      </c>
      <c r="BH373" s="24" t="inlineStr">
        <is>
          <t>2026-09-21T16:14:03.974259Z</t>
        </is>
      </c>
      <c r="BI373" s="24" t="inlineStr">
        <is>
          <t>["same_event","same_team_same_day","same_league_same_day"]</t>
        </is>
      </c>
      <c r="BJ373" s="25" t="n"/>
      <c r="BK373" s="26" t="n">
        <v>203</v>
      </c>
      <c r="BL373" s="27" t="n">
        <v>3.03</v>
      </c>
      <c r="BM373" s="28" t="n">
        <v>0.330033</v>
      </c>
      <c r="BN373" s="28" t="n"/>
      <c r="BO373" s="28" t="n"/>
      <c r="BP373" s="25" t="n"/>
      <c r="BQ373" s="27" t="n">
        <v>3.03</v>
      </c>
      <c r="BR373" s="28" t="n">
        <v>0.33</v>
      </c>
      <c r="BS373" s="28" t="n"/>
      <c r="BT373" s="28" t="n"/>
      <c r="BU373" s="25" t="n"/>
      <c r="BV373" s="29" t="n"/>
      <c r="BW373" s="24" t="n"/>
      <c r="BX373" s="30" t="n">
        <v>1</v>
      </c>
      <c r="BY373" s="27" t="n">
        <v>2.03</v>
      </c>
      <c r="BZ373" s="24" t="inlineStr">
        <is>
          <t>2026-09-21T22:00:15.617360Z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0.330033</t>
        </is>
      </c>
      <c r="DK373" s="24" t="n"/>
      <c r="DL373" s="24" t="n"/>
      <c r="DM373" s="24" t="n"/>
      <c r="DN373" s="24" t="n"/>
      <c r="DO373" s="24" t="n"/>
      <c r="DP373" s="24" t="n"/>
      <c r="DQ373" s="24" t="inlineStr">
        <is>
          <t>{"artifact_hash": "3d16277c2cfc0628d7ec79d04feee92735e5c503a3be195cb225c7c52d024308", "away_team": "Orense", "event_id": "401921389", "event_start_utc": "2026-09-21T19:00Z", "features": {"away_goal_rate": 1.1038, "history_games": 9181, "home_goal_rate": 1.7153, "league_goals_per_team": 1.4281, "min_team_games": 0.0}, "historical_source_observation_times_verified": false, "home_team": "Manta F.C.",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"2026-09-21T16:15:54.857961+00:00", "probabilities": {"away": 0.233138, "draw": 0.261355, "home": 0.505507}, "replay_scope": "Exact full-precision serving state and rounding; upstream historical observation times are not certified.", "schema": "coded-moneyline-replay-v1", "snapshot_hash": "f99c005fd7d49bc2bb6bb343a42404d7faf22949e9a3c7f5700d2c4ed0ade412", "sport": "SOCCER"}</t>
        </is>
      </c>
    </row>
    <row r="374" ht="36" customHeight="1">
      <c r="A374" s="24" t="inlineStr">
        <is>
          <t>a5b162af42b445de</t>
        </is>
      </c>
      <c r="B374" s="24" t="inlineStr">
        <is>
          <t>2026-09-23T22:33:34.605436Z</t>
        </is>
      </c>
      <c r="C374" s="24" t="inlineStr">
        <is>
          <t>2026-09-24T01:30Z</t>
        </is>
      </c>
      <c r="D374" s="24" t="inlineStr">
        <is>
          <t>761543</t>
        </is>
      </c>
      <c r="E374" s="24" t="inlineStr">
        <is>
          <t>SOCCER</t>
        </is>
      </c>
      <c r="F374" s="24" t="inlineStr">
        <is>
          <t>Real Salt Lake</t>
        </is>
      </c>
      <c r="G374" s="24" t="inlineStr">
        <is>
          <t>Seattle Sounders FC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-113</v>
      </c>
      <c r="M374" s="27" t="n">
        <v>1.884956</v>
      </c>
      <c r="N374" s="28" t="n">
        <v>0.530516</v>
      </c>
      <c r="O374" s="28" t="n">
        <v>0.434847</v>
      </c>
      <c r="P374" s="28" t="n">
        <v>0.04</v>
      </c>
      <c r="Q374" s="28" t="n">
        <v>-0.095669</v>
      </c>
      <c r="R374" s="26" t="n">
        <v>0</v>
      </c>
      <c r="S374" s="29" t="n">
        <v>1</v>
      </c>
      <c r="T374" s="24" t="inlineStr">
        <is>
          <t>soccer-poisson-dc-v1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2</v>
      </c>
      <c r="Y374" s="25" t="n"/>
      <c r="Z374" s="26" t="n">
        <v>-113</v>
      </c>
      <c r="AA374" s="28" t="n">
        <v>0.53</v>
      </c>
      <c r="AB374" s="28" t="n">
        <v>-0.000516</v>
      </c>
      <c r="AC374" s="30" t="n">
        <v>0.885</v>
      </c>
      <c r="AD374" s="24" t="inlineStr">
        <is>
          <t>2026-09-24T04:31:26.073864Z</t>
        </is>
      </c>
      <c r="AE374" s="31" t="inlineStr">
        <is>
          <t>Poisson-DC rates 1.58 (home) / 1.27 (away) from EWMA attack/defense strengths. Executable ask 0.5300 (atc-mls-sea-rsl-2026-09-23-sea).</t>
        </is>
      </c>
      <c r="AF374" s="31" t="inlineStr">
        <is>
          <t>Research-only soccer score model; draw-aware, but not yet locked-holdout qualified.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Real Salt Lake</t>
        </is>
      </c>
      <c r="AQ374" s="24" t="inlineStr">
        <is>
          <t>Real Salt Lake</t>
        </is>
      </c>
      <c r="AR374" s="24" t="inlineStr">
        <is>
          <t>Real Salt Lake</t>
        </is>
      </c>
      <c r="AS374" s="24" t="inlineStr">
        <is>
          <t>Seattle Sounders FC</t>
        </is>
      </c>
      <c r="AT374" s="24" t="inlineStr">
        <is>
          <t>Seattle Sounders FC</t>
        </is>
      </c>
      <c r="AU374" s="24" t="inlineStr">
        <is>
          <t>Seattle Sounders FC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3d16277c2cfc0628d7ec79d04feee92735e5c503a3be195cb225c7c52d024308</t>
        </is>
      </c>
      <c r="BB374" s="24" t="inlineStr">
        <is>
          <t>poisson_dixon_coles</t>
        </is>
      </c>
      <c r="BC374" s="24" t="inlineStr">
        <is>
          <t>soccer-poisson-dc-v1</t>
        </is>
      </c>
      <c r="BD374" s="24" t="inlineStr">
        <is>
          <t>3d16277c2cfc0628d7ec79d04feee92735e5c503a3be195cb225c7c52d024308</t>
        </is>
      </c>
      <c r="BE374" s="24" t="inlineStr">
        <is>
          <t>soccer-poisson-dc-v1</t>
        </is>
      </c>
      <c r="BF374" s="24" t="inlineStr">
        <is>
          <t>1</t>
        </is>
      </c>
      <c r="BG374" s="24" t="inlineStr">
        <is>
          <t>3d16277c2cfc0628d7ec79d04feee92735e5c503a3be195cb225c7c52d024308</t>
        </is>
      </c>
      <c r="BH374" s="24" t="inlineStr">
        <is>
          <t>2026-09-23T10:04:42.245953Z</t>
        </is>
      </c>
      <c r="BI374" s="24" t="inlineStr">
        <is>
          <t>["same_event","same_team_same_day","same_league_same_day"]</t>
        </is>
      </c>
      <c r="BJ374" s="25" t="n"/>
      <c r="BK374" s="26" t="n">
        <v>-113</v>
      </c>
      <c r="BL374" s="27" t="n">
        <v>1.884956</v>
      </c>
      <c r="BM374" s="28" t="n">
        <v>0.530516</v>
      </c>
      <c r="BN374" s="28" t="n"/>
      <c r="BO374" s="28" t="n"/>
      <c r="BP374" s="25" t="n"/>
      <c r="BQ374" s="27" t="n">
        <v>1.884956</v>
      </c>
      <c r="BR374" s="28" t="n">
        <v>0.53</v>
      </c>
      <c r="BS374" s="28" t="n"/>
      <c r="BT374" s="28" t="n"/>
      <c r="BU374" s="25" t="n"/>
      <c r="BV374" s="29" t="n"/>
      <c r="BW374" s="24" t="n"/>
      <c r="BX374" s="30" t="n">
        <v>1</v>
      </c>
      <c r="BY374" s="27" t="n">
        <v>0.884957</v>
      </c>
      <c r="BZ374" s="24" t="inlineStr">
        <is>
          <t>2026-09-24T04:31:26.073864Z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0.530516</t>
        </is>
      </c>
      <c r="DK374" s="24" t="n"/>
      <c r="DL374" s="24" t="n"/>
      <c r="DM374" s="24" t="n"/>
      <c r="DN374" s="24" t="n"/>
      <c r="DO374" s="24" t="n"/>
      <c r="DP374" s="24" t="n"/>
      <c r="DQ374" s="24" t="inlineStr">
        <is>
          <t>{"artifact_hash": "3d16277c2cfc0628d7ec79d04feee92735e5c503a3be195cb225c7c52d024308", "away_team": "Real Salt Lake", "event_id": "761543", "event_start_utc": "2026-09-24T01:30Z", "features": {"away_goal_rate": 1.2668, "history_games": 9181, "home_goal_rate": 1.5789, "league_goals_per_team": 1.5536, "min_team_games": 85.0}, "historical_source_observation_times_verified": false, "home_team": "Seattle Sounders FC", "inference_inputs": {"away_rate": 1.2667780072176111, "code_sha256": {"models/soccer.py": "3d16277c2cfc0628d7ec79d04feee92735e5c503a3be195cb225c7c52d024308"}, "home_rate": 1.5788846669308263, "sport": "SOCCER"}, "market_type": "moneyline", "model_version": "soccer-poisson-dc-v1", "observed_at_utc": "2026-09-23T22:33:33.659462+00:00", "probabilities": {"away": 0.294856, "draw": 0.270297, "home": 0.434847}, "replay_scope": "Exact full-precision serving state and rounding; upstream historical observation times are not certified.", "schema": "coded-moneyline-replay-v1", "snapshot_hash": "b8c8c7022bcd89b5cae662cae42a049505a424cf07d56faab2d92ecc6745871e", "sport": "SOCCER"}</t>
        </is>
      </c>
    </row>
    <row r="375" ht="36" customHeight="1">
      <c r="A375" s="24" t="inlineStr">
        <is>
          <t>80f561fce3334658</t>
        </is>
      </c>
      <c r="B375" s="24" t="inlineStr">
        <is>
          <t>2026-09-25T10:11:59.480578Z</t>
        </is>
      </c>
      <c r="C375" s="24" t="inlineStr">
        <is>
          <t>2026-09-25T14:00Z</t>
        </is>
      </c>
      <c r="D375" s="24" t="inlineStr">
        <is>
          <t>401914098</t>
        </is>
      </c>
      <c r="E375" s="24" t="inlineStr">
        <is>
          <t>SOCCER</t>
        </is>
      </c>
      <c r="F375" s="24" t="inlineStr">
        <is>
          <t>Panama</t>
        </is>
      </c>
      <c r="G375" s="24" t="inlineStr">
        <is>
          <t>India</t>
        </is>
      </c>
      <c r="H375" s="24" t="inlineStr">
        <is>
          <t>total</t>
        </is>
      </c>
      <c r="I375" s="24" t="inlineStr">
        <is>
          <t>under</t>
        </is>
      </c>
      <c r="J375" s="25" t="n">
        <v>2.5</v>
      </c>
      <c r="K375" s="24" t="inlineStr">
        <is>
          <t>polymarket_us</t>
        </is>
      </c>
      <c r="L375" s="26" t="n">
        <v>122</v>
      </c>
      <c r="M375" s="27" t="n">
        <v>2.22</v>
      </c>
      <c r="N375" s="28" t="n">
        <v>0.45045</v>
      </c>
      <c r="O375" s="28" t="n">
        <v>0.537927</v>
      </c>
      <c r="P375" s="28" t="n">
        <v>0.2</v>
      </c>
      <c r="Q375" s="28" t="n">
        <v>0.087477</v>
      </c>
      <c r="R375" s="26" t="n">
        <v>0</v>
      </c>
      <c r="S375" s="29" t="n">
        <v>1</v>
      </c>
      <c r="T375" s="24" t="inlineStr">
        <is>
          <t>soccer-poisson-dc-v1</t>
        </is>
      </c>
      <c r="U375" s="24" t="inlineStr">
        <is>
          <t>settled</t>
        </is>
      </c>
      <c r="V375" s="24" t="inlineStr">
        <is>
          <t>win</t>
        </is>
      </c>
      <c r="W375" s="26" t="n">
        <v>1</v>
      </c>
      <c r="X375" s="26" t="n">
        <v>1</v>
      </c>
      <c r="Y375" s="25" t="n"/>
      <c r="Z375" s="26" t="n">
        <v>122</v>
      </c>
      <c r="AA375" s="28" t="n">
        <v>0.45</v>
      </c>
      <c r="AB375" s="28" t="n">
        <v>-0.00045</v>
      </c>
      <c r="AC375" s="30" t="n">
        <v>1.22</v>
      </c>
      <c r="AD375" s="24" t="inlineStr">
        <is>
          <t>2026-09-25T22:00:13.577284Z</t>
        </is>
      </c>
      <c r="AE375" s="31" t="inlineStr">
        <is>
          <t>Poisson-DC rates 1.62 (home) / 0.90 (away) from EWMA attack/defense strengths. Executable ask 0.4500 (tsc-intf-ind-pan-2026-09-25-2pt5).</t>
        </is>
      </c>
      <c r="AF375" s="31" t="inlineStr">
        <is>
          <t>Research-only soccer score model; draw-aware, but not yet locked-holdout qualified.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Panama</t>
        </is>
      </c>
      <c r="AQ375" s="24" t="inlineStr">
        <is>
          <t>Panama</t>
        </is>
      </c>
      <c r="AR375" s="24" t="inlineStr">
        <is>
          <t>Panama</t>
        </is>
      </c>
      <c r="AS375" s="24" t="inlineStr">
        <is>
          <t>India</t>
        </is>
      </c>
      <c r="AT375" s="24" t="inlineStr">
        <is>
          <t>India</t>
        </is>
      </c>
      <c r="AU375" s="24" t="inlineStr">
        <is>
          <t>India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3d16277c2cfc0628d7ec79d04feee92735e5c503a3be195cb225c7c52d024308</t>
        </is>
      </c>
      <c r="BB375" s="24" t="inlineStr">
        <is>
          <t>poisson_dixon_coles</t>
        </is>
      </c>
      <c r="BC375" s="24" t="inlineStr">
        <is>
          <t>soccer-poisson-dc-v1</t>
        </is>
      </c>
      <c r="BD375" s="24" t="inlineStr">
        <is>
          <t>3d16277c2cfc0628d7ec79d04feee92735e5c503a3be195cb225c7c52d024308</t>
        </is>
      </c>
      <c r="BE375" s="24" t="inlineStr">
        <is>
          <t>soccer-poisson-dc-v1</t>
        </is>
      </c>
      <c r="BF375" s="24" t="inlineStr">
        <is>
          <t>1</t>
        </is>
      </c>
      <c r="BG375" s="24" t="inlineStr">
        <is>
          <t>3d16277c2cfc0628d7ec79d04feee92735e5c503a3be195cb225c7c52d024308</t>
        </is>
      </c>
      <c r="BH375" s="24" t="inlineStr">
        <is>
          <t>2026-09-25T10:06:53.178679Z</t>
        </is>
      </c>
      <c r="BI375" s="24" t="inlineStr">
        <is>
          <t>["same_event","same_team_same_day","same_league_same_day"]</t>
        </is>
      </c>
      <c r="BJ375" s="25" t="n">
        <v>2.5</v>
      </c>
      <c r="BK375" s="26" t="n">
        <v>122</v>
      </c>
      <c r="BL375" s="27" t="n">
        <v>2.22</v>
      </c>
      <c r="BM375" s="28" t="n">
        <v>0.45045</v>
      </c>
      <c r="BN375" s="28" t="n"/>
      <c r="BO375" s="28" t="n"/>
      <c r="BP375" s="25" t="n"/>
      <c r="BQ375" s="27" t="n">
        <v>2.22</v>
      </c>
      <c r="BR375" s="28" t="n">
        <v>0.45</v>
      </c>
      <c r="BS375" s="28" t="n"/>
      <c r="BT375" s="28" t="n"/>
      <c r="BU375" s="25" t="n"/>
      <c r="BV375" s="29" t="n"/>
      <c r="BW375" s="24" t="n"/>
      <c r="BX375" s="30" t="n">
        <v>1</v>
      </c>
      <c r="BY375" s="27" t="n">
        <v>1.220002</v>
      </c>
      <c r="BZ375" s="24" t="inlineStr">
        <is>
          <t>2026-09-25T22:00:13.577284Z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0.45045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0527baa28af6498c</t>
        </is>
      </c>
      <c r="B376" s="24" t="inlineStr">
        <is>
          <t>2026-09-26T15:00:59.731451Z</t>
        </is>
      </c>
      <c r="C376" s="24" t="inlineStr">
        <is>
          <t>2026-09-26T18:00Z</t>
        </is>
      </c>
      <c r="D376" s="24" t="inlineStr">
        <is>
          <t>401923663</t>
        </is>
      </c>
      <c r="E376" s="24" t="inlineStr">
        <is>
          <t>SOCCER</t>
        </is>
      </c>
      <c r="F376" s="24" t="inlineStr">
        <is>
          <t>Nacional</t>
        </is>
      </c>
      <c r="G376" s="24" t="inlineStr">
        <is>
          <t>Cerro Largo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426</v>
      </c>
      <c r="M376" s="27" t="n">
        <v>5.26</v>
      </c>
      <c r="N376" s="28" t="n">
        <v>0.190114</v>
      </c>
      <c r="O376" s="28" t="n">
        <v>0.456135</v>
      </c>
      <c r="P376" s="28" t="n">
        <v>0.2</v>
      </c>
      <c r="Q376" s="28" t="n">
        <v>0.266021</v>
      </c>
      <c r="R376" s="26" t="n">
        <v>63</v>
      </c>
      <c r="S376" s="29" t="n">
        <v>1.5</v>
      </c>
      <c r="T376" s="24" t="inlineStr">
        <is>
          <t>soccer-poisson-dc-v1</t>
        </is>
      </c>
      <c r="U376" s="24" t="inlineStr">
        <is>
          <t>settled</t>
        </is>
      </c>
      <c r="V376" s="24" t="inlineStr">
        <is>
          <t>loss</t>
        </is>
      </c>
      <c r="W376" s="26" t="n">
        <v>2</v>
      </c>
      <c r="X376" s="26" t="n">
        <v>0</v>
      </c>
      <c r="Y376" s="25" t="n"/>
      <c r="Z376" s="26" t="n">
        <v>426</v>
      </c>
      <c r="AA376" s="28" t="n">
        <v>0.19</v>
      </c>
      <c r="AB376" s="28" t="n">
        <v>-0.000114</v>
      </c>
      <c r="AC376" s="30" t="n">
        <v>-1.5</v>
      </c>
      <c r="AD376" s="24" t="inlineStr">
        <is>
          <t>2026-09-26T22:00:33.172679Z</t>
        </is>
      </c>
      <c r="AE376" s="31" t="inlineStr">
        <is>
          <t>Poisson-DC rates 1.64 (home) / 1.24 (away) from EWMA attack/defense strengths. Executable ask 0.1900 (atc-uru1-cla-nac-2026-09-26-cla).</t>
        </is>
      </c>
      <c r="AF376" s="31" t="inlineStr">
        <is>
          <t>Research-only soccer score model; draw-aware, but not yet locked-holdout qualified.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Nacional</t>
        </is>
      </c>
      <c r="AQ376" s="24" t="inlineStr">
        <is>
          <t>Nacional</t>
        </is>
      </c>
      <c r="AR376" s="24" t="inlineStr">
        <is>
          <t>Nacional</t>
        </is>
      </c>
      <c r="AS376" s="24" t="inlineStr">
        <is>
          <t>Cerro Largo</t>
        </is>
      </c>
      <c r="AT376" s="24" t="inlineStr">
        <is>
          <t>Cerro Largo</t>
        </is>
      </c>
      <c r="AU376" s="24" t="inlineStr">
        <is>
          <t>Cerro Largo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3d16277c2cfc0628d7ec79d04feee92735e5c503a3be195cb225c7c52d024308</t>
        </is>
      </c>
      <c r="BB376" s="24" t="inlineStr">
        <is>
          <t>poisson_dixon_coles</t>
        </is>
      </c>
      <c r="BC376" s="24" t="inlineStr">
        <is>
          <t>soccer-poisson-dc-v1</t>
        </is>
      </c>
      <c r="BD376" s="24" t="inlineStr">
        <is>
          <t>3d16277c2cfc0628d7ec79d04feee92735e5c503a3be195cb225c7c52d024308</t>
        </is>
      </c>
      <c r="BE376" s="24" t="inlineStr">
        <is>
          <t>soccer-poisson-dc-v1</t>
        </is>
      </c>
      <c r="BF376" s="24" t="inlineStr">
        <is>
          <t>1</t>
        </is>
      </c>
      <c r="BG376" s="24" t="inlineStr">
        <is>
          <t>3d16277c2cfc0628d7ec79d04feee92735e5c503a3be195cb225c7c52d024308</t>
        </is>
      </c>
      <c r="BH376" s="24" t="inlineStr">
        <is>
          <t>2026-09-26T13:31:22.150401Z</t>
        </is>
      </c>
      <c r="BI376" s="24" t="inlineStr">
        <is>
          <t>["same_event","same_team_same_day","same_league_same_day"]</t>
        </is>
      </c>
      <c r="BJ376" s="25" t="n"/>
      <c r="BK376" s="26" t="n">
        <v>426</v>
      </c>
      <c r="BL376" s="27" t="n">
        <v>5.26</v>
      </c>
      <c r="BM376" s="28" t="n">
        <v>0.190114</v>
      </c>
      <c r="BN376" s="28" t="n"/>
      <c r="BO376" s="28" t="n"/>
      <c r="BP376" s="25" t="n"/>
      <c r="BQ376" s="27" t="n">
        <v>5.26</v>
      </c>
      <c r="BR376" s="28" t="n">
        <v>0.19</v>
      </c>
      <c r="BS376" s="28" t="n"/>
      <c r="BT376" s="28" t="n"/>
      <c r="BU376" s="25" t="n"/>
      <c r="BV376" s="29" t="n"/>
      <c r="BW376" s="24" t="n"/>
      <c r="BX376" s="30" t="n">
        <v>1</v>
      </c>
      <c r="BY376" s="27" t="n">
        <v>-1</v>
      </c>
      <c r="BZ376" s="24" t="inlineStr">
        <is>
          <t>2026-09-26T22:00:33.172679Z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0.190114</t>
        </is>
      </c>
      <c r="DK376" s="24" t="n"/>
      <c r="DL376" s="24" t="n"/>
      <c r="DM376" s="24" t="n"/>
      <c r="DN376" s="24" t="n"/>
      <c r="DO376" s="24" t="n"/>
      <c r="DP376" s="24" t="n"/>
      <c r="DQ376" s="24" t="inlineStr">
        <is>
          <t>{"artifact_hash": "3d16277c2cfc0628d7ec79d04feee92735e5c503a3be195cb225c7c52d024308", "away_team": "Nacional", "event_id": "401923663", "event_start_utc": "2026-09-26T18:00Z", "features": {"away_goal_rate": 1.2418, "history_games": 9181, "home_goal_rate": 1.6423, "league_goals_per_team": 1.4281, "min_team_games": 0.0}, "historical_source_observation_times_verified": false, "home_team": "Cerro Largo",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"2026-09-26T15:00:58.304245+00:00", "probabilities": {"away": 0.278015, "draw": 0.265851, "home": 0.456135}, "replay_scope": "Exact full-precision serving state and rounding; upstream historical observation times are not certified.", "schema": "coded-moneyline-replay-v1", "snapshot_hash": "198a67174626e04a6135b7d0a569043e9729901da3cb3cc42382ad5074c2e0af", "sport": "SOCCER"}</t>
        </is>
      </c>
    </row>
    <row r="377" ht="36" customHeight="1">
      <c r="A377" s="24" t="inlineStr">
        <is>
          <t>737135678c1d4039</t>
        </is>
      </c>
      <c r="B377" s="24" t="inlineStr">
        <is>
          <t>2026-09-26T22:34:30.426396Z</t>
        </is>
      </c>
      <c r="C377" s="24" t="inlineStr">
        <is>
          <t>2026-09-26T23:30Z</t>
        </is>
      </c>
      <c r="D377" s="24" t="inlineStr">
        <is>
          <t>761830</t>
        </is>
      </c>
      <c r="E377" s="24" t="inlineStr">
        <is>
          <t>SOCCER</t>
        </is>
      </c>
      <c r="F377" s="24" t="inlineStr">
        <is>
          <t>New York City FC</t>
        </is>
      </c>
      <c r="G377" s="24" t="inlineStr">
        <is>
          <t>Atlanta United FC</t>
        </is>
      </c>
      <c r="H377" s="24" t="inlineStr">
        <is>
          <t>total</t>
        </is>
      </c>
      <c r="I377" s="24" t="inlineStr">
        <is>
          <t>under</t>
        </is>
      </c>
      <c r="J377" s="25" t="n">
        <v>2.5</v>
      </c>
      <c r="K377" s="24" t="inlineStr">
        <is>
          <t>polymarket_us</t>
        </is>
      </c>
      <c r="L377" s="26" t="n">
        <v>138</v>
      </c>
      <c r="M377" s="27" t="n">
        <v>2.38</v>
      </c>
      <c r="N377" s="28" t="n">
        <v>0.420168</v>
      </c>
      <c r="O377" s="28" t="n">
        <v>0.556258</v>
      </c>
      <c r="P377" s="28" t="n">
        <v>0.04</v>
      </c>
      <c r="Q377" s="28" t="n">
        <v>0.13609</v>
      </c>
      <c r="R377" s="26" t="n">
        <v>94</v>
      </c>
      <c r="S377" s="29" t="n">
        <v>1.75</v>
      </c>
      <c r="T377" s="24" t="inlineStr">
        <is>
          <t>soccer-poisson-dc-v1</t>
        </is>
      </c>
      <c r="U377" s="24" t="inlineStr">
        <is>
          <t>settled</t>
        </is>
      </c>
      <c r="V377" s="24" t="inlineStr">
        <is>
          <t>loss</t>
        </is>
      </c>
      <c r="W377" s="26" t="n">
        <v>2</v>
      </c>
      <c r="X377" s="26" t="n">
        <v>2</v>
      </c>
      <c r="Y377" s="25" t="n"/>
      <c r="Z377" s="26" t="n">
        <v>138</v>
      </c>
      <c r="AA377" s="28" t="n">
        <v>0.42</v>
      </c>
      <c r="AB377" s="28" t="n">
        <v>-0.000168</v>
      </c>
      <c r="AC377" s="30" t="n">
        <v>-1.75</v>
      </c>
      <c r="AD377" s="24" t="inlineStr">
        <is>
          <t>2026-09-27T04:31:40.901617Z</t>
        </is>
      </c>
      <c r="AE377" s="31" t="inlineStr">
        <is>
          <t>Poisson-DC rates 1.06 (home) / 1.39 (away) from EWMA attack/defense strengths. Executable ask 0.4200 (tsc-mls-atl-nyc-2026-09-26-2pt5).</t>
        </is>
      </c>
      <c r="AF377" s="31" t="inlineStr">
        <is>
          <t>Research-only soccer score model; draw-aware, but not yet locked-holdout qualified.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New York City FC</t>
        </is>
      </c>
      <c r="AQ377" s="24" t="inlineStr">
        <is>
          <t>New York City FC</t>
        </is>
      </c>
      <c r="AR377" s="24" t="inlineStr">
        <is>
          <t>New York City FC</t>
        </is>
      </c>
      <c r="AS377" s="24" t="inlineStr">
        <is>
          <t>Atlanta United FC</t>
        </is>
      </c>
      <c r="AT377" s="24" t="inlineStr">
        <is>
          <t>Atlanta United FC</t>
        </is>
      </c>
      <c r="AU377" s="24" t="inlineStr">
        <is>
          <t>Atlanta United FC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3d16277c2cfc0628d7ec79d04feee92735e5c503a3be195cb225c7c52d024308</t>
        </is>
      </c>
      <c r="BB377" s="24" t="inlineStr">
        <is>
          <t>poisson_dixon_coles</t>
        </is>
      </c>
      <c r="BC377" s="24" t="inlineStr">
        <is>
          <t>soccer-poisson-dc-v1</t>
        </is>
      </c>
      <c r="BD377" s="24" t="inlineStr">
        <is>
          <t>3d16277c2cfc0628d7ec79d04feee92735e5c503a3be195cb225c7c52d024308</t>
        </is>
      </c>
      <c r="BE377" s="24" t="inlineStr">
        <is>
          <t>soccer-poisson-dc-v1</t>
        </is>
      </c>
      <c r="BF377" s="24" t="inlineStr">
        <is>
          <t>1</t>
        </is>
      </c>
      <c r="BG377" s="24" t="inlineStr">
        <is>
          <t>3d16277c2cfc0628d7ec79d04feee92735e5c503a3be195cb225c7c52d024308</t>
        </is>
      </c>
      <c r="BH377" s="24" t="inlineStr">
        <is>
          <t>2026-09-26T13:14:59.029994Z</t>
        </is>
      </c>
      <c r="BI377" s="24" t="inlineStr">
        <is>
          <t>["same_event","same_team_same_day","same_league_same_day"]</t>
        </is>
      </c>
      <c r="BJ377" s="25" t="n">
        <v>2.5</v>
      </c>
      <c r="BK377" s="26" t="n">
        <v>138</v>
      </c>
      <c r="BL377" s="27" t="n">
        <v>2.38</v>
      </c>
      <c r="BM377" s="28" t="n">
        <v>0.420168</v>
      </c>
      <c r="BN377" s="28" t="n"/>
      <c r="BO377" s="28" t="n"/>
      <c r="BP377" s="25" t="n"/>
      <c r="BQ377" s="27" t="n">
        <v>2.38</v>
      </c>
      <c r="BR377" s="28" t="n">
        <v>0.42</v>
      </c>
      <c r="BS377" s="28" t="n"/>
      <c r="BT377" s="28" t="n"/>
      <c r="BU377" s="25" t="n"/>
      <c r="BV377" s="29" t="n"/>
      <c r="BW377" s="24" t="n"/>
      <c r="BX377" s="30" t="n">
        <v>1</v>
      </c>
      <c r="BY377" s="27" t="n">
        <v>-1</v>
      </c>
      <c r="BZ377" s="24" t="inlineStr">
        <is>
          <t>2026-09-27T04:31:40.901617Z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0.420168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47c02e3c940c45de</t>
        </is>
      </c>
      <c r="B378" s="24" t="inlineStr">
        <is>
          <t>2026-09-26T22:34:30.426396Z</t>
        </is>
      </c>
      <c r="C378" s="24" t="inlineStr">
        <is>
          <t>2026-09-27T00:30Z</t>
        </is>
      </c>
      <c r="D378" s="24" t="inlineStr">
        <is>
          <t>761838</t>
        </is>
      </c>
      <c r="E378" s="24" t="inlineStr">
        <is>
          <t>SOCCER</t>
        </is>
      </c>
      <c r="F378" s="24" t="inlineStr">
        <is>
          <t>Toronto FC</t>
        </is>
      </c>
      <c r="G378" s="24" t="inlineStr">
        <is>
          <t>Nashville SC</t>
        </is>
      </c>
      <c r="H378" s="24" t="inlineStr">
        <is>
          <t>total</t>
        </is>
      </c>
      <c r="I378" s="24" t="inlineStr">
        <is>
          <t>over</t>
        </is>
      </c>
      <c r="J378" s="25" t="n">
        <v>2.5</v>
      </c>
      <c r="K378" s="24" t="inlineStr">
        <is>
          <t>polymarket_us</t>
        </is>
      </c>
      <c r="L378" s="26" t="n">
        <v>-614</v>
      </c>
      <c r="M378" s="27" t="n">
        <v>1.162866</v>
      </c>
      <c r="N378" s="28" t="n">
        <v>0.859944</v>
      </c>
      <c r="O378" s="28" t="n">
        <v>0.628258</v>
      </c>
      <c r="P378" s="28" t="n">
        <v>0.04</v>
      </c>
      <c r="Q378" s="28" t="n">
        <v>-0.231686</v>
      </c>
      <c r="R378" s="26" t="n">
        <v>0</v>
      </c>
      <c r="S378" s="29" t="n">
        <v>1</v>
      </c>
      <c r="T378" s="24" t="inlineStr">
        <is>
          <t>soccer-poisson-dc-v1</t>
        </is>
      </c>
      <c r="U378" s="24" t="inlineStr">
        <is>
          <t>settled</t>
        </is>
      </c>
      <c r="V378" s="24" t="inlineStr">
        <is>
          <t>loss</t>
        </is>
      </c>
      <c r="W378" s="26" t="n">
        <v>0</v>
      </c>
      <c r="X378" s="26" t="n">
        <v>2</v>
      </c>
      <c r="Y378" s="25" t="n"/>
      <c r="Z378" s="26" t="n">
        <v>-614</v>
      </c>
      <c r="AA378" s="28" t="n">
        <v>0.86</v>
      </c>
      <c r="AB378" s="28" t="n">
        <v>5.6e-05</v>
      </c>
      <c r="AC378" s="30" t="n">
        <v>-1</v>
      </c>
      <c r="AD378" s="24" t="inlineStr">
        <is>
          <t>2026-09-27T04:31:42.212005Z</t>
        </is>
      </c>
      <c r="AE378" s="31" t="inlineStr">
        <is>
          <t>Poisson-DC rates 2.36 (home) / 0.87 (away) from EWMA attack/defense strengths. Executable ask 0.8600 (tsc-mls-nas-tor-2026-09-26-sh-2pt5).</t>
        </is>
      </c>
      <c r="AF378" s="31" t="inlineStr">
        <is>
          <t>Research-only soccer score model; draw-aware, but not yet locked-holdout qualified.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Toronto FC</t>
        </is>
      </c>
      <c r="AQ378" s="24" t="inlineStr">
        <is>
          <t>Toronto FC</t>
        </is>
      </c>
      <c r="AR378" s="24" t="inlineStr">
        <is>
          <t>Toronto FC</t>
        </is>
      </c>
      <c r="AS378" s="24" t="inlineStr">
        <is>
          <t>Nashville SC</t>
        </is>
      </c>
      <c r="AT378" s="24" t="inlineStr">
        <is>
          <t>Nashville SC</t>
        </is>
      </c>
      <c r="AU378" s="24" t="inlineStr">
        <is>
          <t>Nashville SC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3d16277c2cfc0628d7ec79d04feee92735e5c503a3be195cb225c7c52d024308</t>
        </is>
      </c>
      <c r="BB378" s="24" t="inlineStr">
        <is>
          <t>poisson_dixon_coles</t>
        </is>
      </c>
      <c r="BC378" s="24" t="inlineStr">
        <is>
          <t>soccer-poisson-dc-v1</t>
        </is>
      </c>
      <c r="BD378" s="24" t="inlineStr">
        <is>
          <t>3d16277c2cfc0628d7ec79d04feee92735e5c503a3be195cb225c7c52d024308</t>
        </is>
      </c>
      <c r="BE378" s="24" t="inlineStr">
        <is>
          <t>soccer-poisson-dc-v1</t>
        </is>
      </c>
      <c r="BF378" s="24" t="inlineStr">
        <is>
          <t>1</t>
        </is>
      </c>
      <c r="BG378" s="24" t="inlineStr">
        <is>
          <t>3d16277c2cfc0628d7ec79d04feee92735e5c503a3be195cb225c7c52d024308</t>
        </is>
      </c>
      <c r="BH378" s="24" t="inlineStr">
        <is>
          <t>2026-09-26T22:32:03.527407Z</t>
        </is>
      </c>
      <c r="BI378" s="24" t="inlineStr">
        <is>
          <t>["same_event","same_team_same_day","same_league_same_day"]</t>
        </is>
      </c>
      <c r="BJ378" s="25" t="n">
        <v>2.5</v>
      </c>
      <c r="BK378" s="26" t="n">
        <v>-614</v>
      </c>
      <c r="BL378" s="27" t="n">
        <v>1.162866</v>
      </c>
      <c r="BM378" s="28" t="n">
        <v>0.859944</v>
      </c>
      <c r="BN378" s="28" t="n"/>
      <c r="BO378" s="28" t="n"/>
      <c r="BP378" s="25" t="n"/>
      <c r="BQ378" s="27" t="n">
        <v>1.162866</v>
      </c>
      <c r="BR378" s="28" t="n">
        <v>0.86</v>
      </c>
      <c r="BS378" s="28" t="n"/>
      <c r="BT378" s="28" t="n"/>
      <c r="BU378" s="25" t="n"/>
      <c r="BV378" s="29" t="n"/>
      <c r="BW378" s="24" t="n"/>
      <c r="BX378" s="30" t="n">
        <v>1</v>
      </c>
      <c r="BY378" s="27" t="n">
        <v>-1</v>
      </c>
      <c r="BZ378" s="24" t="inlineStr">
        <is>
          <t>2026-09-27T04:31:42.212005Z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0.859944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00276b115dd54e5f</t>
        </is>
      </c>
      <c r="B379" s="24" t="inlineStr">
        <is>
          <t>2026-09-26T22:34:30.426396Z</t>
        </is>
      </c>
      <c r="C379" s="24" t="inlineStr">
        <is>
          <t>2026-09-27T00:30Z</t>
        </is>
      </c>
      <c r="D379" s="24" t="inlineStr">
        <is>
          <t>761837</t>
        </is>
      </c>
      <c r="E379" s="24" t="inlineStr">
        <is>
          <t>SOCCER</t>
        </is>
      </c>
      <c r="F379" s="24" t="inlineStr">
        <is>
          <t>Minnesota United FC</t>
        </is>
      </c>
      <c r="G379" s="24" t="inlineStr">
        <is>
          <t>Seattle Sounders FC</t>
        </is>
      </c>
      <c r="H379" s="24" t="inlineStr">
        <is>
          <t>total</t>
        </is>
      </c>
      <c r="I379" s="24" t="inlineStr">
        <is>
          <t>under</t>
        </is>
      </c>
      <c r="J379" s="25" t="n">
        <v>2.5</v>
      </c>
      <c r="K379" s="24" t="inlineStr">
        <is>
          <t>polymarket_us</t>
        </is>
      </c>
      <c r="L379" s="26" t="n">
        <v>-355</v>
      </c>
      <c r="M379" s="27" t="n">
        <v>1.28169</v>
      </c>
      <c r="N379" s="28" t="n">
        <v>0.78022</v>
      </c>
      <c r="O379" s="28" t="n">
        <v>0.511137</v>
      </c>
      <c r="P379" s="28" t="n">
        <v>0.04</v>
      </c>
      <c r="Q379" s="28" t="n">
        <v>-0.269083</v>
      </c>
      <c r="R379" s="26" t="n">
        <v>0</v>
      </c>
      <c r="S379" s="29" t="n">
        <v>1</v>
      </c>
      <c r="T379" s="24" t="inlineStr">
        <is>
          <t>soccer-poisson-dc-v1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3</v>
      </c>
      <c r="Y379" s="25" t="n"/>
      <c r="Z379" s="26" t="n">
        <v>-355</v>
      </c>
      <c r="AA379" s="28" t="n">
        <v>0.78</v>
      </c>
      <c r="AB379" s="28" t="n">
        <v>-0.00022</v>
      </c>
      <c r="AC379" s="30" t="n">
        <v>-1</v>
      </c>
      <c r="AD379" s="24" t="inlineStr">
        <is>
          <t>2026-09-27T04:31:43.599150Z</t>
        </is>
      </c>
      <c r="AE379" s="31" t="inlineStr">
        <is>
          <t>Poisson-DC rates 1.56 (home) / 1.06 (away) from EWMA attack/defense strengths. Executable ask 0.7800 (tsc-mls-sea-min-2026-09-26-sh-2pt5).</t>
        </is>
      </c>
      <c r="AF379" s="31" t="inlineStr">
        <is>
          <t>Research-only soccer score model; draw-aware, but not yet locked-holdout qualified.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Minnesota United FC</t>
        </is>
      </c>
      <c r="AQ379" s="24" t="inlineStr">
        <is>
          <t>Minnesota United FC</t>
        </is>
      </c>
      <c r="AR379" s="24" t="inlineStr">
        <is>
          <t>Minnesota United FC</t>
        </is>
      </c>
      <c r="AS379" s="24" t="inlineStr">
        <is>
          <t>Seattle Sounders FC</t>
        </is>
      </c>
      <c r="AT379" s="24" t="inlineStr">
        <is>
          <t>Seattle Sounders FC</t>
        </is>
      </c>
      <c r="AU379" s="24" t="inlineStr">
        <is>
          <t>Seattle Sounders FC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3d16277c2cfc0628d7ec79d04feee92735e5c503a3be195cb225c7c52d024308</t>
        </is>
      </c>
      <c r="BB379" s="24" t="inlineStr">
        <is>
          <t>poisson_dixon_coles</t>
        </is>
      </c>
      <c r="BC379" s="24" t="inlineStr">
        <is>
          <t>soccer-poisson-dc-v1</t>
        </is>
      </c>
      <c r="BD379" s="24" t="inlineStr">
        <is>
          <t>3d16277c2cfc0628d7ec79d04feee92735e5c503a3be195cb225c7c52d024308</t>
        </is>
      </c>
      <c r="BE379" s="24" t="inlineStr">
        <is>
          <t>soccer-poisson-dc-v1</t>
        </is>
      </c>
      <c r="BF379" s="24" t="inlineStr">
        <is>
          <t>1</t>
        </is>
      </c>
      <c r="BG379" s="24" t="inlineStr">
        <is>
          <t>3d16277c2cfc0628d7ec79d04feee92735e5c503a3be195cb225c7c52d024308</t>
        </is>
      </c>
      <c r="BH379" s="24" t="inlineStr">
        <is>
          <t>2026-09-26T13:15:10.032052Z</t>
        </is>
      </c>
      <c r="BI379" s="24" t="inlineStr">
        <is>
          <t>["same_event","same_team_same_day","same_league_same_day"]</t>
        </is>
      </c>
      <c r="BJ379" s="25" t="n">
        <v>2.5</v>
      </c>
      <c r="BK379" s="26" t="n">
        <v>-355</v>
      </c>
      <c r="BL379" s="27" t="n">
        <v>1.28169</v>
      </c>
      <c r="BM379" s="28" t="n">
        <v>0.78022</v>
      </c>
      <c r="BN379" s="28" t="n"/>
      <c r="BO379" s="28" t="n"/>
      <c r="BP379" s="25" t="n"/>
      <c r="BQ379" s="27" t="n">
        <v>1.28169</v>
      </c>
      <c r="BR379" s="28" t="n">
        <v>0.78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2026-09-27T04:31:43.599150Z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0.78022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335c3d94267a470b</t>
        </is>
      </c>
      <c r="B380" s="24" t="inlineStr">
        <is>
          <t>2026-09-26T22:34:30.426396Z</t>
        </is>
      </c>
      <c r="C380" s="24" t="inlineStr">
        <is>
          <t>2026-09-27T02:30Z</t>
        </is>
      </c>
      <c r="D380" s="24" t="inlineStr">
        <is>
          <t>761842</t>
        </is>
      </c>
      <c r="E380" s="24" t="inlineStr">
        <is>
          <t>SOCCER</t>
        </is>
      </c>
      <c r="F380" s="24" t="inlineStr">
        <is>
          <t>D.C. United</t>
        </is>
      </c>
      <c r="G380" s="24" t="inlineStr">
        <is>
          <t>Vancouver Whitecaps</t>
        </is>
      </c>
      <c r="H380" s="24" t="inlineStr">
        <is>
          <t>total</t>
        </is>
      </c>
      <c r="I380" s="24" t="inlineStr">
        <is>
          <t>over</t>
        </is>
      </c>
      <c r="J380" s="25" t="n">
        <v>2.5</v>
      </c>
      <c r="K380" s="24" t="inlineStr">
        <is>
          <t>polymarket_us</t>
        </is>
      </c>
      <c r="L380" s="26" t="n">
        <v>-245</v>
      </c>
      <c r="M380" s="27" t="n">
        <v>1.408163</v>
      </c>
      <c r="N380" s="28" t="n">
        <v>0.710145</v>
      </c>
      <c r="O380" s="28" t="n">
        <v>0.741355</v>
      </c>
      <c r="P380" s="28" t="n">
        <v>0.04</v>
      </c>
      <c r="Q380" s="28" t="n">
        <v>0.03121</v>
      </c>
      <c r="R380" s="26" t="n">
        <v>42</v>
      </c>
      <c r="S380" s="29" t="n">
        <v>1</v>
      </c>
      <c r="T380" s="24" t="inlineStr">
        <is>
          <t>soccer-poisson-dc-v1</t>
        </is>
      </c>
      <c r="U380" s="24" t="inlineStr">
        <is>
          <t>settled</t>
        </is>
      </c>
      <c r="V380" s="24" t="inlineStr">
        <is>
          <t>win</t>
        </is>
      </c>
      <c r="W380" s="26" t="n">
        <v>3</v>
      </c>
      <c r="X380" s="26" t="n">
        <v>3</v>
      </c>
      <c r="Y380" s="25" t="n"/>
      <c r="Z380" s="26" t="n">
        <v>-245</v>
      </c>
      <c r="AA380" s="28" t="n">
        <v>0.71</v>
      </c>
      <c r="AB380" s="28" t="n">
        <v>-0.000145</v>
      </c>
      <c r="AC380" s="30" t="n">
        <v>0.4082</v>
      </c>
      <c r="AD380" s="24" t="inlineStr">
        <is>
          <t>2026-09-27T10:00:13.506531Z</t>
        </is>
      </c>
      <c r="AE380" s="31" t="inlineStr">
        <is>
          <t>Poisson-DC rates 2.99 (home) / 0.88 (away) from EWMA attack/defense strengths. Executable ask 0.7100 (tsc-mls-vwh-dcu-2026-09-26-2pt5).</t>
        </is>
      </c>
      <c r="AF380" s="31" t="inlineStr">
        <is>
          <t>Research-only soccer score model; draw-aware, but not yet locked-holdout qualified.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D.C. United</t>
        </is>
      </c>
      <c r="AQ380" s="24" t="inlineStr">
        <is>
          <t>D.C. United</t>
        </is>
      </c>
      <c r="AR380" s="24" t="inlineStr">
        <is>
          <t>D.C. United</t>
        </is>
      </c>
      <c r="AS380" s="24" t="inlineStr">
        <is>
          <t>Vancouver Whitecaps</t>
        </is>
      </c>
      <c r="AT380" s="24" t="inlineStr">
        <is>
          <t>Vancouver Whitecaps</t>
        </is>
      </c>
      <c r="AU380" s="24" t="inlineStr">
        <is>
          <t>Vancouver Whitecaps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3d16277c2cfc0628d7ec79d04feee92735e5c503a3be195cb225c7c52d024308</t>
        </is>
      </c>
      <c r="BB380" s="24" t="inlineStr">
        <is>
          <t>poisson_dixon_coles</t>
        </is>
      </c>
      <c r="BC380" s="24" t="inlineStr">
        <is>
          <t>soccer-poisson-dc-v1</t>
        </is>
      </c>
      <c r="BD380" s="24" t="inlineStr">
        <is>
          <t>3d16277c2cfc0628d7ec79d04feee92735e5c503a3be195cb225c7c52d024308</t>
        </is>
      </c>
      <c r="BE380" s="24" t="inlineStr">
        <is>
          <t>soccer-poisson-dc-v1</t>
        </is>
      </c>
      <c r="BF380" s="24" t="inlineStr">
        <is>
          <t>1</t>
        </is>
      </c>
      <c r="BG380" s="24" t="inlineStr">
        <is>
          <t>3d16277c2cfc0628d7ec79d04feee92735e5c503a3be195cb225c7c52d024308</t>
        </is>
      </c>
      <c r="BH380" s="24" t="inlineStr">
        <is>
          <t>2026-09-26T13:31:00.335464Z</t>
        </is>
      </c>
      <c r="BI380" s="24" t="inlineStr">
        <is>
          <t>["same_event","same_team_same_day","same_league_same_day"]</t>
        </is>
      </c>
      <c r="BJ380" s="25" t="n">
        <v>2.5</v>
      </c>
      <c r="BK380" s="26" t="n">
        <v>-245</v>
      </c>
      <c r="BL380" s="27" t="n">
        <v>1.408163</v>
      </c>
      <c r="BM380" s="28" t="n">
        <v>0.710145</v>
      </c>
      <c r="BN380" s="28" t="n"/>
      <c r="BO380" s="28" t="n"/>
      <c r="BP380" s="25" t="n"/>
      <c r="BQ380" s="27" t="n">
        <v>1.408163</v>
      </c>
      <c r="BR380" s="28" t="n">
        <v>0.71</v>
      </c>
      <c r="BS380" s="28" t="n"/>
      <c r="BT380" s="28" t="n"/>
      <c r="BU380" s="25" t="n"/>
      <c r="BV380" s="29" t="n"/>
      <c r="BW380" s="24" t="n"/>
      <c r="BX380" s="30" t="n">
        <v>1</v>
      </c>
      <c r="BY380" s="27" t="n">
        <v>0.408163</v>
      </c>
      <c r="BZ380" s="24" t="inlineStr">
        <is>
          <t>2026-09-27T10:00:13.506531Z</t>
        </is>
      </c>
      <c r="CA380" s="31" t="inlineStr">
        <is>
          <t>fixed one-unit hypothetical scoring; no real exposure or execution</t>
        </is>
      </c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0.710145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7adca054fee64235</t>
        </is>
      </c>
      <c r="B381" s="24" t="inlineStr">
        <is>
          <t>2026-09-26T22:34:30.426396Z</t>
        </is>
      </c>
      <c r="C381" s="24" t="inlineStr">
        <is>
          <t>2026-09-26T23:30Z</t>
        </is>
      </c>
      <c r="D381" s="24" t="inlineStr">
        <is>
          <t>761834</t>
        </is>
      </c>
      <c r="E381" s="24" t="inlineStr">
        <is>
          <t>SOCCER</t>
        </is>
      </c>
      <c r="F381" s="24" t="inlineStr">
        <is>
          <t>Orlando City SC</t>
        </is>
      </c>
      <c r="G381" s="24" t="inlineStr">
        <is>
          <t>Philadelphia Union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-170</v>
      </c>
      <c r="M381" s="27" t="n">
        <v>1.588235</v>
      </c>
      <c r="N381" s="28" t="n">
        <v>0.62963</v>
      </c>
      <c r="O381" s="28" t="n">
        <v>0.578495</v>
      </c>
      <c r="P381" s="28" t="n">
        <v>0.04</v>
      </c>
      <c r="Q381" s="28" t="n">
        <v>-0.051135</v>
      </c>
      <c r="R381" s="26" t="n">
        <v>0</v>
      </c>
      <c r="S381" s="29" t="n">
        <v>1</v>
      </c>
      <c r="T381" s="24" t="inlineStr">
        <is>
          <t>soccer-poisson-dc-v1</t>
        </is>
      </c>
      <c r="U381" s="24" t="inlineStr">
        <is>
          <t>settled</t>
        </is>
      </c>
      <c r="V381" s="24" t="inlineStr">
        <is>
          <t>win</t>
        </is>
      </c>
      <c r="W381" s="26" t="n">
        <v>2</v>
      </c>
      <c r="X381" s="26" t="n">
        <v>4</v>
      </c>
      <c r="Y381" s="25" t="n"/>
      <c r="Z381" s="26" t="n">
        <v>-170</v>
      </c>
      <c r="AA381" s="28" t="n">
        <v>0.63</v>
      </c>
      <c r="AB381" s="28" t="n">
        <v>0.00037</v>
      </c>
      <c r="AC381" s="30" t="n">
        <v>0.5881999999999999</v>
      </c>
      <c r="AD381" s="24" t="inlineStr">
        <is>
          <t>2026-09-27T04:31:44.886003Z</t>
        </is>
      </c>
      <c r="AE381" s="31" t="inlineStr">
        <is>
          <t>Poisson-DC rates 2.65 (home) / 1.68 (away) from EWMA attack/defense strengths. Executable ask 0.6300 (atc-mls-phi-orl-2026-09-26-phi).</t>
        </is>
      </c>
      <c r="AF381" s="31" t="inlineStr">
        <is>
          <t>Research-only soccer score model; draw-aware, but not yet locked-holdout qualified.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Orlando City SC</t>
        </is>
      </c>
      <c r="AQ381" s="24" t="inlineStr">
        <is>
          <t>Orlando City SC</t>
        </is>
      </c>
      <c r="AR381" s="24" t="inlineStr">
        <is>
          <t>Orlando City SC</t>
        </is>
      </c>
      <c r="AS381" s="24" t="inlineStr">
        <is>
          <t>Philadelphia Union</t>
        </is>
      </c>
      <c r="AT381" s="24" t="inlineStr">
        <is>
          <t>Philadelphia Union</t>
        </is>
      </c>
      <c r="AU381" s="24" t="inlineStr">
        <is>
          <t>Philadelphia Union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3d16277c2cfc0628d7ec79d04feee92735e5c503a3be195cb225c7c52d024308</t>
        </is>
      </c>
      <c r="BB381" s="24" t="inlineStr">
        <is>
          <t>poisson_dixon_coles</t>
        </is>
      </c>
      <c r="BC381" s="24" t="inlineStr">
        <is>
          <t>soccer-poisson-dc-v1</t>
        </is>
      </c>
      <c r="BD381" s="24" t="inlineStr">
        <is>
          <t>3d16277c2cfc0628d7ec79d04feee92735e5c503a3be195cb225c7c52d024308</t>
        </is>
      </c>
      <c r="BE381" s="24" t="inlineStr">
        <is>
          <t>soccer-poisson-dc-v1</t>
        </is>
      </c>
      <c r="BF381" s="24" t="inlineStr">
        <is>
          <t>1</t>
        </is>
      </c>
      <c r="BG381" s="24" t="inlineStr">
        <is>
          <t>3d16277c2cfc0628d7ec79d04feee92735e5c503a3be195cb225c7c52d024308</t>
        </is>
      </c>
      <c r="BH381" s="24" t="inlineStr">
        <is>
          <t>2026-09-26T22:31:33.575764Z</t>
        </is>
      </c>
      <c r="BI381" s="24" t="inlineStr">
        <is>
          <t>["same_event","same_team_same_day","same_league_same_day"]</t>
        </is>
      </c>
      <c r="BJ381" s="25" t="n"/>
      <c r="BK381" s="26" t="n">
        <v>-170</v>
      </c>
      <c r="BL381" s="27" t="n">
        <v>1.588235</v>
      </c>
      <c r="BM381" s="28" t="n">
        <v>0.62963</v>
      </c>
      <c r="BN381" s="28" t="n"/>
      <c r="BO381" s="28" t="n"/>
      <c r="BP381" s="25" t="n"/>
      <c r="BQ381" s="27" t="n">
        <v>1.588235</v>
      </c>
      <c r="BR381" s="28" t="n">
        <v>0.63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0.588234</v>
      </c>
      <c r="BZ381" s="24" t="inlineStr">
        <is>
          <t>2026-09-27T04:31:44.886003Z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0.62963</t>
        </is>
      </c>
      <c r="DK381" s="24" t="n"/>
      <c r="DL381" s="24" t="n"/>
      <c r="DM381" s="24" t="n"/>
      <c r="DN381" s="24" t="n"/>
      <c r="DO381" s="24" t="n"/>
      <c r="DP381" s="24" t="n"/>
      <c r="DQ381" s="24" t="inlineStr">
        <is>
          <t>{"artifact_hash": "3d16277c2cfc0628d7ec79d04feee92735e5c503a3be195cb225c7c52d024308", "away_team": "Orlando City SC", "event_id": "761834", "event_start_utc": "2026-09-26T23:30Z", "features": {"away_goal_rate": 1.6822, "history_games": 9181, "home_goal_rate": 2.6477, "league_goals_per_team": 1.5536, "min_team_games": 86.0}, "historical_source_observation_times_verified": false, "home_team": "Philadelphia Union", "inference_inputs": {"away_rate": 1.6821806560489319, "code_sha256": {"models/soccer.py": "3d16277c2cfc0628d7ec79d04feee92735e5c503a3be195cb225c7c52d024308"}, "home_rate": 2.6477094635523524, "sport": "SOCCER"}, "market_type": "moneyline", "model_version": "soccer-poisson-dc-v1", "observed_at_utc": "2026-09-26T22:34:29.740760+00:00", "probabilities": {"away": 0.229484, "draw": 0.192021, "home": 0.578495}, "replay_scope": "Exact full-precision serving state and rounding; upstream historical observation times are not certified.", "schema": "coded-moneyline-replay-v1", "snapshot_hash": "670596e0060050ae30f78a9bcb5d701bf08cd3154b1599d6c53c7272d03d5dd8", "sport": "SOCCER"}</t>
        </is>
      </c>
    </row>
    <row r="382" ht="36" customHeight="1">
      <c r="A382" s="24" t="inlineStr">
        <is>
          <t>35cf2e936e7944b3</t>
        </is>
      </c>
      <c r="B382" s="24" t="inlineStr">
        <is>
          <t>2026-09-26T22:34:30.426396Z</t>
        </is>
      </c>
      <c r="C382" s="24" t="inlineStr">
        <is>
          <t>2026-09-27T00:30Z</t>
        </is>
      </c>
      <c r="D382" s="24" t="inlineStr">
        <is>
          <t>761839</t>
        </is>
      </c>
      <c r="E382" s="24" t="inlineStr">
        <is>
          <t>SOCCER</t>
        </is>
      </c>
      <c r="F382" s="24" t="inlineStr">
        <is>
          <t>San Diego FC</t>
        </is>
      </c>
      <c r="G382" s="24" t="inlineStr">
        <is>
          <t>Austin FC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polymarket_us</t>
        </is>
      </c>
      <c r="L382" s="26" t="n">
        <v>186</v>
      </c>
      <c r="M382" s="27" t="n">
        <v>2.86</v>
      </c>
      <c r="N382" s="28" t="n">
        <v>0.34965</v>
      </c>
      <c r="O382" s="28" t="n">
        <v>0.5061020000000001</v>
      </c>
      <c r="P382" s="28" t="n">
        <v>0.04</v>
      </c>
      <c r="Q382" s="28" t="n">
        <v>0.156452</v>
      </c>
      <c r="R382" s="26" t="n">
        <v>100</v>
      </c>
      <c r="S382" s="29" t="n">
        <v>1.75</v>
      </c>
      <c r="T382" s="24" t="inlineStr">
        <is>
          <t>soccer-poisson-dc-v1</t>
        </is>
      </c>
      <c r="U382" s="24" t="inlineStr">
        <is>
          <t>settled</t>
        </is>
      </c>
      <c r="V382" s="24" t="inlineStr">
        <is>
          <t>loss</t>
        </is>
      </c>
      <c r="W382" s="26" t="n">
        <v>3</v>
      </c>
      <c r="X382" s="26" t="n">
        <v>3</v>
      </c>
      <c r="Y382" s="25" t="n"/>
      <c r="Z382" s="26" t="n">
        <v>-194</v>
      </c>
      <c r="AA382" s="28" t="n">
        <v>0.66</v>
      </c>
      <c r="AB382" s="28" t="n">
        <v>0.31035</v>
      </c>
      <c r="AC382" s="30" t="n">
        <v>-1.75</v>
      </c>
      <c r="AD382" s="24" t="inlineStr">
        <is>
          <t>2026-09-27T04:31:46.190965Z</t>
        </is>
      </c>
      <c r="AE382" s="31" t="inlineStr">
        <is>
          <t>Poisson-DC rates 1.54 (home) / 2.14 (away) from EWMA attack/defense strengths. Executable ask 0.3500 (atc-mls-aus-sdg-2026-09-26-sdg).</t>
        </is>
      </c>
      <c r="AF382" s="31" t="inlineStr">
        <is>
          <t>Research-only soccer score model; draw-aware, but not yet locked-holdout qualified.</t>
        </is>
      </c>
      <c r="AG382" s="24" t="inlineStr">
        <is>
          <t>review_required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San Diego FC</t>
        </is>
      </c>
      <c r="AQ382" s="24" t="inlineStr">
        <is>
          <t>San Diego FC</t>
        </is>
      </c>
      <c r="AR382" s="24" t="inlineStr">
        <is>
          <t>San Diego FC</t>
        </is>
      </c>
      <c r="AS382" s="24" t="inlineStr">
        <is>
          <t>Austin FC</t>
        </is>
      </c>
      <c r="AT382" s="24" t="inlineStr">
        <is>
          <t>Austin FC</t>
        </is>
      </c>
      <c r="AU382" s="24" t="inlineStr">
        <is>
          <t>Austin FC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3d16277c2cfc0628d7ec79d04feee92735e5c503a3be195cb225c7c52d024308</t>
        </is>
      </c>
      <c r="BB382" s="24" t="inlineStr">
        <is>
          <t>poisson_dixon_coles</t>
        </is>
      </c>
      <c r="BC382" s="24" t="inlineStr">
        <is>
          <t>soccer-poisson-dc-v1</t>
        </is>
      </c>
      <c r="BD382" s="24" t="inlineStr">
        <is>
          <t>3d16277c2cfc0628d7ec79d04feee92735e5c503a3be195cb225c7c52d024308</t>
        </is>
      </c>
      <c r="BE382" s="24" t="inlineStr">
        <is>
          <t>soccer-poisson-dc-v1</t>
        </is>
      </c>
      <c r="BF382" s="24" t="inlineStr">
        <is>
          <t>1</t>
        </is>
      </c>
      <c r="BG382" s="24" t="inlineStr">
        <is>
          <t>3d16277c2cfc0628d7ec79d04feee92735e5c503a3be195cb225c7c52d024308</t>
        </is>
      </c>
      <c r="BH382" s="24" t="inlineStr">
        <is>
          <t>2026-09-26T13:15:11.236701Z</t>
        </is>
      </c>
      <c r="BI382" s="24" t="inlineStr">
        <is>
          <t>["same_event","same_team_same_day","same_league_same_day"]</t>
        </is>
      </c>
      <c r="BJ382" s="25" t="n"/>
      <c r="BK382" s="26" t="n">
        <v>186</v>
      </c>
      <c r="BL382" s="27" t="n">
        <v>2.86</v>
      </c>
      <c r="BM382" s="28" t="n">
        <v>0.34965</v>
      </c>
      <c r="BN382" s="28" t="n"/>
      <c r="BO382" s="28" t="n"/>
      <c r="BP382" s="25" t="n"/>
      <c r="BQ382" s="27" t="n">
        <v>1.515464</v>
      </c>
      <c r="BR382" s="28" t="n">
        <v>0.66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-1</v>
      </c>
      <c r="BZ382" s="24" t="inlineStr">
        <is>
          <t>2026-09-27T04:31:46.190965Z</t>
        </is>
      </c>
      <c r="CA382" s="31" t="inlineStr">
        <is>
          <t>fixed one-unit hypothetical scoring; no real exposure or execution</t>
        </is>
      </c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0.34965</t>
        </is>
      </c>
      <c r="DK382" s="24" t="n"/>
      <c r="DL382" s="24" t="n"/>
      <c r="DM382" s="24" t="n"/>
      <c r="DN382" s="24" t="n"/>
      <c r="DO382" s="24" t="n"/>
      <c r="DP382" s="24" t="n"/>
      <c r="DQ382" s="24" t="inlineStr">
        <is>
          <t>{"artifact_hash": "3d16277c2cfc0628d7ec79d04feee92735e5c503a3be195cb225c7c52d024308", "away_team": "San Diego FC", "event_id": "761839", "event_start_utc": "2026-09-27T00:30Z", "features": {"away_goal_rate": 2.141, "history_games": 9181, "home_goal_rate": 1.5433, "league_goals_per_team": 1.5536, "min_team_games": 54.0}, "historical_source_observation_times_verified": false, "home_team": "Austin FC", "inference_inputs": {"away_rate": 2.14098187412234, "code_sha256": {"models/soccer.py": "3d16277c2cfc0628d7ec79d04feee92735e5c503a3be195cb225c7c52d024308"}, "home_rate": 1.543322641981792, "sport": "SOCCER"}, "market_type": "moneyline", "model_version": "soccer-poisson-dc-v1", "observed_at_utc": "2026-09-26T22:34:29.740760+00:00", "probabilities": {"away": 0.506102, "draw": 0.224368, "home": 0.269529}, "replay_scope": "Exact full-precision serving state and rounding; upstream historical observation times are not certified.", "schema": "coded-moneyline-replay-v1", "snapshot_hash": "c2f0aeb771934ba6ea67a141c3405d46ac12604701d7aeb090d66b445f06e0a8", "sport": "SOCCER"}</t>
        </is>
      </c>
    </row>
    <row r="383" ht="36" customHeight="1">
      <c r="A383" s="24" t="inlineStr">
        <is>
          <t>f493163fdb41413d</t>
        </is>
      </c>
      <c r="B383" s="24" t="inlineStr">
        <is>
          <t>2026-09-26T22:34:30.426396Z</t>
        </is>
      </c>
      <c r="C383" s="24" t="inlineStr">
        <is>
          <t>2026-09-27T02:30Z</t>
        </is>
      </c>
      <c r="D383" s="24" t="inlineStr">
        <is>
          <t>761841</t>
        </is>
      </c>
      <c r="E383" s="24" t="inlineStr">
        <is>
          <t>SOCCER</t>
        </is>
      </c>
      <c r="F383" s="24" t="inlineStr">
        <is>
          <t>Colorado Rapids</t>
        </is>
      </c>
      <c r="G383" s="24" t="inlineStr">
        <is>
          <t>LA Galaxy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127</v>
      </c>
      <c r="M383" s="27" t="n">
        <v>2.27</v>
      </c>
      <c r="N383" s="28" t="n">
        <v>0.440529</v>
      </c>
      <c r="O383" s="28" t="n">
        <v>0.476548</v>
      </c>
      <c r="P383" s="28" t="n">
        <v>0.04</v>
      </c>
      <c r="Q383" s="28" t="n">
        <v>0.036019</v>
      </c>
      <c r="R383" s="26" t="n">
        <v>44</v>
      </c>
      <c r="S383" s="29" t="n">
        <v>1</v>
      </c>
      <c r="T383" s="24" t="inlineStr">
        <is>
          <t>soccer-poisson-dc-v1</t>
        </is>
      </c>
      <c r="U383" s="24" t="inlineStr">
        <is>
          <t>settled</t>
        </is>
      </c>
      <c r="V383" s="24" t="inlineStr">
        <is>
          <t>win</t>
        </is>
      </c>
      <c r="W383" s="26" t="n">
        <v>2</v>
      </c>
      <c r="X383" s="26" t="n">
        <v>3</v>
      </c>
      <c r="Y383" s="25" t="n"/>
      <c r="Z383" s="26" t="n">
        <v>127</v>
      </c>
      <c r="AA383" s="28" t="n">
        <v>0.44</v>
      </c>
      <c r="AB383" s="28" t="n">
        <v>-0.000529</v>
      </c>
      <c r="AC383" s="30" t="n">
        <v>1.27</v>
      </c>
      <c r="AD383" s="24" t="inlineStr">
        <is>
          <t>2026-09-27T10:00:14.692043Z</t>
        </is>
      </c>
      <c r="AE383" s="31" t="inlineStr">
        <is>
          <t>Poisson-DC rates 1.80 (home) / 1.32 (away) from EWMA attack/defense strengths. Executable ask 0.4400 (atc-mls-lag-col-2026-09-26-lag).</t>
        </is>
      </c>
      <c r="AF383" s="31" t="inlineStr">
        <is>
          <t>Research-only soccer score model; draw-aware, but not yet locked-holdout qualified.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Colorado Rapids</t>
        </is>
      </c>
      <c r="AQ383" s="24" t="inlineStr">
        <is>
          <t>Colorado Rapids</t>
        </is>
      </c>
      <c r="AR383" s="24" t="inlineStr">
        <is>
          <t>Colorado Rapids</t>
        </is>
      </c>
      <c r="AS383" s="24" t="inlineStr">
        <is>
          <t>LA Galaxy</t>
        </is>
      </c>
      <c r="AT383" s="24" t="inlineStr">
        <is>
          <t>LA Galaxy</t>
        </is>
      </c>
      <c r="AU383" s="24" t="inlineStr">
        <is>
          <t>LA Galaxy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3d16277c2cfc0628d7ec79d04feee92735e5c503a3be195cb225c7c52d024308</t>
        </is>
      </c>
      <c r="BB383" s="24" t="inlineStr">
        <is>
          <t>poisson_dixon_coles</t>
        </is>
      </c>
      <c r="BC383" s="24" t="inlineStr">
        <is>
          <t>soccer-poisson-dc-v1</t>
        </is>
      </c>
      <c r="BD383" s="24" t="inlineStr">
        <is>
          <t>3d16277c2cfc0628d7ec79d04feee92735e5c503a3be195cb225c7c52d024308</t>
        </is>
      </c>
      <c r="BE383" s="24" t="inlineStr">
        <is>
          <t>soccer-poisson-dc-v1</t>
        </is>
      </c>
      <c r="BF383" s="24" t="inlineStr">
        <is>
          <t>1</t>
        </is>
      </c>
      <c r="BG383" s="24" t="inlineStr">
        <is>
          <t>3d16277c2cfc0628d7ec79d04feee92735e5c503a3be195cb225c7c52d024308</t>
        </is>
      </c>
      <c r="BH383" s="24" t="inlineStr">
        <is>
          <t>2026-09-26T13:31:04.590199Z</t>
        </is>
      </c>
      <c r="BI383" s="24" t="inlineStr">
        <is>
          <t>["same_event","same_team_same_day","same_league_same_day"]</t>
        </is>
      </c>
      <c r="BJ383" s="25" t="n"/>
      <c r="BK383" s="26" t="n">
        <v>127</v>
      </c>
      <c r="BL383" s="27" t="n">
        <v>2.27</v>
      </c>
      <c r="BM383" s="28" t="n">
        <v>0.440529</v>
      </c>
      <c r="BN383" s="28" t="n"/>
      <c r="BO383" s="28" t="n"/>
      <c r="BP383" s="25" t="n"/>
      <c r="BQ383" s="27" t="n">
        <v>2.27</v>
      </c>
      <c r="BR383" s="28" t="n">
        <v>0.44</v>
      </c>
      <c r="BS383" s="28" t="n"/>
      <c r="BT383" s="28" t="n"/>
      <c r="BU383" s="25" t="n"/>
      <c r="BV383" s="29" t="n"/>
      <c r="BW383" s="24" t="n"/>
      <c r="BX383" s="30" t="n">
        <v>1</v>
      </c>
      <c r="BY383" s="27" t="n">
        <v>1.269998</v>
      </c>
      <c r="BZ383" s="24" t="inlineStr">
        <is>
          <t>2026-09-27T10:00:14.692043Z</t>
        </is>
      </c>
      <c r="CA383" s="31" t="inlineStr">
        <is>
          <t>fixed one-unit hypothetical scoring; no real exposure or execution</t>
        </is>
      </c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0.440529</t>
        </is>
      </c>
      <c r="DK383" s="24" t="n"/>
      <c r="DL383" s="24" t="n"/>
      <c r="DM383" s="24" t="n"/>
      <c r="DN383" s="24" t="n"/>
      <c r="DO383" s="24" t="n"/>
      <c r="DP383" s="24" t="n"/>
      <c r="DQ383" s="24" t="inlineStr">
        <is>
          <t>{"artifact_hash": "3d16277c2cfc0628d7ec79d04feee92735e5c503a3be195cb225c7c52d024308", "away_team": "Colorado Rapids", "event_id": "761841", "event_start_utc": "2026-09-27T02:30Z", "features": {"away_goal_rate": 1.3192, "history_games": 9181, "home_goal_rate": 1.7971, "league_goals_per_team": 1.5536, "min_team_games": 85.0}, "historical_source_observation_times_verified": false, "home_team": "LA Galaxy", "inference_inputs": {"away_rate": 1.3191550543377988, "code_sha256": {"models/soccer.py": "3d16277c2cfc0628d7ec79d04feee92735e5c503a3be195cb225c7c52d024308"}, "home_rate": 1.7970839513313128, "sport": "SOCCER"}, "market_type": "moneyline", "model_version": "soccer-poisson-dc-v1", "observed_at_utc": "2026-09-26T22:34:29.740760+00:00", "probabilities": {"away": 0.271685, "draw": 0.251767, "home": 0.476548}, "replay_scope": "Exact full-precision serving state and rounding; upstream historical observation times are not certified.", "schema": "coded-moneyline-replay-v1", "snapshot_hash": "99e33d77e81d621d4b78e384fa1edf41d35ff2174070cef28a482504b8a3cd55", "sport": "SOCCER"}</t>
        </is>
      </c>
    </row>
    <row r="384" ht="36" customHeight="1">
      <c r="A384" s="24" t="inlineStr">
        <is>
          <t>f28703ab35eb4da0</t>
        </is>
      </c>
      <c r="B384" s="24" t="inlineStr">
        <is>
          <t>2026-09-26T22:34:30.426396Z</t>
        </is>
      </c>
      <c r="C384" s="24" t="inlineStr">
        <is>
          <t>2026-09-26T23:00Z</t>
        </is>
      </c>
      <c r="D384" s="24" t="inlineStr">
        <is>
          <t>401900326</t>
        </is>
      </c>
      <c r="E384" s="24" t="inlineStr">
        <is>
          <t>SOCCER</t>
        </is>
      </c>
      <c r="F384" s="24" t="inlineStr">
        <is>
          <t>Chile</t>
        </is>
      </c>
      <c r="G384" s="24" t="inlineStr">
        <is>
          <t>Canada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-144</v>
      </c>
      <c r="M384" s="27" t="n">
        <v>1.694444</v>
      </c>
      <c r="N384" s="28" t="n">
        <v>0.590164</v>
      </c>
      <c r="O384" s="28" t="n">
        <v>0.498233</v>
      </c>
      <c r="P384" s="28" t="n">
        <v>0.2</v>
      </c>
      <c r="Q384" s="28" t="n">
        <v>-0.091931</v>
      </c>
      <c r="R384" s="26" t="n">
        <v>0</v>
      </c>
      <c r="S384" s="29" t="n">
        <v>1</v>
      </c>
      <c r="T384" s="24" t="inlineStr">
        <is>
          <t>soccer-poisson-dc-v1</t>
        </is>
      </c>
      <c r="U384" s="24" t="inlineStr">
        <is>
          <t>settled</t>
        </is>
      </c>
      <c r="V384" s="24" t="inlineStr">
        <is>
          <t>win</t>
        </is>
      </c>
      <c r="W384" s="26" t="n">
        <v>0</v>
      </c>
      <c r="X384" s="26" t="n">
        <v>1</v>
      </c>
      <c r="Y384" s="25" t="n"/>
      <c r="Z384" s="26" t="n">
        <v>-144</v>
      </c>
      <c r="AA384" s="28" t="n">
        <v>0.59</v>
      </c>
      <c r="AB384" s="28" t="n">
        <v>-0.000164</v>
      </c>
      <c r="AC384" s="30" t="n">
        <v>0.6944</v>
      </c>
      <c r="AD384" s="24" t="inlineStr">
        <is>
          <t>2026-09-27T04:31:51.186744Z</t>
        </is>
      </c>
      <c r="AE384" s="31" t="inlineStr">
        <is>
          <t>Poisson-DC rates 1.76 (home) / 1.18 (away) from EWMA attack/defense strengths. Executable ask 0.5900 (atc-intf-can-chl-2026-09-26-can).</t>
        </is>
      </c>
      <c r="AF384" s="31" t="inlineStr">
        <is>
          <t>Research-only soccer score model; draw-aware, but not yet locked-holdout qualified.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PAPER_CALL_MODEL_UNVALIDATED</t>
        </is>
      </c>
      <c r="AP384" s="24" t="inlineStr">
        <is>
          <t>Chile</t>
        </is>
      </c>
      <c r="AQ384" s="24" t="inlineStr">
        <is>
          <t>Chile</t>
        </is>
      </c>
      <c r="AR384" s="24" t="inlineStr">
        <is>
          <t>Chile</t>
        </is>
      </c>
      <c r="AS384" s="24" t="inlineStr">
        <is>
          <t>Canada</t>
        </is>
      </c>
      <c r="AT384" s="24" t="inlineStr">
        <is>
          <t>Canada</t>
        </is>
      </c>
      <c r="AU384" s="24" t="inlineStr">
        <is>
          <t>Canada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3d16277c2cfc0628d7ec79d04feee92735e5c503a3be195cb225c7c52d024308</t>
        </is>
      </c>
      <c r="BB384" s="24" t="inlineStr">
        <is>
          <t>poisson_dixon_coles</t>
        </is>
      </c>
      <c r="BC384" s="24" t="inlineStr">
        <is>
          <t>soccer-poisson-dc-v1</t>
        </is>
      </c>
      <c r="BD384" s="24" t="inlineStr">
        <is>
          <t>3d16277c2cfc0628d7ec79d04feee92735e5c503a3be195cb225c7c52d024308</t>
        </is>
      </c>
      <c r="BE384" s="24" t="inlineStr">
        <is>
          <t>soccer-poisson-dc-v1</t>
        </is>
      </c>
      <c r="BF384" s="24" t="inlineStr">
        <is>
          <t>1</t>
        </is>
      </c>
      <c r="BG384" s="24" t="inlineStr">
        <is>
          <t>3d16277c2cfc0628d7ec79d04feee92735e5c503a3be195cb225c7c52d024308</t>
        </is>
      </c>
      <c r="BH384" s="24" t="inlineStr">
        <is>
          <t>2026-09-26T22:32:34.840598Z</t>
        </is>
      </c>
      <c r="BI384" s="24" t="inlineStr">
        <is>
          <t>["same_event","same_team_same_day","same_league_same_day"]</t>
        </is>
      </c>
      <c r="BJ384" s="25" t="n"/>
      <c r="BK384" s="26" t="n">
        <v>-144</v>
      </c>
      <c r="BL384" s="27" t="n">
        <v>1.694444</v>
      </c>
      <c r="BM384" s="28" t="n">
        <v>0.590164</v>
      </c>
      <c r="BN384" s="28" t="n"/>
      <c r="BO384" s="28" t="n"/>
      <c r="BP384" s="25" t="n"/>
      <c r="BQ384" s="27" t="n">
        <v>1.694444</v>
      </c>
      <c r="BR384" s="28" t="n">
        <v>0.59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0.694444</v>
      </c>
      <c r="BZ384" s="24" t="inlineStr">
        <is>
          <t>2026-09-27T04:31:51.186744Z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0.590164</t>
        </is>
      </c>
      <c r="DK384" s="24" t="n"/>
      <c r="DL384" s="24" t="n"/>
      <c r="DM384" s="24" t="n"/>
      <c r="DN384" s="24" t="n"/>
      <c r="DO384" s="24" t="n"/>
      <c r="DP384" s="24" t="n"/>
      <c r="DQ384" s="24" t="inlineStr">
        <is>
          <t>{"artifact_hash": "3d16277c2cfc0628d7ec79d04feee92735e5c503a3be195cb225c7c52d024308", "away_team": "Chile", "event_id": "401900326", "event_start_utc": "2026-09-26T23:00Z",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"2026-09-26T22:34:29.740760+00:00", "probabilities": {"away": 0.245402, "draw": 0.256365, "home": 0.498233}, "replay_scope": "Exact full-precision serving state and rounding; upstream historical observation times are not certified.", "schema": "coded-moneyline-replay-v1", "snapshot_hash": "15b6368ecb49499e5fa3b8fe9814ae63c33446e93e07257b3e83dd3706789e8a", "sport": "SOCCER"}</t>
        </is>
      </c>
    </row>
    <row r="385" ht="36" customHeight="1">
      <c r="A385" s="24" t="inlineStr">
        <is>
          <t>cd4735da4f774e3c</t>
        </is>
      </c>
      <c r="B385" s="24" t="inlineStr">
        <is>
          <t>2026-09-26T22:34:30.426396Z</t>
        </is>
      </c>
      <c r="C385" s="24" t="inlineStr">
        <is>
          <t>2026-09-27T01:00Z</t>
        </is>
      </c>
      <c r="D385" s="24" t="inlineStr">
        <is>
          <t>401903308</t>
        </is>
      </c>
      <c r="E385" s="24" t="inlineStr">
        <is>
          <t>SOCCER</t>
        </is>
      </c>
      <c r="F385" s="24" t="inlineStr">
        <is>
          <t>Colombia</t>
        </is>
      </c>
      <c r="G385" s="24" t="inlineStr">
        <is>
          <t>Mexico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170</v>
      </c>
      <c r="M385" s="27" t="n">
        <v>2.7</v>
      </c>
      <c r="N385" s="28" t="n">
        <v>0.37037</v>
      </c>
      <c r="O385" s="28" t="n">
        <v>0.443816</v>
      </c>
      <c r="P385" s="28" t="n">
        <v>0.15</v>
      </c>
      <c r="Q385" s="28" t="n">
        <v>0.073446</v>
      </c>
      <c r="R385" s="26" t="n">
        <v>0</v>
      </c>
      <c r="S385" s="29" t="n">
        <v>1</v>
      </c>
      <c r="T385" s="24" t="inlineStr">
        <is>
          <t>soccer-poisson-dc-v1</t>
        </is>
      </c>
      <c r="U385" s="24" t="inlineStr">
        <is>
          <t>settled</t>
        </is>
      </c>
      <c r="V385" s="24" t="inlineStr">
        <is>
          <t>loss</t>
        </is>
      </c>
      <c r="W385" s="26" t="n">
        <v>1</v>
      </c>
      <c r="X385" s="26" t="n">
        <v>1</v>
      </c>
      <c r="Y385" s="25" t="n"/>
      <c r="Z385" s="26" t="n">
        <v>170</v>
      </c>
      <c r="AA385" s="28" t="n">
        <v>0.37</v>
      </c>
      <c r="AB385" s="28" t="n">
        <v>-0.00037</v>
      </c>
      <c r="AC385" s="30" t="n">
        <v>-1</v>
      </c>
      <c r="AD385" s="24" t="inlineStr">
        <is>
          <t>2026-09-27T04:31:52.513258Z</t>
        </is>
      </c>
      <c r="AE385" s="31" t="inlineStr">
        <is>
          <t>Poisson-DC rates 1.26 (home) / 0.86 (away) from EWMA attack/defense strengths. Executable ask 0.3700 (atc-intf-col-mex-2026-09-26-mex).</t>
        </is>
      </c>
      <c r="AF385" s="31" t="inlineStr">
        <is>
          <t>Research-only soccer score model; draw-aware, but not yet locked-holdout qualified.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PAPER_CALL_MODEL_UNVALIDATED</t>
        </is>
      </c>
      <c r="AP385" s="24" t="inlineStr">
        <is>
          <t>Colombia</t>
        </is>
      </c>
      <c r="AQ385" s="24" t="inlineStr">
        <is>
          <t>Colombia</t>
        </is>
      </c>
      <c r="AR385" s="24" t="inlineStr">
        <is>
          <t>Colombia</t>
        </is>
      </c>
      <c r="AS385" s="24" t="inlineStr">
        <is>
          <t>Mexico</t>
        </is>
      </c>
      <c r="AT385" s="24" t="inlineStr">
        <is>
          <t>Mexico</t>
        </is>
      </c>
      <c r="AU385" s="24" t="inlineStr">
        <is>
          <t>Mexico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3d16277c2cfc0628d7ec79d04feee92735e5c503a3be195cb225c7c52d024308</t>
        </is>
      </c>
      <c r="BB385" s="24" t="inlineStr">
        <is>
          <t>poisson_dixon_coles</t>
        </is>
      </c>
      <c r="BC385" s="24" t="inlineStr">
        <is>
          <t>soccer-poisson-dc-v1</t>
        </is>
      </c>
      <c r="BD385" s="24" t="inlineStr">
        <is>
          <t>3d16277c2cfc0628d7ec79d04feee92735e5c503a3be195cb225c7c52d024308</t>
        </is>
      </c>
      <c r="BE385" s="24" t="inlineStr">
        <is>
          <t>soccer-poisson-dc-v1</t>
        </is>
      </c>
      <c r="BF385" s="24" t="inlineStr">
        <is>
          <t>1</t>
        </is>
      </c>
      <c r="BG385" s="24" t="inlineStr">
        <is>
          <t>3d16277c2cfc0628d7ec79d04feee92735e5c503a3be195cb225c7c52d024308</t>
        </is>
      </c>
      <c r="BH385" s="24" t="inlineStr">
        <is>
          <t>2026-09-26T13:31:33.201965Z</t>
        </is>
      </c>
      <c r="BI385" s="24" t="inlineStr">
        <is>
          <t>["same_event","same_team_same_day","same_league_same_day"]</t>
        </is>
      </c>
      <c r="BJ385" s="25" t="n"/>
      <c r="BK385" s="26" t="n">
        <v>170</v>
      </c>
      <c r="BL385" s="27" t="n">
        <v>2.7</v>
      </c>
      <c r="BM385" s="28" t="n">
        <v>0.37037</v>
      </c>
      <c r="BN385" s="28" t="n"/>
      <c r="BO385" s="28" t="n"/>
      <c r="BP385" s="25" t="n"/>
      <c r="BQ385" s="27" t="n">
        <v>2.7</v>
      </c>
      <c r="BR385" s="28" t="n">
        <v>0.37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-1</v>
      </c>
      <c r="BZ385" s="24" t="inlineStr">
        <is>
          <t>2026-09-27T04:31:52.513258Z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0.37037</t>
        </is>
      </c>
      <c r="DK385" s="24" t="n"/>
      <c r="DL385" s="24" t="n"/>
      <c r="DM385" s="24" t="n"/>
      <c r="DN385" s="24" t="n"/>
      <c r="DO385" s="24" t="n"/>
      <c r="DP385" s="24" t="n"/>
      <c r="DQ385" s="24" t="inlineStr">
        <is>
          <t>{"artifact_hash": "3d16277c2cfc0628d7ec79d04feee92735e5c503a3be195cb225c7c52d024308", "away_team": "Colombia", "event_id": "401903308", "event_start_utc": "2026-09-27T01:00Z", "features": {"away_goal_rate": 0.8573, "history_games": 9181, "home_goal_rate": 1.2587, "league_goals_per_team": 1.4281, "min_team_games": 5.0}, "historical_source_observation_times_verified": false, "home_team": "Mexico", "inference_inputs": {"away_rate": 0.8573244764849955, "code_sha256": {"models/soccer.py": "3d16277c2cfc0628d7ec79d04feee92735e5c503a3be195cb225c7c52d024308"}, "home_rate": 1.2586527385083672, "sport": "SOCCER"}, "market_type": "moneyline", "model_version": "soccer-poisson-dc-v1", "observed_at_utc": "2026-09-26T22:34:29.740760+00:00", "probabilities": {"away": 0.24003, "draw": 0.316154, "home": 0.443816}, "replay_scope": "Exact full-precision serving state and rounding; upstream historical observation times are not certified.", "schema": "coded-moneyline-replay-v1", "snapshot_hash": "de639ea38cf4eb180737d4dc9102f15ab9c5ed14f4eb77147efce65ed9c8303d", "sport": "SOCCER"}</t>
        </is>
      </c>
    </row>
    <row r="386" ht="36" customHeight="1">
      <c r="A386" s="24" t="inlineStr">
        <is>
          <t>ae041daa2ade4a7e</t>
        </is>
      </c>
      <c r="B386" s="24" t="inlineStr">
        <is>
          <t>2026-09-27T16:25:18.426777Z</t>
        </is>
      </c>
      <c r="C386" s="24" t="inlineStr">
        <is>
          <t>2026-09-27T20:30Z</t>
        </is>
      </c>
      <c r="D386" s="24" t="inlineStr">
        <is>
          <t>401913269</t>
        </is>
      </c>
      <c r="E386" s="24" t="inlineStr">
        <is>
          <t>SOCCER</t>
        </is>
      </c>
      <c r="F386" s="24" t="inlineStr">
        <is>
          <t>Paraguay</t>
        </is>
      </c>
      <c r="G386" s="24" t="inlineStr">
        <is>
          <t>Bolivia</t>
        </is>
      </c>
      <c r="H386" s="24" t="inlineStr">
        <is>
          <t>total</t>
        </is>
      </c>
      <c r="I386" s="24" t="inlineStr">
        <is>
          <t>under</t>
        </is>
      </c>
      <c r="J386" s="25" t="n">
        <v>2.5</v>
      </c>
      <c r="K386" s="24" t="inlineStr">
        <is>
          <t>polymarket_us</t>
        </is>
      </c>
      <c r="L386" s="26" t="n">
        <v>108</v>
      </c>
      <c r="M386" s="27" t="n">
        <v>2.08</v>
      </c>
      <c r="N386" s="28" t="n">
        <v>0.480769</v>
      </c>
      <c r="O386" s="28" t="n">
        <v>0.551979</v>
      </c>
      <c r="P386" s="28" t="n">
        <v>0.2</v>
      </c>
      <c r="Q386" s="28" t="n">
        <v>0.07121</v>
      </c>
      <c r="R386" s="26" t="n">
        <v>0</v>
      </c>
      <c r="S386" s="29" t="n">
        <v>1</v>
      </c>
      <c r="T386" s="24" t="inlineStr">
        <is>
          <t>soccer-poisson-dc-v1</t>
        </is>
      </c>
      <c r="U386" s="24" t="inlineStr">
        <is>
          <t>settled</t>
        </is>
      </c>
      <c r="V386" s="24" t="inlineStr">
        <is>
          <t>win</t>
        </is>
      </c>
      <c r="W386" s="26" t="n">
        <v>2</v>
      </c>
      <c r="X386" s="26" t="n">
        <v>0</v>
      </c>
      <c r="Y386" s="25" t="n"/>
      <c r="Z386" s="26" t="n">
        <v>108</v>
      </c>
      <c r="AA386" s="28" t="n">
        <v>0.48</v>
      </c>
      <c r="AB386" s="28" t="n">
        <v>-0.000769</v>
      </c>
      <c r="AC386" s="30" t="n">
        <v>1.08</v>
      </c>
      <c r="AD386" s="24" t="inlineStr">
        <is>
          <t>2026-09-28T04:30:23.940050Z</t>
        </is>
      </c>
      <c r="AE386" s="31" t="inlineStr">
        <is>
          <t>Poisson-DC rates 1.51 (home) / 0.96 (away) from EWMA attack/defense strengths. Executable ask 0.4800 (tsc-intf-bol-par-2026-09-27-2pt5).</t>
        </is>
      </c>
      <c r="AF386" s="31" t="inlineStr">
        <is>
          <t>Research-only soccer score model; draw-aware, but not yet locked-holdout qualified.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PAPER_CALL_MODEL_UNVALIDATED</t>
        </is>
      </c>
      <c r="AP386" s="24" t="inlineStr">
        <is>
          <t>Paraguay</t>
        </is>
      </c>
      <c r="AQ386" s="24" t="inlineStr">
        <is>
          <t>Paraguay</t>
        </is>
      </c>
      <c r="AR386" s="24" t="inlineStr">
        <is>
          <t>Paraguay</t>
        </is>
      </c>
      <c r="AS386" s="24" t="inlineStr">
        <is>
          <t>Bolivia</t>
        </is>
      </c>
      <c r="AT386" s="24" t="inlineStr">
        <is>
          <t>Bolivia</t>
        </is>
      </c>
      <c r="AU386" s="24" t="inlineStr">
        <is>
          <t>Bolivia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3d16277c2cfc0628d7ec79d04feee92735e5c503a3be195cb225c7c52d024308</t>
        </is>
      </c>
      <c r="BB386" s="24" t="inlineStr">
        <is>
          <t>poisson_dixon_coles</t>
        </is>
      </c>
      <c r="BC386" s="24" t="inlineStr">
        <is>
          <t>soccer-poisson-dc-v1</t>
        </is>
      </c>
      <c r="BD386" s="24" t="inlineStr">
        <is>
          <t>3d16277c2cfc0628d7ec79d04feee92735e5c503a3be195cb225c7c52d024308</t>
        </is>
      </c>
      <c r="BE386" s="24" t="inlineStr">
        <is>
          <t>soccer-poisson-dc-v1</t>
        </is>
      </c>
      <c r="BF386" s="24" t="inlineStr">
        <is>
          <t>1</t>
        </is>
      </c>
      <c r="BG386" s="24" t="inlineStr">
        <is>
          <t>3d16277c2cfc0628d7ec79d04feee92735e5c503a3be195cb225c7c52d024308</t>
        </is>
      </c>
      <c r="BH386" s="24" t="inlineStr">
        <is>
          <t>2026-09-27T10:22:35.245381Z</t>
        </is>
      </c>
      <c r="BI386" s="24" t="inlineStr">
        <is>
          <t>["same_event","same_team_same_day","same_league_same_day"]</t>
        </is>
      </c>
      <c r="BJ386" s="25" t="n">
        <v>2.5</v>
      </c>
      <c r="BK386" s="26" t="n">
        <v>108</v>
      </c>
      <c r="BL386" s="27" t="n">
        <v>2.08</v>
      </c>
      <c r="BM386" s="28" t="n">
        <v>0.480769</v>
      </c>
      <c r="BN386" s="28" t="n"/>
      <c r="BO386" s="28" t="n"/>
      <c r="BP386" s="25" t="n"/>
      <c r="BQ386" s="27" t="n">
        <v>2.08</v>
      </c>
      <c r="BR386" s="28" t="n">
        <v>0.48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1.080001</v>
      </c>
      <c r="BZ386" s="24" t="inlineStr">
        <is>
          <t>2026-09-28T04:30:23.940050Z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0.480769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c05954dc9fd14bd5</t>
        </is>
      </c>
      <c r="B387" s="24" t="inlineStr">
        <is>
          <t>2026-09-27T16:25:18.426777Z</t>
        </is>
      </c>
      <c r="C387" s="24" t="inlineStr">
        <is>
          <t>2026-09-27T21:00Z</t>
        </is>
      </c>
      <c r="D387" s="24" t="inlineStr">
        <is>
          <t>401844169</t>
        </is>
      </c>
      <c r="E387" s="24" t="inlineStr">
        <is>
          <t>SOCCER</t>
        </is>
      </c>
      <c r="F387" s="24" t="inlineStr">
        <is>
          <t>Atletico Rafaela</t>
        </is>
      </c>
      <c r="G387" s="24" t="inlineStr">
        <is>
          <t>Gimnasia y Tiro (Salta)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113</v>
      </c>
      <c r="M387" s="27" t="n">
        <v>2.13</v>
      </c>
      <c r="N387" s="28" t="n">
        <v>0.469484</v>
      </c>
      <c r="O387" s="28" t="n">
        <v>0.456135</v>
      </c>
      <c r="P387" s="28" t="n">
        <v>0.2</v>
      </c>
      <c r="Q387" s="28" t="n">
        <v>-0.013349</v>
      </c>
      <c r="R387" s="26" t="n">
        <v>0</v>
      </c>
      <c r="S387" s="29" t="n">
        <v>1</v>
      </c>
      <c r="T387" s="24" t="inlineStr">
        <is>
          <t>soccer-poisson-dc-v1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113</v>
      </c>
      <c r="AA387" s="28" t="n">
        <v>0.47</v>
      </c>
      <c r="AB387" s="28" t="n">
        <v>0.000516</v>
      </c>
      <c r="AC387" s="30" t="n">
        <v>1.13</v>
      </c>
      <c r="AD387" s="24" t="inlineStr">
        <is>
          <t>2026-09-28T04:30:25.237616Z</t>
        </is>
      </c>
      <c r="AE387" s="31" t="inlineStr">
        <is>
          <t>Poisson-DC rates 1.64 (home) / 1.24 (away) from EWMA attack/defense strengths. Executable ask 0.4700 (atc-arg2-gyt-ar-2026-09-27-gyt).</t>
        </is>
      </c>
      <c r="AF387" s="31" t="inlineStr">
        <is>
          <t>Research-only soccer score model; draw-aware, but not yet locked-holdout qualified.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PAPER_CALL_MODEL_UNVALIDATED</t>
        </is>
      </c>
      <c r="AP387" s="24" t="inlineStr">
        <is>
          <t>Atletico Rafaela</t>
        </is>
      </c>
      <c r="AQ387" s="24" t="inlineStr">
        <is>
          <t>Atletico Rafaela</t>
        </is>
      </c>
      <c r="AR387" s="24" t="inlineStr">
        <is>
          <t>Atletico Rafaela</t>
        </is>
      </c>
      <c r="AS387" s="24" t="inlineStr">
        <is>
          <t>Gimnasia y Tiro (Salta)</t>
        </is>
      </c>
      <c r="AT387" s="24" t="inlineStr">
        <is>
          <t>Gimnasia y Tiro (Salta)</t>
        </is>
      </c>
      <c r="AU387" s="24" t="inlineStr">
        <is>
          <t>Gimnasia y Tiro (Salta)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3d16277c2cfc0628d7ec79d04feee92735e5c503a3be195cb225c7c52d024308</t>
        </is>
      </c>
      <c r="BB387" s="24" t="inlineStr">
        <is>
          <t>poisson_dixon_coles</t>
        </is>
      </c>
      <c r="BC387" s="24" t="inlineStr">
        <is>
          <t>soccer-poisson-dc-v1</t>
        </is>
      </c>
      <c r="BD387" s="24" t="inlineStr">
        <is>
          <t>3d16277c2cfc0628d7ec79d04feee92735e5c503a3be195cb225c7c52d024308</t>
        </is>
      </c>
      <c r="BE387" s="24" t="inlineStr">
        <is>
          <t>soccer-poisson-dc-v1</t>
        </is>
      </c>
      <c r="BF387" s="24" t="inlineStr">
        <is>
          <t>1</t>
        </is>
      </c>
      <c r="BG387" s="24" t="inlineStr">
        <is>
          <t>3d16277c2cfc0628d7ec79d04feee92735e5c503a3be195cb225c7c52d024308</t>
        </is>
      </c>
      <c r="BH387" s="24" t="inlineStr">
        <is>
          <t>2026-09-27T16:21:59.994762Z</t>
        </is>
      </c>
      <c r="BI387" s="24" t="inlineStr">
        <is>
          <t>["same_event","same_team_same_day","same_league_same_day"]</t>
        </is>
      </c>
      <c r="BJ387" s="25" t="n"/>
      <c r="BK387" s="26" t="n">
        <v>113</v>
      </c>
      <c r="BL387" s="27" t="n">
        <v>2.13</v>
      </c>
      <c r="BM387" s="28" t="n">
        <v>0.469484</v>
      </c>
      <c r="BN387" s="28" t="n"/>
      <c r="BO387" s="28" t="n"/>
      <c r="BP387" s="25" t="n"/>
      <c r="BQ387" s="27" t="n">
        <v>2.13</v>
      </c>
      <c r="BR387" s="28" t="n">
        <v>0.47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1.129998</v>
      </c>
      <c r="BZ387" s="24" t="inlineStr">
        <is>
          <t>2026-09-28T04:30:25.237616Z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0.469484</t>
        </is>
      </c>
      <c r="DK387" s="24" t="n"/>
      <c r="DL387" s="24" t="n"/>
      <c r="DM387" s="24" t="n"/>
      <c r="DN387" s="24" t="n"/>
      <c r="DO387" s="24" t="n"/>
      <c r="DP387" s="24" t="n"/>
      <c r="DQ387" s="24" t="inlineStr">
        <is>
          <t>{"artifact_hash": "3d16277c2cfc0628d7ec79d04feee92735e5c503a3be195cb225c7c52d024308", "away_team": "Atletico Rafaela", "event_id": "401844169", "event_start_utc": "2026-09-27T21:00Z", "features": {"away_goal_rate": 1.2418, "history_games": 9181, "home_goal_rate": 1.6423, "league_goals_per_team": 1.4281, "min_team_games": 0.0}, "historical_source_observation_times_verified": false, "home_team": "Gimnasia y Tiro (Salta)",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"2026-09-27T16:25:17.400138+00:00", "probabilities": {"away": 0.278015, "draw": 0.265851, "home": 0.456135}, "replay_scope": "Exact full-precision serving state and rounding; upstream historical observation times are not certified.", "schema": "coded-moneyline-replay-v1", "snapshot_hash": "c340f0a1563f5e9af0f86b2aedc2dc843b2b609d6296f4db7517820bc81f99f4", "sport": "SOCCER"}</t>
        </is>
      </c>
    </row>
    <row r="388" ht="36" customHeight="1">
      <c r="A388" s="24" t="inlineStr">
        <is>
          <t>74778bce3c064243</t>
        </is>
      </c>
      <c r="B388" s="24" t="inlineStr">
        <is>
          <t>2026-09-27T22:11:12.444409Z</t>
        </is>
      </c>
      <c r="C388" s="24" t="inlineStr">
        <is>
          <t>2026-09-27T23:00Z</t>
        </is>
      </c>
      <c r="D388" s="24" t="inlineStr">
        <is>
          <t>761844</t>
        </is>
      </c>
      <c r="E388" s="24" t="inlineStr">
        <is>
          <t>SOCCER</t>
        </is>
      </c>
      <c r="F388" s="24" t="inlineStr">
        <is>
          <t>Inter Miami CF</t>
        </is>
      </c>
      <c r="G388" s="24" t="inlineStr">
        <is>
          <t>Columbus Crew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117</v>
      </c>
      <c r="M388" s="27" t="n">
        <v>2.17</v>
      </c>
      <c r="N388" s="28" t="n">
        <v>0.460829</v>
      </c>
      <c r="O388" s="28" t="n">
        <v>0.476061</v>
      </c>
      <c r="P388" s="28" t="n">
        <v>0.04</v>
      </c>
      <c r="Q388" s="28" t="n">
        <v>0.015232</v>
      </c>
      <c r="R388" s="26" t="n">
        <v>34</v>
      </c>
      <c r="S388" s="29" t="n">
        <v>1</v>
      </c>
      <c r="T388" s="24" t="inlineStr">
        <is>
          <t>soccer-poisson-dc-v1</t>
        </is>
      </c>
      <c r="U388" s="24" t="inlineStr">
        <is>
          <t>settled</t>
        </is>
      </c>
      <c r="V388" s="24" t="inlineStr">
        <is>
          <t>loss</t>
        </is>
      </c>
      <c r="W388" s="26" t="n">
        <v>1</v>
      </c>
      <c r="X388" s="26" t="n">
        <v>2</v>
      </c>
      <c r="Y388" s="25" t="n"/>
      <c r="Z388" s="26" t="n">
        <v>-122</v>
      </c>
      <c r="AA388" s="28" t="n">
        <v>0.55</v>
      </c>
      <c r="AB388" s="28" t="n">
        <v>0.089171</v>
      </c>
      <c r="AC388" s="30" t="n">
        <v>-1</v>
      </c>
      <c r="AD388" s="24" t="inlineStr">
        <is>
          <t>2026-09-28T04:30:28.665244Z</t>
        </is>
      </c>
      <c r="AE388" s="31" t="inlineStr">
        <is>
          <t>Poisson-DC rates 1.94 (home) / 2.37 (away) from EWMA attack/defense strengths. Executable ask 0.4600 (atc-mls-clb-mia-2026-09-27-mia).</t>
        </is>
      </c>
      <c r="AF388" s="31" t="inlineStr">
        <is>
          <t>Research-only soccer score model; draw-aware, but not yet locked-holdout qualified.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Inter Miami CF</t>
        </is>
      </c>
      <c r="AQ388" s="24" t="inlineStr">
        <is>
          <t>Inter Miami CF</t>
        </is>
      </c>
      <c r="AR388" s="24" t="inlineStr">
        <is>
          <t>Inter Miami CF</t>
        </is>
      </c>
      <c r="AS388" s="24" t="inlineStr">
        <is>
          <t>Columbus Crew</t>
        </is>
      </c>
      <c r="AT388" s="24" t="inlineStr">
        <is>
          <t>Columbus Crew</t>
        </is>
      </c>
      <c r="AU388" s="24" t="inlineStr">
        <is>
          <t>Columbus Crew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3d16277c2cfc0628d7ec79d04feee92735e5c503a3be195cb225c7c52d024308</t>
        </is>
      </c>
      <c r="BB388" s="24" t="inlineStr">
        <is>
          <t>poisson_dixon_coles</t>
        </is>
      </c>
      <c r="BC388" s="24" t="inlineStr">
        <is>
          <t>soccer-poisson-dc-v1</t>
        </is>
      </c>
      <c r="BD388" s="24" t="inlineStr">
        <is>
          <t>3d16277c2cfc0628d7ec79d04feee92735e5c503a3be195cb225c7c52d024308</t>
        </is>
      </c>
      <c r="BE388" s="24" t="inlineStr">
        <is>
          <t>soccer-poisson-dc-v1</t>
        </is>
      </c>
      <c r="BF388" s="24" t="inlineStr">
        <is>
          <t>1</t>
        </is>
      </c>
      <c r="BG388" s="24" t="inlineStr">
        <is>
          <t>3d16277c2cfc0628d7ec79d04feee92735e5c503a3be195cb225c7c52d024308</t>
        </is>
      </c>
      <c r="BH388" s="24" t="inlineStr">
        <is>
          <t>2026-09-27T22:09:16.177507Z</t>
        </is>
      </c>
      <c r="BI388" s="24" t="inlineStr">
        <is>
          <t>["same_event","same_team_same_day","same_league_same_day"]</t>
        </is>
      </c>
      <c r="BJ388" s="25" t="n"/>
      <c r="BK388" s="26" t="n">
        <v>117</v>
      </c>
      <c r="BL388" s="27" t="n">
        <v>2.17</v>
      </c>
      <c r="BM388" s="28" t="n">
        <v>0.460829</v>
      </c>
      <c r="BN388" s="28" t="n"/>
      <c r="BO388" s="28" t="n"/>
      <c r="BP388" s="25" t="n"/>
      <c r="BQ388" s="27" t="n">
        <v>1.819672</v>
      </c>
      <c r="BR388" s="28" t="n">
        <v>0.55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-1</v>
      </c>
      <c r="BZ388" s="24" t="inlineStr">
        <is>
          <t>2026-09-28T04:30:28.665244Z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0.460829</t>
        </is>
      </c>
      <c r="DK388" s="24" t="n"/>
      <c r="DL388" s="24" t="n"/>
      <c r="DM388" s="24" t="n"/>
      <c r="DN388" s="24" t="n"/>
      <c r="DO388" s="24" t="n"/>
      <c r="DP388" s="24" t="n"/>
      <c r="DQ388" s="24" t="inlineStr">
        <is>
          <t>{"artifact_hash": "3d16277c2cfc0628d7ec79d04feee92735e5c503a3be195cb225c7c52d024308", "away_team": "Inter Miami CF", "event_id": "761844", "event_start_utc": "2026-09-27T23:00Z", "features": {"away_goal_rate": 2.3663, "history_games": 9181, "home_goal_rate": 1.9354, "league_goals_per_team": 1.5536, "min_team_games": 88.0}, "historical_source_observation_times_verified": false, "home_team": "Columbus Crew", "inference_inputs": {"away_rate": 2.366314039486239, "code_sha256": {"models/soccer.py": "3d16277c2cfc0628d7ec79d04feee92735e5c503a3be195cb225c7c52d024308"}, "home_rate": 1.935350452229051, "sport": "SOCCER"}, "market_type": "moneyline", "model_version": "soccer-poisson-dc-v1", "observed_at_utc": "2026-09-27T22:11:11.906977+00:00", "probabilities": {"away": 0.476061, "draw": 0.20767, "home": 0.316269}, "replay_scope": "Exact full-precision serving state and rounding; upstream historical observation times are not certified.", "schema": "coded-moneyline-replay-v1", "snapshot_hash": "c1df0a83be81096e288d926ec73055af7d0c65c735d4a21051225dfd5136eb34", "sport": "SOCCER"}</t>
        </is>
      </c>
    </row>
    <row r="389" ht="36" customHeight="1">
      <c r="A389" s="24" t="inlineStr">
        <is>
          <t>db50562b00584ae4</t>
        </is>
      </c>
      <c r="B389" s="24" t="inlineStr">
        <is>
          <t>2026-09-28T10:08:57.721357Z</t>
        </is>
      </c>
      <c r="C389" s="24" t="inlineStr">
        <is>
          <t>2026-09-28T10:25Z</t>
        </is>
      </c>
      <c r="D389" s="24" t="inlineStr">
        <is>
          <t>401902642</t>
        </is>
      </c>
      <c r="E389" s="24" t="inlineStr">
        <is>
          <t>SOCCER</t>
        </is>
      </c>
      <c r="F389" s="24" t="inlineStr">
        <is>
          <t>Venezuela</t>
        </is>
      </c>
      <c r="G389" s="24" t="inlineStr">
        <is>
          <t>Japan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-376</v>
      </c>
      <c r="M389" s="27" t="n">
        <v>1.265957</v>
      </c>
      <c r="N389" s="28" t="n">
        <v>0.789916</v>
      </c>
      <c r="O389" s="28" t="n">
        <v>0.514859</v>
      </c>
      <c r="P389" s="28" t="n">
        <v>0.2</v>
      </c>
      <c r="Q389" s="28" t="n">
        <v>-0.275057</v>
      </c>
      <c r="R389" s="26" t="n">
        <v>0</v>
      </c>
      <c r="S389" s="29" t="n">
        <v>1</v>
      </c>
      <c r="T389" s="24" t="inlineStr">
        <is>
          <t>soccer-poisson-dc-v1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2</v>
      </c>
      <c r="Y389" s="25" t="n"/>
      <c r="Z389" s="26" t="n">
        <v>-376</v>
      </c>
      <c r="AA389" s="28" t="n">
        <v>0.79</v>
      </c>
      <c r="AB389" s="28" t="n">
        <v>8.4e-05</v>
      </c>
      <c r="AC389" s="30" t="n">
        <v>0.266</v>
      </c>
      <c r="AD389" s="24" t="inlineStr">
        <is>
          <t>2026-09-28T16:01:31.700557Z</t>
        </is>
      </c>
      <c r="AE389" s="31" t="inlineStr">
        <is>
          <t>Poisson-DC rates 1.84 (home) / 1.19 (away) from EWMA attack/defense strengths. Executable ask 0.7900 (atc-intf-jpn-ven-2026-09-28-jpn).</t>
        </is>
      </c>
      <c r="AF389" s="31" t="inlineStr">
        <is>
          <t>Research-only soccer score model; draw-aware, but not yet locked-holdout qualified.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PAPER_CALL_MODEL_UNVALIDATED</t>
        </is>
      </c>
      <c r="AP389" s="24" t="inlineStr">
        <is>
          <t>Venezuela</t>
        </is>
      </c>
      <c r="AQ389" s="24" t="inlineStr">
        <is>
          <t>Venezuela</t>
        </is>
      </c>
      <c r="AR389" s="24" t="inlineStr">
        <is>
          <t>Venezuela</t>
        </is>
      </c>
      <c r="AS389" s="24" t="inlineStr">
        <is>
          <t>Japan</t>
        </is>
      </c>
      <c r="AT389" s="24" t="inlineStr">
        <is>
          <t>Japan</t>
        </is>
      </c>
      <c r="AU389" s="24" t="inlineStr">
        <is>
          <t>Japan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3d16277c2cfc0628d7ec79d04feee92735e5c503a3be195cb225c7c52d024308</t>
        </is>
      </c>
      <c r="BB389" s="24" t="inlineStr">
        <is>
          <t>poisson_dixon_coles</t>
        </is>
      </c>
      <c r="BC389" s="24" t="inlineStr">
        <is>
          <t>soccer-poisson-dc-v1</t>
        </is>
      </c>
      <c r="BD389" s="24" t="inlineStr">
        <is>
          <t>3d16277c2cfc0628d7ec79d04feee92735e5c503a3be195cb225c7c52d024308</t>
        </is>
      </c>
      <c r="BE389" s="24" t="inlineStr">
        <is>
          <t>soccer-poisson-dc-v1</t>
        </is>
      </c>
      <c r="BF389" s="24" t="inlineStr">
        <is>
          <t>1</t>
        </is>
      </c>
      <c r="BG389" s="24" t="inlineStr">
        <is>
          <t>3d16277c2cfc0628d7ec79d04feee92735e5c503a3be195cb225c7c52d024308</t>
        </is>
      </c>
      <c r="BH389" s="24" t="inlineStr">
        <is>
          <t>2026-09-28T04:35:03.372326Z</t>
        </is>
      </c>
      <c r="BI389" s="24" t="inlineStr">
        <is>
          <t>["same_event","same_team_same_day","same_league_same_day"]</t>
        </is>
      </c>
      <c r="BJ389" s="25" t="n"/>
      <c r="BK389" s="26" t="n">
        <v>-376</v>
      </c>
      <c r="BL389" s="27" t="n">
        <v>1.265957</v>
      </c>
      <c r="BM389" s="28" t="n">
        <v>0.789916</v>
      </c>
      <c r="BN389" s="28" t="n"/>
      <c r="BO389" s="28" t="n"/>
      <c r="BP389" s="25" t="n"/>
      <c r="BQ389" s="27" t="n">
        <v>1.265957</v>
      </c>
      <c r="BR389" s="28" t="n">
        <v>0.79</v>
      </c>
      <c r="BS389" s="28" t="n"/>
      <c r="BT389" s="28" t="n"/>
      <c r="BU389" s="25" t="n"/>
      <c r="BV389" s="29" t="n"/>
      <c r="BW389" s="24" t="n"/>
      <c r="BX389" s="30" t="n">
        <v>1</v>
      </c>
      <c r="BY389" s="27" t="n">
        <v>0.265957</v>
      </c>
      <c r="BZ389" s="24" t="inlineStr">
        <is>
          <t>2026-09-28T16:01:31.700557Z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0.789916</t>
        </is>
      </c>
      <c r="DK389" s="24" t="n"/>
      <c r="DL389" s="24" t="n"/>
      <c r="DM389" s="24" t="n"/>
      <c r="DN389" s="24" t="n"/>
      <c r="DO389" s="24" t="n"/>
      <c r="DP389" s="24" t="n"/>
      <c r="DQ389" s="24" t="inlineStr">
        <is>
          <t>{"artifact_hash": "3d16277c2cfc0628d7ec79d04feee92735e5c503a3be195cb225c7c52d024308", "away_team": "Venezuela", "event_id": "401902642", "event_start_utc": "2026-09-28T10:25Z", "features": {"away_goal_rate": 1.1932, "history_games": 9181, "home_goal_rate": 1.8412, "league_goals_per_team": 1.4281, "min_team_games": 0.0}, "historical_source_observation_times_verified": false, "home_team": "Japan", "inference_inputs": {"away_rate": 1.1932040866163964, "code_sha256": {"models/soccer.py": "3d16277c2cfc0628d7ec79d04feee92735e5c503a3be195cb225c7c52d024308"}, "home_rate": 1.8411634093428082, "sport": "SOCCER"}, "market_type": "moneyline", "model_version": "soccer-poisson-dc-v1", "observed_at_utc": "2026-09-28T10:08:57.339319+00:00", "probabilities": {"away": 0.23588, "draw": 0.249261, "home": 0.514859}, "replay_scope": "Exact full-precision serving state and rounding; upstream historical observation times are not certified.", "schema": "coded-moneyline-replay-v1", "snapshot_hash": "52afbc95cc18a192cf18d96b02cd576b2bca12b4ddaf5bc2740e1cf9d1ed364e", "sport": "SOCCER"}</t>
        </is>
      </c>
    </row>
    <row r="390" ht="36" customHeight="1">
      <c r="A390" s="24" t="inlineStr">
        <is>
          <t>2707b3d6f7c44fab</t>
        </is>
      </c>
      <c r="B390" s="24" t="inlineStr">
        <is>
          <t>2026-09-29T22:06:32.141377Z</t>
        </is>
      </c>
      <c r="C390" s="24" t="inlineStr">
        <is>
          <t>2026-09-30T00:00Z</t>
        </is>
      </c>
      <c r="D390" s="24" t="inlineStr">
        <is>
          <t>401905189</t>
        </is>
      </c>
      <c r="E390" s="24" t="inlineStr">
        <is>
          <t>SOCCER</t>
        </is>
      </c>
      <c r="F390" s="24" t="inlineStr">
        <is>
          <t>Chile</t>
        </is>
      </c>
      <c r="G390" s="24" t="inlineStr">
        <is>
          <t>United States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-233</v>
      </c>
      <c r="M390" s="27" t="n">
        <v>1.429185</v>
      </c>
      <c r="N390" s="28" t="n">
        <v>0.6997</v>
      </c>
      <c r="O390" s="28" t="n">
        <v>0.509286</v>
      </c>
      <c r="P390" s="28" t="n">
        <v>0.2</v>
      </c>
      <c r="Q390" s="28" t="n">
        <v>-0.190414</v>
      </c>
      <c r="R390" s="26" t="n">
        <v>0</v>
      </c>
      <c r="S390" s="29" t="n">
        <v>1</v>
      </c>
      <c r="T390" s="24" t="inlineStr">
        <is>
          <t>soccer-poisson-dc-v1</t>
        </is>
      </c>
      <c r="U390" s="24" t="inlineStr">
        <is>
          <t>settled</t>
        </is>
      </c>
      <c r="V390" s="24" t="inlineStr">
        <is>
          <t>win</t>
        </is>
      </c>
      <c r="W390" s="26" t="n">
        <v>2</v>
      </c>
      <c r="X390" s="26" t="n">
        <v>4</v>
      </c>
      <c r="Y390" s="25" t="n"/>
      <c r="Z390" s="26" t="n">
        <v>-233</v>
      </c>
      <c r="AA390" s="28" t="n">
        <v>0.7</v>
      </c>
      <c r="AB390" s="28" t="n">
        <v>0.0003</v>
      </c>
      <c r="AC390" s="30" t="n">
        <v>0.4292</v>
      </c>
      <c r="AD390" s="24" t="inlineStr">
        <is>
          <t>2026-09-30T04:30:21.594687Z</t>
        </is>
      </c>
      <c r="AE390" s="31" t="inlineStr">
        <is>
          <t>Poisson-DC rates 1.95 (home) / 1.33 (away) from EWMA attack/defense strengths. Executable ask 0.7000 (atc-intf-usa-chl-2026-09-29-usa).</t>
        </is>
      </c>
      <c r="AF390" s="31" t="inlineStr">
        <is>
          <t>Research-only soccer score model; draw-aware, but not yet locked-holdout qualified.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Chile</t>
        </is>
      </c>
      <c r="AQ390" s="24" t="inlineStr">
        <is>
          <t>Chile</t>
        </is>
      </c>
      <c r="AR390" s="24" t="inlineStr">
        <is>
          <t>Chile</t>
        </is>
      </c>
      <c r="AS390" s="24" t="inlineStr">
        <is>
          <t>United States</t>
        </is>
      </c>
      <c r="AT390" s="24" t="inlineStr">
        <is>
          <t>United States</t>
        </is>
      </c>
      <c r="AU390" s="24" t="inlineStr">
        <is>
          <t>United States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3d16277c2cfc0628d7ec79d04feee92735e5c503a3be195cb225c7c52d024308</t>
        </is>
      </c>
      <c r="BB390" s="24" t="inlineStr">
        <is>
          <t>poisson_dixon_coles</t>
        </is>
      </c>
      <c r="BC390" s="24" t="inlineStr">
        <is>
          <t>soccer-poisson-dc-v1</t>
        </is>
      </c>
      <c r="BD390" s="24" t="inlineStr">
        <is>
          <t>3d16277c2cfc0628d7ec79d04feee92735e5c503a3be195cb225c7c52d024308</t>
        </is>
      </c>
      <c r="BE390" s="24" t="inlineStr">
        <is>
          <t>soccer-poisson-dc-v1</t>
        </is>
      </c>
      <c r="BF390" s="24" t="inlineStr">
        <is>
          <t>1</t>
        </is>
      </c>
      <c r="BG390" s="24" t="inlineStr">
        <is>
          <t>3d16277c2cfc0628d7ec79d04feee92735e5c503a3be195cb225c7c52d024308</t>
        </is>
      </c>
      <c r="BH390" s="24" t="inlineStr">
        <is>
          <t>2026-09-29T22:05:19.434001Z</t>
        </is>
      </c>
      <c r="BI390" s="24" t="inlineStr">
        <is>
          <t>["same_event","same_team_same_day","same_league_same_day"]</t>
        </is>
      </c>
      <c r="BJ390" s="25" t="n"/>
      <c r="BK390" s="26" t="n">
        <v>-233</v>
      </c>
      <c r="BL390" s="27" t="n">
        <v>1.429185</v>
      </c>
      <c r="BM390" s="28" t="n">
        <v>0.6997</v>
      </c>
      <c r="BN390" s="28" t="n"/>
      <c r="BO390" s="28" t="n"/>
      <c r="BP390" s="25" t="n"/>
      <c r="BQ390" s="27" t="n">
        <v>1.429185</v>
      </c>
      <c r="BR390" s="28" t="n">
        <v>0.7</v>
      </c>
      <c r="BS390" s="28" t="n"/>
      <c r="BT390" s="28" t="n"/>
      <c r="BU390" s="25" t="n"/>
      <c r="BV390" s="29" t="n"/>
      <c r="BW390" s="24" t="n"/>
      <c r="BX390" s="30" t="n">
        <v>1</v>
      </c>
      <c r="BY390" s="27" t="n">
        <v>0.429184</v>
      </c>
      <c r="BZ390" s="24" t="inlineStr">
        <is>
          <t>2026-09-30T04:30:21.594687Z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0.6997</t>
        </is>
      </c>
      <c r="DK390" s="24" t="n"/>
      <c r="DL390" s="24" t="n"/>
      <c r="DM390" s="24" t="n"/>
      <c r="DN390" s="24" t="n"/>
      <c r="DO390" s="24" t="n"/>
      <c r="DP390" s="24" t="n"/>
      <c r="DQ390" s="24" t="inlineStr">
        <is>
          <t>{"artifact_hash": "3d16277c2cfc0628d7ec79d04feee92735e5c503a3be195cb225c7c52d024308", "away_team": "Chile", "event_id": "401905189", "event_start_utc": "2026-09-30T00:00Z", "features": {"away_goal_rate": 1.3277, "history_games": 9181, "home_goal_rate": 1.9474, "league_goals_per_team": 1.4281, "min_team_games": 0.0}, "historical_source_observation_times_verified": false, "home_team": "United States", "inference_inputs": {"away_rate": 1.3277107126003296, "code_sha256": {"models/soccer.py": "3d16277c2cfc0628d7ec79d04feee92735e5c503a3be195cb225c7c52d024308"}, "home_rate": 1.9473949518221443, "sport": "SOCCER"}, "market_type": "moneyline", "model_version": "soccer-poisson-dc-v1", "observed_at_utc": "2026-09-29T22:06:31.290614+00:00", "probabilities": {"away": 0.250965, "draw": 0.239749, "home": 0.509286}, "replay_scope": "Exact full-precision serving state and rounding; upstream historical observation times are not certified.", "schema": "coded-moneyline-replay-v1", "snapshot_hash": "a923a50a911536ac4b4c2b0d949592248b4e82978019f3742074dbba30d0aef8", "sport": "SOCCER"}</t>
        </is>
      </c>
    </row>
    <row r="391" ht="36" customHeight="1">
      <c r="A391" s="24" t="inlineStr">
        <is>
          <t>e0d828f0158a4fa4</t>
        </is>
      </c>
      <c r="B391" s="24" t="inlineStr">
        <is>
          <t>2026-09-30T22:04:40.732839Z</t>
        </is>
      </c>
      <c r="C391" s="24" t="inlineStr">
        <is>
          <t>2026-10-01T00:00Z</t>
        </is>
      </c>
      <c r="D391" s="24" t="inlineStr">
        <is>
          <t>401921545</t>
        </is>
      </c>
      <c r="E391" s="24" t="inlineStr">
        <is>
          <t>SOCCER</t>
        </is>
      </c>
      <c r="F391" s="24" t="inlineStr">
        <is>
          <t>Bolivia</t>
        </is>
      </c>
      <c r="G391" s="24" t="inlineStr">
        <is>
          <t>Argentina</t>
        </is>
      </c>
      <c r="H391" s="24" t="inlineStr">
        <is>
          <t>total</t>
        </is>
      </c>
      <c r="I391" s="24" t="inlineStr">
        <is>
          <t>over</t>
        </is>
      </c>
      <c r="J391" s="25" t="n">
        <v>2.5</v>
      </c>
      <c r="K391" s="24" t="inlineStr">
        <is>
          <t>polymarket_us</t>
        </is>
      </c>
      <c r="L391" s="26" t="n">
        <v>-355</v>
      </c>
      <c r="M391" s="27" t="n">
        <v>1.28169</v>
      </c>
      <c r="N391" s="28" t="n">
        <v>0.78022</v>
      </c>
      <c r="O391" s="28" t="n">
        <v>0.621444</v>
      </c>
      <c r="P391" s="28" t="n">
        <v>0.2</v>
      </c>
      <c r="Q391" s="28" t="n">
        <v>-0.158776</v>
      </c>
      <c r="R391" s="26" t="n">
        <v>0</v>
      </c>
      <c r="S391" s="29" t="n">
        <v>1</v>
      </c>
      <c r="T391" s="24" t="inlineStr">
        <is>
          <t>soccer-poisson-dc-v1</t>
        </is>
      </c>
      <c r="U391" s="24" t="inlineStr">
        <is>
          <t>settled</t>
        </is>
      </c>
      <c r="V391" s="24" t="inlineStr">
        <is>
          <t>win</t>
        </is>
      </c>
      <c r="W391" s="26" t="n">
        <v>0</v>
      </c>
      <c r="X391" s="26" t="n">
        <v>4</v>
      </c>
      <c r="Y391" s="25" t="n"/>
      <c r="Z391" s="26" t="n">
        <v>-355</v>
      </c>
      <c r="AA391" s="28" t="n">
        <v>0.78</v>
      </c>
      <c r="AB391" s="28" t="n">
        <v>-0.00022</v>
      </c>
      <c r="AC391" s="30" t="n">
        <v>0.2817</v>
      </c>
      <c r="AD391" s="24" t="inlineStr">
        <is>
          <t>2026-10-01T04:30:24.533611Z</t>
        </is>
      </c>
      <c r="AE391" s="31" t="inlineStr">
        <is>
          <t>Poisson-DC rates 2.13 (home) / 1.08 (away) from EWMA attack/defense strengths. Executable ask 0.7800 (tsc-intf-arg-bol-2026-09-30-2pt5).</t>
        </is>
      </c>
      <c r="AF391" s="31" t="inlineStr">
        <is>
          <t>Research-only soccer score model; draw-aware, but not yet locked-holdout qualified.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Bolivia</t>
        </is>
      </c>
      <c r="AQ391" s="24" t="inlineStr">
        <is>
          <t>Bolivia</t>
        </is>
      </c>
      <c r="AR391" s="24" t="inlineStr">
        <is>
          <t>Bolivia</t>
        </is>
      </c>
      <c r="AS391" s="24" t="inlineStr">
        <is>
          <t>Argentina</t>
        </is>
      </c>
      <c r="AT391" s="24" t="inlineStr">
        <is>
          <t>Argentina</t>
        </is>
      </c>
      <c r="AU391" s="24" t="inlineStr">
        <is>
          <t>Argentina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3d16277c2cfc0628d7ec79d04feee92735e5c503a3be195cb225c7c52d024308</t>
        </is>
      </c>
      <c r="BB391" s="24" t="inlineStr">
        <is>
          <t>poisson_dixon_coles</t>
        </is>
      </c>
      <c r="BC391" s="24" t="inlineStr">
        <is>
          <t>soccer-poisson-dc-v1</t>
        </is>
      </c>
      <c r="BD391" s="24" t="inlineStr">
        <is>
          <t>3d16277c2cfc0628d7ec79d04feee92735e5c503a3be195cb225c7c52d024308</t>
        </is>
      </c>
      <c r="BE391" s="24" t="inlineStr">
        <is>
          <t>soccer-poisson-dc-v1</t>
        </is>
      </c>
      <c r="BF391" s="24" t="inlineStr">
        <is>
          <t>1</t>
        </is>
      </c>
      <c r="BG391" s="24" t="inlineStr">
        <is>
          <t>3d16277c2cfc0628d7ec79d04feee92735e5c503a3be195cb225c7c52d024308</t>
        </is>
      </c>
      <c r="BH391" s="24" t="inlineStr">
        <is>
          <t>2026-09-30T22:03:25.982868Z</t>
        </is>
      </c>
      <c r="BI391" s="24" t="inlineStr">
        <is>
          <t>["same_event","same_team_same_day","same_league_same_day"]</t>
        </is>
      </c>
      <c r="BJ391" s="25" t="n">
        <v>2.5</v>
      </c>
      <c r="BK391" s="26" t="n">
        <v>-355</v>
      </c>
      <c r="BL391" s="27" t="n">
        <v>1.28169</v>
      </c>
      <c r="BM391" s="28" t="n">
        <v>0.78022</v>
      </c>
      <c r="BN391" s="28" t="n"/>
      <c r="BO391" s="28" t="n"/>
      <c r="BP391" s="25" t="n"/>
      <c r="BQ391" s="27" t="n">
        <v>1.28169</v>
      </c>
      <c r="BR391" s="28" t="n">
        <v>0.78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0.28169</v>
      </c>
      <c r="BZ391" s="24" t="inlineStr">
        <is>
          <t>2026-10-01T04:30:24.533611Z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0.78022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c97218abc875468c</t>
        </is>
      </c>
      <c r="B392" s="24" t="inlineStr">
        <is>
          <t>2026-09-30T22:04:40.732839Z</t>
        </is>
      </c>
      <c r="C392" s="24" t="inlineStr">
        <is>
          <t>2026-10-01T02:00Z</t>
        </is>
      </c>
      <c r="D392" s="24" t="inlineStr">
        <is>
          <t>401924629</t>
        </is>
      </c>
      <c r="E392" s="24" t="inlineStr">
        <is>
          <t>SOCCER</t>
        </is>
      </c>
      <c r="F392" s="24" t="inlineStr">
        <is>
          <t>Tahiti</t>
        </is>
      </c>
      <c r="G392" s="24" t="inlineStr">
        <is>
          <t>Cook Islands</t>
        </is>
      </c>
      <c r="H392" s="24" t="inlineStr">
        <is>
          <t>total</t>
        </is>
      </c>
      <c r="I392" s="24" t="inlineStr">
        <is>
          <t>over</t>
        </is>
      </c>
      <c r="J392" s="25" t="n">
        <v>2.5</v>
      </c>
      <c r="K392" s="24" t="inlineStr">
        <is>
          <t>polymarket_us</t>
        </is>
      </c>
      <c r="L392" s="26" t="n">
        <v>-809</v>
      </c>
      <c r="M392" s="27" t="n">
        <v>1.123609</v>
      </c>
      <c r="N392" s="28" t="n">
        <v>0.889989</v>
      </c>
      <c r="O392" s="28" t="n">
        <v>0.550338</v>
      </c>
      <c r="P392" s="28" t="n">
        <v>0.2</v>
      </c>
      <c r="Q392" s="28" t="n">
        <v>-0.339651</v>
      </c>
      <c r="R392" s="26" t="n">
        <v>0</v>
      </c>
      <c r="S392" s="29" t="n">
        <v>1</v>
      </c>
      <c r="T392" s="24" t="inlineStr">
        <is>
          <t>soccer-poisson-dc-v1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0</v>
      </c>
      <c r="Y392" s="25" t="n"/>
      <c r="Z392" s="26" t="n">
        <v>-809</v>
      </c>
      <c r="AA392" s="28" t="n">
        <v>0.89</v>
      </c>
      <c r="AB392" s="28" t="n">
        <v>1.1e-05</v>
      </c>
      <c r="AC392" s="30" t="n">
        <v>-1</v>
      </c>
      <c r="AD392" s="24" t="inlineStr">
        <is>
          <t>2026-10-01T04:30:25.771863Z</t>
        </is>
      </c>
      <c r="AE392" s="31" t="inlineStr">
        <is>
          <t>Poisson-DC rates 1.64 (home) / 1.24 (away) from EWMA attack/defense strengths. Executable ask 0.8900 (tsc-intf-cok-tah-2026-09-30-2pt5).</t>
        </is>
      </c>
      <c r="AF392" s="31" t="inlineStr">
        <is>
          <t>Research-only soccer score model; draw-aware, but not yet locked-holdout qualified.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Tahiti</t>
        </is>
      </c>
      <c r="AQ392" s="24" t="inlineStr">
        <is>
          <t>Tahiti</t>
        </is>
      </c>
      <c r="AR392" s="24" t="inlineStr">
        <is>
          <t>Tahiti</t>
        </is>
      </c>
      <c r="AS392" s="24" t="inlineStr">
        <is>
          <t>Cook Islands</t>
        </is>
      </c>
      <c r="AT392" s="24" t="inlineStr">
        <is>
          <t>Cook Islands</t>
        </is>
      </c>
      <c r="AU392" s="24" t="inlineStr">
        <is>
          <t>Cook Islands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3d16277c2cfc0628d7ec79d04feee92735e5c503a3be195cb225c7c52d024308</t>
        </is>
      </c>
      <c r="BB392" s="24" t="inlineStr">
        <is>
          <t>poisson_dixon_coles</t>
        </is>
      </c>
      <c r="BC392" s="24" t="inlineStr">
        <is>
          <t>soccer-poisson-dc-v1</t>
        </is>
      </c>
      <c r="BD392" s="24" t="inlineStr">
        <is>
          <t>3d16277c2cfc0628d7ec79d04feee92735e5c503a3be195cb225c7c52d024308</t>
        </is>
      </c>
      <c r="BE392" s="24" t="inlineStr">
        <is>
          <t>soccer-poisson-dc-v1</t>
        </is>
      </c>
      <c r="BF392" s="24" t="inlineStr">
        <is>
          <t>1</t>
        </is>
      </c>
      <c r="BG392" s="24" t="inlineStr">
        <is>
          <t>3d16277c2cfc0628d7ec79d04feee92735e5c503a3be195cb225c7c52d024308</t>
        </is>
      </c>
      <c r="BH392" s="24" t="inlineStr">
        <is>
          <t>2026-09-30T22:03:26.096125Z</t>
        </is>
      </c>
      <c r="BI392" s="24" t="inlineStr">
        <is>
          <t>["same_event","same_team_same_day","same_league_same_day"]</t>
        </is>
      </c>
      <c r="BJ392" s="25" t="n">
        <v>2.5</v>
      </c>
      <c r="BK392" s="26" t="n">
        <v>-809</v>
      </c>
      <c r="BL392" s="27" t="n">
        <v>1.123609</v>
      </c>
      <c r="BM392" s="28" t="n">
        <v>0.889989</v>
      </c>
      <c r="BN392" s="28" t="n"/>
      <c r="BO392" s="28" t="n"/>
      <c r="BP392" s="25" t="n"/>
      <c r="BQ392" s="27" t="n">
        <v>1.123609</v>
      </c>
      <c r="BR392" s="28" t="n">
        <v>0.89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-1</v>
      </c>
      <c r="BZ392" s="24" t="inlineStr">
        <is>
          <t>2026-10-01T04:30:25.771863Z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0.889989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b7f0cb0f549d4d7b</t>
        </is>
      </c>
      <c r="B393" s="24" t="inlineStr">
        <is>
          <t>2026-09-30T22:04:40.732839Z</t>
        </is>
      </c>
      <c r="C393" s="24" t="inlineStr">
        <is>
          <t>2026-10-01T02:00Z</t>
        </is>
      </c>
      <c r="D393" s="24" t="inlineStr">
        <is>
          <t>401924629</t>
        </is>
      </c>
      <c r="E393" s="24" t="inlineStr">
        <is>
          <t>SOCCER</t>
        </is>
      </c>
      <c r="F393" s="24" t="inlineStr">
        <is>
          <t>Tahiti</t>
        </is>
      </c>
      <c r="G393" s="24" t="inlineStr">
        <is>
          <t>Cook Islands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1150</v>
      </c>
      <c r="M393" s="27" t="n">
        <v>12.5</v>
      </c>
      <c r="N393" s="28" t="n">
        <v>0.08</v>
      </c>
      <c r="O393" s="28" t="n">
        <v>0.456135</v>
      </c>
      <c r="P393" s="28" t="n">
        <v>0.2</v>
      </c>
      <c r="Q393" s="28" t="n">
        <v>0.376135</v>
      </c>
      <c r="R393" s="26" t="n">
        <v>100</v>
      </c>
      <c r="S393" s="29" t="n">
        <v>2</v>
      </c>
      <c r="T393" s="24" t="inlineStr">
        <is>
          <t>soccer-poisson-dc-v1</t>
        </is>
      </c>
      <c r="U393" s="24" t="inlineStr">
        <is>
          <t>settled</t>
        </is>
      </c>
      <c r="V393" s="24" t="inlineStr">
        <is>
          <t>loss</t>
        </is>
      </c>
      <c r="W393" s="26" t="n">
        <v>0</v>
      </c>
      <c r="X393" s="26" t="n">
        <v>0</v>
      </c>
      <c r="Y393" s="25" t="n"/>
      <c r="Z393" s="26" t="n">
        <v>1150</v>
      </c>
      <c r="AA393" s="28" t="n">
        <v>0.08</v>
      </c>
      <c r="AB393" s="28" t="n">
        <v>0</v>
      </c>
      <c r="AC393" s="30" t="n">
        <v>-2</v>
      </c>
      <c r="AD393" s="24" t="inlineStr">
        <is>
          <t>2026-10-01T04:30:27.009705Z</t>
        </is>
      </c>
      <c r="AE393" s="31" t="inlineStr">
        <is>
          <t>Poisson-DC rates 1.64 (home) / 1.24 (away) from EWMA attack/defense strengths. Executable ask 0.0800 (atc-intf-cok-tah-2026-09-30-cok).</t>
        </is>
      </c>
      <c r="AF393" s="31" t="inlineStr">
        <is>
          <t>Research-only soccer score model; draw-aware, but not yet locked-holdout qualified.</t>
        </is>
      </c>
      <c r="AG393" s="24" t="inlineStr">
        <is>
          <t>review_required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Tahiti</t>
        </is>
      </c>
      <c r="AQ393" s="24" t="inlineStr">
        <is>
          <t>Tahiti</t>
        </is>
      </c>
      <c r="AR393" s="24" t="inlineStr">
        <is>
          <t>Tahiti</t>
        </is>
      </c>
      <c r="AS393" s="24" t="inlineStr">
        <is>
          <t>Cook Islands</t>
        </is>
      </c>
      <c r="AT393" s="24" t="inlineStr">
        <is>
          <t>Cook Islands</t>
        </is>
      </c>
      <c r="AU393" s="24" t="inlineStr">
        <is>
          <t>Cook Islands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3d16277c2cfc0628d7ec79d04feee92735e5c503a3be195cb225c7c52d024308</t>
        </is>
      </c>
      <c r="BB393" s="24" t="inlineStr">
        <is>
          <t>poisson_dixon_coles</t>
        </is>
      </c>
      <c r="BC393" s="24" t="inlineStr">
        <is>
          <t>soccer-poisson-dc-v1</t>
        </is>
      </c>
      <c r="BD393" s="24" t="inlineStr">
        <is>
          <t>3d16277c2cfc0628d7ec79d04feee92735e5c503a3be195cb225c7c52d024308</t>
        </is>
      </c>
      <c r="BE393" s="24" t="inlineStr">
        <is>
          <t>soccer-poisson-dc-v1</t>
        </is>
      </c>
      <c r="BF393" s="24" t="inlineStr">
        <is>
          <t>1</t>
        </is>
      </c>
      <c r="BG393" s="24" t="inlineStr">
        <is>
          <t>3d16277c2cfc0628d7ec79d04feee92735e5c503a3be195cb225c7c52d024308</t>
        </is>
      </c>
      <c r="BH393" s="24" t="inlineStr">
        <is>
          <t>2026-09-30T22:03:26.040838Z</t>
        </is>
      </c>
      <c r="BI393" s="24" t="inlineStr">
        <is>
          <t>["same_event","same_team_same_day","same_league_same_day"]</t>
        </is>
      </c>
      <c r="BJ393" s="25" t="n"/>
      <c r="BK393" s="26" t="n">
        <v>1150</v>
      </c>
      <c r="BL393" s="27" t="n">
        <v>12.5</v>
      </c>
      <c r="BM393" s="28" t="n">
        <v>0.08</v>
      </c>
      <c r="BN393" s="28" t="n"/>
      <c r="BO393" s="28" t="n"/>
      <c r="BP393" s="25" t="n"/>
      <c r="BQ393" s="27" t="n">
        <v>12.5</v>
      </c>
      <c r="BR393" s="28" t="n">
        <v>0.08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-1</v>
      </c>
      <c r="BZ393" s="24" t="inlineStr">
        <is>
          <t>2026-10-01T04:30:27.009705Z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0.08</t>
        </is>
      </c>
      <c r="DK393" s="24" t="n"/>
      <c r="DL393" s="24" t="n"/>
      <c r="DM393" s="24" t="n"/>
      <c r="DN393" s="24" t="n"/>
      <c r="DO393" s="24" t="n"/>
      <c r="DP393" s="24" t="n"/>
      <c r="DQ393" s="24" t="inlineStr">
        <is>
          <t>{"artifact_hash": "3d16277c2cfc0628d7ec79d04feee92735e5c503a3be195cb225c7c52d024308", "away_team": "Tahiti", "event_id": "401924629", "event_start_utc": "2026-10-01T02:00Z", "features": {"away_goal_rate": 1.2418, "history_games": 9181, "home_goal_rate": 1.6423, "league_goals_per_team": 1.4281, "min_team_games": 0.0}, "historical_source_observation_times_verified": false, "home_team": "Cook Islands",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"2026-09-30T22:04:40.020391+00:00", "probabilities": {"away": 0.278015, "draw": 0.265851, "home": 0.456135}, "replay_scope": "Exact full-precision serving state and rounding; upstream historical observation times are not certified.", "schema": "coded-moneyline-replay-v1", "snapshot_hash": "0ee9258cf02119fcaa413ade0417a9372b0a684c49bc0ecc75fa249172d309a1", "sport": "SOCCER"}</t>
        </is>
      </c>
    </row>
    <row r="394" ht="36" customHeight="1">
      <c r="A394" s="24" t="inlineStr">
        <is>
          <t>e79862becf6a4c2a</t>
        </is>
      </c>
      <c r="B394" s="24" t="inlineStr">
        <is>
          <t>2026-10-01T10:09:47.057308Z</t>
        </is>
      </c>
      <c r="C394" s="24" t="inlineStr">
        <is>
          <t>2026-10-01T14:00Z</t>
        </is>
      </c>
      <c r="D394" s="24" t="inlineStr">
        <is>
          <t>401919420</t>
        </is>
      </c>
      <c r="E394" s="24" t="inlineStr">
        <is>
          <t>SOCCER</t>
        </is>
      </c>
      <c r="F394" s="24" t="inlineStr">
        <is>
          <t>Lebanon</t>
        </is>
      </c>
      <c r="G394" s="24" t="inlineStr">
        <is>
          <t>Maldives</t>
        </is>
      </c>
      <c r="H394" s="24" t="inlineStr">
        <is>
          <t>total</t>
        </is>
      </c>
      <c r="I394" s="24" t="inlineStr">
        <is>
          <t>over</t>
        </is>
      </c>
      <c r="J394" s="25" t="n">
        <v>2.5</v>
      </c>
      <c r="K394" s="24" t="inlineStr">
        <is>
          <t>polymarket_us</t>
        </is>
      </c>
      <c r="L394" s="26" t="n">
        <v>-4900</v>
      </c>
      <c r="M394" s="27" t="n">
        <v>1.020408</v>
      </c>
      <c r="N394" s="28" t="n">
        <v>0.98</v>
      </c>
      <c r="O394" s="28" t="n">
        <v>0.550338</v>
      </c>
      <c r="P394" s="28" t="n">
        <v>0.2</v>
      </c>
      <c r="Q394" s="28" t="n">
        <v>-0.429662</v>
      </c>
      <c r="R394" s="26" t="n">
        <v>0</v>
      </c>
      <c r="S394" s="29" t="n">
        <v>1</v>
      </c>
      <c r="T394" s="24" t="inlineStr">
        <is>
          <t>soccer-poisson-dc-v1</t>
        </is>
      </c>
      <c r="U394" s="24" t="inlineStr">
        <is>
          <t>settled</t>
        </is>
      </c>
      <c r="V394" s="24" t="inlineStr">
        <is>
          <t>win</t>
        </is>
      </c>
      <c r="W394" s="26" t="n">
        <v>6</v>
      </c>
      <c r="X394" s="26" t="n">
        <v>0</v>
      </c>
      <c r="Y394" s="25" t="n"/>
      <c r="Z394" s="26" t="n">
        <v>-4900</v>
      </c>
      <c r="AA394" s="28" t="n">
        <v>0.98</v>
      </c>
      <c r="AB394" s="28" t="n">
        <v>0</v>
      </c>
      <c r="AC394" s="30" t="n">
        <v>0.0204</v>
      </c>
      <c r="AD394" s="24" t="inlineStr">
        <is>
          <t>2026-10-01T22:00:13.591330Z</t>
        </is>
      </c>
      <c r="AE394" s="31" t="inlineStr">
        <is>
          <t>Poisson-DC rates 1.64 (home) / 1.24 (away) from EWMA attack/defense strengths. Executable ask 0.9800 (tsc-intf-mdv-lib-2026-10-01-2pt5).</t>
        </is>
      </c>
      <c r="AF394" s="31" t="inlineStr">
        <is>
          <t>Research-only soccer score model; draw-aware, but not yet locked-holdout qualified.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PAPER_CALL_MODEL_UNVALIDATED</t>
        </is>
      </c>
      <c r="AP394" s="24" t="inlineStr">
        <is>
          <t>Lebanon</t>
        </is>
      </c>
      <c r="AQ394" s="24" t="inlineStr">
        <is>
          <t>Lebanon</t>
        </is>
      </c>
      <c r="AR394" s="24" t="inlineStr">
        <is>
          <t>Lebanon</t>
        </is>
      </c>
      <c r="AS394" s="24" t="inlineStr">
        <is>
          <t>Maldives</t>
        </is>
      </c>
      <c r="AT394" s="24" t="inlineStr">
        <is>
          <t>Maldives</t>
        </is>
      </c>
      <c r="AU394" s="24" t="inlineStr">
        <is>
          <t>Maldives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3d16277c2cfc0628d7ec79d04feee92735e5c503a3be195cb225c7c52d024308</t>
        </is>
      </c>
      <c r="BB394" s="24" t="inlineStr">
        <is>
          <t>poisson_dixon_coles</t>
        </is>
      </c>
      <c r="BC394" s="24" t="inlineStr">
        <is>
          <t>soccer-poisson-dc-v1</t>
        </is>
      </c>
      <c r="BD394" s="24" t="inlineStr">
        <is>
          <t>3d16277c2cfc0628d7ec79d04feee92735e5c503a3be195cb225c7c52d024308</t>
        </is>
      </c>
      <c r="BE394" s="24" t="inlineStr">
        <is>
          <t>soccer-poisson-dc-v1</t>
        </is>
      </c>
      <c r="BF394" s="24" t="inlineStr">
        <is>
          <t>1</t>
        </is>
      </c>
      <c r="BG394" s="24" t="inlineStr">
        <is>
          <t>3d16277c2cfc0628d7ec79d04feee92735e5c503a3be195cb225c7c52d024308</t>
        </is>
      </c>
      <c r="BH394" s="24" t="inlineStr">
        <is>
          <t>2026-10-01T10:06:18.376722Z</t>
        </is>
      </c>
      <c r="BI394" s="24" t="inlineStr">
        <is>
          <t>["same_event","same_team_same_day","same_league_same_day"]</t>
        </is>
      </c>
      <c r="BJ394" s="25" t="n">
        <v>2.5</v>
      </c>
      <c r="BK394" s="26" t="n">
        <v>-4900</v>
      </c>
      <c r="BL394" s="27" t="n">
        <v>1.020408</v>
      </c>
      <c r="BM394" s="28" t="n">
        <v>0.98</v>
      </c>
      <c r="BN394" s="28" t="n"/>
      <c r="BO394" s="28" t="n"/>
      <c r="BP394" s="25" t="n"/>
      <c r="BQ394" s="27" t="n">
        <v>1.020408</v>
      </c>
      <c r="BR394" s="28" t="n">
        <v>0.98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0.020408</v>
      </c>
      <c r="BZ394" s="24" t="inlineStr">
        <is>
          <t>2026-10-01T22:00:13.591330Z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0.98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d941c6af3df5412d</t>
        </is>
      </c>
      <c r="B395" s="24" t="inlineStr">
        <is>
          <t>2026-10-01T16:07:43.124928Z</t>
        </is>
      </c>
      <c r="C395" s="24" t="inlineStr">
        <is>
          <t>2026-10-01T18:00Z</t>
        </is>
      </c>
      <c r="D395" s="24" t="inlineStr">
        <is>
          <t>401927453</t>
        </is>
      </c>
      <c r="E395" s="24" t="inlineStr">
        <is>
          <t>SOCCER</t>
        </is>
      </c>
      <c r="F395" s="24" t="inlineStr">
        <is>
          <t>Ceuta</t>
        </is>
      </c>
      <c r="G395" s="24" t="inlineStr">
        <is>
          <t>Real Betis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-270</v>
      </c>
      <c r="M395" s="27" t="n">
        <v>1.37037</v>
      </c>
      <c r="N395" s="28" t="n">
        <v>0.72973</v>
      </c>
      <c r="O395" s="28" t="n">
        <v>0.512505</v>
      </c>
      <c r="P395" s="28" t="n">
        <v>0.2</v>
      </c>
      <c r="Q395" s="28" t="n">
        <v>-0.217225</v>
      </c>
      <c r="R395" s="26" t="n">
        <v>0</v>
      </c>
      <c r="S395" s="29" t="n">
        <v>1</v>
      </c>
      <c r="T395" s="24" t="inlineStr">
        <is>
          <t>soccer-poisson-dc-v1</t>
        </is>
      </c>
      <c r="U395" s="24" t="inlineStr">
        <is>
          <t>settled</t>
        </is>
      </c>
      <c r="V395" s="24" t="inlineStr">
        <is>
          <t>push</t>
        </is>
      </c>
      <c r="W395" s="26" t="n"/>
      <c r="X395" s="26" t="n"/>
      <c r="Y395" s="25" t="n"/>
      <c r="Z395" s="26" t="n"/>
      <c r="AA395" s="28" t="n"/>
      <c r="AB395" s="28" t="n"/>
      <c r="AC395" s="30" t="n">
        <v>0</v>
      </c>
      <c r="AD395" s="24" t="inlineStr">
        <is>
          <t>2026-10-06T05:32:32.517488Z</t>
        </is>
      </c>
      <c r="AE395" s="31" t="inlineStr">
        <is>
          <t>Poisson-DC rates 1.80 (home) / 1.16 (away) from EWMA attack/defense strengths. Executable ask 0.7300 (atc-clbf-rbb-ceu-2026-10-01-rbb).</t>
        </is>
      </c>
      <c r="AF395" s="31" t="inlineStr">
        <is>
          <t>Research-only soccer score model; draw-aware, but not yet locked-holdout qualified.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PAPER_CALL_MODEL_UNVALIDATED</t>
        </is>
      </c>
      <c r="AP395" s="24" t="inlineStr">
        <is>
          <t>Ceuta</t>
        </is>
      </c>
      <c r="AQ395" s="24" t="inlineStr">
        <is>
          <t>Ceuta</t>
        </is>
      </c>
      <c r="AR395" s="24" t="inlineStr">
        <is>
          <t>Ceuta</t>
        </is>
      </c>
      <c r="AS395" s="24" t="inlineStr">
        <is>
          <t>Real Betis</t>
        </is>
      </c>
      <c r="AT395" s="24" t="inlineStr">
        <is>
          <t>Real Betis</t>
        </is>
      </c>
      <c r="AU395" s="24" t="inlineStr">
        <is>
          <t>Real Betis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3d16277c2cfc0628d7ec79d04feee92735e5c503a3be195cb225c7c52d024308</t>
        </is>
      </c>
      <c r="BB395" s="24" t="inlineStr">
        <is>
          <t>poisson_dixon_coles</t>
        </is>
      </c>
      <c r="BC395" s="24" t="inlineStr">
        <is>
          <t>soccer-poisson-dc-v1</t>
        </is>
      </c>
      <c r="BD395" s="24" t="inlineStr">
        <is>
          <t>3d16277c2cfc0628d7ec79d04feee92735e5c503a3be195cb225c7c52d024308</t>
        </is>
      </c>
      <c r="BE395" s="24" t="inlineStr">
        <is>
          <t>soccer-poisson-dc-v1</t>
        </is>
      </c>
      <c r="BF395" s="24" t="inlineStr">
        <is>
          <t>1</t>
        </is>
      </c>
      <c r="BG395" s="24" t="inlineStr">
        <is>
          <t>3d16277c2cfc0628d7ec79d04feee92735e5c503a3be195cb225c7c52d024308</t>
        </is>
      </c>
      <c r="BH395" s="24" t="inlineStr">
        <is>
          <t>2026-10-01T16:06:06.030824Z</t>
        </is>
      </c>
      <c r="BI395" s="24" t="inlineStr">
        <is>
          <t>["same_event","same_team_same_day","same_league_same_day"]</t>
        </is>
      </c>
      <c r="BJ395" s="25" t="n"/>
      <c r="BK395" s="26" t="n">
        <v>-270</v>
      </c>
      <c r="BL395" s="27" t="n">
        <v>1.37037</v>
      </c>
      <c r="BM395" s="28" t="n">
        <v>0.72973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inlineStr">
        <is>
          <t>event status_postponed</t>
        </is>
      </c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0.72973</t>
        </is>
      </c>
      <c r="DK395" s="24" t="n"/>
      <c r="DL395" s="24" t="n"/>
      <c r="DM395" s="24" t="n"/>
      <c r="DN395" s="24" t="n"/>
      <c r="DO395" s="24" t="n"/>
      <c r="DP395" s="24" t="n"/>
      <c r="DQ395" s="24" t="inlineStr">
        <is>
          <t>{"artifact_hash": "3d16277c2cfc0628d7ec79d04feee92735e5c503a3be195cb225c7c52d024308", "away_team": "Ceuta", "event_id": "401927453", "event_start_utc": "2026-10-01T18:00Z", "features": {"away_goal_rate": 1.16, "history_games": 9181, "home_goal_rate": 1.7988, "league_goals_per_team": 1.4281, "min_team_games": 0.0}, "historical_source_observation_times_verified": false, "home_team": "Real Betis", "inference_inputs": {"away_rate": 1.1600132369778589, "code_sha256": {"models/soccer.py": "3d16277c2cfc0628d7ec79d04feee92735e5c503a3be195cb225c7c52d024308"}, "home_rate": 1.7988324663212805, "sport": "SOCCER"}, "market_type": "moneyline", "model_version": "soccer-poisson-dc-v1", "observed_at_utc": "2026-10-01T16:07:42.432823+00:00", "probabilities": {"away": 0.234286, "draw": 0.253209, "home": 0.512505}, "replay_scope": "Exact full-precision serving state and rounding; upstream historical observation times are not certified.", "schema": "coded-moneyline-replay-v1", "snapshot_hash": "990abfe7d0c36086b627d6c52612695e961ab5e69b8ceb7744c5a279d4dbdacd", "sport": "SOCCER"}</t>
        </is>
      </c>
    </row>
    <row r="396" ht="36" customHeight="1">
      <c r="A396" s="24" t="inlineStr">
        <is>
          <t>c6a1fc57364c4da9</t>
        </is>
      </c>
      <c r="B396" s="24" t="inlineStr">
        <is>
          <t>2026-10-01T22:06:46.445767Z</t>
        </is>
      </c>
      <c r="C396" s="24" t="inlineStr">
        <is>
          <t>2026-10-02T01:30Z</t>
        </is>
      </c>
      <c r="D396" s="24" t="inlineStr">
        <is>
          <t>761798</t>
        </is>
      </c>
      <c r="E396" s="24" t="inlineStr">
        <is>
          <t>SOCCER</t>
        </is>
      </c>
      <c r="F396" s="24" t="inlineStr">
        <is>
          <t>Sporting Kansas City</t>
        </is>
      </c>
      <c r="G396" s="24" t="inlineStr">
        <is>
          <t>Seattle Sounders FC</t>
        </is>
      </c>
      <c r="H396" s="24" t="inlineStr">
        <is>
          <t>moneyline</t>
        </is>
      </c>
      <c r="I396" s="24" t="inlineStr">
        <is>
          <t>home</t>
        </is>
      </c>
      <c r="J396" s="25" t="n"/>
      <c r="K396" s="24" t="inlineStr">
        <is>
          <t>polymarket_us</t>
        </is>
      </c>
      <c r="L396" s="26" t="n">
        <v>-194</v>
      </c>
      <c r="M396" s="27" t="n">
        <v>1.515464</v>
      </c>
      <c r="N396" s="28" t="n">
        <v>0.659864</v>
      </c>
      <c r="O396" s="28" t="n">
        <v>0.720533</v>
      </c>
      <c r="P396" s="28" t="n">
        <v>0.04</v>
      </c>
      <c r="Q396" s="28" t="n">
        <v>0.060669</v>
      </c>
      <c r="R396" s="26" t="n">
        <v>56</v>
      </c>
      <c r="S396" s="29" t="n">
        <v>1.25</v>
      </c>
      <c r="T396" s="24" t="inlineStr">
        <is>
          <t>soccer-poisson-dc-v1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2</v>
      </c>
      <c r="Y396" s="25" t="n"/>
      <c r="Z396" s="26" t="n">
        <v>-194</v>
      </c>
      <c r="AA396" s="28" t="n">
        <v>0.66</v>
      </c>
      <c r="AB396" s="28" t="n">
        <v>0.000136</v>
      </c>
      <c r="AC396" s="30" t="n">
        <v>0.6443</v>
      </c>
      <c r="AD396" s="24" t="inlineStr">
        <is>
          <t>2026-10-02T04:30:19.818879Z</t>
        </is>
      </c>
      <c r="AE396" s="31" t="inlineStr">
        <is>
          <t>Poisson-DC rates 2.60 (home) / 0.95 (away) from EWMA attack/defense strengths. Executable ask 0.6600 (atc-mls-sea-skc-2026-10-01-sea).</t>
        </is>
      </c>
      <c r="AF396" s="31" t="inlineStr">
        <is>
          <t>Research-only soccer score model; draw-aware, but not yet locked-holdout qualified.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Sporting Kansas City</t>
        </is>
      </c>
      <c r="AQ396" s="24" t="inlineStr">
        <is>
          <t>Sporting Kansas City</t>
        </is>
      </c>
      <c r="AR396" s="24" t="inlineStr">
        <is>
          <t>Sporting Kansas City</t>
        </is>
      </c>
      <c r="AS396" s="24" t="inlineStr">
        <is>
          <t>Seattle Sounders FC</t>
        </is>
      </c>
      <c r="AT396" s="24" t="inlineStr">
        <is>
          <t>Seattle Sounders FC</t>
        </is>
      </c>
      <c r="AU396" s="24" t="inlineStr">
        <is>
          <t>Seattle Sounders FC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3d16277c2cfc0628d7ec79d04feee92735e5c503a3be195cb225c7c52d024308</t>
        </is>
      </c>
      <c r="BB396" s="24" t="inlineStr">
        <is>
          <t>poisson_dixon_coles</t>
        </is>
      </c>
      <c r="BC396" s="24" t="inlineStr">
        <is>
          <t>soccer-poisson-dc-v1</t>
        </is>
      </c>
      <c r="BD396" s="24" t="inlineStr">
        <is>
          <t>3d16277c2cfc0628d7ec79d04feee92735e5c503a3be195cb225c7c52d024308</t>
        </is>
      </c>
      <c r="BE396" s="24" t="inlineStr">
        <is>
          <t>soccer-poisson-dc-v1</t>
        </is>
      </c>
      <c r="BF396" s="24" t="inlineStr">
        <is>
          <t>1</t>
        </is>
      </c>
      <c r="BG396" s="24" t="inlineStr">
        <is>
          <t>3d16277c2cfc0628d7ec79d04feee92735e5c503a3be195cb225c7c52d024308</t>
        </is>
      </c>
      <c r="BH396" s="24" t="inlineStr">
        <is>
          <t>2026-10-01T10:06:07.280173Z</t>
        </is>
      </c>
      <c r="BI396" s="24" t="inlineStr">
        <is>
          <t>["same_event","same_team_same_day","same_league_same_day"]</t>
        </is>
      </c>
      <c r="BJ396" s="25" t="n"/>
      <c r="BK396" s="26" t="n">
        <v>-194</v>
      </c>
      <c r="BL396" s="27" t="n">
        <v>1.515464</v>
      </c>
      <c r="BM396" s="28" t="n">
        <v>0.659864</v>
      </c>
      <c r="BN396" s="28" t="n"/>
      <c r="BO396" s="28" t="n"/>
      <c r="BP396" s="25" t="n"/>
      <c r="BQ396" s="27" t="n">
        <v>1.515464</v>
      </c>
      <c r="BR396" s="28" t="n">
        <v>0.66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0.515464</v>
      </c>
      <c r="BZ396" s="24" t="inlineStr">
        <is>
          <t>2026-10-02T04:30:19.818879Z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0.659864</t>
        </is>
      </c>
      <c r="DK396" s="24" t="n"/>
      <c r="DL396" s="24" t="n"/>
      <c r="DM396" s="24" t="n"/>
      <c r="DN396" s="24" t="n"/>
      <c r="DO396" s="24" t="n"/>
      <c r="DP396" s="24" t="n"/>
      <c r="DQ396" s="24" t="inlineStr">
        <is>
          <t>{"artifact_hash": "3d16277c2cfc0628d7ec79d04feee92735e5c503a3be195cb225c7c52d024308", "away_team": "Sporting Kansas City", "event_id": "761798", "event_start_utc": "2026-10-02T01:30Z", "features": {"away_goal_rate": 0.9519, "history_games": 9181, "home_goal_rate": 2.6032, "league_goals_per_team": 1.5536, "min_team_games": 83.0}, "historical_source_observation_times_verified": false, "home_team": "Seattle Sounders FC", "inference_inputs": {"away_rate": 0.9519418877240788, "code_sha256": {"models/soccer.py": "3d16277c2cfc0628d7ec79d04feee92735e5c503a3be195cb225c7c52d024308"}, "home_rate": 2.60318629443041, "sport": "SOCCER"}, "market_type": "moneyline", "model_version": "soccer-poisson-dc-v1", "observed_at_utc": "2026-10-01T22:06:45.383426+00:00", "probabilities": {"away": 0.10787, "draw": 0.171597, "home": 0.720533}, "replay_scope": "Exact full-precision serving state and rounding; upstream historical observation times are not certified.", "schema": "coded-moneyline-replay-v1", "snapshot_hash": "7bfd21e3c43454d9287cf1dc2eb9b344b946211be2ef793afae963517dff9437", "sport": "SOCCER"}</t>
        </is>
      </c>
    </row>
    <row r="397" ht="36" customHeight="1">
      <c r="A397" s="24" t="inlineStr">
        <is>
          <t>1f30dc580f5d4445</t>
        </is>
      </c>
      <c r="B397" s="24" t="inlineStr">
        <is>
          <t>2026-10-02T16:07:50.465912Z</t>
        </is>
      </c>
      <c r="C397" s="24" t="inlineStr">
        <is>
          <t>2026-10-02T22:00Z</t>
        </is>
      </c>
      <c r="D397" s="24" t="inlineStr">
        <is>
          <t>401844189</t>
        </is>
      </c>
      <c r="E397" s="24" t="inlineStr">
        <is>
          <t>SOCCER</t>
        </is>
      </c>
      <c r="F397" s="24" t="inlineStr">
        <is>
          <t>Deportivo Madryn</t>
        </is>
      </c>
      <c r="G397" s="24" t="inlineStr">
        <is>
          <t>Ferro Carril Oeste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-113</v>
      </c>
      <c r="M397" s="27" t="n">
        <v>1.884956</v>
      </c>
      <c r="N397" s="28" t="n">
        <v>0.530516</v>
      </c>
      <c r="O397" s="28" t="n">
        <v>0.456135</v>
      </c>
      <c r="P397" s="28" t="n">
        <v>0.2</v>
      </c>
      <c r="Q397" s="28" t="n">
        <v>-0.074381</v>
      </c>
      <c r="R397" s="26" t="n">
        <v>0</v>
      </c>
      <c r="S397" s="29" t="n">
        <v>1</v>
      </c>
      <c r="T397" s="24" t="inlineStr">
        <is>
          <t>soccer-poisson-dc-v1</t>
        </is>
      </c>
      <c r="U397" s="24" t="inlineStr">
        <is>
          <t>settled</t>
        </is>
      </c>
      <c r="V397" s="24" t="inlineStr">
        <is>
          <t>loss</t>
        </is>
      </c>
      <c r="W397" s="26" t="n">
        <v>2</v>
      </c>
      <c r="X397" s="26" t="n">
        <v>0</v>
      </c>
      <c r="Y397" s="25" t="n"/>
      <c r="Z397" s="26" t="n">
        <v>-113</v>
      </c>
      <c r="AA397" s="28" t="n">
        <v>0.53</v>
      </c>
      <c r="AB397" s="28" t="n">
        <v>-0.000516</v>
      </c>
      <c r="AC397" s="30" t="n">
        <v>-1</v>
      </c>
      <c r="AD397" s="24" t="inlineStr">
        <is>
          <t>2026-10-03T04:30:14.154314Z</t>
        </is>
      </c>
      <c r="AE397" s="31" t="inlineStr">
        <is>
          <t>Poisson-DC rates 1.64 (home) / 1.24 (away) from EWMA attack/defense strengths. Executable ask 0.5300 (atc-arg2-fco-dma-2026-10-03-fco).</t>
        </is>
      </c>
      <c r="AF397" s="31" t="inlineStr">
        <is>
          <t>Research-only soccer score model; draw-aware, but not yet locked-holdout qualified.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Deportivo Madryn</t>
        </is>
      </c>
      <c r="AQ397" s="24" t="inlineStr">
        <is>
          <t>Deportivo Madryn</t>
        </is>
      </c>
      <c r="AR397" s="24" t="inlineStr">
        <is>
          <t>Deportivo Madryn</t>
        </is>
      </c>
      <c r="AS397" s="24" t="inlineStr">
        <is>
          <t>Ferro Carril Oeste</t>
        </is>
      </c>
      <c r="AT397" s="24" t="inlineStr">
        <is>
          <t>Ferro Carril Oeste</t>
        </is>
      </c>
      <c r="AU397" s="24" t="inlineStr">
        <is>
          <t>Ferro Carril Oeste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3d16277c2cfc0628d7ec79d04feee92735e5c503a3be195cb225c7c52d024308</t>
        </is>
      </c>
      <c r="BB397" s="24" t="inlineStr">
        <is>
          <t>poisson_dixon_coles</t>
        </is>
      </c>
      <c r="BC397" s="24" t="inlineStr">
        <is>
          <t>soccer-poisson-dc-v1</t>
        </is>
      </c>
      <c r="BD397" s="24" t="inlineStr">
        <is>
          <t>3d16277c2cfc0628d7ec79d04feee92735e5c503a3be195cb225c7c52d024308</t>
        </is>
      </c>
      <c r="BE397" s="24" t="inlineStr">
        <is>
          <t>soccer-poisson-dc-v1</t>
        </is>
      </c>
      <c r="BF397" s="24" t="inlineStr">
        <is>
          <t>1</t>
        </is>
      </c>
      <c r="BG397" s="24" t="inlineStr">
        <is>
          <t>3d16277c2cfc0628d7ec79d04feee92735e5c503a3be195cb225c7c52d024308</t>
        </is>
      </c>
      <c r="BH397" s="24" t="inlineStr">
        <is>
          <t>2026-10-02T16:06:15.084686Z</t>
        </is>
      </c>
      <c r="BI397" s="24" t="inlineStr">
        <is>
          <t>["same_event","same_team_same_day","same_league_same_day"]</t>
        </is>
      </c>
      <c r="BJ397" s="25" t="n"/>
      <c r="BK397" s="26" t="n">
        <v>-113</v>
      </c>
      <c r="BL397" s="27" t="n">
        <v>1.884956</v>
      </c>
      <c r="BM397" s="28" t="n">
        <v>0.530516</v>
      </c>
      <c r="BN397" s="28" t="n"/>
      <c r="BO397" s="28" t="n"/>
      <c r="BP397" s="25" t="n"/>
      <c r="BQ397" s="27" t="n">
        <v>1.884956</v>
      </c>
      <c r="BR397" s="28" t="n">
        <v>0.53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-1</v>
      </c>
      <c r="BZ397" s="24" t="inlineStr">
        <is>
          <t>2026-10-03T04:30:14.154314Z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0.530516</t>
        </is>
      </c>
      <c r="DK397" s="24" t="n"/>
      <c r="DL397" s="24" t="n"/>
      <c r="DM397" s="24" t="n"/>
      <c r="DN397" s="24" t="n"/>
      <c r="DO397" s="24" t="n"/>
      <c r="DP397" s="24" t="n"/>
      <c r="DQ397" s="24" t="inlineStr">
        <is>
          <t>{"artifact_hash": "3d16277c2cfc0628d7ec79d04feee92735e5c503a3be195cb225c7c52d024308", "away_team": "Deportivo Madryn", "event_id": "401844189", "event_start_utc": "2026-10-02T22:00Z", "features": {"away_goal_rate": 1.2418, "history_games": 9181, "home_goal_rate": 1.6423, "league_goals_per_team": 1.4281, "min_team_games": 0.0}, "historical_source_observation_times_verified": false, "home_team": "Ferro Carril Oeste",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"2026-10-02T16:07:49.928272+00:00", "probabilities": {"away": 0.278015, "draw": 0.265851, "home": 0.456135}, "replay_scope": "Exact full-precision serving state and rounding; upstream historical observation times are not certified.", "schema": "coded-moneyline-replay-v1", "snapshot_hash": "6fdb6590d23bfb3ffb23099fef4b0f05eb792af4a0d63f06da11aaa8eeab48c4", "sport": "SOCCER"}</t>
        </is>
      </c>
    </row>
    <row r="398" ht="36" customHeight="1">
      <c r="A398" s="24" t="inlineStr">
        <is>
          <t>b1515fb7c3314e93</t>
        </is>
      </c>
      <c r="B398" s="24" t="inlineStr">
        <is>
          <t>2026-10-02T22:06:17.352793Z</t>
        </is>
      </c>
      <c r="C398" s="24" t="inlineStr">
        <is>
          <t>2026-10-02T23:00Z</t>
        </is>
      </c>
      <c r="D398" s="24" t="inlineStr">
        <is>
          <t>401841169</t>
        </is>
      </c>
      <c r="E398" s="24" t="inlineStr">
        <is>
          <t>SOCCER</t>
        </is>
      </c>
      <c r="F398" s="24" t="inlineStr">
        <is>
          <t>Santos</t>
        </is>
      </c>
      <c r="G398" s="24" t="inlineStr">
        <is>
          <t>São Paulo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117</v>
      </c>
      <c r="M398" s="27" t="n">
        <v>2.17</v>
      </c>
      <c r="N398" s="28" t="n">
        <v>0.460829</v>
      </c>
      <c r="O398" s="28" t="n">
        <v>0.456135</v>
      </c>
      <c r="P398" s="28" t="n">
        <v>0.2</v>
      </c>
      <c r="Q398" s="28" t="n">
        <v>-0.004694</v>
      </c>
      <c r="R398" s="26" t="n">
        <v>0</v>
      </c>
      <c r="S398" s="29" t="n">
        <v>1</v>
      </c>
      <c r="T398" s="24" t="inlineStr">
        <is>
          <t>soccer-poisson-dc-v1</t>
        </is>
      </c>
      <c r="U398" s="24" t="inlineStr">
        <is>
          <t>settled</t>
        </is>
      </c>
      <c r="V398" s="24" t="inlineStr">
        <is>
          <t>loss</t>
        </is>
      </c>
      <c r="W398" s="26" t="n">
        <v>2</v>
      </c>
      <c r="X398" s="26" t="n">
        <v>1</v>
      </c>
      <c r="Y398" s="25" t="n"/>
      <c r="Z398" s="26" t="n">
        <v>117</v>
      </c>
      <c r="AA398" s="28" t="n">
        <v>0.46</v>
      </c>
      <c r="AB398" s="28" t="n">
        <v>-0.000829</v>
      </c>
      <c r="AC398" s="30" t="n">
        <v>-1</v>
      </c>
      <c r="AD398" s="24" t="inlineStr">
        <is>
          <t>2026-10-03T04:30:16.563116Z</t>
        </is>
      </c>
      <c r="AE398" s="31" t="inlineStr">
        <is>
          <t>Poisson-DC rates 1.64 (home) / 1.24 (away) from EWMA attack/defense strengths. Executable ask 0.4600 (atc-bra-sao-san-2026-10-02-sao).</t>
        </is>
      </c>
      <c r="AF398" s="31" t="inlineStr">
        <is>
          <t>Research-only soccer score model; draw-aware, but not yet locked-holdout qualified.</t>
        </is>
      </c>
      <c r="AG398" s="24" t="inlineStr">
        <is>
          <t>review_required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PAPER_CALL_MODEL_UNVALIDATED</t>
        </is>
      </c>
      <c r="AP398" s="24" t="inlineStr">
        <is>
          <t>Santos</t>
        </is>
      </c>
      <c r="AQ398" s="24" t="inlineStr">
        <is>
          <t>Santos</t>
        </is>
      </c>
      <c r="AR398" s="24" t="inlineStr">
        <is>
          <t>Santos</t>
        </is>
      </c>
      <c r="AS398" s="24" t="inlineStr">
        <is>
          <t>São Paulo</t>
        </is>
      </c>
      <c r="AT398" s="24" t="inlineStr">
        <is>
          <t>São Paulo</t>
        </is>
      </c>
      <c r="AU398" s="24" t="inlineStr">
        <is>
          <t>São Paulo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3d16277c2cfc0628d7ec79d04feee92735e5c503a3be195cb225c7c52d024308</t>
        </is>
      </c>
      <c r="BB398" s="24" t="inlineStr">
        <is>
          <t>poisson_dixon_coles</t>
        </is>
      </c>
      <c r="BC398" s="24" t="inlineStr">
        <is>
          <t>soccer-poisson-dc-v1</t>
        </is>
      </c>
      <c r="BD398" s="24" t="inlineStr">
        <is>
          <t>3d16277c2cfc0628d7ec79d04feee92735e5c503a3be195cb225c7c52d024308</t>
        </is>
      </c>
      <c r="BE398" s="24" t="inlineStr">
        <is>
          <t>soccer-poisson-dc-v1</t>
        </is>
      </c>
      <c r="BF398" s="24" t="inlineStr">
        <is>
          <t>1</t>
        </is>
      </c>
      <c r="BG398" s="24" t="inlineStr">
        <is>
          <t>3d16277c2cfc0628d7ec79d04feee92735e5c503a3be195cb225c7c52d024308</t>
        </is>
      </c>
      <c r="BH398" s="24" t="inlineStr">
        <is>
          <t>2026-10-02T04:35:00.863028Z</t>
        </is>
      </c>
      <c r="BI398" s="24" t="inlineStr">
        <is>
          <t>["same_event","same_team_same_day","same_league_same_day"]</t>
        </is>
      </c>
      <c r="BJ398" s="25" t="n"/>
      <c r="BK398" s="26" t="n">
        <v>117</v>
      </c>
      <c r="BL398" s="27" t="n">
        <v>2.17</v>
      </c>
      <c r="BM398" s="28" t="n">
        <v>0.460829</v>
      </c>
      <c r="BN398" s="28" t="n"/>
      <c r="BO398" s="28" t="n"/>
      <c r="BP398" s="25" t="n"/>
      <c r="BQ398" s="27" t="n">
        <v>2.17</v>
      </c>
      <c r="BR398" s="28" t="n">
        <v>0.46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-1</v>
      </c>
      <c r="BZ398" s="24" t="inlineStr">
        <is>
          <t>2026-10-03T04:30:16.563116Z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0.460829</t>
        </is>
      </c>
      <c r="DK398" s="24" t="n"/>
      <c r="DL398" s="24" t="n"/>
      <c r="DM398" s="24" t="n"/>
      <c r="DN398" s="24" t="n"/>
      <c r="DO398" s="24" t="n"/>
      <c r="DP398" s="24" t="n"/>
      <c r="DQ398" s="24" t="inlineStr">
        <is>
          <t>{"artifact_hash": "3d16277c2cfc0628d7ec79d04feee92735e5c503a3be195cb225c7c52d024308", "away_team": "Santos", "event_id": "401841169", "event_start_utc": "2026-10-02T23:00Z", "features": {"away_goal_rate": 1.2418, "history_games": 9181, "home_goal_rate": 1.6423, "league_goals_per_team": 1.4281, "min_team_games": 0.0}, "historical_source_observation_times_verified": false, "home_team": "S\u00e3o Paulo",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"2026-10-02T22:06:16.882613+00:00", "probabilities": {"away": 0.278015, "draw": 0.265851, "home": 0.456135}, "replay_scope": "Exact full-precision serving state and rounding; upstream historical observation times are not certified.", "schema": "coded-moneyline-replay-v1", "snapshot_hash": "47e85abe5bdcec635baaf9f129bb6fd6962b90d469122da300ce54104bf92445", "sport": "SOCCER"}</t>
        </is>
      </c>
    </row>
    <row r="399" ht="36" customHeight="1">
      <c r="A399" s="24" t="inlineStr">
        <is>
          <t>1826317cff654e3b</t>
        </is>
      </c>
      <c r="B399" s="24" t="inlineStr">
        <is>
          <t>2026-10-02T22:06:17.352793Z</t>
        </is>
      </c>
      <c r="C399" s="24" t="inlineStr">
        <is>
          <t>2026-10-03T00:30Z</t>
        </is>
      </c>
      <c r="D399" s="24" t="inlineStr">
        <is>
          <t>401841587</t>
        </is>
      </c>
      <c r="E399" s="24" t="inlineStr">
        <is>
          <t>SOCCER</t>
        </is>
      </c>
      <c r="F399" s="24" t="inlineStr">
        <is>
          <t>Gimnasia La Plata</t>
        </is>
      </c>
      <c r="G399" s="24" t="inlineStr">
        <is>
          <t>Independiente Rivadavia</t>
        </is>
      </c>
      <c r="H399" s="24" t="inlineStr">
        <is>
          <t>moneyline</t>
        </is>
      </c>
      <c r="I399" s="24" t="inlineStr">
        <is>
          <t>home</t>
        </is>
      </c>
      <c r="J399" s="25" t="n"/>
      <c r="K399" s="24" t="inlineStr">
        <is>
          <t>polymarket_us</t>
        </is>
      </c>
      <c r="L399" s="26" t="n">
        <v>117</v>
      </c>
      <c r="M399" s="27" t="n">
        <v>2.17</v>
      </c>
      <c r="N399" s="28" t="n">
        <v>0.460829</v>
      </c>
      <c r="O399" s="28" t="n">
        <v>0.430486</v>
      </c>
      <c r="P399" s="28" t="n">
        <v>0.2</v>
      </c>
      <c r="Q399" s="28" t="n">
        <v>-0.030343</v>
      </c>
      <c r="R399" s="26" t="n">
        <v>0</v>
      </c>
      <c r="S399" s="29" t="n">
        <v>1</v>
      </c>
      <c r="T399" s="24" t="inlineStr">
        <is>
          <t>soccer-poisson-dc-v1</t>
        </is>
      </c>
      <c r="U399" s="24" t="inlineStr">
        <is>
          <t>settled</t>
        </is>
      </c>
      <c r="V399" s="24" t="inlineStr">
        <is>
          <t>loss</t>
        </is>
      </c>
      <c r="W399" s="26" t="n">
        <v>1</v>
      </c>
      <c r="X399" s="26" t="n">
        <v>1</v>
      </c>
      <c r="Y399" s="25" t="n"/>
      <c r="Z399" s="26" t="n">
        <v>117</v>
      </c>
      <c r="AA399" s="28" t="n">
        <v>0.46</v>
      </c>
      <c r="AB399" s="28" t="n">
        <v>-0.000829</v>
      </c>
      <c r="AC399" s="30" t="n">
        <v>-1</v>
      </c>
      <c r="AD399" s="24" t="inlineStr">
        <is>
          <t>2026-10-03T04:30:17.750323Z</t>
        </is>
      </c>
      <c r="AE399" s="31" t="inlineStr">
        <is>
          <t>Poisson-DC rates 1.59 (home) / 1.30 (away) from EWMA attack/defense strengths. Executable ask 0.4600 (atc-lpa-cir-gim-2026-10-02-cir).</t>
        </is>
      </c>
      <c r="AF399" s="31" t="inlineStr">
        <is>
          <t>Research-only soccer score model; draw-aware, but not yet locked-holdout qualified.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PAPER_CALL_MODEL_UNVALIDATED</t>
        </is>
      </c>
      <c r="AP399" s="24" t="inlineStr">
        <is>
          <t>Gimnasia La Plata</t>
        </is>
      </c>
      <c r="AQ399" s="24" t="inlineStr">
        <is>
          <t>Gimnasia La Plata</t>
        </is>
      </c>
      <c r="AR399" s="24" t="inlineStr">
        <is>
          <t>Gimnasia La Plata</t>
        </is>
      </c>
      <c r="AS399" s="24" t="inlineStr">
        <is>
          <t>Independiente Rivadavia</t>
        </is>
      </c>
      <c r="AT399" s="24" t="inlineStr">
        <is>
          <t>Independiente Rivadavia</t>
        </is>
      </c>
      <c r="AU399" s="24" t="inlineStr">
        <is>
          <t>Independiente Rivadavia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3d16277c2cfc0628d7ec79d04feee92735e5c503a3be195cb225c7c52d024308</t>
        </is>
      </c>
      <c r="BB399" s="24" t="inlineStr">
        <is>
          <t>poisson_dixon_coles</t>
        </is>
      </c>
      <c r="BC399" s="24" t="inlineStr">
        <is>
          <t>soccer-poisson-dc-v1</t>
        </is>
      </c>
      <c r="BD399" s="24" t="inlineStr">
        <is>
          <t>3d16277c2cfc0628d7ec79d04feee92735e5c503a3be195cb225c7c52d024308</t>
        </is>
      </c>
      <c r="BE399" s="24" t="inlineStr">
        <is>
          <t>soccer-poisson-dc-v1</t>
        </is>
      </c>
      <c r="BF399" s="24" t="inlineStr">
        <is>
          <t>1</t>
        </is>
      </c>
      <c r="BG399" s="24" t="inlineStr">
        <is>
          <t>3d16277c2cfc0628d7ec79d04feee92735e5c503a3be195cb225c7c52d024308</t>
        </is>
      </c>
      <c r="BH399" s="24" t="inlineStr">
        <is>
          <t>2026-10-02T22:05:28.083306Z</t>
        </is>
      </c>
      <c r="BI399" s="24" t="inlineStr">
        <is>
          <t>["same_event","same_team_same_day","same_league_same_day"]</t>
        </is>
      </c>
      <c r="BJ399" s="25" t="n"/>
      <c r="BK399" s="26" t="n">
        <v>117</v>
      </c>
      <c r="BL399" s="27" t="n">
        <v>2.17</v>
      </c>
      <c r="BM399" s="28" t="n">
        <v>0.460829</v>
      </c>
      <c r="BN399" s="28" t="n"/>
      <c r="BO399" s="28" t="n"/>
      <c r="BP399" s="25" t="n"/>
      <c r="BQ399" s="27" t="n">
        <v>2.17</v>
      </c>
      <c r="BR399" s="28" t="n">
        <v>0.46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-1</v>
      </c>
      <c r="BZ399" s="24" t="inlineStr">
        <is>
          <t>2026-10-03T04:30:17.750323Z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0.460829</t>
        </is>
      </c>
      <c r="DK399" s="24" t="n"/>
      <c r="DL399" s="24" t="n"/>
      <c r="DM399" s="24" t="n"/>
      <c r="DN399" s="24" t="n"/>
      <c r="DO399" s="24" t="n"/>
      <c r="DP399" s="24" t="n"/>
      <c r="DQ399" s="24" t="inlineStr">
        <is>
          <t>{"artifact_hash": "3d16277c2cfc0628d7ec79d04feee92735e5c503a3be195cb225c7c52d024308", "away_team": "Gimnasia La Plata", "event_id": "401841587", "event_start_utc": "2026-10-03T00:30Z",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"2026-10-02T22:06:16.882613+00:00", "probabilities": {"away": 0.30089, "draw": 0.268624, "home": 0.430486}, "replay_scope": "Exact full-precision serving state and rounding; upstream historical observation times are not certified.", "schema": "coded-moneyline-replay-v1", "snapshot_hash": "84da1246397907e3b79dd9d1b793f2f943e45bcf79f7ac6cd5d5058cc7aa965a", "sport": "SOCCER"}</t>
        </is>
      </c>
    </row>
    <row r="400" ht="36" customHeight="1">
      <c r="A400" s="24" t="inlineStr">
        <is>
          <t>f4a3ab05e1a84598</t>
        </is>
      </c>
      <c r="B400" s="24" t="inlineStr">
        <is>
          <t>2026-10-03T10:53:30.537705Z</t>
        </is>
      </c>
      <c r="C400" s="24" t="inlineStr">
        <is>
          <t>2026-10-03T14:00Z</t>
        </is>
      </c>
      <c r="D400" s="24" t="inlineStr">
        <is>
          <t>401860369</t>
        </is>
      </c>
      <c r="E400" s="24" t="inlineStr">
        <is>
          <t>SOCCER</t>
        </is>
      </c>
      <c r="F400" s="24" t="inlineStr">
        <is>
          <t>Ceará</t>
        </is>
      </c>
      <c r="G400" s="24" t="inlineStr">
        <is>
          <t>Avaí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163</v>
      </c>
      <c r="M400" s="27" t="n">
        <v>2.63</v>
      </c>
      <c r="N400" s="28" t="n">
        <v>0.380228</v>
      </c>
      <c r="O400" s="28" t="n">
        <v>0.440521</v>
      </c>
      <c r="P400" s="28" t="n">
        <v>0.2</v>
      </c>
      <c r="Q400" s="28" t="n">
        <v>0.060293</v>
      </c>
      <c r="R400" s="26" t="n">
        <v>0</v>
      </c>
      <c r="S400" s="29" t="n">
        <v>1</v>
      </c>
      <c r="T400" s="24" t="inlineStr">
        <is>
          <t>soccer-poisson-dc-v1</t>
        </is>
      </c>
      <c r="U400" s="24" t="inlineStr">
        <is>
          <t>settled</t>
        </is>
      </c>
      <c r="V400" s="24" t="inlineStr">
        <is>
          <t>loss</t>
        </is>
      </c>
      <c r="W400" s="26" t="n">
        <v>1</v>
      </c>
      <c r="X400" s="26" t="n">
        <v>0</v>
      </c>
      <c r="Y400" s="25" t="n"/>
      <c r="Z400" s="26" t="n">
        <v>163</v>
      </c>
      <c r="AA400" s="28" t="n">
        <v>0.38</v>
      </c>
      <c r="AB400" s="28" t="n">
        <v>-0.000228</v>
      </c>
      <c r="AC400" s="30" t="n">
        <v>-1</v>
      </c>
      <c r="AD400" s="24" t="inlineStr">
        <is>
          <t>2026-10-03T22:00:14.815922Z</t>
        </is>
      </c>
      <c r="AE400" s="31" t="inlineStr">
        <is>
          <t>Poisson-DC rates 1.46 (home) / 1.10 (away) from EWMA attack/defense strengths. Executable ask 0.3800 (atc-brb-ava-csc-2026-10-03-ava).</t>
        </is>
      </c>
      <c r="AF400" s="31" t="inlineStr">
        <is>
          <t>Research-only soccer score model; draw-aware, but not yet locked-holdout qualified.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PAPER_CALL_MODEL_UNVALIDATED</t>
        </is>
      </c>
      <c r="AP400" s="24" t="inlineStr">
        <is>
          <t>Ceará</t>
        </is>
      </c>
      <c r="AQ400" s="24" t="inlineStr">
        <is>
          <t>Ceará</t>
        </is>
      </c>
      <c r="AR400" s="24" t="inlineStr">
        <is>
          <t>Ceará</t>
        </is>
      </c>
      <c r="AS400" s="24" t="inlineStr">
        <is>
          <t>Avaí</t>
        </is>
      </c>
      <c r="AT400" s="24" t="inlineStr">
        <is>
          <t>Avaí</t>
        </is>
      </c>
      <c r="AU400" s="24" t="inlineStr">
        <is>
          <t>Avaí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3d16277c2cfc0628d7ec79d04feee92735e5c503a3be195cb225c7c52d024308</t>
        </is>
      </c>
      <c r="BB400" s="24" t="inlineStr">
        <is>
          <t>poisson_dixon_coles</t>
        </is>
      </c>
      <c r="BC400" s="24" t="inlineStr">
        <is>
          <t>soccer-poisson-dc-v1</t>
        </is>
      </c>
      <c r="BD400" s="24" t="inlineStr">
        <is>
          <t>3d16277c2cfc0628d7ec79d04feee92735e5c503a3be195cb225c7c52d024308</t>
        </is>
      </c>
      <c r="BE400" s="24" t="inlineStr">
        <is>
          <t>soccer-poisson-dc-v1</t>
        </is>
      </c>
      <c r="BF400" s="24" t="inlineStr">
        <is>
          <t>1</t>
        </is>
      </c>
      <c r="BG400" s="24" t="inlineStr">
        <is>
          <t>3d16277c2cfc0628d7ec79d04feee92735e5c503a3be195cb225c7c52d024308</t>
        </is>
      </c>
      <c r="BH400" s="24" t="inlineStr">
        <is>
          <t>2026-10-03T10:49:45.105640Z</t>
        </is>
      </c>
      <c r="BI400" s="24" t="inlineStr">
        <is>
          <t>["same_event","same_team_same_day","same_league_same_day"]</t>
        </is>
      </c>
      <c r="BJ400" s="25" t="n"/>
      <c r="BK400" s="26" t="n">
        <v>163</v>
      </c>
      <c r="BL400" s="27" t="n">
        <v>2.63</v>
      </c>
      <c r="BM400" s="28" t="n">
        <v>0.380228</v>
      </c>
      <c r="BN400" s="28" t="n"/>
      <c r="BO400" s="28" t="n"/>
      <c r="BP400" s="25" t="n"/>
      <c r="BQ400" s="27" t="n">
        <v>2.63</v>
      </c>
      <c r="BR400" s="28" t="n">
        <v>0.38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-1</v>
      </c>
      <c r="BZ400" s="24" t="inlineStr">
        <is>
          <t>2026-10-03T22:00:14.815922Z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0.380228</t>
        </is>
      </c>
      <c r="DK400" s="24" t="n"/>
      <c r="DL400" s="24" t="n"/>
      <c r="DM400" s="24" t="n"/>
      <c r="DN400" s="24" t="n"/>
      <c r="DO400" s="24" t="n"/>
      <c r="DP400" s="24" t="n"/>
      <c r="DQ400" s="24" t="inlineStr">
        <is>
          <t>{"artifact_hash": "3d16277c2cfc0628d7ec79d04feee92735e5c503a3be195cb225c7c52d024308", "away_team": "Cear\u00e1", "event_id": "401860369", "event_start_utc": "2026-10-03T14:00Z", "features": {"away_goal_rate": 1.1038, "history_games": 9181, "home_goal_rate": 1.4598, "league_goals_per_team": 1.4281, "min_team_games": 0.0}, "historical_source_observation_times_verified": false, "home_team": "Ava\u00ed",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"2026-10-03T10:53:27.921229+00:00", "probabilities": {"away": 0.273602, "draw": 0.285877, "home": 0.440521}, "replay_scope": "Exact full-precision serving state and rounding; upstream historical observation times are not certified.", "schema": "coded-moneyline-replay-v1", "snapshot_hash": "4d394e222bf487e2392225425fb1c0e4f4e499856327cca5fe6e28267a8b0cd8", "sport": "SOCCER"}</t>
        </is>
      </c>
    </row>
    <row r="401" ht="36" customHeight="1">
      <c r="A401" s="24" t="inlineStr">
        <is>
          <t>ccf59da3346242eb</t>
        </is>
      </c>
      <c r="B401" s="24" t="inlineStr">
        <is>
          <t>2026-10-03T10:53:30.537705Z</t>
        </is>
      </c>
      <c r="C401" s="24" t="inlineStr">
        <is>
          <t>2026-10-03T14:00Z</t>
        </is>
      </c>
      <c r="D401" s="24" t="inlineStr">
        <is>
          <t>401923679</t>
        </is>
      </c>
      <c r="E401" s="24" t="inlineStr">
        <is>
          <t>SOCCER</t>
        </is>
      </c>
      <c r="F401" s="24" t="inlineStr">
        <is>
          <t>Progreso</t>
        </is>
      </c>
      <c r="G401" s="24" t="inlineStr">
        <is>
          <t>Liverpool</t>
        </is>
      </c>
      <c r="H401" s="24" t="inlineStr">
        <is>
          <t>moneyline</t>
        </is>
      </c>
      <c r="I401" s="24" t="inlineStr">
        <is>
          <t>home</t>
        </is>
      </c>
      <c r="J401" s="25" t="n"/>
      <c r="K401" s="24" t="inlineStr">
        <is>
          <t>polymarket_us</t>
        </is>
      </c>
      <c r="L401" s="26" t="n">
        <v>-138</v>
      </c>
      <c r="M401" s="27" t="n">
        <v>1.724638</v>
      </c>
      <c r="N401" s="28" t="n">
        <v>0.579832</v>
      </c>
      <c r="O401" s="28" t="n">
        <v>0.470868</v>
      </c>
      <c r="P401" s="28" t="n">
        <v>0.18</v>
      </c>
      <c r="Q401" s="28" t="n">
        <v>-0.108964</v>
      </c>
      <c r="R401" s="26" t="n">
        <v>0</v>
      </c>
      <c r="S401" s="29" t="n">
        <v>1</v>
      </c>
      <c r="T401" s="24" t="inlineStr">
        <is>
          <t>soccer-poisson-dc-v1</t>
        </is>
      </c>
      <c r="U401" s="24" t="inlineStr">
        <is>
          <t>settled</t>
        </is>
      </c>
      <c r="V401" s="24" t="inlineStr">
        <is>
          <t>win</t>
        </is>
      </c>
      <c r="W401" s="26" t="n">
        <v>2</v>
      </c>
      <c r="X401" s="26" t="n">
        <v>3</v>
      </c>
      <c r="Y401" s="25" t="n"/>
      <c r="Z401" s="26" t="n">
        <v>-138</v>
      </c>
      <c r="AA401" s="28" t="n">
        <v>0.58</v>
      </c>
      <c r="AB401" s="28" t="n">
        <v>0.000168</v>
      </c>
      <c r="AC401" s="30" t="n">
        <v>0.7246</v>
      </c>
      <c r="AD401" s="24" t="inlineStr">
        <is>
          <t>2026-10-03T16:00:16.964810Z</t>
        </is>
      </c>
      <c r="AE401" s="31" t="inlineStr">
        <is>
          <t>Poisson-DC rates 1.55 (home) / 1.07 (away) from EWMA attack/defense strengths. Executable ask 0.5800 (atc-uru1-liv-pro-2026-10-03-liv).</t>
        </is>
      </c>
      <c r="AF401" s="31" t="inlineStr">
        <is>
          <t>Research-only soccer score model; draw-aware, but not yet locked-holdout qualified.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PAPER_CALL_MODEL_UNVALIDATED</t>
        </is>
      </c>
      <c r="AP401" s="24" t="inlineStr">
        <is>
          <t>Progreso</t>
        </is>
      </c>
      <c r="AQ401" s="24" t="inlineStr">
        <is>
          <t>Progreso</t>
        </is>
      </c>
      <c r="AR401" s="24" t="inlineStr">
        <is>
          <t>Progreso</t>
        </is>
      </c>
      <c r="AS401" s="24" t="inlineStr">
        <is>
          <t>Liverpool</t>
        </is>
      </c>
      <c r="AT401" s="24" t="inlineStr">
        <is>
          <t>Liverpool</t>
        </is>
      </c>
      <c r="AU401" s="24" t="inlineStr">
        <is>
          <t>Liverpool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3d16277c2cfc0628d7ec79d04feee92735e5c503a3be195cb225c7c52d024308</t>
        </is>
      </c>
      <c r="BB401" s="24" t="inlineStr">
        <is>
          <t>poisson_dixon_coles</t>
        </is>
      </c>
      <c r="BC401" s="24" t="inlineStr">
        <is>
          <t>soccer-poisson-dc-v1</t>
        </is>
      </c>
      <c r="BD401" s="24" t="inlineStr">
        <is>
          <t>3d16277c2cfc0628d7ec79d04feee92735e5c503a3be195cb225c7c52d024308</t>
        </is>
      </c>
      <c r="BE401" s="24" t="inlineStr">
        <is>
          <t>soccer-poisson-dc-v1</t>
        </is>
      </c>
      <c r="BF401" s="24" t="inlineStr">
        <is>
          <t>1</t>
        </is>
      </c>
      <c r="BG401" s="24" t="inlineStr">
        <is>
          <t>3d16277c2cfc0628d7ec79d04feee92735e5c503a3be195cb225c7c52d024308</t>
        </is>
      </c>
      <c r="BH401" s="24" t="inlineStr">
        <is>
          <t>2026-10-03T05:21:47.603798Z</t>
        </is>
      </c>
      <c r="BI401" s="24" t="inlineStr">
        <is>
          <t>["same_event","same_team_same_day","same_league_same_day"]</t>
        </is>
      </c>
      <c r="BJ401" s="25" t="n"/>
      <c r="BK401" s="26" t="n">
        <v>-138</v>
      </c>
      <c r="BL401" s="27" t="n">
        <v>1.724638</v>
      </c>
      <c r="BM401" s="28" t="n">
        <v>0.579832</v>
      </c>
      <c r="BN401" s="28" t="n"/>
      <c r="BO401" s="28" t="n"/>
      <c r="BP401" s="25" t="n"/>
      <c r="BQ401" s="27" t="n">
        <v>1.724638</v>
      </c>
      <c r="BR401" s="28" t="n">
        <v>0.58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0.724637</v>
      </c>
      <c r="BZ401" s="24" t="inlineStr">
        <is>
          <t>2026-10-03T16:00:16.964810Z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0.579832</t>
        </is>
      </c>
      <c r="DK401" s="24" t="n"/>
      <c r="DL401" s="24" t="n"/>
      <c r="DM401" s="24" t="n"/>
      <c r="DN401" s="24" t="n"/>
      <c r="DO401" s="24" t="n"/>
      <c r="DP401" s="24" t="n"/>
      <c r="DQ401" s="24" t="inlineStr">
        <is>
          <t>{"artifact_hash": "3d16277c2cfc0628d7ec79d04feee92735e5c503a3be195cb225c7c52d024308", "away_team": "Progreso", "event_id": "401923679", "event_start_utc": "2026-10-03T14:00Z", "features": {"away_goal_rate": 1.0716, "history_games": 9181, "home_goal_rate": 1.5471, "league_goals_per_team": 1.4281, "min_team_games": 2.0}, "historical_source_observation_times_verified": false, "home_team": "Liverpool", "inference_inputs": {"away_rate": 1.0715642985960048, "code_sha256": {"models/soccer.py": "3d16277c2cfc0628d7ec79d04feee92735e5c503a3be195cb225c7c52d024308"}, "home_rate": 1.5470869936198668, "sport": "SOCCER"}, "market_type": "moneyline", "model_version": "soccer-poisson-dc-v1", "observed_at_utc": "2026-10-03T10:53:27.921229+00:00", "probabilities": {"away": 0.250866, "draw": 0.278266, "home": 0.470868}, "replay_scope": "Exact full-precision serving state and rounding; upstream historical observation times are not certified.", "schema": "coded-moneyline-replay-v1", "snapshot_hash": "cc6875a0a640738255d2700c72cda634674061f3f7bf7f80c3c1ad8af5ba3bfc", "sport": "SOCCER"}</t>
        </is>
      </c>
    </row>
    <row r="402" ht="36" customHeight="1">
      <c r="A402" s="24" t="inlineStr">
        <is>
          <t>48ed08b32ca349a0</t>
        </is>
      </c>
      <c r="B402" s="24" t="inlineStr">
        <is>
          <t>2026-10-03T10:53:30.537705Z</t>
        </is>
      </c>
      <c r="C402" s="24" t="inlineStr">
        <is>
          <t>2026-10-03T13:00Z</t>
        </is>
      </c>
      <c r="D402" s="24" t="inlineStr">
        <is>
          <t>401925562</t>
        </is>
      </c>
      <c r="E402" s="24" t="inlineStr">
        <is>
          <t>SOCCER</t>
        </is>
      </c>
      <c r="F402" s="24" t="inlineStr">
        <is>
          <t>Schalke 04</t>
        </is>
      </c>
      <c r="G402" s="24" t="inlineStr">
        <is>
          <t>Austria Lustenau</t>
        </is>
      </c>
      <c r="H402" s="24" t="inlineStr">
        <is>
          <t>moneyline</t>
        </is>
      </c>
      <c r="I402" s="24" t="inlineStr">
        <is>
          <t>home</t>
        </is>
      </c>
      <c r="J402" s="25" t="n"/>
      <c r="K402" s="24" t="inlineStr">
        <is>
          <t>polymarket_us</t>
        </is>
      </c>
      <c r="L402" s="26" t="n">
        <v>614</v>
      </c>
      <c r="M402" s="27" t="n">
        <v>7.14</v>
      </c>
      <c r="N402" s="28" t="n">
        <v>0.140056</v>
      </c>
      <c r="O402" s="28" t="n">
        <v>0.456135</v>
      </c>
      <c r="P402" s="28" t="n">
        <v>0.2</v>
      </c>
      <c r="Q402" s="28" t="n">
        <v>0.316079</v>
      </c>
      <c r="R402" s="26" t="n">
        <v>88</v>
      </c>
      <c r="S402" s="29" t="n">
        <v>1.75</v>
      </c>
      <c r="T402" s="24" t="inlineStr">
        <is>
          <t>soccer-poisson-dc-v1</t>
        </is>
      </c>
      <c r="U402" s="24" t="inlineStr">
        <is>
          <t>settled</t>
        </is>
      </c>
      <c r="V402" s="24" t="inlineStr">
        <is>
          <t>loss</t>
        </is>
      </c>
      <c r="W402" s="26" t="n">
        <v>1</v>
      </c>
      <c r="X402" s="26" t="n">
        <v>0</v>
      </c>
      <c r="Y402" s="25" t="n"/>
      <c r="Z402" s="26" t="n">
        <v>614</v>
      </c>
      <c r="AA402" s="28" t="n">
        <v>0.14</v>
      </c>
      <c r="AB402" s="28" t="n">
        <v>-5.6e-05</v>
      </c>
      <c r="AC402" s="30" t="n">
        <v>-1.75</v>
      </c>
      <c r="AD402" s="24" t="inlineStr">
        <is>
          <t>2026-10-03T16:00:21.136834Z</t>
        </is>
      </c>
      <c r="AE402" s="31" t="inlineStr">
        <is>
          <t>Poisson-DC rates 1.64 (home) / 1.24 (away) from EWMA attack/defense strengths. Executable ask 0.1400 (atc-clbf-alus-sch-2026-10-03-alus).</t>
        </is>
      </c>
      <c r="AF402" s="31" t="inlineStr">
        <is>
          <t>Research-only soccer score model; draw-aware, but not yet locked-holdout qualified.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PAPER_CALL_MODEL_UNVALIDATED</t>
        </is>
      </c>
      <c r="AP402" s="24" t="inlineStr">
        <is>
          <t>Schalke 04</t>
        </is>
      </c>
      <c r="AQ402" s="24" t="inlineStr">
        <is>
          <t>Schalke 04</t>
        </is>
      </c>
      <c r="AR402" s="24" t="inlineStr">
        <is>
          <t>Schalke 04</t>
        </is>
      </c>
      <c r="AS402" s="24" t="inlineStr">
        <is>
          <t>Austria Lustenau</t>
        </is>
      </c>
      <c r="AT402" s="24" t="inlineStr">
        <is>
          <t>Austria Lustenau</t>
        </is>
      </c>
      <c r="AU402" s="24" t="inlineStr">
        <is>
          <t>Austria Lustenau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3d16277c2cfc0628d7ec79d04feee92735e5c503a3be195cb225c7c52d024308</t>
        </is>
      </c>
      <c r="BB402" s="24" t="inlineStr">
        <is>
          <t>poisson_dixon_coles</t>
        </is>
      </c>
      <c r="BC402" s="24" t="inlineStr">
        <is>
          <t>soccer-poisson-dc-v1</t>
        </is>
      </c>
      <c r="BD402" s="24" t="inlineStr">
        <is>
          <t>3d16277c2cfc0628d7ec79d04feee92735e5c503a3be195cb225c7c52d024308</t>
        </is>
      </c>
      <c r="BE402" s="24" t="inlineStr">
        <is>
          <t>soccer-poisson-dc-v1</t>
        </is>
      </c>
      <c r="BF402" s="24" t="inlineStr">
        <is>
          <t>1</t>
        </is>
      </c>
      <c r="BG402" s="24" t="inlineStr">
        <is>
          <t>3d16277c2cfc0628d7ec79d04feee92735e5c503a3be195cb225c7c52d024308</t>
        </is>
      </c>
      <c r="BH402" s="24" t="inlineStr">
        <is>
          <t>2026-10-03T10:50:17.844996Z</t>
        </is>
      </c>
      <c r="BI402" s="24" t="inlineStr">
        <is>
          <t>["same_event","same_team_same_day","same_league_same_day"]</t>
        </is>
      </c>
      <c r="BJ402" s="25" t="n"/>
      <c r="BK402" s="26" t="n">
        <v>614</v>
      </c>
      <c r="BL402" s="27" t="n">
        <v>7.14</v>
      </c>
      <c r="BM402" s="28" t="n">
        <v>0.140056</v>
      </c>
      <c r="BN402" s="28" t="n"/>
      <c r="BO402" s="28" t="n"/>
      <c r="BP402" s="25" t="n"/>
      <c r="BQ402" s="27" t="n">
        <v>7.14</v>
      </c>
      <c r="BR402" s="28" t="n">
        <v>0.14</v>
      </c>
      <c r="BS402" s="28" t="n"/>
      <c r="BT402" s="28" t="n"/>
      <c r="BU402" s="25" t="n"/>
      <c r="BV402" s="29" t="n"/>
      <c r="BW402" s="24" t="n"/>
      <c r="BX402" s="30" t="n">
        <v>1</v>
      </c>
      <c r="BY402" s="27" t="n">
        <v>-1</v>
      </c>
      <c r="BZ402" s="24" t="inlineStr">
        <is>
          <t>2026-10-03T16:00:21.136834Z</t>
        </is>
      </c>
      <c r="CA402" s="31" t="inlineStr">
        <is>
          <t>fixed one-unit hypothetical scoring; no real exposure or execution</t>
        </is>
      </c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0.140056</t>
        </is>
      </c>
      <c r="DK402" s="24" t="n"/>
      <c r="DL402" s="24" t="n"/>
      <c r="DM402" s="24" t="n"/>
      <c r="DN402" s="24" t="n"/>
      <c r="DO402" s="24" t="n"/>
      <c r="DP402" s="24" t="n"/>
      <c r="DQ402" s="24" t="inlineStr">
        <is>
          <t>{"artifact_hash": "3d16277c2cfc0628d7ec79d04feee92735e5c503a3be195cb225c7c52d024308", "away_team": "Schalke 04", "event_id": "401925562", "event_start_utc": "2026-10-03T13:00Z", "features": {"away_goal_rate": 1.2418, "history_games": 9181, "home_goal_rate": 1.6423, "league_goals_per_team": 1.4281, "min_team_games": 0.0}, "historical_source_observation_times_verified": false, "home_team": "Austria Lustenau",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"2026-10-03T10:53:27.921229+00:00", "probabilities": {"away": 0.278015, "draw": 0.265851, "home": 0.456135}, "replay_scope": "Exact full-precision serving state and rounding; upstream historical observation times are not certified.", "schema": "coded-moneyline-replay-v1", "snapshot_hash": "eca346a39f3a537c4a9b4f8c125dde1d4fdb38a13ef55380316fff41fc402275", "sport": "SOCCER"}</t>
        </is>
      </c>
    </row>
    <row r="403" ht="36" customHeight="1">
      <c r="A403" s="24" t="inlineStr">
        <is>
          <t>2b502959eee94e78</t>
        </is>
      </c>
      <c r="B403" s="24" t="inlineStr">
        <is>
          <t>2026-10-03T16:52:01.163208Z</t>
        </is>
      </c>
      <c r="C403" s="24" t="inlineStr">
        <is>
          <t>2026-10-03T18:00Z</t>
        </is>
      </c>
      <c r="D403" s="24" t="inlineStr">
        <is>
          <t>401900325</t>
        </is>
      </c>
      <c r="E403" s="24" t="inlineStr">
        <is>
          <t>SOCCER</t>
        </is>
      </c>
      <c r="F403" s="24" t="inlineStr">
        <is>
          <t>Peru</t>
        </is>
      </c>
      <c r="G403" s="24" t="inlineStr">
        <is>
          <t>Canada</t>
        </is>
      </c>
      <c r="H403" s="24" t="inlineStr">
        <is>
          <t>total</t>
        </is>
      </c>
      <c r="I403" s="24" t="inlineStr">
        <is>
          <t>over</t>
        </is>
      </c>
      <c r="J403" s="25" t="n">
        <v>2.5</v>
      </c>
      <c r="K403" s="24" t="inlineStr">
        <is>
          <t>polymarket_us</t>
        </is>
      </c>
      <c r="L403" s="26" t="n">
        <v>100</v>
      </c>
      <c r="M403" s="27" t="n">
        <v>2</v>
      </c>
      <c r="N403" s="28" t="n">
        <v>0.5</v>
      </c>
      <c r="O403" s="28" t="n">
        <v>0.564873</v>
      </c>
      <c r="P403" s="28" t="n">
        <v>0.2</v>
      </c>
      <c r="Q403" s="28" t="n">
        <v>0.064873</v>
      </c>
      <c r="R403" s="26" t="n">
        <v>0</v>
      </c>
      <c r="S403" s="29" t="n">
        <v>1</v>
      </c>
      <c r="T403" s="24" t="inlineStr">
        <is>
          <t>soccer-poisson-dc-v1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2</v>
      </c>
      <c r="Y403" s="25" t="n"/>
      <c r="Z403" s="26" t="n">
        <v>100</v>
      </c>
      <c r="AA403" s="28" t="n">
        <v>0.5</v>
      </c>
      <c r="AB403" s="28" t="n">
        <v>0</v>
      </c>
      <c r="AC403" s="30" t="n">
        <v>-1</v>
      </c>
      <c r="AD403" s="24" t="inlineStr">
        <is>
          <t>2026-10-03T22:00:48.554283Z</t>
        </is>
      </c>
      <c r="AE403" s="31" t="inlineStr">
        <is>
          <t>Poisson-DC rates 1.76 (home) / 1.18 (away) from EWMA attack/defense strengths. Executable ask 0.5000 (tsc-intf-can-per-2026-10-03-2pt5).</t>
        </is>
      </c>
      <c r="AF403" s="31" t="inlineStr">
        <is>
          <t>Research-only soccer score model; draw-aware, but not yet locked-holdout qualified.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PAPER_CALL_MODEL_UNVALIDATED</t>
        </is>
      </c>
      <c r="AP403" s="24" t="inlineStr">
        <is>
          <t>Peru</t>
        </is>
      </c>
      <c r="AQ403" s="24" t="inlineStr">
        <is>
          <t>Peru</t>
        </is>
      </c>
      <c r="AR403" s="24" t="inlineStr">
        <is>
          <t>Peru</t>
        </is>
      </c>
      <c r="AS403" s="24" t="inlineStr">
        <is>
          <t>Canada</t>
        </is>
      </c>
      <c r="AT403" s="24" t="inlineStr">
        <is>
          <t>Canada</t>
        </is>
      </c>
      <c r="AU403" s="24" t="inlineStr">
        <is>
          <t>Canada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3d16277c2cfc0628d7ec79d04feee92735e5c503a3be195cb225c7c52d024308</t>
        </is>
      </c>
      <c r="BB403" s="24" t="inlineStr">
        <is>
          <t>poisson_dixon_coles</t>
        </is>
      </c>
      <c r="BC403" s="24" t="inlineStr">
        <is>
          <t>soccer-poisson-dc-v1</t>
        </is>
      </c>
      <c r="BD403" s="24" t="inlineStr">
        <is>
          <t>3d16277c2cfc0628d7ec79d04feee92735e5c503a3be195cb225c7c52d024308</t>
        </is>
      </c>
      <c r="BE403" s="24" t="inlineStr">
        <is>
          <t>soccer-poisson-dc-v1</t>
        </is>
      </c>
      <c r="BF403" s="24" t="inlineStr">
        <is>
          <t>1</t>
        </is>
      </c>
      <c r="BG403" s="24" t="inlineStr">
        <is>
          <t>3d16277c2cfc0628d7ec79d04feee92735e5c503a3be195cb225c7c52d024308</t>
        </is>
      </c>
      <c r="BH403" s="24" t="inlineStr">
        <is>
          <t>2026-10-03T10:50:07.204517Z</t>
        </is>
      </c>
      <c r="BI403" s="24" t="inlineStr">
        <is>
          <t>["same_event","same_team_same_day","same_league_same_day"]</t>
        </is>
      </c>
      <c r="BJ403" s="25" t="n">
        <v>2.5</v>
      </c>
      <c r="BK403" s="26" t="n">
        <v>100</v>
      </c>
      <c r="BL403" s="27" t="n">
        <v>2</v>
      </c>
      <c r="BM403" s="28" t="n">
        <v>0.5</v>
      </c>
      <c r="BN403" s="28" t="n"/>
      <c r="BO403" s="28" t="n"/>
      <c r="BP403" s="25" t="n"/>
      <c r="BQ403" s="27" t="n">
        <v>2</v>
      </c>
      <c r="BR403" s="28" t="n">
        <v>0.5</v>
      </c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2026-10-03T22:00:48.554283Z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0cd9104ec9694dc2</t>
        </is>
      </c>
      <c r="B404" s="24" t="inlineStr">
        <is>
          <t>2026-10-03T16:52:01.163208Z</t>
        </is>
      </c>
      <c r="C404" s="24" t="inlineStr">
        <is>
          <t>2026-10-03T20:00Z</t>
        </is>
      </c>
      <c r="D404" s="24" t="inlineStr">
        <is>
          <t>401860371</t>
        </is>
      </c>
      <c r="E404" s="24" t="inlineStr">
        <is>
          <t>SOCCER</t>
        </is>
      </c>
      <c r="F404" s="24" t="inlineStr">
        <is>
          <t>Ponte Preta</t>
        </is>
      </c>
      <c r="G404" s="24" t="inlineStr">
        <is>
          <t>Cuiabá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-525</v>
      </c>
      <c r="M404" s="27" t="n">
        <v>1.190476</v>
      </c>
      <c r="N404" s="28" t="n">
        <v>0.84</v>
      </c>
      <c r="O404" s="28" t="n">
        <v>0.483295</v>
      </c>
      <c r="P404" s="28" t="n">
        <v>0.2</v>
      </c>
      <c r="Q404" s="28" t="n">
        <v>-0.356705</v>
      </c>
      <c r="R404" s="26" t="n">
        <v>0</v>
      </c>
      <c r="S404" s="29" t="n">
        <v>1</v>
      </c>
      <c r="T404" s="24" t="inlineStr">
        <is>
          <t>soccer-poisson-dc-v1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2</v>
      </c>
      <c r="Y404" s="25" t="n"/>
      <c r="Z404" s="26" t="n">
        <v>-525</v>
      </c>
      <c r="AA404" s="28" t="n">
        <v>0.84</v>
      </c>
      <c r="AB404" s="28" t="n">
        <v>0</v>
      </c>
      <c r="AC404" s="30" t="n">
        <v>0.1905</v>
      </c>
      <c r="AD404" s="24" t="inlineStr">
        <is>
          <t>2026-10-04T20:17:31.408203Z</t>
        </is>
      </c>
      <c r="AE404" s="31" t="inlineStr">
        <is>
          <t>Poisson-DC rates 1.72 (home) / 1.20 (away) from EWMA attack/defense strengths. Executable ask 0.8400 (atc-brb-cui-pop-2026-10-03-cui).</t>
        </is>
      </c>
      <c r="AF404" s="31" t="inlineStr">
        <is>
          <t>Research-only soccer score model; draw-aware, but not yet locked-holdout qualified.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PAPER_CALL_MODEL_UNVALIDATED</t>
        </is>
      </c>
      <c r="AP404" s="24" t="inlineStr">
        <is>
          <t>Ponte Preta</t>
        </is>
      </c>
      <c r="AQ404" s="24" t="inlineStr">
        <is>
          <t>Ponte Preta</t>
        </is>
      </c>
      <c r="AR404" s="24" t="inlineStr">
        <is>
          <t>Ponte Preta</t>
        </is>
      </c>
      <c r="AS404" s="24" t="inlineStr">
        <is>
          <t>Cuiabá</t>
        </is>
      </c>
      <c r="AT404" s="24" t="inlineStr">
        <is>
          <t>Cuiabá</t>
        </is>
      </c>
      <c r="AU404" s="24" t="inlineStr">
        <is>
          <t>Cuiabá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3d16277c2cfc0628d7ec79d04feee92735e5c503a3be195cb225c7c52d024308</t>
        </is>
      </c>
      <c r="BB404" s="24" t="inlineStr">
        <is>
          <t>poisson_dixon_coles</t>
        </is>
      </c>
      <c r="BC404" s="24" t="inlineStr">
        <is>
          <t>soccer-poisson-dc-v1</t>
        </is>
      </c>
      <c r="BD404" s="24" t="inlineStr">
        <is>
          <t>3d16277c2cfc0628d7ec79d04feee92735e5c503a3be195cb225c7c52d024308</t>
        </is>
      </c>
      <c r="BE404" s="24" t="inlineStr">
        <is>
          <t>soccer-poisson-dc-v1</t>
        </is>
      </c>
      <c r="BF404" s="24" t="inlineStr">
        <is>
          <t>1</t>
        </is>
      </c>
      <c r="BG404" s="24" t="inlineStr">
        <is>
          <t>3d16277c2cfc0628d7ec79d04feee92735e5c503a3be195cb225c7c52d024308</t>
        </is>
      </c>
      <c r="BH404" s="24" t="inlineStr">
        <is>
          <t>2026-10-03T05:21:37.197171Z</t>
        </is>
      </c>
      <c r="BI404" s="24" t="inlineStr">
        <is>
          <t>["same_event","same_team_same_day","same_league_same_day"]</t>
        </is>
      </c>
      <c r="BJ404" s="25" t="n"/>
      <c r="BK404" s="26" t="n">
        <v>-525</v>
      </c>
      <c r="BL404" s="27" t="n">
        <v>1.190476</v>
      </c>
      <c r="BM404" s="28" t="n">
        <v>0.84</v>
      </c>
      <c r="BN404" s="28" t="n"/>
      <c r="BO404" s="28" t="n"/>
      <c r="BP404" s="25" t="n"/>
      <c r="BQ404" s="27" t="n">
        <v>1.190476</v>
      </c>
      <c r="BR404" s="28" t="n">
        <v>0.84</v>
      </c>
      <c r="BS404" s="28" t="n"/>
      <c r="BT404" s="28" t="n"/>
      <c r="BU404" s="25" t="n"/>
      <c r="BV404" s="29" t="n"/>
      <c r="BW404" s="24" t="n"/>
      <c r="BX404" s="30" t="n">
        <v>1</v>
      </c>
      <c r="BY404" s="27" t="n">
        <v>0.190476</v>
      </c>
      <c r="BZ404" s="24" t="inlineStr">
        <is>
          <t>2026-10-04T20:17:31.408203Z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0.84</t>
        </is>
      </c>
      <c r="DK404" s="24" t="n"/>
      <c r="DL404" s="24" t="n"/>
      <c r="DM404" s="24" t="n"/>
      <c r="DN404" s="24" t="n"/>
      <c r="DO404" s="24" t="n"/>
      <c r="DP404" s="24" t="n"/>
      <c r="DQ404" s="24" t="inlineStr">
        <is>
          <t>{"artifact_hash": "3d16277c2cfc0628d7ec79d04feee92735e5c503a3be195cb225c7c52d024308", "away_team": "Ponte Preta", "event_id": "401860371", "event_start_utc": "2026-10-03T20:00Z", "features": {"away_goal_rate": 1.2004, "history_games": 9181, "home_goal_rate": 1.7153, "league_goals_per_team": 1.4281, "min_team_games": 0.0}, "historical_source_observation_times_verified": false, "home_team": "Cuiab\u00e1",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0.256322, "draw": 0.260383, "home": 0.483295}, "replay_scope": "Exact full-precision serving state and rounding; upstream historical observation times are not certified.", "schema": "coded-moneyline-replay-v1", "snapshot_hash": "5969148e1e82b0ff975eea30ae887a2815381b85d25598c867b7a23acddc0d7f", "sport": "SOCCER"}</t>
        </is>
      </c>
    </row>
    <row r="405" ht="36" customHeight="1">
      <c r="A405" s="24" t="inlineStr">
        <is>
          <t>ea8396d8007545eb</t>
        </is>
      </c>
      <c r="B405" s="24" t="inlineStr">
        <is>
          <t>2026-10-03T16:52:01.163208Z</t>
        </is>
      </c>
      <c r="C405" s="24" t="inlineStr">
        <is>
          <t>2026-10-03T21:30Z</t>
        </is>
      </c>
      <c r="D405" s="24" t="inlineStr">
        <is>
          <t>401860370</t>
        </is>
      </c>
      <c r="E405" s="24" t="inlineStr">
        <is>
          <t>SOCCER</t>
        </is>
      </c>
      <c r="F405" s="24" t="inlineStr">
        <is>
          <t>Vila Nova</t>
        </is>
      </c>
      <c r="G405" s="24" t="inlineStr">
        <is>
          <t>Botafogo-SP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163</v>
      </c>
      <c r="M405" s="27" t="n">
        <v>2.63</v>
      </c>
      <c r="N405" s="28" t="n">
        <v>0.380228</v>
      </c>
      <c r="O405" s="28" t="n">
        <v>0.505507</v>
      </c>
      <c r="P405" s="28" t="n">
        <v>0.2</v>
      </c>
      <c r="Q405" s="28" t="n">
        <v>0.125279</v>
      </c>
      <c r="R405" s="26" t="n">
        <v>0</v>
      </c>
      <c r="S405" s="29" t="n">
        <v>1</v>
      </c>
      <c r="T405" s="24" t="inlineStr">
        <is>
          <t>soccer-poisson-dc-v1</t>
        </is>
      </c>
      <c r="U405" s="24" t="inlineStr">
        <is>
          <t>settled</t>
        </is>
      </c>
      <c r="V405" s="24" t="inlineStr">
        <is>
          <t>loss</t>
        </is>
      </c>
      <c r="W405" s="26" t="n">
        <v>1</v>
      </c>
      <c r="X405" s="26" t="n">
        <v>0</v>
      </c>
      <c r="Y405" s="25" t="n"/>
      <c r="Z405" s="26" t="n">
        <v>163</v>
      </c>
      <c r="AA405" s="28" t="n">
        <v>0.38</v>
      </c>
      <c r="AB405" s="28" t="n">
        <v>-0.000228</v>
      </c>
      <c r="AC405" s="30" t="n">
        <v>-1</v>
      </c>
      <c r="AD405" s="24" t="inlineStr">
        <is>
          <t>2026-10-04T20:17:35.942805Z</t>
        </is>
      </c>
      <c r="AE405" s="31" t="inlineStr">
        <is>
          <t>Poisson-DC rates 1.72 (home) / 1.10 (away) from EWMA attack/defense strengths. Executable ask 0.3800 (atc-brb-bot-vln-2026-10-03-bot).</t>
        </is>
      </c>
      <c r="AF405" s="31" t="inlineStr">
        <is>
          <t>Research-only soccer score model; draw-aware, but not yet locked-holdout qualified.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PAPER_CALL_MODEL_UNVALIDATED</t>
        </is>
      </c>
      <c r="AP405" s="24" t="inlineStr">
        <is>
          <t>Vila Nova</t>
        </is>
      </c>
      <c r="AQ405" s="24" t="inlineStr">
        <is>
          <t>Vila Nova</t>
        </is>
      </c>
      <c r="AR405" s="24" t="inlineStr">
        <is>
          <t>Vila Nova</t>
        </is>
      </c>
      <c r="AS405" s="24" t="inlineStr">
        <is>
          <t>Botafogo-SP</t>
        </is>
      </c>
      <c r="AT405" s="24" t="inlineStr">
        <is>
          <t>Botafogo-SP</t>
        </is>
      </c>
      <c r="AU405" s="24" t="inlineStr">
        <is>
          <t>Botafogo-SP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3d16277c2cfc0628d7ec79d04feee92735e5c503a3be195cb225c7c52d024308</t>
        </is>
      </c>
      <c r="BB405" s="24" t="inlineStr">
        <is>
          <t>poisson_dixon_coles</t>
        </is>
      </c>
      <c r="BC405" s="24" t="inlineStr">
        <is>
          <t>soccer-poisson-dc-v1</t>
        </is>
      </c>
      <c r="BD405" s="24" t="inlineStr">
        <is>
          <t>3d16277c2cfc0628d7ec79d04feee92735e5c503a3be195cb225c7c52d024308</t>
        </is>
      </c>
      <c r="BE405" s="24" t="inlineStr">
        <is>
          <t>soccer-poisson-dc-v1</t>
        </is>
      </c>
      <c r="BF405" s="24" t="inlineStr">
        <is>
          <t>1</t>
        </is>
      </c>
      <c r="BG405" s="24" t="inlineStr">
        <is>
          <t>3d16277c2cfc0628d7ec79d04feee92735e5c503a3be195cb225c7c52d024308</t>
        </is>
      </c>
      <c r="BH405" s="24" t="inlineStr">
        <is>
          <t>2026-10-03T16:49:45.609812Z</t>
        </is>
      </c>
      <c r="BI405" s="24" t="inlineStr">
        <is>
          <t>["same_event","same_team_same_day","same_league_same_day"]</t>
        </is>
      </c>
      <c r="BJ405" s="25" t="n"/>
      <c r="BK405" s="26" t="n">
        <v>163</v>
      </c>
      <c r="BL405" s="27" t="n">
        <v>2.63</v>
      </c>
      <c r="BM405" s="28" t="n">
        <v>0.380228</v>
      </c>
      <c r="BN405" s="28" t="n"/>
      <c r="BO405" s="28" t="n"/>
      <c r="BP405" s="25" t="n"/>
      <c r="BQ405" s="27" t="n">
        <v>2.63</v>
      </c>
      <c r="BR405" s="28" t="n">
        <v>0.38</v>
      </c>
      <c r="BS405" s="28" t="n"/>
      <c r="BT405" s="28" t="n"/>
      <c r="BU405" s="25" t="n"/>
      <c r="BV405" s="29" t="n"/>
      <c r="BW405" s="24" t="n"/>
      <c r="BX405" s="30" t="n">
        <v>1</v>
      </c>
      <c r="BY405" s="27" t="n">
        <v>-1</v>
      </c>
      <c r="BZ405" s="24" t="inlineStr">
        <is>
          <t>2026-10-04T20:17:35.942805Z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0.380228</t>
        </is>
      </c>
      <c r="DK405" s="24" t="n"/>
      <c r="DL405" s="24" t="n"/>
      <c r="DM405" s="24" t="n"/>
      <c r="DN405" s="24" t="n"/>
      <c r="DO405" s="24" t="n"/>
      <c r="DP405" s="24" t="n"/>
      <c r="DQ405" s="24" t="inlineStr">
        <is>
          <t>{"artifact_hash": "3d16277c2cfc0628d7ec79d04feee92735e5c503a3be195cb225c7c52d024308", "away_team": "Vila Nova", "event_id": "401860370", "event_start_utc": "2026-10-03T21:30Z", "features": {"away_goal_rate": 1.1038, "history_games": 9181, "home_goal_rate": 1.7153, "league_goals_per_team": 1.4281, "min_team_games": 0.0}, "historical_source_observation_times_verified": false, "home_team": "Botafogo-SP",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0.233138, "draw": 0.261355, "home": 0.505507}, "replay_scope": "Exact full-precision serving state and rounding; upstream historical observation times are not certified.", "schema": "coded-moneyline-replay-v1", "snapshot_hash": "39cb2c6f7f5214c912646212a4246d4e3c5391c926b6b006b8f7cf9ebdeaabbb", "sport": "SOCCER"}</t>
        </is>
      </c>
    </row>
    <row r="406" ht="36" customHeight="1">
      <c r="A406" s="24" t="inlineStr">
        <is>
          <t>ebee38a51e684c4b</t>
        </is>
      </c>
      <c r="B406" s="24" t="inlineStr">
        <is>
          <t>2026-10-03T16:52:01.163208Z</t>
        </is>
      </c>
      <c r="C406" s="24" t="inlineStr">
        <is>
          <t>2026-10-03T18:00Z</t>
        </is>
      </c>
      <c r="D406" s="24" t="inlineStr">
        <is>
          <t>401900325</t>
        </is>
      </c>
      <c r="E406" s="24" t="inlineStr">
        <is>
          <t>SOCCER</t>
        </is>
      </c>
      <c r="F406" s="24" t="inlineStr">
        <is>
          <t>Peru</t>
        </is>
      </c>
      <c r="G406" s="24" t="inlineStr">
        <is>
          <t>Canada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-178</v>
      </c>
      <c r="M406" s="27" t="n">
        <v>1.561798</v>
      </c>
      <c r="N406" s="28" t="n">
        <v>0.640288</v>
      </c>
      <c r="O406" s="28" t="n">
        <v>0.498233</v>
      </c>
      <c r="P406" s="28" t="n">
        <v>0.2</v>
      </c>
      <c r="Q406" s="28" t="n">
        <v>-0.142055</v>
      </c>
      <c r="R406" s="26" t="n">
        <v>0</v>
      </c>
      <c r="S406" s="29" t="n">
        <v>1</v>
      </c>
      <c r="T406" s="24" t="inlineStr">
        <is>
          <t>soccer-poisson-dc-v1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2</v>
      </c>
      <c r="Y406" s="25" t="n"/>
      <c r="Z406" s="26" t="n">
        <v>-178</v>
      </c>
      <c r="AA406" s="28" t="n">
        <v>0.64</v>
      </c>
      <c r="AB406" s="28" t="n">
        <v>-0.000288</v>
      </c>
      <c r="AC406" s="30" t="n">
        <v>0.5618</v>
      </c>
      <c r="AD406" s="24" t="inlineStr">
        <is>
          <t>2026-10-03T22:00:49.871918Z</t>
        </is>
      </c>
      <c r="AE406" s="31" t="inlineStr">
        <is>
          <t>Poisson-DC rates 1.76 (home) / 1.18 (away) from EWMA attack/defense strengths. Executable ask 0.6400 (atc-intf-can-per-2026-10-03-can).</t>
        </is>
      </c>
      <c r="AF406" s="31" t="inlineStr">
        <is>
          <t>Research-only soccer score model; draw-aware, but not yet locked-holdout qualified.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Peru</t>
        </is>
      </c>
      <c r="AQ406" s="24" t="inlineStr">
        <is>
          <t>Peru</t>
        </is>
      </c>
      <c r="AR406" s="24" t="inlineStr">
        <is>
          <t>Peru</t>
        </is>
      </c>
      <c r="AS406" s="24" t="inlineStr">
        <is>
          <t>Canada</t>
        </is>
      </c>
      <c r="AT406" s="24" t="inlineStr">
        <is>
          <t>Canada</t>
        </is>
      </c>
      <c r="AU406" s="24" t="inlineStr">
        <is>
          <t>Canada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3d16277c2cfc0628d7ec79d04feee92735e5c503a3be195cb225c7c52d024308</t>
        </is>
      </c>
      <c r="BB406" s="24" t="inlineStr">
        <is>
          <t>poisson_dixon_coles</t>
        </is>
      </c>
      <c r="BC406" s="24" t="inlineStr">
        <is>
          <t>soccer-poisson-dc-v1</t>
        </is>
      </c>
      <c r="BD406" s="24" t="inlineStr">
        <is>
          <t>3d16277c2cfc0628d7ec79d04feee92735e5c503a3be195cb225c7c52d024308</t>
        </is>
      </c>
      <c r="BE406" s="24" t="inlineStr">
        <is>
          <t>soccer-poisson-dc-v1</t>
        </is>
      </c>
      <c r="BF406" s="24" t="inlineStr">
        <is>
          <t>1</t>
        </is>
      </c>
      <c r="BG406" s="24" t="inlineStr">
        <is>
          <t>3d16277c2cfc0628d7ec79d04feee92735e5c503a3be195cb225c7c52d024308</t>
        </is>
      </c>
      <c r="BH406" s="24" t="inlineStr">
        <is>
          <t>2026-10-03T16:49:57.214006Z</t>
        </is>
      </c>
      <c r="BI406" s="24" t="inlineStr">
        <is>
          <t>["same_event","same_team_same_day","same_league_same_day"]</t>
        </is>
      </c>
      <c r="BJ406" s="25" t="n"/>
      <c r="BK406" s="26" t="n">
        <v>-178</v>
      </c>
      <c r="BL406" s="27" t="n">
        <v>1.561798</v>
      </c>
      <c r="BM406" s="28" t="n">
        <v>0.640288</v>
      </c>
      <c r="BN406" s="28" t="n"/>
      <c r="BO406" s="28" t="n"/>
      <c r="BP406" s="25" t="n"/>
      <c r="BQ406" s="27" t="n">
        <v>1.561798</v>
      </c>
      <c r="BR406" s="28" t="n">
        <v>0.64</v>
      </c>
      <c r="BS406" s="28" t="n"/>
      <c r="BT406" s="28" t="n"/>
      <c r="BU406" s="25" t="n"/>
      <c r="BV406" s="29" t="n"/>
      <c r="BW406" s="24" t="n"/>
      <c r="BX406" s="30" t="n">
        <v>1</v>
      </c>
      <c r="BY406" s="27" t="n">
        <v>0.561797</v>
      </c>
      <c r="BZ406" s="24" t="inlineStr">
        <is>
          <t>2026-10-03T22:00:49.871918Z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0.640288</t>
        </is>
      </c>
      <c r="DK406" s="24" t="n"/>
      <c r="DL406" s="24" t="n"/>
      <c r="DM406" s="24" t="n"/>
      <c r="DN406" s="24" t="n"/>
      <c r="DO406" s="24" t="n"/>
      <c r="DP406" s="24" t="n"/>
      <c r="DQ406" s="24" t="inlineStr">
        <is>
          <t>{"artifact_hash": "3d16277c2cfc0628d7ec79d04feee92735e5c503a3be195cb225c7c52d024308", "away_team": "Peru", "event_id": "401900325", "event_start_utc": "2026-10-03T18:00Z",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"2026-10-03T16:52:00.218245+00:00", "probabilities": {"away": 0.245402, "draw": 0.256365, "home": 0.498233}, "replay_scope": "Exact full-precision serving state and rounding; upstream historical observation times are not certified.", "schema": "coded-moneyline-replay-v1", "snapshot_hash": "ead06a11f8d748273348ccd1405e32c25274e39a5b9dd0b5fb41b9ea43124dd2", "sport": "SOCCER"}</t>
        </is>
      </c>
    </row>
    <row r="407" ht="36" customHeight="1">
      <c r="A407" s="24" t="inlineStr">
        <is>
          <t>badf2a7b5f724a45</t>
        </is>
      </c>
      <c r="B407" s="24" t="inlineStr">
        <is>
          <t>2026-10-03T22:32:34.934402Z</t>
        </is>
      </c>
      <c r="C407" s="24" t="inlineStr">
        <is>
          <t>2026-10-04T00:00Z</t>
        </is>
      </c>
      <c r="D407" s="24" t="inlineStr">
        <is>
          <t>401921544</t>
        </is>
      </c>
      <c r="E407" s="24" t="inlineStr">
        <is>
          <t>SOCCER</t>
        </is>
      </c>
      <c r="F407" s="24" t="inlineStr">
        <is>
          <t>Burkina Faso</t>
        </is>
      </c>
      <c r="G407" s="24" t="inlineStr">
        <is>
          <t>Argentina</t>
        </is>
      </c>
      <c r="H407" s="24" t="inlineStr">
        <is>
          <t>total</t>
        </is>
      </c>
      <c r="I407" s="24" t="inlineStr">
        <is>
          <t>over</t>
        </is>
      </c>
      <c r="J407" s="25" t="n">
        <v>2.5</v>
      </c>
      <c r="K407" s="24" t="inlineStr">
        <is>
          <t>polymarket_us</t>
        </is>
      </c>
      <c r="L407" s="26" t="n">
        <v>-400</v>
      </c>
      <c r="M407" s="27" t="n">
        <v>1.25</v>
      </c>
      <c r="N407" s="28" t="n">
        <v>0.8</v>
      </c>
      <c r="O407" s="28" t="n">
        <v>0.621444</v>
      </c>
      <c r="P407" s="28" t="n">
        <v>0.2</v>
      </c>
      <c r="Q407" s="28" t="n">
        <v>-0.178556</v>
      </c>
      <c r="R407" s="26" t="n">
        <v>0</v>
      </c>
      <c r="S407" s="29" t="n">
        <v>1</v>
      </c>
      <c r="T407" s="24" t="inlineStr">
        <is>
          <t>soccer-poisson-dc-v1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7</v>
      </c>
      <c r="Y407" s="25" t="n"/>
      <c r="Z407" s="26" t="n">
        <v>-400</v>
      </c>
      <c r="AA407" s="28" t="n">
        <v>0.8</v>
      </c>
      <c r="AB407" s="28" t="n">
        <v>0</v>
      </c>
      <c r="AC407" s="30" t="n">
        <v>0.25</v>
      </c>
      <c r="AD407" s="24" t="inlineStr">
        <is>
          <t>2026-10-04T20:43:34.141482Z</t>
        </is>
      </c>
      <c r="AE407" s="31" t="inlineStr">
        <is>
          <t>Poisson-DC rates 2.13 (home) / 1.08 (away) from EWMA attack/defense strengths. Executable ask 0.8000 (tsc-intf-arg-bur-2026-10-03-2pt5).</t>
        </is>
      </c>
      <c r="AF407" s="31" t="inlineStr">
        <is>
          <t>Research-only soccer score model; draw-aware, but not yet locked-holdout qualified.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Burkina Faso</t>
        </is>
      </c>
      <c r="AQ407" s="24" t="inlineStr">
        <is>
          <t>Burkina Faso</t>
        </is>
      </c>
      <c r="AR407" s="24" t="inlineStr">
        <is>
          <t>Burkina Faso</t>
        </is>
      </c>
      <c r="AS407" s="24" t="inlineStr">
        <is>
          <t>Argentina</t>
        </is>
      </c>
      <c r="AT407" s="24" t="inlineStr">
        <is>
          <t>Argentina</t>
        </is>
      </c>
      <c r="AU407" s="24" t="inlineStr">
        <is>
          <t>Argentina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3d16277c2cfc0628d7ec79d04feee92735e5c503a3be195cb225c7c52d024308</t>
        </is>
      </c>
      <c r="BB407" s="24" t="inlineStr">
        <is>
          <t>poisson_dixon_coles</t>
        </is>
      </c>
      <c r="BC407" s="24" t="inlineStr">
        <is>
          <t>soccer-poisson-dc-v1</t>
        </is>
      </c>
      <c r="BD407" s="24" t="inlineStr">
        <is>
          <t>3d16277c2cfc0628d7ec79d04feee92735e5c503a3be195cb225c7c52d024308</t>
        </is>
      </c>
      <c r="BE407" s="24" t="inlineStr">
        <is>
          <t>soccer-poisson-dc-v1</t>
        </is>
      </c>
      <c r="BF407" s="24" t="inlineStr">
        <is>
          <t>1</t>
        </is>
      </c>
      <c r="BG407" s="24" t="inlineStr">
        <is>
          <t>3d16277c2cfc0628d7ec79d04feee92735e5c503a3be195cb225c7c52d024308</t>
        </is>
      </c>
      <c r="BH407" s="24" t="inlineStr">
        <is>
          <t>2026-10-03T16:50:02.229015Z</t>
        </is>
      </c>
      <c r="BI407" s="24" t="inlineStr">
        <is>
          <t>["same_event","same_team_same_day","same_league_same_day"]</t>
        </is>
      </c>
      <c r="BJ407" s="25" t="n">
        <v>2.5</v>
      </c>
      <c r="BK407" s="26" t="n">
        <v>-400</v>
      </c>
      <c r="BL407" s="27" t="n">
        <v>1.25</v>
      </c>
      <c r="BM407" s="28" t="n">
        <v>0.8</v>
      </c>
      <c r="BN407" s="28" t="n"/>
      <c r="BO407" s="28" t="n"/>
      <c r="BP407" s="25" t="n"/>
      <c r="BQ407" s="27" t="n">
        <v>1.25</v>
      </c>
      <c r="BR407" s="28" t="n">
        <v>0.8</v>
      </c>
      <c r="BS407" s="28" t="n"/>
      <c r="BT407" s="28" t="n"/>
      <c r="BU407" s="25" t="n"/>
      <c r="BV407" s="29" t="n"/>
      <c r="BW407" s="24" t="n"/>
      <c r="BX407" s="30" t="n">
        <v>1</v>
      </c>
      <c r="BY407" s="27" t="n">
        <v>0.25</v>
      </c>
      <c r="BZ407" s="24" t="inlineStr">
        <is>
          <t>2026-10-04T20:43:34.141482Z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0.8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01b0b37cc919435e</t>
        </is>
      </c>
      <c r="B408" s="24" t="inlineStr">
        <is>
          <t>2026-10-05T10:48:07.901064Z</t>
        </is>
      </c>
      <c r="C408" s="24" t="inlineStr">
        <is>
          <t>2026-10-05T13:00Z</t>
        </is>
      </c>
      <c r="D408" s="24" t="inlineStr">
        <is>
          <t>401918508</t>
        </is>
      </c>
      <c r="E408" s="24" t="inlineStr">
        <is>
          <t>SOCCER</t>
        </is>
      </c>
      <c r="F408" s="24" t="inlineStr">
        <is>
          <t>Congo DR</t>
        </is>
      </c>
      <c r="G408" s="24" t="inlineStr">
        <is>
          <t>Uganda</t>
        </is>
      </c>
      <c r="H408" s="24" t="inlineStr">
        <is>
          <t>total</t>
        </is>
      </c>
      <c r="I408" s="24" t="inlineStr">
        <is>
          <t>over</t>
        </is>
      </c>
      <c r="J408" s="25" t="n">
        <v>2.5</v>
      </c>
      <c r="K408" s="24" t="inlineStr">
        <is>
          <t>polymarket_us</t>
        </is>
      </c>
      <c r="L408" s="26" t="n">
        <v>144</v>
      </c>
      <c r="M408" s="27" t="n">
        <v>2.44</v>
      </c>
      <c r="N408" s="28" t="n">
        <v>0.409836</v>
      </c>
      <c r="O408" s="28" t="n">
        <v>0.5261749999999999</v>
      </c>
      <c r="P408" s="28" t="n">
        <v>0.2</v>
      </c>
      <c r="Q408" s="28" t="n">
        <v>0.116339</v>
      </c>
      <c r="R408" s="26" t="n">
        <v>0</v>
      </c>
      <c r="S408" s="29" t="n">
        <v>1</v>
      </c>
      <c r="T408" s="24" t="inlineStr">
        <is>
          <t>soccer-poisson-dc-v1</t>
        </is>
      </c>
      <c r="U408" s="24" t="inlineStr">
        <is>
          <t>settled</t>
        </is>
      </c>
      <c r="V408" s="24" t="inlineStr">
        <is>
          <t>loss</t>
        </is>
      </c>
      <c r="W408" s="26" t="n">
        <v>1</v>
      </c>
      <c r="X408" s="26" t="n">
        <v>1</v>
      </c>
      <c r="Y408" s="25" t="n"/>
      <c r="Z408" s="26" t="n">
        <v>144</v>
      </c>
      <c r="AA408" s="28" t="n">
        <v>0.41</v>
      </c>
      <c r="AB408" s="28" t="n">
        <v>0.000164</v>
      </c>
      <c r="AC408" s="30" t="n">
        <v>-1</v>
      </c>
      <c r="AD408" s="24" t="inlineStr">
        <is>
          <t>2026-10-05T16:00:18.409448Z</t>
        </is>
      </c>
      <c r="AE408" s="31" t="inlineStr">
        <is>
          <t>Poisson-DC rates 1.58 (home) / 1.20 (away) from EWMA attack/defense strengths. Executable ask 0.4100 (tsc-intf-uga-cdr-2026-10-05-2pt5).</t>
        </is>
      </c>
      <c r="AF408" s="31" t="inlineStr">
        <is>
          <t>Research-only soccer score model; draw-aware, but not yet locked-holdout qualified.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PAPER_CALL_MODEL_UNVALIDATED</t>
        </is>
      </c>
      <c r="AP408" s="24" t="inlineStr">
        <is>
          <t>Congo DR</t>
        </is>
      </c>
      <c r="AQ408" s="24" t="inlineStr">
        <is>
          <t>Congo DR</t>
        </is>
      </c>
      <c r="AR408" s="24" t="inlineStr">
        <is>
          <t>Congo DR</t>
        </is>
      </c>
      <c r="AS408" s="24" t="inlineStr">
        <is>
          <t>Uganda</t>
        </is>
      </c>
      <c r="AT408" s="24" t="inlineStr">
        <is>
          <t>Uganda</t>
        </is>
      </c>
      <c r="AU408" s="24" t="inlineStr">
        <is>
          <t>Uganda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3d16277c2cfc0628d7ec79d04feee92735e5c503a3be195cb225c7c52d024308</t>
        </is>
      </c>
      <c r="BB408" s="24" t="inlineStr">
        <is>
          <t>poisson_dixon_coles</t>
        </is>
      </c>
      <c r="BC408" s="24" t="inlineStr">
        <is>
          <t>soccer-poisson-dc-v1</t>
        </is>
      </c>
      <c r="BD408" s="24" t="inlineStr">
        <is>
          <t>3d16277c2cfc0628d7ec79d04feee92735e5c503a3be195cb225c7c52d024308</t>
        </is>
      </c>
      <c r="BE408" s="24" t="inlineStr">
        <is>
          <t>soccer-poisson-dc-v1</t>
        </is>
      </c>
      <c r="BF408" s="24" t="inlineStr">
        <is>
          <t>1</t>
        </is>
      </c>
      <c r="BG408" s="24" t="inlineStr">
        <is>
          <t>3d16277c2cfc0628d7ec79d04feee92735e5c503a3be195cb225c7c52d024308</t>
        </is>
      </c>
      <c r="BH408" s="24" t="inlineStr">
        <is>
          <t>2026-10-05T10:13:50.197274Z</t>
        </is>
      </c>
      <c r="BI408" s="24" t="inlineStr">
        <is>
          <t>["same_event","same_team_same_day","same_league_same_day"]</t>
        </is>
      </c>
      <c r="BJ408" s="25" t="n">
        <v>2.5</v>
      </c>
      <c r="BK408" s="26" t="n">
        <v>144</v>
      </c>
      <c r="BL408" s="27" t="n">
        <v>2.44</v>
      </c>
      <c r="BM408" s="28" t="n">
        <v>0.409836</v>
      </c>
      <c r="BN408" s="28" t="n"/>
      <c r="BO408" s="28" t="n"/>
      <c r="BP408" s="25" t="n"/>
      <c r="BQ408" s="27" t="n">
        <v>2.44</v>
      </c>
      <c r="BR408" s="28" t="n">
        <v>0.41</v>
      </c>
      <c r="BS408" s="28" t="n"/>
      <c r="BT408" s="28" t="n"/>
      <c r="BU408" s="25" t="n"/>
      <c r="BV408" s="29" t="n"/>
      <c r="BW408" s="24" t="n"/>
      <c r="BX408" s="30" t="n">
        <v>1</v>
      </c>
      <c r="BY408" s="27" t="n">
        <v>-1</v>
      </c>
      <c r="BZ408" s="24" t="inlineStr">
        <is>
          <t>2026-10-05T16:00:18.409448Z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n"/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071b3d3da6b54cf9</t>
        </is>
      </c>
      <c r="B409" s="24" t="inlineStr">
        <is>
          <t>2026-10-05T10:48:07.901064Z</t>
        </is>
      </c>
      <c r="C409" s="24" t="inlineStr">
        <is>
          <t>2026-10-05T16:00Z</t>
        </is>
      </c>
      <c r="D409" s="24" t="inlineStr">
        <is>
          <t>401928087</t>
        </is>
      </c>
      <c r="E409" s="24" t="inlineStr">
        <is>
          <t>SOCCER</t>
        </is>
      </c>
      <c r="F409" s="24" t="inlineStr">
        <is>
          <t>Kenya</t>
        </is>
      </c>
      <c r="G409" s="24" t="inlineStr">
        <is>
          <t>Rwanda</t>
        </is>
      </c>
      <c r="H409" s="24" t="inlineStr">
        <is>
          <t>total</t>
        </is>
      </c>
      <c r="I409" s="24" t="inlineStr">
        <is>
          <t>over</t>
        </is>
      </c>
      <c r="J409" s="25" t="n">
        <v>2.5</v>
      </c>
      <c r="K409" s="24" t="inlineStr">
        <is>
          <t>polymarket_us</t>
        </is>
      </c>
      <c r="L409" s="26" t="n">
        <v>163</v>
      </c>
      <c r="M409" s="27" t="n">
        <v>2.63</v>
      </c>
      <c r="N409" s="28" t="n">
        <v>0.380228</v>
      </c>
      <c r="O409" s="28" t="n">
        <v>0.550338</v>
      </c>
      <c r="P409" s="28" t="n">
        <v>0.2</v>
      </c>
      <c r="Q409" s="28" t="n">
        <v>0.17011</v>
      </c>
      <c r="R409" s="26" t="n">
        <v>15</v>
      </c>
      <c r="S409" s="29" t="n">
        <v>1</v>
      </c>
      <c r="T409" s="24" t="inlineStr">
        <is>
          <t>soccer-poisson-dc-v1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0</v>
      </c>
      <c r="Y409" s="25" t="n"/>
      <c r="Z409" s="26" t="n">
        <v>163</v>
      </c>
      <c r="AA409" s="28" t="n">
        <v>0.38</v>
      </c>
      <c r="AB409" s="28" t="n">
        <v>-0.000228</v>
      </c>
      <c r="AC409" s="30" t="n">
        <v>-1</v>
      </c>
      <c r="AD409" s="24" t="inlineStr">
        <is>
          <t>2026-10-05T22:00:20.170943Z</t>
        </is>
      </c>
      <c r="AE409" s="31" t="inlineStr">
        <is>
          <t>Poisson-DC rates 1.64 (home) / 1.24 (away) from EWMA attack/defense strengths. Executable ask 0.3800 (tsc-intf-rwa-ken-2026-10-05-2pt5).</t>
        </is>
      </c>
      <c r="AF409" s="31" t="inlineStr">
        <is>
          <t>Research-only soccer score model; draw-aware, but not yet locked-holdout qualified.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Kenya</t>
        </is>
      </c>
      <c r="AQ409" s="24" t="inlineStr">
        <is>
          <t>Kenya</t>
        </is>
      </c>
      <c r="AR409" s="24" t="inlineStr">
        <is>
          <t>Kenya</t>
        </is>
      </c>
      <c r="AS409" s="24" t="inlineStr">
        <is>
          <t>Rwanda</t>
        </is>
      </c>
      <c r="AT409" s="24" t="inlineStr">
        <is>
          <t>Rwanda</t>
        </is>
      </c>
      <c r="AU409" s="24" t="inlineStr">
        <is>
          <t>Rwanda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3d16277c2cfc0628d7ec79d04feee92735e5c503a3be195cb225c7c52d024308</t>
        </is>
      </c>
      <c r="BB409" s="24" t="inlineStr">
        <is>
          <t>poisson_dixon_coles</t>
        </is>
      </c>
      <c r="BC409" s="24" t="inlineStr">
        <is>
          <t>soccer-poisson-dc-v1</t>
        </is>
      </c>
      <c r="BD409" s="24" t="inlineStr">
        <is>
          <t>3d16277c2cfc0628d7ec79d04feee92735e5c503a3be195cb225c7c52d024308</t>
        </is>
      </c>
      <c r="BE409" s="24" t="inlineStr">
        <is>
          <t>soccer-poisson-dc-v1</t>
        </is>
      </c>
      <c r="BF409" s="24" t="inlineStr">
        <is>
          <t>1</t>
        </is>
      </c>
      <c r="BG409" s="24" t="inlineStr">
        <is>
          <t>3d16277c2cfc0628d7ec79d04feee92735e5c503a3be195cb225c7c52d024308</t>
        </is>
      </c>
      <c r="BH409" s="24" t="inlineStr">
        <is>
          <t>2026-10-05T10:14:10.335048Z</t>
        </is>
      </c>
      <c r="BI409" s="24" t="inlineStr">
        <is>
          <t>["same_event","same_team_same_day","same_league_same_day"]</t>
        </is>
      </c>
      <c r="BJ409" s="25" t="n">
        <v>2.5</v>
      </c>
      <c r="BK409" s="26" t="n">
        <v>163</v>
      </c>
      <c r="BL409" s="27" t="n">
        <v>2.63</v>
      </c>
      <c r="BM409" s="28" t="n">
        <v>0.380228</v>
      </c>
      <c r="BN409" s="28" t="n"/>
      <c r="BO409" s="28" t="n"/>
      <c r="BP409" s="25" t="n"/>
      <c r="BQ409" s="27" t="n">
        <v>2.63</v>
      </c>
      <c r="BR409" s="28" t="n">
        <v>0.38</v>
      </c>
      <c r="BS409" s="28" t="n"/>
      <c r="BT409" s="28" t="n"/>
      <c r="BU409" s="25" t="n"/>
      <c r="BV409" s="29" t="n"/>
      <c r="BW409" s="24" t="n"/>
      <c r="BX409" s="30" t="n">
        <v>1</v>
      </c>
      <c r="BY409" s="27" t="n">
        <v>-1</v>
      </c>
      <c r="BZ409" s="24" t="inlineStr">
        <is>
          <t>2026-10-05T22:00:20.170943Z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n"/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c60eb2561b9e4273</t>
        </is>
      </c>
      <c r="B410" s="24" t="inlineStr">
        <is>
          <t>2026-10-05T10:48:07.901064Z</t>
        </is>
      </c>
      <c r="C410" s="24" t="inlineStr">
        <is>
          <t>2026-10-05T13:00Z</t>
        </is>
      </c>
      <c r="D410" s="24" t="inlineStr">
        <is>
          <t>401918508</t>
        </is>
      </c>
      <c r="E410" s="24" t="inlineStr">
        <is>
          <t>SOCCER</t>
        </is>
      </c>
      <c r="F410" s="24" t="inlineStr">
        <is>
          <t>Congo DR</t>
        </is>
      </c>
      <c r="G410" s="24" t="inlineStr">
        <is>
          <t>Uganda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355</v>
      </c>
      <c r="M410" s="27" t="n">
        <v>4.55</v>
      </c>
      <c r="N410" s="28" t="n">
        <v>0.21978</v>
      </c>
      <c r="O410" s="28" t="n">
        <v>0.451457</v>
      </c>
      <c r="P410" s="28" t="n">
        <v>0.2</v>
      </c>
      <c r="Q410" s="28" t="n">
        <v>0.231677</v>
      </c>
      <c r="R410" s="26" t="n">
        <v>46</v>
      </c>
      <c r="S410" s="29" t="n">
        <v>1.25</v>
      </c>
      <c r="T410" s="24" t="inlineStr">
        <is>
          <t>soccer-poisson-dc-v1</t>
        </is>
      </c>
      <c r="U410" s="24" t="inlineStr">
        <is>
          <t>settled</t>
        </is>
      </c>
      <c r="V410" s="24" t="inlineStr">
        <is>
          <t>loss</t>
        </is>
      </c>
      <c r="W410" s="26" t="n">
        <v>1</v>
      </c>
      <c r="X410" s="26" t="n">
        <v>1</v>
      </c>
      <c r="Y410" s="25" t="n"/>
      <c r="Z410" s="26" t="n">
        <v>355</v>
      </c>
      <c r="AA410" s="28" t="n">
        <v>0.22</v>
      </c>
      <c r="AB410" s="28" t="n">
        <v>0.00022</v>
      </c>
      <c r="AC410" s="30" t="n">
        <v>-1.25</v>
      </c>
      <c r="AD410" s="24" t="inlineStr">
        <is>
          <t>2026-10-05T16:00:23.491642Z</t>
        </is>
      </c>
      <c r="AE410" s="31" t="inlineStr">
        <is>
          <t>Poisson-DC rates 1.58 (home) / 1.20 (away) from EWMA attack/defense strengths. Executable ask 0.2200 (atc-intf-uga-cdr-2026-10-05-uga).</t>
        </is>
      </c>
      <c r="AF410" s="31" t="inlineStr">
        <is>
          <t>Research-only soccer score model; draw-aware, but not yet locked-holdout qualified.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Congo DR</t>
        </is>
      </c>
      <c r="AQ410" s="24" t="inlineStr">
        <is>
          <t>Congo DR</t>
        </is>
      </c>
      <c r="AR410" s="24" t="inlineStr">
        <is>
          <t>Congo DR</t>
        </is>
      </c>
      <c r="AS410" s="24" t="inlineStr">
        <is>
          <t>Uganda</t>
        </is>
      </c>
      <c r="AT410" s="24" t="inlineStr">
        <is>
          <t>Uganda</t>
        </is>
      </c>
      <c r="AU410" s="24" t="inlineStr">
        <is>
          <t>Uganda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3d16277c2cfc0628d7ec79d04feee92735e5c503a3be195cb225c7c52d024308</t>
        </is>
      </c>
      <c r="BB410" s="24" t="inlineStr">
        <is>
          <t>poisson_dixon_coles</t>
        </is>
      </c>
      <c r="BC410" s="24" t="inlineStr">
        <is>
          <t>soccer-poisson-dc-v1</t>
        </is>
      </c>
      <c r="BD410" s="24" t="inlineStr">
        <is>
          <t>3d16277c2cfc0628d7ec79d04feee92735e5c503a3be195cb225c7c52d024308</t>
        </is>
      </c>
      <c r="BE410" s="24" t="inlineStr">
        <is>
          <t>soccer-poisson-dc-v1</t>
        </is>
      </c>
      <c r="BF410" s="24" t="inlineStr">
        <is>
          <t>1</t>
        </is>
      </c>
      <c r="BG410" s="24" t="inlineStr">
        <is>
          <t>3d16277c2cfc0628d7ec79d04feee92735e5c503a3be195cb225c7c52d024308</t>
        </is>
      </c>
      <c r="BH410" s="24" t="inlineStr">
        <is>
          <t>2026-10-05T10:13:50.185275Z</t>
        </is>
      </c>
      <c r="BI410" s="24" t="inlineStr">
        <is>
          <t>["same_event","same_team_same_day","same_league_same_day"]</t>
        </is>
      </c>
      <c r="BJ410" s="25" t="n"/>
      <c r="BK410" s="26" t="n">
        <v>355</v>
      </c>
      <c r="BL410" s="27" t="n">
        <v>4.55</v>
      </c>
      <c r="BM410" s="28" t="n">
        <v>0.21978</v>
      </c>
      <c r="BN410" s="28" t="n"/>
      <c r="BO410" s="28" t="n"/>
      <c r="BP410" s="25" t="n"/>
      <c r="BQ410" s="27" t="n">
        <v>4.55</v>
      </c>
      <c r="BR410" s="28" t="n">
        <v>0.22</v>
      </c>
      <c r="BS410" s="28" t="n"/>
      <c r="BT410" s="28" t="n"/>
      <c r="BU410" s="25" t="n"/>
      <c r="BV410" s="29" t="n"/>
      <c r="BW410" s="24" t="n"/>
      <c r="BX410" s="30" t="n">
        <v>1</v>
      </c>
      <c r="BY410" s="27" t="n">
        <v>-1</v>
      </c>
      <c r="BZ410" s="24" t="inlineStr">
        <is>
          <t>2026-10-05T16:00:23.491642Z</t>
        </is>
      </c>
      <c r="CA410" s="31" t="inlineStr">
        <is>
          <t>fixed one-unit hypothetical scoring; no real exposure or execution</t>
        </is>
      </c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n"/>
      <c r="DK410" s="24" t="n"/>
      <c r="DL410" s="24" t="n"/>
      <c r="DM410" s="24" t="n"/>
      <c r="DN410" s="24" t="n"/>
      <c r="DO410" s="24" t="n"/>
      <c r="DP410" s="24" t="n"/>
      <c r="DQ410" s="24" t="inlineStr">
        <is>
          <t>{"artifact_hash": "3d16277c2cfc0628d7ec79d04feee92735e5c503a3be195cb225c7c52d024308", "away_team": "Congo DR", "event_id": "401918508", "event_start_utc": "2026-10-05T13:00Z", "features": {"away_goal_rate": 1.1975, "history_games": 9181, "home_goal_rate": 1.5842, "league_goals_per_team": 1.4281, "min_team_games": 0.0}, "historical_source_observation_times_verified": false, "home_team": "Uganda", "inference_inputs": {"away_rate": 1.1975179275339778, "code_sha256": {"models/soccer.py": "3d16277c2cfc0628d7ec79d04feee92735e5c503a3be195cb225c7c52d024308"}, "home_rate": 1.5841928925374615, "sport": "SOCCER"}, "market_type": "moneyline", "model_version": "soccer-poisson-dc-v1", "observed_at_utc": "2026-10-05T10:48:07.365274+00:00", "probabilities": {"away": 0.276646, "draw": 0.271897, "home": 0.451457}, "replay_scope": "Exact full-precision serving state and rounding; upstream historical observation times are not certified.", "schema": "coded-moneyline-replay-v1", "snapshot_hash": "8022e231510409d44246954b467a35097c3f2a9bdaca1c28cd152a20bd0f6a06", "sport": "SOCCER"}</t>
        </is>
      </c>
    </row>
    <row r="411" ht="36" customHeight="1">
      <c r="A411" s="24" t="inlineStr">
        <is>
          <t>d8d58692ca214fef</t>
        </is>
      </c>
      <c r="B411" s="24" t="inlineStr">
        <is>
          <t>2026-10-05T10:48:07.901064Z</t>
        </is>
      </c>
      <c r="C411" s="24" t="inlineStr">
        <is>
          <t>2026-10-05T16:00Z</t>
        </is>
      </c>
      <c r="D411" s="24" t="inlineStr">
        <is>
          <t>401928087</t>
        </is>
      </c>
      <c r="E411" s="24" t="inlineStr">
        <is>
          <t>SOCCER</t>
        </is>
      </c>
      <c r="F411" s="24" t="inlineStr">
        <is>
          <t>Kenya</t>
        </is>
      </c>
      <c r="G411" s="24" t="inlineStr">
        <is>
          <t>Rwanda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122</v>
      </c>
      <c r="M411" s="27" t="n">
        <v>2.22</v>
      </c>
      <c r="N411" s="28" t="n">
        <v>0.45045</v>
      </c>
      <c r="O411" s="28" t="n">
        <v>0.456135</v>
      </c>
      <c r="P411" s="28" t="n">
        <v>0.2</v>
      </c>
      <c r="Q411" s="28" t="n">
        <v>0.005685</v>
      </c>
      <c r="R411" s="26" t="n">
        <v>0</v>
      </c>
      <c r="S411" s="29" t="n">
        <v>1</v>
      </c>
      <c r="T411" s="24" t="inlineStr">
        <is>
          <t>soccer-poisson-dc-v1</t>
        </is>
      </c>
      <c r="U411" s="24" t="inlineStr">
        <is>
          <t>settled</t>
        </is>
      </c>
      <c r="V411" s="24" t="inlineStr">
        <is>
          <t>loss</t>
        </is>
      </c>
      <c r="W411" s="26" t="n">
        <v>0</v>
      </c>
      <c r="X411" s="26" t="n">
        <v>0</v>
      </c>
      <c r="Y411" s="25" t="n"/>
      <c r="Z411" s="26" t="n">
        <v>122</v>
      </c>
      <c r="AA411" s="28" t="n">
        <v>0.45</v>
      </c>
      <c r="AB411" s="28" t="n">
        <v>-0.00045</v>
      </c>
      <c r="AC411" s="30" t="n">
        <v>-1</v>
      </c>
      <c r="AD411" s="24" t="inlineStr">
        <is>
          <t>2026-10-05T22:00:25.278535Z</t>
        </is>
      </c>
      <c r="AE411" s="31" t="inlineStr">
        <is>
          <t>Poisson-DC rates 1.64 (home) / 1.24 (away) from EWMA attack/defense strengths. Executable ask 0.4500 (atc-intf-rwa-ken-2026-10-05-rwa).</t>
        </is>
      </c>
      <c r="AF411" s="31" t="inlineStr">
        <is>
          <t>Research-only soccer score model; draw-aware, but not yet locked-holdout qualified.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Kenya</t>
        </is>
      </c>
      <c r="AQ411" s="24" t="inlineStr">
        <is>
          <t>Kenya</t>
        </is>
      </c>
      <c r="AR411" s="24" t="inlineStr">
        <is>
          <t>Kenya</t>
        </is>
      </c>
      <c r="AS411" s="24" t="inlineStr">
        <is>
          <t>Rwanda</t>
        </is>
      </c>
      <c r="AT411" s="24" t="inlineStr">
        <is>
          <t>Rwanda</t>
        </is>
      </c>
      <c r="AU411" s="24" t="inlineStr">
        <is>
          <t>Rwanda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3d16277c2cfc0628d7ec79d04feee92735e5c503a3be195cb225c7c52d024308</t>
        </is>
      </c>
      <c r="BB411" s="24" t="inlineStr">
        <is>
          <t>poisson_dixon_coles</t>
        </is>
      </c>
      <c r="BC411" s="24" t="inlineStr">
        <is>
          <t>soccer-poisson-dc-v1</t>
        </is>
      </c>
      <c r="BD411" s="24" t="inlineStr">
        <is>
          <t>3d16277c2cfc0628d7ec79d04feee92735e5c503a3be195cb225c7c52d024308</t>
        </is>
      </c>
      <c r="BE411" s="24" t="inlineStr">
        <is>
          <t>soccer-poisson-dc-v1</t>
        </is>
      </c>
      <c r="BF411" s="24" t="inlineStr">
        <is>
          <t>1</t>
        </is>
      </c>
      <c r="BG411" s="24" t="inlineStr">
        <is>
          <t>3d16277c2cfc0628d7ec79d04feee92735e5c503a3be195cb225c7c52d024308</t>
        </is>
      </c>
      <c r="BH411" s="24" t="inlineStr">
        <is>
          <t>2026-10-05T10:14:00.273337Z</t>
        </is>
      </c>
      <c r="BI411" s="24" t="inlineStr">
        <is>
          <t>["same_event","same_team_same_day","same_league_same_day"]</t>
        </is>
      </c>
      <c r="BJ411" s="25" t="n"/>
      <c r="BK411" s="26" t="n">
        <v>122</v>
      </c>
      <c r="BL411" s="27" t="n">
        <v>2.22</v>
      </c>
      <c r="BM411" s="28" t="n">
        <v>0.45045</v>
      </c>
      <c r="BN411" s="28" t="n"/>
      <c r="BO411" s="28" t="n"/>
      <c r="BP411" s="25" t="n"/>
      <c r="BQ411" s="27" t="n">
        <v>2.22</v>
      </c>
      <c r="BR411" s="28" t="n">
        <v>0.45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-1</v>
      </c>
      <c r="BZ411" s="24" t="inlineStr">
        <is>
          <t>2026-10-05T22:00:25.278535Z</t>
        </is>
      </c>
      <c r="CA411" s="31" t="inlineStr">
        <is>
          <t>fixed one-unit hypothetical scoring; no real exposure or execution</t>
        </is>
      </c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n"/>
      <c r="DK411" s="24" t="n"/>
      <c r="DL411" s="24" t="n"/>
      <c r="DM411" s="24" t="n"/>
      <c r="DN411" s="24" t="n"/>
      <c r="DO411" s="24" t="n"/>
      <c r="DP411" s="24" t="n"/>
      <c r="DQ411" s="24" t="inlineStr">
        <is>
          <t>{"artifact_hash": "3d16277c2cfc0628d7ec79d04feee92735e5c503a3be195cb225c7c52d024308", "away_team": "Kenya", "event_id": "401928087", "event_start_utc": "2026-10-05T16:00Z", "features": {"away_goal_rate": 1.2418, "history_games": 9181, "home_goal_rate": 1.6423, "league_goals_per_team": 1.4281, "min_team_games": 0.0}, "historical_source_observation_times_verified": false, "home_team": "Rwanda",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"2026-10-05T10:48:07.365274+00:00", "probabilities": {"away": 0.278015, "draw": 0.265851, "home": 0.456135}, "replay_scope": "Exact full-precision serving state and rounding; upstream historical observation times are not certified.", "schema": "coded-moneyline-replay-v1", "snapshot_hash": "963424f25fbb0bf65eec02913110b2b7da7e0d636f5f8e88bd28ec98ab6366bb", "sport": "SOCCER"}</t>
        </is>
      </c>
    </row>
    <row r="412" ht="36" customHeight="1">
      <c r="A412" s="24" t="inlineStr">
        <is>
          <t>3ead05a66ff24b14</t>
        </is>
      </c>
      <c r="B412" s="24" t="inlineStr">
        <is>
          <t>2026-10-05T16:32:51.000388Z</t>
        </is>
      </c>
      <c r="C412" s="24" t="inlineStr">
        <is>
          <t>2026-10-05T18:45Z</t>
        </is>
      </c>
      <c r="D412" s="24" t="inlineStr">
        <is>
          <t>401896386</t>
        </is>
      </c>
      <c r="E412" s="24" t="inlineStr">
        <is>
          <t>SOCCER</t>
        </is>
      </c>
      <c r="F412" s="24" t="inlineStr">
        <is>
          <t>Gibraltar</t>
        </is>
      </c>
      <c r="G412" s="24" t="inlineStr">
        <is>
          <t>Liechtenstein</t>
        </is>
      </c>
      <c r="H412" s="24" t="inlineStr">
        <is>
          <t>total</t>
        </is>
      </c>
      <c r="I412" s="24" t="inlineStr">
        <is>
          <t>over</t>
        </is>
      </c>
      <c r="J412" s="25" t="n">
        <v>2.5</v>
      </c>
      <c r="K412" s="24" t="inlineStr">
        <is>
          <t>polymarket_us</t>
        </is>
      </c>
      <c r="L412" s="26" t="n">
        <v>245</v>
      </c>
      <c r="M412" s="27" t="n">
        <v>3.45</v>
      </c>
      <c r="N412" s="28" t="n">
        <v>0.289855</v>
      </c>
      <c r="O412" s="28" t="n">
        <v>0.550338</v>
      </c>
      <c r="P412" s="28" t="n">
        <v>0.2</v>
      </c>
      <c r="Q412" s="28" t="n">
        <v>0.260483</v>
      </c>
      <c r="R412" s="26" t="n">
        <v>60</v>
      </c>
      <c r="S412" s="29" t="n">
        <v>1.5</v>
      </c>
      <c r="T412" s="24" t="inlineStr">
        <is>
          <t>soccer-poisson-dc-v1</t>
        </is>
      </c>
      <c r="U412" s="24" t="inlineStr">
        <is>
          <t>settled</t>
        </is>
      </c>
      <c r="V412" s="24" t="inlineStr">
        <is>
          <t>loss</t>
        </is>
      </c>
      <c r="W412" s="26" t="n">
        <v>2</v>
      </c>
      <c r="X412" s="26" t="n">
        <v>0</v>
      </c>
      <c r="Y412" s="25" t="n"/>
      <c r="Z412" s="26" t="n">
        <v>245</v>
      </c>
      <c r="AA412" s="28" t="n">
        <v>0.29</v>
      </c>
      <c r="AB412" s="28" t="n">
        <v>0.000145</v>
      </c>
      <c r="AC412" s="30" t="n">
        <v>-1.5</v>
      </c>
      <c r="AD412" s="24" t="inlineStr">
        <is>
          <t>2026-10-05T22:00:30.301623Z</t>
        </is>
      </c>
      <c r="AE412" s="31" t="inlineStr">
        <is>
          <t>Poisson-DC rates 1.64 (home) / 1.24 (away) from EWMA attack/defense strengths. Executable ask 0.2900 (tsc-intf-lie-gib-2026-10-05-2pt5).</t>
        </is>
      </c>
      <c r="AF412" s="31" t="inlineStr">
        <is>
          <t>Research-only soccer score model; draw-aware, but not yet locked-holdout qualified.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Gibraltar</t>
        </is>
      </c>
      <c r="AQ412" s="24" t="inlineStr">
        <is>
          <t>Gibraltar</t>
        </is>
      </c>
      <c r="AR412" s="24" t="inlineStr">
        <is>
          <t>Gibraltar</t>
        </is>
      </c>
      <c r="AS412" s="24" t="inlineStr">
        <is>
          <t>Liechtenstein</t>
        </is>
      </c>
      <c r="AT412" s="24" t="inlineStr">
        <is>
          <t>Liechtenstein</t>
        </is>
      </c>
      <c r="AU412" s="24" t="inlineStr">
        <is>
          <t>Liechtenstein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3d16277c2cfc0628d7ec79d04feee92735e5c503a3be195cb225c7c52d024308</t>
        </is>
      </c>
      <c r="BB412" s="24" t="inlineStr">
        <is>
          <t>poisson_dixon_coles</t>
        </is>
      </c>
      <c r="BC412" s="24" t="inlineStr">
        <is>
          <t>soccer-poisson-dc-v1</t>
        </is>
      </c>
      <c r="BD412" s="24" t="inlineStr">
        <is>
          <t>3d16277c2cfc0628d7ec79d04feee92735e5c503a3be195cb225c7c52d024308</t>
        </is>
      </c>
      <c r="BE412" s="24" t="inlineStr">
        <is>
          <t>soccer-poisson-dc-v1</t>
        </is>
      </c>
      <c r="BF412" s="24" t="inlineStr">
        <is>
          <t>1</t>
        </is>
      </c>
      <c r="BG412" s="24" t="inlineStr">
        <is>
          <t>3d16277c2cfc0628d7ec79d04feee92735e5c503a3be195cb225c7c52d024308</t>
        </is>
      </c>
      <c r="BH412" s="24" t="inlineStr">
        <is>
          <t>2026-10-05T10:14:30.555039Z</t>
        </is>
      </c>
      <c r="BI412" s="24" t="inlineStr">
        <is>
          <t>["same_event","same_team_same_day","same_league_same_day"]</t>
        </is>
      </c>
      <c r="BJ412" s="25" t="n">
        <v>2.5</v>
      </c>
      <c r="BK412" s="26" t="n">
        <v>245</v>
      </c>
      <c r="BL412" s="27" t="n">
        <v>3.45</v>
      </c>
      <c r="BM412" s="28" t="n">
        <v>0.289855</v>
      </c>
      <c r="BN412" s="28" t="n"/>
      <c r="BO412" s="28" t="n"/>
      <c r="BP412" s="25" t="n"/>
      <c r="BQ412" s="27" t="n">
        <v>3.45</v>
      </c>
      <c r="BR412" s="28" t="n">
        <v>0.29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-1</v>
      </c>
      <c r="BZ412" s="24" t="inlineStr">
        <is>
          <t>2026-10-05T22:00:30.301623Z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n"/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80468a65aef34b75</t>
        </is>
      </c>
      <c r="B413" s="24" t="inlineStr">
        <is>
          <t>2026-10-05T16:32:51.000388Z</t>
        </is>
      </c>
      <c r="C413" s="24" t="inlineStr">
        <is>
          <t>2026-10-05T22:00Z</t>
        </is>
      </c>
      <c r="D413" s="24" t="inlineStr">
        <is>
          <t>401841590</t>
        </is>
      </c>
      <c r="E413" s="24" t="inlineStr">
        <is>
          <t>SOCCER</t>
        </is>
      </c>
      <c r="F413" s="24" t="inlineStr">
        <is>
          <t>Gimnasia (Mendoza)</t>
        </is>
      </c>
      <c r="G413" s="24" t="inlineStr">
        <is>
          <t>Estudiantes de La Plata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-138</v>
      </c>
      <c r="M413" s="27" t="n">
        <v>1.724638</v>
      </c>
      <c r="N413" s="28" t="n">
        <v>0.579832</v>
      </c>
      <c r="O413" s="28" t="n">
        <v>0.451659</v>
      </c>
      <c r="P413" s="28" t="n">
        <v>0.2</v>
      </c>
      <c r="Q413" s="28" t="n">
        <v>-0.128173</v>
      </c>
      <c r="R413" s="26" t="n">
        <v>0</v>
      </c>
      <c r="S413" s="29" t="n">
        <v>1</v>
      </c>
      <c r="T413" s="24" t="inlineStr">
        <is>
          <t>soccer-poisson-dc-v1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3</v>
      </c>
      <c r="Y413" s="25" t="n"/>
      <c r="Z413" s="26" t="n">
        <v>-138</v>
      </c>
      <c r="AA413" s="28" t="n">
        <v>0.58</v>
      </c>
      <c r="AB413" s="28" t="n">
        <v>0.000168</v>
      </c>
      <c r="AC413" s="30" t="n">
        <v>0.7246</v>
      </c>
      <c r="AD413" s="24" t="inlineStr">
        <is>
          <t>2026-10-06T04:30:46.883048Z</t>
        </is>
      </c>
      <c r="AE413" s="31" t="inlineStr">
        <is>
          <t>Poisson-DC rates 1.59 (home) / 1.20 (away) from EWMA attack/defense strengths. Executable ask 0.5800 (atc-lpa-est-gye-2026-10-05-est).</t>
        </is>
      </c>
      <c r="AF413" s="31" t="inlineStr">
        <is>
          <t>Research-only soccer score model; draw-aware, but not yet locked-holdout qualified.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Gimnasia (Mendoza)</t>
        </is>
      </c>
      <c r="AQ413" s="24" t="inlineStr">
        <is>
          <t>Gimnasia (Mendoza)</t>
        </is>
      </c>
      <c r="AR413" s="24" t="inlineStr">
        <is>
          <t>Gimnasia (Mendoza)</t>
        </is>
      </c>
      <c r="AS413" s="24" t="inlineStr">
        <is>
          <t>Estudiantes de La Plata</t>
        </is>
      </c>
      <c r="AT413" s="24" t="inlineStr">
        <is>
          <t>Estudiantes de La Plata</t>
        </is>
      </c>
      <c r="AU413" s="24" t="inlineStr">
        <is>
          <t>Estudiantes de La Plata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3d16277c2cfc0628d7ec79d04feee92735e5c503a3be195cb225c7c52d024308</t>
        </is>
      </c>
      <c r="BB413" s="24" t="inlineStr">
        <is>
          <t>poisson_dixon_coles</t>
        </is>
      </c>
      <c r="BC413" s="24" t="inlineStr">
        <is>
          <t>soccer-poisson-dc-v1</t>
        </is>
      </c>
      <c r="BD413" s="24" t="inlineStr">
        <is>
          <t>3d16277c2cfc0628d7ec79d04feee92735e5c503a3be195cb225c7c52d024308</t>
        </is>
      </c>
      <c r="BE413" s="24" t="inlineStr">
        <is>
          <t>soccer-poisson-dc-v1</t>
        </is>
      </c>
      <c r="BF413" s="24" t="inlineStr">
        <is>
          <t>1</t>
        </is>
      </c>
      <c r="BG413" s="24" t="inlineStr">
        <is>
          <t>3d16277c2cfc0628d7ec79d04feee92735e5c503a3be195cb225c7c52d024308</t>
        </is>
      </c>
      <c r="BH413" s="24" t="inlineStr">
        <is>
          <t>2026-10-05T10:13:30.037009Z</t>
        </is>
      </c>
      <c r="BI413" s="24" t="inlineStr">
        <is>
          <t>["same_event","same_team_same_day","same_league_same_day"]</t>
        </is>
      </c>
      <c r="BJ413" s="25" t="n"/>
      <c r="BK413" s="26" t="n">
        <v>-138</v>
      </c>
      <c r="BL413" s="27" t="n">
        <v>1.724638</v>
      </c>
      <c r="BM413" s="28" t="n">
        <v>0.579832</v>
      </c>
      <c r="BN413" s="28" t="n"/>
      <c r="BO413" s="28" t="n"/>
      <c r="BP413" s="25" t="n"/>
      <c r="BQ413" s="27" t="n">
        <v>1.724638</v>
      </c>
      <c r="BR413" s="28" t="n">
        <v>0.58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0.724637</v>
      </c>
      <c r="BZ413" s="24" t="inlineStr">
        <is>
          <t>2026-10-06T04:30:46.883048Z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n"/>
      <c r="DK413" s="24" t="n"/>
      <c r="DL413" s="24" t="n"/>
      <c r="DM413" s="24" t="n"/>
      <c r="DN413" s="24" t="n"/>
      <c r="DO413" s="24" t="n"/>
      <c r="DP413" s="24" t="n"/>
      <c r="DQ413" s="24" t="inlineStr">
        <is>
          <t>{"artifact_hash": "3d16277c2cfc0628d7ec79d04feee92735e5c503a3be195cb225c7c52d024308", "away_team": "Gimnasia (Mendoza)", "event_id": "401841590", "event_start_utc": "2026-10-05T22:00Z",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"2026-10-05T16:32:50.456200+00:00", "probabilities": {"away": 0.276813, "draw": 0.271528, "home": 0.451659}, "replay_scope": "Exact full-precision serving state and rounding; upstream historical observation times are not certified.", "schema": "coded-moneyline-replay-v1", "snapshot_hash": "c924065b50cb9d88f8bf456a22be2fc452bd4281aec179bf2a99057b734713ff", "sport": "SOCCER"}</t>
        </is>
      </c>
    </row>
    <row r="414" ht="36" customHeight="1">
      <c r="A414" s="24" t="inlineStr">
        <is>
          <t>d2340361788241d3</t>
        </is>
      </c>
      <c r="B414" s="24" t="inlineStr">
        <is>
          <t>2026-10-05T16:32:51.000388Z</t>
        </is>
      </c>
      <c r="C414" s="24" t="inlineStr">
        <is>
          <t>2026-10-05T18:45Z</t>
        </is>
      </c>
      <c r="D414" s="24" t="inlineStr">
        <is>
          <t>401896386</t>
        </is>
      </c>
      <c r="E414" s="24" t="inlineStr">
        <is>
          <t>SOCCER</t>
        </is>
      </c>
      <c r="F414" s="24" t="inlineStr">
        <is>
          <t>Gibraltar</t>
        </is>
      </c>
      <c r="G414" s="24" t="inlineStr">
        <is>
          <t>Liechtenstein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203</v>
      </c>
      <c r="M414" s="27" t="n">
        <v>3.03</v>
      </c>
      <c r="N414" s="28" t="n">
        <v>0.330033</v>
      </c>
      <c r="O414" s="28" t="n">
        <v>0.456135</v>
      </c>
      <c r="P414" s="28" t="n">
        <v>0.2</v>
      </c>
      <c r="Q414" s="28" t="n">
        <v>0.126102</v>
      </c>
      <c r="R414" s="26" t="n">
        <v>0</v>
      </c>
      <c r="S414" s="29" t="n">
        <v>1</v>
      </c>
      <c r="T414" s="24" t="inlineStr">
        <is>
          <t>soccer-poisson-dc-v1</t>
        </is>
      </c>
      <c r="U414" s="24" t="inlineStr">
        <is>
          <t>settled</t>
        </is>
      </c>
      <c r="V414" s="24" t="inlineStr">
        <is>
          <t>loss</t>
        </is>
      </c>
      <c r="W414" s="26" t="n">
        <v>2</v>
      </c>
      <c r="X414" s="26" t="n">
        <v>0</v>
      </c>
      <c r="Y414" s="25" t="n"/>
      <c r="Z414" s="26" t="n">
        <v>203</v>
      </c>
      <c r="AA414" s="28" t="n">
        <v>0.33</v>
      </c>
      <c r="AB414" s="28" t="n">
        <v>-3.3e-05</v>
      </c>
      <c r="AC414" s="30" t="n">
        <v>-1</v>
      </c>
      <c r="AD414" s="24" t="inlineStr">
        <is>
          <t>2026-10-05T22:00:35.239958Z</t>
        </is>
      </c>
      <c r="AE414" s="31" t="inlineStr">
        <is>
          <t>Poisson-DC rates 1.64 (home) / 1.24 (away) from EWMA attack/defense strengths. Executable ask 0.3300 (atc-intf-lie-gib-2026-10-05-lie).</t>
        </is>
      </c>
      <c r="AF414" s="31" t="inlineStr">
        <is>
          <t>Research-only soccer score model; draw-aware, but not yet locked-holdout qualified.</t>
        </is>
      </c>
      <c r="AG414" s="24" t="inlineStr">
        <is>
          <t>review_required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Gibraltar</t>
        </is>
      </c>
      <c r="AQ414" s="24" t="inlineStr">
        <is>
          <t>Gibraltar</t>
        </is>
      </c>
      <c r="AR414" s="24" t="inlineStr">
        <is>
          <t>Gibraltar</t>
        </is>
      </c>
      <c r="AS414" s="24" t="inlineStr">
        <is>
          <t>Liechtenstein</t>
        </is>
      </c>
      <c r="AT414" s="24" t="inlineStr">
        <is>
          <t>Liechtenstein</t>
        </is>
      </c>
      <c r="AU414" s="24" t="inlineStr">
        <is>
          <t>Liechtenstein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3d16277c2cfc0628d7ec79d04feee92735e5c503a3be195cb225c7c52d024308</t>
        </is>
      </c>
      <c r="BB414" s="24" t="inlineStr">
        <is>
          <t>poisson_dixon_coles</t>
        </is>
      </c>
      <c r="BC414" s="24" t="inlineStr">
        <is>
          <t>soccer-poisson-dc-v1</t>
        </is>
      </c>
      <c r="BD414" s="24" t="inlineStr">
        <is>
          <t>3d16277c2cfc0628d7ec79d04feee92735e5c503a3be195cb225c7c52d024308</t>
        </is>
      </c>
      <c r="BE414" s="24" t="inlineStr">
        <is>
          <t>soccer-poisson-dc-v1</t>
        </is>
      </c>
      <c r="BF414" s="24" t="inlineStr">
        <is>
          <t>1</t>
        </is>
      </c>
      <c r="BG414" s="24" t="inlineStr">
        <is>
          <t>3d16277c2cfc0628d7ec79d04feee92735e5c503a3be195cb225c7c52d024308</t>
        </is>
      </c>
      <c r="BH414" s="24" t="inlineStr">
        <is>
          <t>2026-10-05T10:14:10.326928Z</t>
        </is>
      </c>
      <c r="BI414" s="24" t="inlineStr">
        <is>
          <t>["same_event","same_team_same_day","same_league_same_day"]</t>
        </is>
      </c>
      <c r="BJ414" s="25" t="n"/>
      <c r="BK414" s="26" t="n">
        <v>203</v>
      </c>
      <c r="BL414" s="27" t="n">
        <v>3.03</v>
      </c>
      <c r="BM414" s="28" t="n">
        <v>0.330033</v>
      </c>
      <c r="BN414" s="28" t="n"/>
      <c r="BO414" s="28" t="n"/>
      <c r="BP414" s="25" t="n"/>
      <c r="BQ414" s="27" t="n">
        <v>3.03</v>
      </c>
      <c r="BR414" s="28" t="n">
        <v>0.33</v>
      </c>
      <c r="BS414" s="28" t="n"/>
      <c r="BT414" s="28" t="n"/>
      <c r="BU414" s="25" t="n"/>
      <c r="BV414" s="29" t="n"/>
      <c r="BW414" s="24" t="n"/>
      <c r="BX414" s="30" t="n">
        <v>1</v>
      </c>
      <c r="BY414" s="27" t="n">
        <v>-1</v>
      </c>
      <c r="BZ414" s="24" t="inlineStr">
        <is>
          <t>2026-10-05T22:00:35.239958Z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n"/>
      <c r="DK414" s="24" t="n"/>
      <c r="DL414" s="24" t="n"/>
      <c r="DM414" s="24" t="n"/>
      <c r="DN414" s="24" t="n"/>
      <c r="DO414" s="24" t="n"/>
      <c r="DP414" s="24" t="n"/>
      <c r="DQ414" s="24" t="inlineStr">
        <is>
          <t>{"artifact_hash": "3d16277c2cfc0628d7ec79d04feee92735e5c503a3be195cb225c7c52d024308", "away_team": "Gibraltar", "event_id": "401896386", "event_start_utc": "2026-10-05T18:45Z", "features": {"away_goal_rate": 1.2418, "history_games": 9181, "home_goal_rate": 1.6423, "league_goals_per_team": 1.4281, "min_team_games": 0.0}, "historical_source_observation_times_verified": false, "home_team": "Liechtenstein",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"2026-10-05T16:32:50.456200+00:00", "probabilities": {"away": 0.278015, "draw": 0.265851, "home": 0.456135}, "replay_scope": "Exact full-precision serving state and rounding; upstream historical observation times are not certified.", "schema": "coded-moneyline-replay-v1", "snapshot_hash": "d9b0c0812886175106b77b74c1f911e42d8c2a7ea4bfb69a0a49e4a2daef33f1", "sport": "SOCCER"}</t>
        </is>
      </c>
    </row>
    <row r="415" ht="36" customHeight="1">
      <c r="A415" s="24" t="inlineStr">
        <is>
          <t>25fb88bd930e40a7</t>
        </is>
      </c>
      <c r="B415" s="24" t="inlineStr">
        <is>
          <t>2026-10-05T22:23:42.599037Z</t>
        </is>
      </c>
      <c r="C415" s="24" t="inlineStr">
        <is>
          <t>2026-10-06T00:15Z</t>
        </is>
      </c>
      <c r="D415" s="24" t="inlineStr">
        <is>
          <t>401841595</t>
        </is>
      </c>
      <c r="E415" s="24" t="inlineStr">
        <is>
          <t>SOCCER</t>
        </is>
      </c>
      <c r="F415" s="24" t="inlineStr">
        <is>
          <t>Rosario Central</t>
        </is>
      </c>
      <c r="G415" s="24" t="inlineStr">
        <is>
          <t>Banfield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355</v>
      </c>
      <c r="M415" s="27" t="n">
        <v>4.55</v>
      </c>
      <c r="N415" s="28" t="n">
        <v>0.21978</v>
      </c>
      <c r="O415" s="28" t="n">
        <v>0.456135</v>
      </c>
      <c r="P415" s="28" t="n">
        <v>0.2</v>
      </c>
      <c r="Q415" s="28" t="n">
        <v>0.236355</v>
      </c>
      <c r="R415" s="26" t="n">
        <v>48</v>
      </c>
      <c r="S415" s="29" t="n">
        <v>1.25</v>
      </c>
      <c r="T415" s="24" t="inlineStr">
        <is>
          <t>soccer-poisson-dc-v1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1</v>
      </c>
      <c r="Y415" s="25" t="n"/>
      <c r="Z415" s="26" t="n">
        <v>355</v>
      </c>
      <c r="AA415" s="28" t="n">
        <v>0.22</v>
      </c>
      <c r="AB415" s="28" t="n">
        <v>0.00022</v>
      </c>
      <c r="AC415" s="30" t="n">
        <v>-1.25</v>
      </c>
      <c r="AD415" s="24" t="inlineStr">
        <is>
          <t>2026-10-06T04:31:24.188733Z</t>
        </is>
      </c>
      <c r="AE415" s="31" t="inlineStr">
        <is>
          <t>Poisson-DC rates 1.64 (home) / 1.24 (away) from EWMA attack/defense strengths. Executable ask 0.2200 (atc-lpa-ban-ros-2026-10-05-ban).</t>
        </is>
      </c>
      <c r="AF415" s="31" t="inlineStr">
        <is>
          <t>Research-only soccer score model; draw-aware, but not yet locked-holdout qualified.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Rosario Central</t>
        </is>
      </c>
      <c r="AQ415" s="24" t="inlineStr">
        <is>
          <t>Rosario Central</t>
        </is>
      </c>
      <c r="AR415" s="24" t="inlineStr">
        <is>
          <t>Rosario Central</t>
        </is>
      </c>
      <c r="AS415" s="24" t="inlineStr">
        <is>
          <t>Banfield</t>
        </is>
      </c>
      <c r="AT415" s="24" t="inlineStr">
        <is>
          <t>Banfield</t>
        </is>
      </c>
      <c r="AU415" s="24" t="inlineStr">
        <is>
          <t>Banfield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3d16277c2cfc0628d7ec79d04feee92735e5c503a3be195cb225c7c52d024308</t>
        </is>
      </c>
      <c r="BB415" s="24" t="inlineStr">
        <is>
          <t>poisson_dixon_coles</t>
        </is>
      </c>
      <c r="BC415" s="24" t="inlineStr">
        <is>
          <t>soccer-poisson-dc-v1</t>
        </is>
      </c>
      <c r="BD415" s="24" t="inlineStr">
        <is>
          <t>3d16277c2cfc0628d7ec79d04feee92735e5c503a3be195cb225c7c52d024308</t>
        </is>
      </c>
      <c r="BE415" s="24" t="inlineStr">
        <is>
          <t>soccer-poisson-dc-v1</t>
        </is>
      </c>
      <c r="BF415" s="24" t="inlineStr">
        <is>
          <t>1</t>
        </is>
      </c>
      <c r="BG415" s="24" t="inlineStr">
        <is>
          <t>3d16277c2cfc0628d7ec79d04feee92735e5c503a3be195cb225c7c52d024308</t>
        </is>
      </c>
      <c r="BH415" s="24" t="inlineStr">
        <is>
          <t>2026-10-05T22:18:14.197027Z</t>
        </is>
      </c>
      <c r="BI415" s="24" t="inlineStr">
        <is>
          <t>["same_event","same_team_same_day","same_league_same_day"]</t>
        </is>
      </c>
      <c r="BJ415" s="25" t="n"/>
      <c r="BK415" s="26" t="n">
        <v>355</v>
      </c>
      <c r="BL415" s="27" t="n">
        <v>4.55</v>
      </c>
      <c r="BM415" s="28" t="n">
        <v>0.21978</v>
      </c>
      <c r="BN415" s="28" t="n"/>
      <c r="BO415" s="28" t="n"/>
      <c r="BP415" s="25" t="n"/>
      <c r="BQ415" s="27" t="n">
        <v>4.55</v>
      </c>
      <c r="BR415" s="28" t="n">
        <v>0.22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-1</v>
      </c>
      <c r="BZ415" s="24" t="inlineStr">
        <is>
          <t>2026-10-06T04:31:24.188733Z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n"/>
      <c r="DK415" s="24" t="n"/>
      <c r="DL415" s="24" t="n"/>
      <c r="DM415" s="24" t="n"/>
      <c r="DN415" s="24" t="n"/>
      <c r="DO415" s="24" t="n"/>
      <c r="DP415" s="24" t="n"/>
      <c r="DQ415" s="24" t="inlineStr">
        <is>
          <t>{"artifact_hash": "3d16277c2cfc0628d7ec79d04feee92735e5c503a3be195cb225c7c52d024308", "away_team": "Rosario Central", "event_id": "401841595", "event_start_utc": "2026-10-06T00:15Z", "features": {"away_goal_rate": 1.2418, "history_games": 9181, "home_goal_rate": 1.6423, "league_goals_per_team": 1.4281, "min_team_games": 0.0}, "historical_source_observation_times_verified": false, "home_team": "Banfield",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"9bdbab05e9250053d69806d28705bb1f0660632540bc170cee0732f1d0da323e", "sport": "SOCCER"}</t>
        </is>
      </c>
    </row>
    <row r="416" ht="36" customHeight="1">
      <c r="A416" s="24" t="inlineStr">
        <is>
          <t>d467f24c08984464</t>
        </is>
      </c>
      <c r="B416" s="24" t="inlineStr">
        <is>
          <t>2026-10-05T22:23:42.599037Z</t>
        </is>
      </c>
      <c r="C416" s="24" t="inlineStr">
        <is>
          <t>2026-10-05T23:00Z</t>
        </is>
      </c>
      <c r="D416" s="24" t="inlineStr">
        <is>
          <t>401923690</t>
        </is>
      </c>
      <c r="E416" s="24" t="inlineStr">
        <is>
          <t>SOCCER</t>
        </is>
      </c>
      <c r="F416" s="24" t="inlineStr">
        <is>
          <t>Montevideo City Torque</t>
        </is>
      </c>
      <c r="G416" s="24" t="inlineStr">
        <is>
          <t>Nacional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polymarket_us</t>
        </is>
      </c>
      <c r="L416" s="26" t="n">
        <v>122</v>
      </c>
      <c r="M416" s="27" t="n">
        <v>2.22</v>
      </c>
      <c r="N416" s="28" t="n">
        <v>0.45045</v>
      </c>
      <c r="O416" s="28" t="n">
        <v>0.456135</v>
      </c>
      <c r="P416" s="28" t="n">
        <v>0.2</v>
      </c>
      <c r="Q416" s="28" t="n">
        <v>0.005685</v>
      </c>
      <c r="R416" s="26" t="n">
        <v>0</v>
      </c>
      <c r="S416" s="29" t="n">
        <v>1</v>
      </c>
      <c r="T416" s="24" t="inlineStr">
        <is>
          <t>soccer-poisson-dc-v1</t>
        </is>
      </c>
      <c r="U416" s="24" t="inlineStr">
        <is>
          <t>settled</t>
        </is>
      </c>
      <c r="V416" s="24" t="inlineStr">
        <is>
          <t>win</t>
        </is>
      </c>
      <c r="W416" s="26" t="n">
        <v>0</v>
      </c>
      <c r="X416" s="26" t="n">
        <v>2</v>
      </c>
      <c r="Y416" s="25" t="n"/>
      <c r="Z416" s="26" t="n">
        <v>122</v>
      </c>
      <c r="AA416" s="28" t="n">
        <v>0.45</v>
      </c>
      <c r="AB416" s="28" t="n">
        <v>-0.00045</v>
      </c>
      <c r="AC416" s="30" t="n">
        <v>1.22</v>
      </c>
      <c r="AD416" s="24" t="inlineStr">
        <is>
          <t>2026-10-06T04:31:28.412064Z</t>
        </is>
      </c>
      <c r="AE416" s="31" t="inlineStr">
        <is>
          <t>Poisson-DC rates 1.64 (home) / 1.24 (away) from EWMA attack/defense strengths. Executable ask 0.4500 (atc-uru1-nac-tor-2026-10-05-nac).</t>
        </is>
      </c>
      <c r="AF416" s="31" t="inlineStr">
        <is>
          <t>Research-only soccer score model; draw-aware, but not yet locked-holdout qualified.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Montevideo City Torque</t>
        </is>
      </c>
      <c r="AQ416" s="24" t="inlineStr">
        <is>
          <t>Montevideo City Torque</t>
        </is>
      </c>
      <c r="AR416" s="24" t="inlineStr">
        <is>
          <t>Montevideo City Torque</t>
        </is>
      </c>
      <c r="AS416" s="24" t="inlineStr">
        <is>
          <t>Nacional</t>
        </is>
      </c>
      <c r="AT416" s="24" t="inlineStr">
        <is>
          <t>Nacional</t>
        </is>
      </c>
      <c r="AU416" s="24" t="inlineStr">
        <is>
          <t>Nacional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3d16277c2cfc0628d7ec79d04feee92735e5c503a3be195cb225c7c52d024308</t>
        </is>
      </c>
      <c r="BB416" s="24" t="inlineStr">
        <is>
          <t>poisson_dixon_coles</t>
        </is>
      </c>
      <c r="BC416" s="24" t="inlineStr">
        <is>
          <t>soccer-poisson-dc-v1</t>
        </is>
      </c>
      <c r="BD416" s="24" t="inlineStr">
        <is>
          <t>3d16277c2cfc0628d7ec79d04feee92735e5c503a3be195cb225c7c52d024308</t>
        </is>
      </c>
      <c r="BE416" s="24" t="inlineStr">
        <is>
          <t>soccer-poisson-dc-v1</t>
        </is>
      </c>
      <c r="BF416" s="24" t="inlineStr">
        <is>
          <t>1</t>
        </is>
      </c>
      <c r="BG416" s="24" t="inlineStr">
        <is>
          <t>3d16277c2cfc0628d7ec79d04feee92735e5c503a3be195cb225c7c52d024308</t>
        </is>
      </c>
      <c r="BH416" s="24" t="inlineStr">
        <is>
          <t>2026-10-05T10:13:50.186801Z</t>
        </is>
      </c>
      <c r="BI416" s="24" t="inlineStr">
        <is>
          <t>["same_event","same_team_same_day","same_league_same_day"]</t>
        </is>
      </c>
      <c r="BJ416" s="25" t="n"/>
      <c r="BK416" s="26" t="n">
        <v>122</v>
      </c>
      <c r="BL416" s="27" t="n">
        <v>2.22</v>
      </c>
      <c r="BM416" s="28" t="n">
        <v>0.45045</v>
      </c>
      <c r="BN416" s="28" t="n"/>
      <c r="BO416" s="28" t="n"/>
      <c r="BP416" s="25" t="n"/>
      <c r="BQ416" s="27" t="n">
        <v>2.22</v>
      </c>
      <c r="BR416" s="28" t="n">
        <v>0.45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1.220002</v>
      </c>
      <c r="BZ416" s="24" t="inlineStr">
        <is>
          <t>2026-10-06T04:31:28.412064Z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n"/>
      <c r="DK416" s="24" t="n"/>
      <c r="DL416" s="24" t="n"/>
      <c r="DM416" s="24" t="n"/>
      <c r="DN416" s="24" t="n"/>
      <c r="DO416" s="24" t="n"/>
      <c r="DP416" s="24" t="n"/>
      <c r="DQ416" s="24" t="inlineStr">
        <is>
          <t>{"artifact_hash": "3d16277c2cfc0628d7ec79d04feee92735e5c503a3be195cb225c7c52d024308", "away_team": "Montevideo City Torque", "event_id": "401923690", "event_start_utc": "2026-10-05T23:00Z", "features": {"away_goal_rate": 1.2418, "history_games": 9181, "home_goal_rate": 1.6423, "league_goals_per_team": 1.4281, "min_team_games": 0.0}, "historical_source_observation_times_verified": false, "home_team": "Nacional",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"c8b9cf17db6821293c8cea314e1315b627e7bb256eaf2b9220cb0d4e24e54396", "sport": "SOCCER"}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2026-10-06T05:32:32Z</dcterms:created>
  <dcterms:modified xmlns:dcterms="http://purl.org/dc/terms/" xmlns:xsi="http://www.w3.org/2001/XMLSchema-instance" xsi:type="dcterms:W3CDTF">2026-10-06T05:32:33Z</dcterms:modified>
</cp:coreProperties>
</file>