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25" headerRowCount="1">
  <autoFilter ref="A1:DQ25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COUNTA('Picks'!$A$2:$A$25)</f>
        <v/>
      </c>
      <c r="C4" s="6">
        <f>COUNTIF('Picks'!$U$2:$U$25,"open")</f>
        <v/>
      </c>
      <c r="E4" s="6">
        <f>COUNTIF('Picks'!$U$2:$U$25,"settled")</f>
        <v/>
      </c>
      <c r="G4" s="6">
        <f>IF(COUNTIFS('Picks'!$U$2:$U$25,"settled",'Picks'!$V$2:$V$25,"win")+COUNTIFS('Picks'!$U$2:$U$25,"settled",'Picks'!$V$2:$V$25,"loss")&gt;=$L$2,"Ready","Insufficient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COUNTIF('Picks'!$BX$2:$BX$25,"&gt;0")</f>
        <v/>
      </c>
      <c r="C7" s="6">
        <f>COUNTIFS('Picks'!$BX$2:$BX$25,"&gt;0",'Picks'!$V$2:$V$25,"win")&amp;"-"&amp;COUNTIFS('Picks'!$BX$2:$BX$25,"&gt;0",'Picks'!$V$2:$V$25,"loss")</f>
        <v/>
      </c>
      <c r="E7" s="7">
        <f>IFERROR(COUNTIFS('Picks'!$BX$2:$BX$25,"&gt;0",'Picks'!$V$2:$V$25,"win")/(COUNTIFS('Picks'!$BX$2:$BX$25,"&gt;0",'Picks'!$V$2:$V$25,"win")+COUNTIFS('Picks'!$BX$2:$BX$25,"&gt;0",'Picks'!$V$2:$V$25,"loss")),0)</f>
        <v/>
      </c>
      <c r="G7" s="7">
        <f>IFERROR(SUM('Picks'!$BY$2:$BY$25)/SUM('Picks'!$BX$2:$BX$25),0)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SUM('Picks'!$BY$2:$BY$25)</f>
        <v/>
      </c>
      <c r="C10" s="9">
        <f>IFERROR(AVERAGEIF('Picks'!$AB$2:$AB$25,"&lt;&gt;",'Picks'!$AB$2:$AB$25),0)</f>
        <v/>
      </c>
      <c r="E10" s="6">
        <f>COUNTIFS('Picks'!$AM$2:$AM$25,"QUALIFIED_SHADOW_CALL",'Picks'!$U$2:$U$25,"settled")</f>
        <v/>
      </c>
      <c r="G10" s="8">
        <f>SUMIFS('Picks'!$AC$2:$AC$25,'Picks'!$AM$2:$AM$25,"QUALIFIED_SHADOW_CALL")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COUNTIFS('Picks'!$H$2:$H$25,$A14,'Picks'!$U$2:$U$25,"settled")</f>
        <v/>
      </c>
      <c r="C14" s="13">
        <f>COUNTIFS('Picks'!$H$2:$H$25,$A14,'Picks'!$U$2:$U$25,"settled",'Picks'!$V$2:$V$25,"win")</f>
        <v/>
      </c>
      <c r="D14" s="13">
        <f>COUNTIFS('Picks'!$H$2:$H$25,$A14,'Picks'!$U$2:$U$25,"settled",'Picks'!$V$2:$V$25,"loss")</f>
        <v/>
      </c>
      <c r="E14" s="14">
        <f>IFERROR(C14/(C14+D14),0)</f>
        <v/>
      </c>
      <c r="F14" s="15">
        <f>SUMIFS('Picks'!$BY$2:$BY$25,'Picks'!$H$2:$H$25,$A14)</f>
        <v/>
      </c>
      <c r="G14" s="16">
        <f>IFERROR(AVERAGEIFS('Picks'!$AB$2:$AB$25,'Picks'!$H$2:$H$25,$A14,'Picks'!$U$2:$U$25,"settled"),0)</f>
        <v/>
      </c>
    </row>
    <row r="15">
      <c r="A15" s="17" t="inlineStr">
        <is>
          <t>spread</t>
        </is>
      </c>
      <c r="B15" s="18">
        <f>COUNTIFS('Picks'!$H$2:$H$25,$A15,'Picks'!$U$2:$U$25,"settled")</f>
        <v/>
      </c>
      <c r="C15" s="18">
        <f>COUNTIFS('Picks'!$H$2:$H$25,$A15,'Picks'!$U$2:$U$25,"settled",'Picks'!$V$2:$V$25,"win")</f>
        <v/>
      </c>
      <c r="D15" s="18">
        <f>COUNTIFS('Picks'!$H$2:$H$25,$A15,'Picks'!$U$2:$U$25,"settled",'Picks'!$V$2:$V$25,"loss")</f>
        <v/>
      </c>
      <c r="E15" s="19">
        <f>IFERROR(C15/(C15+D15),0)</f>
        <v/>
      </c>
      <c r="F15" s="20">
        <f>SUMIFS('Picks'!$BY$2:$BY$25,'Picks'!$H$2:$H$25,$A15)</f>
        <v/>
      </c>
      <c r="G15" s="21">
        <f>IFERROR(AVERAGEIFS('Picks'!$AB$2:$AB$25,'Picks'!$H$2:$H$25,$A15,'Picks'!$U$2:$U$25,"settled"),0)</f>
        <v/>
      </c>
    </row>
    <row r="16">
      <c r="A16" s="12" t="inlineStr">
        <is>
          <t>total</t>
        </is>
      </c>
      <c r="B16" s="13">
        <f>COUNTIFS('Picks'!$H$2:$H$25,$A16,'Picks'!$U$2:$U$25,"settled")</f>
        <v/>
      </c>
      <c r="C16" s="13">
        <f>COUNTIFS('Picks'!$H$2:$H$25,$A16,'Picks'!$U$2:$U$25,"settled",'Picks'!$V$2:$V$25,"win")</f>
        <v/>
      </c>
      <c r="D16" s="13">
        <f>COUNTIFS('Picks'!$H$2:$H$25,$A16,'Picks'!$U$2:$U$25,"settled",'Picks'!$V$2:$V$25,"loss")</f>
        <v/>
      </c>
      <c r="E16" s="14">
        <f>IFERROR(C16/(C16+D16),0)</f>
        <v/>
      </c>
      <c r="F16" s="15">
        <f>SUMIFS('Picks'!$BY$2:$BY$25,'Picks'!$H$2:$H$25,$A16)</f>
        <v/>
      </c>
      <c r="G16" s="16">
        <f>IFERROR(AVERAGEIFS('Picks'!$AB$2:$AB$25,'Picks'!$H$2:$H$25,$A16,'Picks'!$U$2:$U$25,"settled"),0)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7d210a8303e148ac</t>
        </is>
      </c>
      <c r="B2" s="24" t="inlineStr">
        <is>
          <t>2026-10-01T16:07:43.124928Z</t>
        </is>
      </c>
      <c r="C2" s="24" t="inlineStr">
        <is>
          <t>2026-10-01T18:00Z</t>
        </is>
      </c>
      <c r="D2" s="24" t="inlineStr">
        <is>
          <t>401927453</t>
        </is>
      </c>
      <c r="E2" s="24" t="inlineStr">
        <is>
          <t>SOCCER</t>
        </is>
      </c>
      <c r="F2" s="24" t="inlineStr">
        <is>
          <t>Ceuta</t>
        </is>
      </c>
      <c r="G2" s="24" t="inlineStr">
        <is>
          <t>Real Betis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-270</v>
      </c>
      <c r="M2" s="27" t="n">
        <v>1.37037</v>
      </c>
      <c r="N2" s="28" t="n">
        <v>0.72973</v>
      </c>
      <c r="O2" s="28" t="n">
        <v>0.512505</v>
      </c>
      <c r="P2" s="28" t="n">
        <v>0.2</v>
      </c>
      <c r="Q2" s="28" t="n">
        <v>-0.217225</v>
      </c>
      <c r="R2" s="26" t="n">
        <v>0</v>
      </c>
      <c r="S2" s="29" t="n">
        <v>1</v>
      </c>
      <c r="T2" s="24" t="inlineStr">
        <is>
          <t>soccer-poisson-dc-v1</t>
        </is>
      </c>
      <c r="U2" s="24" t="inlineStr">
        <is>
          <t>settled</t>
        </is>
      </c>
      <c r="V2" s="24" t="inlineStr">
        <is>
          <t>push</t>
        </is>
      </c>
      <c r="W2" s="26" t="n"/>
      <c r="X2" s="26" t="n"/>
      <c r="Y2" s="25" t="n"/>
      <c r="Z2" s="26" t="n"/>
      <c r="AA2" s="28" t="n"/>
      <c r="AB2" s="28" t="n"/>
      <c r="AC2" s="30" t="n">
        <v>0</v>
      </c>
      <c r="AD2" s="24" t="inlineStr">
        <is>
          <t>2026-10-06T05:34:14.589629Z</t>
        </is>
      </c>
      <c r="AE2" s="31" t="inlineStr">
        <is>
          <t>Poisson-DC rates 1.80 (home) / 1.16 (away) from EWMA attack/defense strengths. Executable ask 0.7300 (atc-clbf-rbb-ceu-2026-10-01-rbb).</t>
        </is>
      </c>
      <c r="AF2" s="31" t="inlineStr">
        <is>
          <t>Research-only soccer score model; draw-aware, but not yet locked-holdout qualified.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PAPER_CALL_MODEL_UNVALIDATED</t>
        </is>
      </c>
      <c r="AP2" s="24" t="inlineStr">
        <is>
          <t>Ceuta</t>
        </is>
      </c>
      <c r="AQ2" s="24" t="inlineStr">
        <is>
          <t>Ceuta</t>
        </is>
      </c>
      <c r="AR2" s="24" t="inlineStr">
        <is>
          <t>Ceuta</t>
        </is>
      </c>
      <c r="AS2" s="24" t="inlineStr">
        <is>
          <t>Real Betis</t>
        </is>
      </c>
      <c r="AT2" s="24" t="inlineStr">
        <is>
          <t>Real Betis</t>
        </is>
      </c>
      <c r="AU2" s="24" t="inlineStr">
        <is>
          <t>Real Betis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3d16277c2cfc0628d7ec79d04feee92735e5c503a3be195cb225c7c52d024308</t>
        </is>
      </c>
      <c r="BB2" s="24" t="inlineStr">
        <is>
          <t>poisson_dixon_coles</t>
        </is>
      </c>
      <c r="BC2" s="24" t="inlineStr">
        <is>
          <t>soccer-poisson-dc-v1</t>
        </is>
      </c>
      <c r="BD2" s="24" t="inlineStr">
        <is>
          <t>3d16277c2cfc0628d7ec79d04feee92735e5c503a3be195cb225c7c52d024308</t>
        </is>
      </c>
      <c r="BE2" s="24" t="inlineStr">
        <is>
          <t>soccer-poisson-dc-v1</t>
        </is>
      </c>
      <c r="BF2" s="24" t="inlineStr">
        <is>
          <t>1</t>
        </is>
      </c>
      <c r="BG2" s="24" t="inlineStr">
        <is>
          <t>3d16277c2cfc0628d7ec79d04feee92735e5c503a3be195cb225c7c52d024308</t>
        </is>
      </c>
      <c r="BH2" s="24" t="inlineStr">
        <is>
          <t>2026-10-01T16:06:06.030824Z</t>
        </is>
      </c>
      <c r="BI2" s="24" t="inlineStr">
        <is>
          <t>["same_event","same_team_same_day","same_league_same_day"]</t>
        </is>
      </c>
      <c r="BJ2" s="25" t="n"/>
      <c r="BK2" s="26" t="n">
        <v>-270</v>
      </c>
      <c r="BL2" s="27" t="n">
        <v>1.37037</v>
      </c>
      <c r="BM2" s="28" t="n">
        <v>0.72973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inlineStr">
        <is>
          <t>event status_postponed</t>
        </is>
      </c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False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0.72973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{"artifact_hash": "3d16277c2cfc0628d7ec79d04feee92735e5c503a3be195cb225c7c52d024308", "away_team": "Ceuta", "event_id": "401927453", "event_start_utc": "2026-10-01T18:00Z", "features": {"away_goal_rate": 1.16, "history_games": 9181, "home_goal_rate": 1.7988, "league_goals_per_team": 1.4281, "min_team_games": 0.0}, "historical_source_observation_times_verified": false, "home_team": "Real Betis", "inference_inputs": {"away_rate": 1.1600132369778589, "code_sha256": {"models/soccer.py": "3d16277c2cfc0628d7ec79d04feee92735e5c503a3be195cb225c7c52d024308"}, "home_rate": 1.7988324663212805, "sport": "SOCCER"}, "market_type": "moneyline", "model_version": "soccer-poisson-dc-v1", "observed_at_utc": "2026-10-01T16:07:42.432823+00:00", "probabilities": {"away": 0.234286, "draw": 0.253209, "home": 0.512505}, "replay_scope": "Exact full-precision serving state and rounding; upstream historical observation times are not certified.", "schema": "coded-moneyline-replay-v1", "snapshot_hash": "990abfe7d0c36086b627d6c52612695e961ab5e69b8ceb7744c5a279d4dbdacd", "sport": "SOCCER"}</t>
        </is>
      </c>
    </row>
    <row r="3" ht="36" customHeight="1">
      <c r="A3" s="24" t="inlineStr">
        <is>
          <t>4c0dd49d18c84483</t>
        </is>
      </c>
      <c r="B3" s="24" t="inlineStr">
        <is>
          <t>2026-10-05T16:32:51.000388Z</t>
        </is>
      </c>
      <c r="C3" s="24" t="inlineStr">
        <is>
          <t>2026-10-05T22:00Z</t>
        </is>
      </c>
      <c r="D3" s="24" t="inlineStr">
        <is>
          <t>401841590</t>
        </is>
      </c>
      <c r="E3" s="24" t="inlineStr">
        <is>
          <t>SOCCER</t>
        </is>
      </c>
      <c r="F3" s="24" t="inlineStr">
        <is>
          <t>Gimnasia (Mendoza)</t>
        </is>
      </c>
      <c r="G3" s="24" t="inlineStr">
        <is>
          <t>Estudiantes de La Plata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-138</v>
      </c>
      <c r="M3" s="27" t="n">
        <v>1.724638</v>
      </c>
      <c r="N3" s="28" t="n">
        <v>0.579832</v>
      </c>
      <c r="O3" s="28" t="n">
        <v>0.451659</v>
      </c>
      <c r="P3" s="28" t="n">
        <v>0.2</v>
      </c>
      <c r="Q3" s="28" t="n">
        <v>-0.128173</v>
      </c>
      <c r="R3" s="26" t="n">
        <v>0</v>
      </c>
      <c r="S3" s="29" t="n">
        <v>1</v>
      </c>
      <c r="T3" s="24" t="inlineStr">
        <is>
          <t>soccer-poisson-dc-v1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3</v>
      </c>
      <c r="Y3" s="25" t="n"/>
      <c r="Z3" s="26" t="n">
        <v>-138</v>
      </c>
      <c r="AA3" s="28" t="n">
        <v>0.58</v>
      </c>
      <c r="AB3" s="28" t="n">
        <v>0.000168</v>
      </c>
      <c r="AC3" s="30" t="n">
        <v>0.7246</v>
      </c>
      <c r="AD3" s="24" t="inlineStr">
        <is>
          <t>2026-10-06T05:34:59.883440Z</t>
        </is>
      </c>
      <c r="AE3" s="31" t="inlineStr">
        <is>
          <t>Poisson-DC rates 1.59 (home) / 1.20 (away) from EWMA attack/defense strengths. Executable ask 0.5800 (atc-lpa-est-gye-2026-10-05-est).</t>
        </is>
      </c>
      <c r="AF3" s="31" t="inlineStr">
        <is>
          <t>Research-only soccer score model; draw-aware, but not yet locked-holdout qualified.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paper_call</t>
        </is>
      </c>
      <c r="AL3" s="26" t="n">
        <v>4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PAPER_CALL_MODEL_UNVALIDATED</t>
        </is>
      </c>
      <c r="AP3" s="24" t="inlineStr">
        <is>
          <t>Gimnasia (Mendoza)</t>
        </is>
      </c>
      <c r="AQ3" s="24" t="inlineStr">
        <is>
          <t>Gimnasia (Mendoza)</t>
        </is>
      </c>
      <c r="AR3" s="24" t="inlineStr">
        <is>
          <t>Gimnasia (Mendoza)</t>
        </is>
      </c>
      <c r="AS3" s="24" t="inlineStr">
        <is>
          <t>Estudiantes de La Plata</t>
        </is>
      </c>
      <c r="AT3" s="24" t="inlineStr">
        <is>
          <t>Estudiantes de La Plata</t>
        </is>
      </c>
      <c r="AU3" s="24" t="inlineStr">
        <is>
          <t>Estudiantes de La Plata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3d16277c2cfc0628d7ec79d04feee92735e5c503a3be195cb225c7c52d024308</t>
        </is>
      </c>
      <c r="BB3" s="24" t="inlineStr">
        <is>
          <t>poisson_dixon_coles</t>
        </is>
      </c>
      <c r="BC3" s="24" t="inlineStr">
        <is>
          <t>soccer-poisson-dc-v1</t>
        </is>
      </c>
      <c r="BD3" s="24" t="inlineStr">
        <is>
          <t>3d16277c2cfc0628d7ec79d04feee92735e5c503a3be195cb225c7c52d024308</t>
        </is>
      </c>
      <c r="BE3" s="24" t="inlineStr">
        <is>
          <t>soccer-poisson-dc-v1</t>
        </is>
      </c>
      <c r="BF3" s="24" t="inlineStr">
        <is>
          <t>1</t>
        </is>
      </c>
      <c r="BG3" s="24" t="inlineStr">
        <is>
          <t>3d16277c2cfc0628d7ec79d04feee92735e5c503a3be195cb225c7c52d024308</t>
        </is>
      </c>
      <c r="BH3" s="24" t="inlineStr">
        <is>
          <t>2026-10-05T10:13:30.037009Z</t>
        </is>
      </c>
      <c r="BI3" s="24" t="inlineStr">
        <is>
          <t>["same_event","same_team_same_day","same_league_same_day"]</t>
        </is>
      </c>
      <c r="BJ3" s="25" t="n"/>
      <c r="BK3" s="26" t="n">
        <v>-138</v>
      </c>
      <c r="BL3" s="27" t="n">
        <v>1.724638</v>
      </c>
      <c r="BM3" s="28" t="n">
        <v>0.579832</v>
      </c>
      <c r="BN3" s="28" t="n"/>
      <c r="BO3" s="28" t="n"/>
      <c r="BP3" s="25" t="n"/>
      <c r="BQ3" s="27" t="n">
        <v>1.724638</v>
      </c>
      <c r="BR3" s="28" t="n">
        <v>0.58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False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0.579832</t>
        </is>
      </c>
      <c r="DK3" s="24" t="n"/>
      <c r="DL3" s="24" t="n"/>
      <c r="DM3" s="24" t="n"/>
      <c r="DN3" s="24" t="n"/>
      <c r="DO3" s="24" t="n"/>
      <c r="DP3" s="24" t="n"/>
      <c r="DQ3" s="24" t="inlineStr">
        <is>
          <t>{"artifact_hash": "3d16277c2cfc0628d7ec79d04feee92735e5c503a3be195cb225c7c52d024308", "away_team": "Gimnasia (Mendoza)", "event_id": "401841590", "event_start_utc": "2026-10-05T22:00Z", "features": {"away_goal_rate": 1.2004, "history_games": 9181, "home_goal_rate": 1.5876, "league_goals_per_team": 1.4281, "min_team_games": 0.0}, "historical_source_observation_times_verified": false, "home_team": "Estudiantes de La Plata", "inference_inputs": {"away_rate": 1.2004312624212894, "code_sha256": {"models/soccer.py": "3d16277c2cfc0628d7ec79d04feee92735e5c503a3be195cb225c7c52d024308"}, "home_rate": 1.587570344552155, "sport": "SOCCER"}, "market_type": "moneyline", "model_version": "soccer-poisson-dc-v1", "observed_at_utc": "2026-10-05T16:32:50.456200+00:00", "probabilities": {"away": 0.276813, "draw": 0.271528, "home": 0.451659}, "replay_scope": "Exact full-precision serving state and rounding; upstream historical observation times are not certified.", "schema": "coded-moneyline-replay-v1", "snapshot_hash": "c924065b50cb9d88f8bf456a22be2fc452bd4281aec179bf2a99057b734713ff", "sport": "SOCCER"}</t>
        </is>
      </c>
    </row>
    <row r="4" ht="36" customHeight="1">
      <c r="A4" s="24" t="inlineStr">
        <is>
          <t>6d2b1cbb2fbd4a46</t>
        </is>
      </c>
      <c r="B4" s="24" t="inlineStr">
        <is>
          <t>2026-10-05T22:23:42.599037Z</t>
        </is>
      </c>
      <c r="C4" s="24" t="inlineStr">
        <is>
          <t>2026-10-06T00:15Z</t>
        </is>
      </c>
      <c r="D4" s="24" t="inlineStr">
        <is>
          <t>401841595</t>
        </is>
      </c>
      <c r="E4" s="24" t="inlineStr">
        <is>
          <t>SOCCER</t>
        </is>
      </c>
      <c r="F4" s="24" t="inlineStr">
        <is>
          <t>Rosario Central</t>
        </is>
      </c>
      <c r="G4" s="24" t="inlineStr">
        <is>
          <t>Banfield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355</v>
      </c>
      <c r="M4" s="27" t="n">
        <v>4.55</v>
      </c>
      <c r="N4" s="28" t="n">
        <v>0.21978</v>
      </c>
      <c r="O4" s="28" t="n">
        <v>0.456135</v>
      </c>
      <c r="P4" s="28" t="n">
        <v>0.2</v>
      </c>
      <c r="Q4" s="28" t="n">
        <v>0.236355</v>
      </c>
      <c r="R4" s="26" t="n">
        <v>48</v>
      </c>
      <c r="S4" s="29" t="n">
        <v>1.25</v>
      </c>
      <c r="T4" s="24" t="inlineStr">
        <is>
          <t>soccer-poisson-dc-v1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1</v>
      </c>
      <c r="Y4" s="25" t="n"/>
      <c r="Z4" s="26" t="n">
        <v>355</v>
      </c>
      <c r="AA4" s="28" t="n">
        <v>0.22</v>
      </c>
      <c r="AB4" s="28" t="n">
        <v>0.00022</v>
      </c>
      <c r="AC4" s="30" t="n">
        <v>-1.25</v>
      </c>
      <c r="AD4" s="24" t="inlineStr">
        <is>
          <t>2026-10-06T05:35:46.204644Z</t>
        </is>
      </c>
      <c r="AE4" s="31" t="inlineStr">
        <is>
          <t>Poisson-DC rates 1.64 (home) / 1.24 (away) from EWMA attack/defense strengths. Executable ask 0.2200 (atc-lpa-ban-ros-2026-10-05-ban).</t>
        </is>
      </c>
      <c r="AF4" s="31" t="inlineStr">
        <is>
          <t>Research-only soccer score model; draw-aware, but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PAPER_CALL_MODEL_UNVALIDATED</t>
        </is>
      </c>
      <c r="AP4" s="24" t="inlineStr">
        <is>
          <t>Rosario Central</t>
        </is>
      </c>
      <c r="AQ4" s="24" t="inlineStr">
        <is>
          <t>Rosario Central</t>
        </is>
      </c>
      <c r="AR4" s="24" t="inlineStr">
        <is>
          <t>Rosario Central</t>
        </is>
      </c>
      <c r="AS4" s="24" t="inlineStr">
        <is>
          <t>Banfield</t>
        </is>
      </c>
      <c r="AT4" s="24" t="inlineStr">
        <is>
          <t>Banfield</t>
        </is>
      </c>
      <c r="AU4" s="24" t="inlineStr">
        <is>
          <t>Banfield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3d16277c2cfc0628d7ec79d04feee92735e5c503a3be195cb225c7c52d024308</t>
        </is>
      </c>
      <c r="BB4" s="24" t="inlineStr">
        <is>
          <t>poisson_dixon_coles</t>
        </is>
      </c>
      <c r="BC4" s="24" t="inlineStr">
        <is>
          <t>soccer-poisson-dc-v1</t>
        </is>
      </c>
      <c r="BD4" s="24" t="inlineStr">
        <is>
          <t>3d16277c2cfc0628d7ec79d04feee92735e5c503a3be195cb225c7c52d024308</t>
        </is>
      </c>
      <c r="BE4" s="24" t="inlineStr">
        <is>
          <t>soccer-poisson-dc-v1</t>
        </is>
      </c>
      <c r="BF4" s="24" t="inlineStr">
        <is>
          <t>1</t>
        </is>
      </c>
      <c r="BG4" s="24" t="inlineStr">
        <is>
          <t>3d16277c2cfc0628d7ec79d04feee92735e5c503a3be195cb225c7c52d024308</t>
        </is>
      </c>
      <c r="BH4" s="24" t="inlineStr">
        <is>
          <t>2026-10-05T22:18:14.197027Z</t>
        </is>
      </c>
      <c r="BI4" s="24" t="inlineStr">
        <is>
          <t>["same_event","same_team_same_day","same_league_same_day"]</t>
        </is>
      </c>
      <c r="BJ4" s="25" t="n"/>
      <c r="BK4" s="26" t="n">
        <v>355</v>
      </c>
      <c r="BL4" s="27" t="n">
        <v>4.55</v>
      </c>
      <c r="BM4" s="28" t="n">
        <v>0.21978</v>
      </c>
      <c r="BN4" s="28" t="n"/>
      <c r="BO4" s="28" t="n"/>
      <c r="BP4" s="25" t="n"/>
      <c r="BQ4" s="27" t="n">
        <v>4.55</v>
      </c>
      <c r="BR4" s="28" t="n">
        <v>0.22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0.21978</t>
        </is>
      </c>
      <c r="DK4" s="24" t="n"/>
      <c r="DL4" s="24" t="n"/>
      <c r="DM4" s="24" t="n"/>
      <c r="DN4" s="24" t="n"/>
      <c r="DO4" s="24" t="n"/>
      <c r="DP4" s="24" t="n"/>
      <c r="DQ4" s="24" t="inlineStr">
        <is>
          <t>{"artifact_hash": "3d16277c2cfc0628d7ec79d04feee92735e5c503a3be195cb225c7c52d024308", "away_team": "Rosario Central", "event_id": "401841595", "event_start_utc": "2026-10-06T00:15Z", "features": {"away_goal_rate": 1.2418, "history_games": 9181, "home_goal_rate": 1.6423, "league_goals_per_team": 1.4281, "min_team_games": 0.0}, "historical_source_observation_times_verified": false, "home_team": "Banfield",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"2026-10-05T22:23:41.879060+00:00", "probabilities": {"away": 0.278015, "draw": 0.265851, "home": 0.456135}, "replay_scope": "Exact full-precision serving state and rounding; upstream historical observation times are not certified.", "schema": "coded-moneyline-replay-v1", "snapshot_hash": "9bdbab05e9250053d69806d28705bb1f0660632540bc170cee0732f1d0da323e", "sport": "SOCCER"}</t>
        </is>
      </c>
    </row>
    <row r="5" ht="36" customHeight="1">
      <c r="A5" s="24" t="inlineStr">
        <is>
          <t>f5b03c49726847af</t>
        </is>
      </c>
      <c r="B5" s="24" t="inlineStr">
        <is>
          <t>2026-10-05T22:23:42.599037Z</t>
        </is>
      </c>
      <c r="C5" s="24" t="inlineStr">
        <is>
          <t>2026-10-05T23:00Z</t>
        </is>
      </c>
      <c r="D5" s="24" t="inlineStr">
        <is>
          <t>401923690</t>
        </is>
      </c>
      <c r="E5" s="24" t="inlineStr">
        <is>
          <t>SOCCER</t>
        </is>
      </c>
      <c r="F5" s="24" t="inlineStr">
        <is>
          <t>Montevideo City Torque</t>
        </is>
      </c>
      <c r="G5" s="24" t="inlineStr">
        <is>
          <t>Nacional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122</v>
      </c>
      <c r="M5" s="27" t="n">
        <v>2.22</v>
      </c>
      <c r="N5" s="28" t="n">
        <v>0.45045</v>
      </c>
      <c r="O5" s="28" t="n">
        <v>0.456135</v>
      </c>
      <c r="P5" s="28" t="n">
        <v>0.2</v>
      </c>
      <c r="Q5" s="28" t="n">
        <v>0.005685</v>
      </c>
      <c r="R5" s="26" t="n">
        <v>0</v>
      </c>
      <c r="S5" s="29" t="n">
        <v>1</v>
      </c>
      <c r="T5" s="24" t="inlineStr">
        <is>
          <t>soccer-poisson-dc-v1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2</v>
      </c>
      <c r="Y5" s="25" t="n"/>
      <c r="Z5" s="26" t="n">
        <v>122</v>
      </c>
      <c r="AA5" s="28" t="n">
        <v>0.45</v>
      </c>
      <c r="AB5" s="28" t="n">
        <v>-0.00045</v>
      </c>
      <c r="AC5" s="30" t="n">
        <v>1.22</v>
      </c>
      <c r="AD5" s="24" t="inlineStr">
        <is>
          <t>2026-10-06T05:35:50.546998Z</t>
        </is>
      </c>
      <c r="AE5" s="31" t="inlineStr">
        <is>
          <t>Poisson-DC rates 1.64 (home) / 1.24 (away) from EWMA attack/defense strengths. Executable ask 0.4500 (atc-uru1-nac-tor-2026-10-05-nac).</t>
        </is>
      </c>
      <c r="AF5" s="31" t="inlineStr">
        <is>
          <t>Research-only soccer score model; draw-aware, but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PAPER_CALL_MODEL_UNVALIDATED</t>
        </is>
      </c>
      <c r="AP5" s="24" t="inlineStr">
        <is>
          <t>Montevideo City Torque</t>
        </is>
      </c>
      <c r="AQ5" s="24" t="inlineStr">
        <is>
          <t>Montevideo City Torque</t>
        </is>
      </c>
      <c r="AR5" s="24" t="inlineStr">
        <is>
          <t>Montevideo City Torque</t>
        </is>
      </c>
      <c r="AS5" s="24" t="inlineStr">
        <is>
          <t>Nacional</t>
        </is>
      </c>
      <c r="AT5" s="24" t="inlineStr">
        <is>
          <t>Nacional</t>
        </is>
      </c>
      <c r="AU5" s="24" t="inlineStr">
        <is>
          <t>Nacional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3d16277c2cfc0628d7ec79d04feee92735e5c503a3be195cb225c7c52d024308</t>
        </is>
      </c>
      <c r="BB5" s="24" t="inlineStr">
        <is>
          <t>poisson_dixon_coles</t>
        </is>
      </c>
      <c r="BC5" s="24" t="inlineStr">
        <is>
          <t>soccer-poisson-dc-v1</t>
        </is>
      </c>
      <c r="BD5" s="24" t="inlineStr">
        <is>
          <t>3d16277c2cfc0628d7ec79d04feee92735e5c503a3be195cb225c7c52d024308</t>
        </is>
      </c>
      <c r="BE5" s="24" t="inlineStr">
        <is>
          <t>soccer-poisson-dc-v1</t>
        </is>
      </c>
      <c r="BF5" s="24" t="inlineStr">
        <is>
          <t>1</t>
        </is>
      </c>
      <c r="BG5" s="24" t="inlineStr">
        <is>
          <t>3d16277c2cfc0628d7ec79d04feee92735e5c503a3be195cb225c7c52d024308</t>
        </is>
      </c>
      <c r="BH5" s="24" t="inlineStr">
        <is>
          <t>2026-10-05T10:13:50.186801Z</t>
        </is>
      </c>
      <c r="BI5" s="24" t="inlineStr">
        <is>
          <t>["same_event","same_team_same_day","same_league_same_day"]</t>
        </is>
      </c>
      <c r="BJ5" s="25" t="n"/>
      <c r="BK5" s="26" t="n">
        <v>122</v>
      </c>
      <c r="BL5" s="27" t="n">
        <v>2.22</v>
      </c>
      <c r="BM5" s="28" t="n">
        <v>0.45045</v>
      </c>
      <c r="BN5" s="28" t="n"/>
      <c r="BO5" s="28" t="n"/>
      <c r="BP5" s="25" t="n"/>
      <c r="BQ5" s="27" t="n">
        <v>2.22</v>
      </c>
      <c r="BR5" s="28" t="n">
        <v>0.45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0.45045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{"artifact_hash": "3d16277c2cfc0628d7ec79d04feee92735e5c503a3be195cb225c7c52d024308", "away_team": "Montevideo City Torque", "event_id": "401923690", "event_start_utc": "2026-10-05T23:00Z", "features": {"away_goal_rate": 1.2418, "history_games": 9181, "home_goal_rate": 1.6423, "league_goals_per_team": 1.4281, "min_team_games": 0.0}, "historical_source_observation_times_verified": false, "home_team": "Nacional",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"2026-10-05T22:23:41.879060+00:00", "probabilities": {"away": 0.278015, "draw": 0.265851, "home": 0.456135}, "replay_scope": "Exact full-precision serving state and rounding; upstream historical observation times are not certified.", "schema": "coded-moneyline-replay-v1", "snapshot_hash": "c8b9cf17db6821293c8cea314e1315b627e7bb256eaf2b9220cb0d4e24e54396", "sport": "SOCCER"}</t>
        </is>
      </c>
    </row>
    <row r="6" ht="36" customHeight="1">
      <c r="A6" s="24" t="inlineStr">
        <is>
          <t>e2299c4c36254007</t>
        </is>
      </c>
      <c r="B6" s="24" t="inlineStr">
        <is>
          <t>2026-10-06T10:49:44.814772Z</t>
        </is>
      </c>
      <c r="C6" s="24" t="inlineStr">
        <is>
          <t>2026-10-06T14:00Z</t>
        </is>
      </c>
      <c r="D6" s="24" t="inlineStr">
        <is>
          <t>401914357</t>
        </is>
      </c>
      <c r="E6" s="24" t="inlineStr">
        <is>
          <t>SOCCER</t>
        </is>
      </c>
      <c r="F6" s="24" t="inlineStr">
        <is>
          <t>Uruguay</t>
        </is>
      </c>
      <c r="G6" s="24" t="inlineStr">
        <is>
          <t>India</t>
        </is>
      </c>
      <c r="H6" s="24" t="inlineStr">
        <is>
          <t>total</t>
        </is>
      </c>
      <c r="I6" s="24" t="inlineStr">
        <is>
          <t>over</t>
        </is>
      </c>
      <c r="J6" s="25" t="n">
        <v>2.5</v>
      </c>
      <c r="K6" s="24" t="inlineStr">
        <is>
          <t>polymarket_us</t>
        </is>
      </c>
      <c r="L6" s="26" t="n">
        <v>-400</v>
      </c>
      <c r="M6" s="27" t="n">
        <v>1.25</v>
      </c>
      <c r="N6" s="28" t="n">
        <v>0.8</v>
      </c>
      <c r="O6" s="28" t="n">
        <v>0.517817</v>
      </c>
      <c r="P6" s="28" t="n">
        <v>0.2</v>
      </c>
      <c r="Q6" s="28" t="n">
        <v>-0.282183</v>
      </c>
      <c r="R6" s="26" t="n">
        <v>0</v>
      </c>
      <c r="S6" s="29" t="n">
        <v>1</v>
      </c>
      <c r="T6" s="24" t="inlineStr">
        <is>
          <t>soccer-poisson-dc-v1</t>
        </is>
      </c>
      <c r="U6" s="24" t="inlineStr">
        <is>
          <t>settled</t>
        </is>
      </c>
      <c r="V6" s="24" t="inlineStr">
        <is>
          <t>win</t>
        </is>
      </c>
      <c r="W6" s="26" t="n">
        <v>6</v>
      </c>
      <c r="X6" s="26" t="n">
        <v>1</v>
      </c>
      <c r="Y6" s="25" t="n"/>
      <c r="Z6" s="26" t="n">
        <v>-400</v>
      </c>
      <c r="AA6" s="28" t="n">
        <v>0.8</v>
      </c>
      <c r="AB6" s="28" t="n">
        <v>0</v>
      </c>
      <c r="AC6" s="30" t="n">
        <v>0.25</v>
      </c>
      <c r="AD6" s="24" t="inlineStr">
        <is>
          <t>2026-10-06T22:00:46.410404Z</t>
        </is>
      </c>
      <c r="AE6" s="31" t="inlineStr">
        <is>
          <t>Poisson-DC rates 1.61 (home) / 1.13 (away) from EWMA attack/defense strengths. Executable ask 0.8000 (tsc-intf-ind-ury-2026-10-06-2pt5).</t>
        </is>
      </c>
      <c r="AF6" s="31" t="inlineStr">
        <is>
          <t>Research-only soccer score model; draw-aware, but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PAPER_CALL_MODEL_UNVALIDATED</t>
        </is>
      </c>
      <c r="AP6" s="24" t="inlineStr">
        <is>
          <t>Uruguay</t>
        </is>
      </c>
      <c r="AQ6" s="24" t="inlineStr">
        <is>
          <t>Uruguay</t>
        </is>
      </c>
      <c r="AR6" s="24" t="inlineStr">
        <is>
          <t>Uruguay</t>
        </is>
      </c>
      <c r="AS6" s="24" t="inlineStr">
        <is>
          <t>India</t>
        </is>
      </c>
      <c r="AT6" s="24" t="inlineStr">
        <is>
          <t>India</t>
        </is>
      </c>
      <c r="AU6" s="24" t="inlineStr">
        <is>
          <t>India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3d16277c2cfc0628d7ec79d04feee92735e5c503a3be195cb225c7c52d024308</t>
        </is>
      </c>
      <c r="BB6" s="24" t="inlineStr">
        <is>
          <t>poisson_dixon_coles</t>
        </is>
      </c>
      <c r="BC6" s="24" t="inlineStr">
        <is>
          <t>soccer-poisson-dc-v1</t>
        </is>
      </c>
      <c r="BD6" s="24" t="inlineStr">
        <is>
          <t>3d16277c2cfc0628d7ec79d04feee92735e5c503a3be195cb225c7c52d024308</t>
        </is>
      </c>
      <c r="BE6" s="24" t="inlineStr">
        <is>
          <t>soccer-poisson-dc-v1</t>
        </is>
      </c>
      <c r="BF6" s="24" t="inlineStr">
        <is>
          <t>1</t>
        </is>
      </c>
      <c r="BG6" s="24" t="inlineStr">
        <is>
          <t>3d16277c2cfc0628d7ec79d04feee92735e5c503a3be195cb225c7c52d024308</t>
        </is>
      </c>
      <c r="BH6" s="24" t="inlineStr">
        <is>
          <t>2026-10-06T10:13:10.532573Z</t>
        </is>
      </c>
      <c r="BI6" s="24" t="inlineStr">
        <is>
          <t>["same_event","same_team_same_day","same_league_same_day"]</t>
        </is>
      </c>
      <c r="BJ6" s="25" t="n">
        <v>2.5</v>
      </c>
      <c r="BK6" s="26" t="n">
        <v>-400</v>
      </c>
      <c r="BL6" s="27" t="n">
        <v>1.25</v>
      </c>
      <c r="BM6" s="28" t="n">
        <v>0.8</v>
      </c>
      <c r="BN6" s="28" t="n"/>
      <c r="BO6" s="28" t="n"/>
      <c r="BP6" s="25" t="n"/>
      <c r="BQ6" s="27" t="n">
        <v>1.25</v>
      </c>
      <c r="BR6" s="28" t="n">
        <v>0.8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0.8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ee8748b34c2745ff</t>
        </is>
      </c>
      <c r="B7" s="24" t="inlineStr">
        <is>
          <t>2026-10-06T10:49:44.814772Z</t>
        </is>
      </c>
      <c r="C7" s="24" t="inlineStr">
        <is>
          <t>2026-10-06T16:00Z</t>
        </is>
      </c>
      <c r="D7" s="24" t="inlineStr">
        <is>
          <t>401917360</t>
        </is>
      </c>
      <c r="E7" s="24" t="inlineStr">
        <is>
          <t>SOCCER</t>
        </is>
      </c>
      <c r="F7" s="24" t="inlineStr">
        <is>
          <t>Nigeria</t>
        </is>
      </c>
      <c r="G7" s="24" t="inlineStr">
        <is>
          <t>Russia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-156</v>
      </c>
      <c r="M7" s="27" t="n">
        <v>1.641026</v>
      </c>
      <c r="N7" s="28" t="n">
        <v>0.609375</v>
      </c>
      <c r="O7" s="28" t="n">
        <v>0.456135</v>
      </c>
      <c r="P7" s="28" t="n">
        <v>0.2</v>
      </c>
      <c r="Q7" s="28" t="n">
        <v>-0.15324</v>
      </c>
      <c r="R7" s="26" t="n">
        <v>0</v>
      </c>
      <c r="S7" s="29" t="n">
        <v>1</v>
      </c>
      <c r="T7" s="24" t="inlineStr">
        <is>
          <t>soccer-poisson-dc-v1</t>
        </is>
      </c>
      <c r="U7" s="24" t="inlineStr">
        <is>
          <t>settled</t>
        </is>
      </c>
      <c r="V7" s="24" t="inlineStr">
        <is>
          <t>loss</t>
        </is>
      </c>
      <c r="W7" s="26" t="n">
        <v>3</v>
      </c>
      <c r="X7" s="26" t="n">
        <v>3</v>
      </c>
      <c r="Y7" s="25" t="n"/>
      <c r="Z7" s="26" t="n">
        <v>-156</v>
      </c>
      <c r="AA7" s="28" t="n">
        <v>0.61</v>
      </c>
      <c r="AB7" s="28" t="n">
        <v>0.000625</v>
      </c>
      <c r="AC7" s="30" t="n">
        <v>-1</v>
      </c>
      <c r="AD7" s="24" t="inlineStr">
        <is>
          <t>2026-10-06T22:00:51.248246Z</t>
        </is>
      </c>
      <c r="AE7" s="31" t="inlineStr">
        <is>
          <t>Poisson-DC rates 1.64 (home) / 1.24 (away) from EWMA attack/defense strengths. Executable ask 0.6100 (atc-intf-rus-nga-2026-10-06-rus).</t>
        </is>
      </c>
      <c r="AF7" s="31" t="inlineStr">
        <is>
          <t>Research-only soccer score model; draw-aware, but not yet locked-holdout qualified.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PAPER_CALL_MODEL_UNVALIDATED</t>
        </is>
      </c>
      <c r="AP7" s="24" t="inlineStr">
        <is>
          <t>Nigeria</t>
        </is>
      </c>
      <c r="AQ7" s="24" t="inlineStr">
        <is>
          <t>Nigeria</t>
        </is>
      </c>
      <c r="AR7" s="24" t="inlineStr">
        <is>
          <t>Nigeria</t>
        </is>
      </c>
      <c r="AS7" s="24" t="inlineStr">
        <is>
          <t>Russia</t>
        </is>
      </c>
      <c r="AT7" s="24" t="inlineStr">
        <is>
          <t>Russia</t>
        </is>
      </c>
      <c r="AU7" s="24" t="inlineStr">
        <is>
          <t>Russia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3d16277c2cfc0628d7ec79d04feee92735e5c503a3be195cb225c7c52d024308</t>
        </is>
      </c>
      <c r="BB7" s="24" t="inlineStr">
        <is>
          <t>poisson_dixon_coles</t>
        </is>
      </c>
      <c r="BC7" s="24" t="inlineStr">
        <is>
          <t>soccer-poisson-dc-v1</t>
        </is>
      </c>
      <c r="BD7" s="24" t="inlineStr">
        <is>
          <t>3d16277c2cfc0628d7ec79d04feee92735e5c503a3be195cb225c7c52d024308</t>
        </is>
      </c>
      <c r="BE7" s="24" t="inlineStr">
        <is>
          <t>soccer-poisson-dc-v1</t>
        </is>
      </c>
      <c r="BF7" s="24" t="inlineStr">
        <is>
          <t>1</t>
        </is>
      </c>
      <c r="BG7" s="24" t="inlineStr">
        <is>
          <t>3d16277c2cfc0628d7ec79d04feee92735e5c503a3be195cb225c7c52d024308</t>
        </is>
      </c>
      <c r="BH7" s="24" t="inlineStr">
        <is>
          <t>2026-10-06T10:13:10.538663Z</t>
        </is>
      </c>
      <c r="BI7" s="24" t="inlineStr">
        <is>
          <t>["same_event","same_team_same_day","same_league_same_day"]</t>
        </is>
      </c>
      <c r="BJ7" s="25" t="n"/>
      <c r="BK7" s="26" t="n">
        <v>-156</v>
      </c>
      <c r="BL7" s="27" t="n">
        <v>1.641026</v>
      </c>
      <c r="BM7" s="28" t="n">
        <v>0.609375</v>
      </c>
      <c r="BN7" s="28" t="n"/>
      <c r="BO7" s="28" t="n"/>
      <c r="BP7" s="25" t="n"/>
      <c r="BQ7" s="27" t="n">
        <v>1.641026</v>
      </c>
      <c r="BR7" s="28" t="n">
        <v>0.61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0.609375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{"artifact_hash": "3d16277c2cfc0628d7ec79d04feee92735e5c503a3be195cb225c7c52d024308", "away_team": "Nigeria", "event_id": "401917360", "event_start_utc": "2026-10-06T16:00Z", "features": {"away_goal_rate": 1.2418, "history_games": 9181, "home_goal_rate": 1.6423, "league_goals_per_team": 1.4281, "min_team_games": 0.0}, "historical_source_observation_times_verified": false, "home_team": "Russia",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"2026-10-06T10:49:43.920754+00:00", "probabilities": {"away": 0.278015, "draw": 0.265851, "home": 0.456135}, "replay_scope": "Exact full-precision serving state and rounding; upstream historical observation times are not certified.", "schema": "coded-moneyline-replay-v1", "snapshot_hash": "b2b6e2376a9acbdd7754a4f54a7ab6493318bf6b2bde44f4747d564dc9e4c379", "sport": "SOCCER"}</t>
        </is>
      </c>
    </row>
    <row r="8" ht="36" customHeight="1">
      <c r="A8" s="24" t="inlineStr">
        <is>
          <t>685e29ed6027430a</t>
        </is>
      </c>
      <c r="B8" s="24" t="inlineStr">
        <is>
          <t>2026-10-06T16:33:00.638196Z</t>
        </is>
      </c>
      <c r="C8" s="24" t="inlineStr">
        <is>
          <t>2026-10-06T17:00Z</t>
        </is>
      </c>
      <c r="D8" s="24" t="inlineStr">
        <is>
          <t>401917261</t>
        </is>
      </c>
      <c r="E8" s="24" t="inlineStr">
        <is>
          <t>SOCCER</t>
        </is>
      </c>
      <c r="F8" s="24" t="inlineStr">
        <is>
          <t>Niger</t>
        </is>
      </c>
      <c r="G8" s="24" t="inlineStr">
        <is>
          <t>Algeria</t>
        </is>
      </c>
      <c r="H8" s="24" t="inlineStr">
        <is>
          <t>total</t>
        </is>
      </c>
      <c r="I8" s="24" t="inlineStr">
        <is>
          <t>over</t>
        </is>
      </c>
      <c r="J8" s="25" t="n">
        <v>2.5</v>
      </c>
      <c r="K8" s="24" t="inlineStr">
        <is>
          <t>polymarket_us</t>
        </is>
      </c>
      <c r="L8" s="26" t="n">
        <v>-156</v>
      </c>
      <c r="M8" s="27" t="n">
        <v>1.641026</v>
      </c>
      <c r="N8" s="28" t="n">
        <v>0.609375</v>
      </c>
      <c r="O8" s="28" t="n">
        <v>0.588768</v>
      </c>
      <c r="P8" s="28" t="n">
        <v>0.2</v>
      </c>
      <c r="Q8" s="28" t="n">
        <v>-0.020607</v>
      </c>
      <c r="R8" s="26" t="n">
        <v>0</v>
      </c>
      <c r="S8" s="29" t="n">
        <v>1</v>
      </c>
      <c r="T8" s="24" t="inlineStr">
        <is>
          <t>soccer-poisson-dc-v1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2</v>
      </c>
      <c r="Y8" s="25" t="n"/>
      <c r="Z8" s="26" t="n">
        <v>-156</v>
      </c>
      <c r="AA8" s="28" t="n">
        <v>0.61</v>
      </c>
      <c r="AB8" s="28" t="n">
        <v>0.000625</v>
      </c>
      <c r="AC8" s="30" t="n">
        <v>0.641</v>
      </c>
      <c r="AD8" s="24" t="inlineStr">
        <is>
          <t>2026-10-06T22:00:55.993149Z</t>
        </is>
      </c>
      <c r="AE8" s="31" t="inlineStr">
        <is>
          <t>Poisson-DC rates 1.58 (home) / 1.48 (away) from EWMA attack/defense strengths. Executable ask 0.6100 (tsc-intf-alg-nig-2026-10-06-2pt5).</t>
        </is>
      </c>
      <c r="AF8" s="31" t="inlineStr">
        <is>
          <t>Research-only soccer score model; draw-aware, but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PAPER_CALL_MODEL_UNVALIDATED</t>
        </is>
      </c>
      <c r="AP8" s="24" t="inlineStr">
        <is>
          <t>Niger</t>
        </is>
      </c>
      <c r="AQ8" s="24" t="inlineStr">
        <is>
          <t>Niger</t>
        </is>
      </c>
      <c r="AR8" s="24" t="inlineStr">
        <is>
          <t>Niger</t>
        </is>
      </c>
      <c r="AS8" s="24" t="inlineStr">
        <is>
          <t>Algeria</t>
        </is>
      </c>
      <c r="AT8" s="24" t="inlineStr">
        <is>
          <t>Algeria</t>
        </is>
      </c>
      <c r="AU8" s="24" t="inlineStr">
        <is>
          <t>Algeria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3d16277c2cfc0628d7ec79d04feee92735e5c503a3be195cb225c7c52d024308</t>
        </is>
      </c>
      <c r="BB8" s="24" t="inlineStr">
        <is>
          <t>poisson_dixon_coles</t>
        </is>
      </c>
      <c r="BC8" s="24" t="inlineStr">
        <is>
          <t>soccer-poisson-dc-v1</t>
        </is>
      </c>
      <c r="BD8" s="24" t="inlineStr">
        <is>
          <t>3d16277c2cfc0628d7ec79d04feee92735e5c503a3be195cb225c7c52d024308</t>
        </is>
      </c>
      <c r="BE8" s="24" t="inlineStr">
        <is>
          <t>soccer-poisson-dc-v1</t>
        </is>
      </c>
      <c r="BF8" s="24" t="inlineStr">
        <is>
          <t>1</t>
        </is>
      </c>
      <c r="BG8" s="24" t="inlineStr">
        <is>
          <t>3d16277c2cfc0628d7ec79d04feee92735e5c503a3be195cb225c7c52d024308</t>
        </is>
      </c>
      <c r="BH8" s="24" t="inlineStr">
        <is>
          <t>2026-10-06T16:14:19.962817Z</t>
        </is>
      </c>
      <c r="BI8" s="24" t="inlineStr">
        <is>
          <t>["same_event","same_team_same_day","same_league_same_day"]</t>
        </is>
      </c>
      <c r="BJ8" s="25" t="n">
        <v>2.5</v>
      </c>
      <c r="BK8" s="26" t="n">
        <v>-156</v>
      </c>
      <c r="BL8" s="27" t="n">
        <v>1.641026</v>
      </c>
      <c r="BM8" s="28" t="n">
        <v>0.609375</v>
      </c>
      <c r="BN8" s="28" t="n"/>
      <c r="BO8" s="28" t="n"/>
      <c r="BP8" s="25" t="n"/>
      <c r="BQ8" s="27" t="n">
        <v>1.641026</v>
      </c>
      <c r="BR8" s="28" t="n">
        <v>0.61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0.609375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65dc3173bb634212</t>
        </is>
      </c>
      <c r="B9" s="24" t="inlineStr">
        <is>
          <t>2026-10-06T16:33:00.638196Z</t>
        </is>
      </c>
      <c r="C9" s="24" t="inlineStr">
        <is>
          <t>2026-10-06T17:00Z</t>
        </is>
      </c>
      <c r="D9" s="24" t="inlineStr">
        <is>
          <t>401919976</t>
        </is>
      </c>
      <c r="E9" s="24" t="inlineStr">
        <is>
          <t>SOCCER</t>
        </is>
      </c>
      <c r="F9" s="24" t="inlineStr">
        <is>
          <t>Venezuela</t>
        </is>
      </c>
      <c r="G9" s="24" t="inlineStr">
        <is>
          <t>Jordan</t>
        </is>
      </c>
      <c r="H9" s="24" t="inlineStr">
        <is>
          <t>total</t>
        </is>
      </c>
      <c r="I9" s="24" t="inlineStr">
        <is>
          <t>over</t>
        </is>
      </c>
      <c r="J9" s="25" t="n">
        <v>2.5</v>
      </c>
      <c r="K9" s="24" t="inlineStr">
        <is>
          <t>polymarket_us</t>
        </is>
      </c>
      <c r="L9" s="26" t="n">
        <v>127</v>
      </c>
      <c r="M9" s="27" t="n">
        <v>2.27</v>
      </c>
      <c r="N9" s="28" t="n">
        <v>0.440529</v>
      </c>
      <c r="O9" s="28" t="n">
        <v>0.586522</v>
      </c>
      <c r="P9" s="28" t="n">
        <v>0.2</v>
      </c>
      <c r="Q9" s="28" t="n">
        <v>0.145993</v>
      </c>
      <c r="R9" s="26" t="n">
        <v>3</v>
      </c>
      <c r="S9" s="29" t="n">
        <v>1</v>
      </c>
      <c r="T9" s="24" t="inlineStr">
        <is>
          <t>soccer-poisson-dc-v1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0</v>
      </c>
      <c r="Y9" s="25" t="n"/>
      <c r="Z9" s="26" t="n">
        <v>127</v>
      </c>
      <c r="AA9" s="28" t="n">
        <v>0.44</v>
      </c>
      <c r="AB9" s="28" t="n">
        <v>-0.000529</v>
      </c>
      <c r="AC9" s="30" t="n">
        <v>-1</v>
      </c>
      <c r="AD9" s="24" t="inlineStr">
        <is>
          <t>2026-10-06T22:01:00.761017Z</t>
        </is>
      </c>
      <c r="AE9" s="31" t="inlineStr">
        <is>
          <t>Poisson-DC rates 1.51 (home) / 1.54 (away) from EWMA attack/defense strengths. Executable ask 0.4400 (tsc-intf-jor-ven-2026-10-06-2pt5).</t>
        </is>
      </c>
      <c r="AF9" s="31" t="inlineStr">
        <is>
          <t>Research-only soccer score model; draw-aware, but not yet locked-holdout qualified.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PAPER_CALL_MODEL_UNVALIDATED</t>
        </is>
      </c>
      <c r="AP9" s="24" t="inlineStr">
        <is>
          <t>Venezuela</t>
        </is>
      </c>
      <c r="AQ9" s="24" t="inlineStr">
        <is>
          <t>Venezuela</t>
        </is>
      </c>
      <c r="AR9" s="24" t="inlineStr">
        <is>
          <t>Venezuela</t>
        </is>
      </c>
      <c r="AS9" s="24" t="inlineStr">
        <is>
          <t>Jordan</t>
        </is>
      </c>
      <c r="AT9" s="24" t="inlineStr">
        <is>
          <t>Jordan</t>
        </is>
      </c>
      <c r="AU9" s="24" t="inlineStr">
        <is>
          <t>Jordan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3d16277c2cfc0628d7ec79d04feee92735e5c503a3be195cb225c7c52d024308</t>
        </is>
      </c>
      <c r="BB9" s="24" t="inlineStr">
        <is>
          <t>poisson_dixon_coles</t>
        </is>
      </c>
      <c r="BC9" s="24" t="inlineStr">
        <is>
          <t>soccer-poisson-dc-v1</t>
        </is>
      </c>
      <c r="BD9" s="24" t="inlineStr">
        <is>
          <t>3d16277c2cfc0628d7ec79d04feee92735e5c503a3be195cb225c7c52d024308</t>
        </is>
      </c>
      <c r="BE9" s="24" t="inlineStr">
        <is>
          <t>soccer-poisson-dc-v1</t>
        </is>
      </c>
      <c r="BF9" s="24" t="inlineStr">
        <is>
          <t>1</t>
        </is>
      </c>
      <c r="BG9" s="24" t="inlineStr">
        <is>
          <t>3d16277c2cfc0628d7ec79d04feee92735e5c503a3be195cb225c7c52d024308</t>
        </is>
      </c>
      <c r="BH9" s="24" t="inlineStr">
        <is>
          <t>2026-10-06T16:13:59.762359Z</t>
        </is>
      </c>
      <c r="BI9" s="24" t="inlineStr">
        <is>
          <t>["same_event","same_team_same_day","same_league_same_day"]</t>
        </is>
      </c>
      <c r="BJ9" s="25" t="n">
        <v>2.5</v>
      </c>
      <c r="BK9" s="26" t="n">
        <v>127</v>
      </c>
      <c r="BL9" s="27" t="n">
        <v>2.27</v>
      </c>
      <c r="BM9" s="28" t="n">
        <v>0.440529</v>
      </c>
      <c r="BN9" s="28" t="n"/>
      <c r="BO9" s="28" t="n"/>
      <c r="BP9" s="25" t="n"/>
      <c r="BQ9" s="27" t="n">
        <v>2.27</v>
      </c>
      <c r="BR9" s="28" t="n">
        <v>0.44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0.440529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2e290bb26c6a4991</t>
        </is>
      </c>
      <c r="B10" s="24" t="inlineStr">
        <is>
          <t>2026-10-06T16:33:00.638196Z</t>
        </is>
      </c>
      <c r="C10" s="24" t="inlineStr">
        <is>
          <t>2026-10-06T17:00Z</t>
        </is>
      </c>
      <c r="D10" s="24" t="inlineStr">
        <is>
          <t>401919976</t>
        </is>
      </c>
      <c r="E10" s="24" t="inlineStr">
        <is>
          <t>SOCCER</t>
        </is>
      </c>
      <c r="F10" s="24" t="inlineStr">
        <is>
          <t>Venezuela</t>
        </is>
      </c>
      <c r="G10" s="24" t="inlineStr">
        <is>
          <t>Jordan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233</v>
      </c>
      <c r="M10" s="27" t="n">
        <v>3.33</v>
      </c>
      <c r="N10" s="28" t="n">
        <v>0.3003</v>
      </c>
      <c r="O10" s="28" t="n">
        <v>0.374511</v>
      </c>
      <c r="P10" s="28" t="n">
        <v>0.2</v>
      </c>
      <c r="Q10" s="28" t="n">
        <v>0.074211</v>
      </c>
      <c r="R10" s="26" t="n">
        <v>0</v>
      </c>
      <c r="S10" s="29" t="n">
        <v>1</v>
      </c>
      <c r="T10" s="24" t="inlineStr">
        <is>
          <t>soccer-poisson-dc-v1</t>
        </is>
      </c>
      <c r="U10" s="24" t="inlineStr">
        <is>
          <t>settled</t>
        </is>
      </c>
      <c r="V10" s="24" t="inlineStr">
        <is>
          <t>loss</t>
        </is>
      </c>
      <c r="W10" s="26" t="n">
        <v>0</v>
      </c>
      <c r="X10" s="26" t="n">
        <v>0</v>
      </c>
      <c r="Y10" s="25" t="n"/>
      <c r="Z10" s="26" t="n">
        <v>-245</v>
      </c>
      <c r="AA10" s="28" t="n">
        <v>0.71</v>
      </c>
      <c r="AB10" s="28" t="n">
        <v>0.4097</v>
      </c>
      <c r="AC10" s="30" t="n">
        <v>-1</v>
      </c>
      <c r="AD10" s="24" t="inlineStr">
        <is>
          <t>2026-10-06T22:01:05.562493Z</t>
        </is>
      </c>
      <c r="AE10" s="31" t="inlineStr">
        <is>
          <t>Poisson-DC rates 1.51 (home) / 1.54 (away) from EWMA attack/defense strengths. Executable ask 0.3000 (atc-intf-jor-ven-2026-10-06-ven).</t>
        </is>
      </c>
      <c r="AF10" s="31" t="inlineStr">
        <is>
          <t>Research-only soccer score model; draw-aware, but not yet locked-holdout qualified.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PAPER_CALL_MODEL_UNVALIDATED</t>
        </is>
      </c>
      <c r="AP10" s="24" t="inlineStr">
        <is>
          <t>Venezuela</t>
        </is>
      </c>
      <c r="AQ10" s="24" t="inlineStr">
        <is>
          <t>Venezuela</t>
        </is>
      </c>
      <c r="AR10" s="24" t="inlineStr">
        <is>
          <t>Venezuela</t>
        </is>
      </c>
      <c r="AS10" s="24" t="inlineStr">
        <is>
          <t>Jordan</t>
        </is>
      </c>
      <c r="AT10" s="24" t="inlineStr">
        <is>
          <t>Jordan</t>
        </is>
      </c>
      <c r="AU10" s="24" t="inlineStr">
        <is>
          <t>Jordan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3d16277c2cfc0628d7ec79d04feee92735e5c503a3be195cb225c7c52d024308</t>
        </is>
      </c>
      <c r="BB10" s="24" t="inlineStr">
        <is>
          <t>poisson_dixon_coles</t>
        </is>
      </c>
      <c r="BC10" s="24" t="inlineStr">
        <is>
          <t>soccer-poisson-dc-v1</t>
        </is>
      </c>
      <c r="BD10" s="24" t="inlineStr">
        <is>
          <t>3d16277c2cfc0628d7ec79d04feee92735e5c503a3be195cb225c7c52d024308</t>
        </is>
      </c>
      <c r="BE10" s="24" t="inlineStr">
        <is>
          <t>soccer-poisson-dc-v1</t>
        </is>
      </c>
      <c r="BF10" s="24" t="inlineStr">
        <is>
          <t>1</t>
        </is>
      </c>
      <c r="BG10" s="24" t="inlineStr">
        <is>
          <t>3d16277c2cfc0628d7ec79d04feee92735e5c503a3be195cb225c7c52d024308</t>
        </is>
      </c>
      <c r="BH10" s="24" t="inlineStr">
        <is>
          <t>2026-10-06T16:13:59.791483Z</t>
        </is>
      </c>
      <c r="BI10" s="24" t="inlineStr">
        <is>
          <t>["same_event","same_team_same_day","same_league_same_day"]</t>
        </is>
      </c>
      <c r="BJ10" s="25" t="n"/>
      <c r="BK10" s="26" t="n">
        <v>233</v>
      </c>
      <c r="BL10" s="27" t="n">
        <v>3.33</v>
      </c>
      <c r="BM10" s="28" t="n">
        <v>0.3003</v>
      </c>
      <c r="BN10" s="28" t="n"/>
      <c r="BO10" s="28" t="n"/>
      <c r="BP10" s="25" t="n"/>
      <c r="BQ10" s="27" t="n">
        <v>1.408163</v>
      </c>
      <c r="BR10" s="28" t="n">
        <v>0.71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0.3003</t>
        </is>
      </c>
      <c r="DK10" s="24" t="n"/>
      <c r="DL10" s="24" t="n"/>
      <c r="DM10" s="24" t="n"/>
      <c r="DN10" s="24" t="n"/>
      <c r="DO10" s="24" t="n"/>
      <c r="DP10" s="24" t="n"/>
      <c r="DQ10" s="24" t="inlineStr">
        <is>
          <t>{"artifact_hash": "3d16277c2cfc0628d7ec79d04feee92735e5c503a3be195cb225c7c52d024308", "away_team": "Venezuela", "event_id": "401919976", "event_start_utc": "2026-10-06T17:00Z", "features": {"away_goal_rate": 1.5357, "history_games": 9181, "home_goal_rate": 1.508, "league_goals_per_team": 1.4281, "min_team_games": 0.0}, "historical_source_observation_times_verified": false, "home_team": "Jordan", "inference_inputs": {"away_rate": 1.535657166374311, "code_sha256": {"models/soccer.py": "3d16277c2cfc0628d7ec79d04feee92735e5c503a3be195cb225c7c52d024308"}, "home_rate": 1.5080121000881266, "sport": "SOCCER"}, "market_type": "moneyline", "model_version": "soccer-poisson-dc-v1", "observed_at_utc": "2026-10-06T16:33:00.000290+00:00", "probabilities": {"away": 0.374511, "draw": 0.263059, "home": 0.362431}, "replay_scope": "Exact full-precision serving state and rounding; upstream historical observation times are not certified.", "schema": "coded-moneyline-replay-v1", "snapshot_hash": "557f8fa28717dcc8405385835b48d7d94bf59c9e25348a99734e4cc77311c5ce", "sport": "SOCCER"}</t>
        </is>
      </c>
    </row>
    <row r="11" ht="36" customHeight="1">
      <c r="A11" s="24" t="inlineStr">
        <is>
          <t>b8ba033b5f7a465b</t>
        </is>
      </c>
      <c r="B11" s="24" t="inlineStr">
        <is>
          <t>2026-10-06T22:24:10.744333Z</t>
        </is>
      </c>
      <c r="C11" s="24" t="inlineStr">
        <is>
          <t>2026-10-06T23:00Z</t>
        </is>
      </c>
      <c r="D11" s="24" t="inlineStr">
        <is>
          <t>401921408</t>
        </is>
      </c>
      <c r="E11" s="24" t="inlineStr">
        <is>
          <t>SOCCER</t>
        </is>
      </c>
      <c r="F11" s="24" t="inlineStr">
        <is>
          <t>Benin</t>
        </is>
      </c>
      <c r="G11" s="24" t="inlineStr">
        <is>
          <t>Argentina</t>
        </is>
      </c>
      <c r="H11" s="24" t="inlineStr">
        <is>
          <t>total</t>
        </is>
      </c>
      <c r="I11" s="24" t="inlineStr">
        <is>
          <t>over</t>
        </is>
      </c>
      <c r="J11" s="25" t="n">
        <v>2.5</v>
      </c>
      <c r="K11" s="24" t="inlineStr">
        <is>
          <t>polymarket_us</t>
        </is>
      </c>
      <c r="L11" s="26" t="n">
        <v>-1329</v>
      </c>
      <c r="M11" s="27" t="n">
        <v>1.075245</v>
      </c>
      <c r="N11" s="28" t="n">
        <v>0.930021</v>
      </c>
      <c r="O11" s="28" t="n">
        <v>0.621444</v>
      </c>
      <c r="P11" s="28" t="n">
        <v>0.2</v>
      </c>
      <c r="Q11" s="28" t="n">
        <v>-0.308577</v>
      </c>
      <c r="R11" s="26" t="n">
        <v>0</v>
      </c>
      <c r="S11" s="29" t="n">
        <v>1</v>
      </c>
      <c r="T11" s="24" t="inlineStr">
        <is>
          <t>soccer-poisson-dc-v1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3</v>
      </c>
      <c r="Y11" s="25" t="n"/>
      <c r="Z11" s="26" t="n">
        <v>-1329</v>
      </c>
      <c r="AA11" s="28" t="n">
        <v>0.93</v>
      </c>
      <c r="AB11" s="28" t="n">
        <v>-2.1e-05</v>
      </c>
      <c r="AC11" s="30" t="n">
        <v>0.0752</v>
      </c>
      <c r="AD11" s="24" t="inlineStr">
        <is>
          <t>2026-10-07T03:36:48.236184Z</t>
        </is>
      </c>
      <c r="AE11" s="31" t="inlineStr">
        <is>
          <t>Poisson-DC rates 2.13 (home) / 1.08 (away) from EWMA attack/defense strengths. Executable ask 0.9300 (tsc-intf-arg-ben-2026-10-06-2pt5).</t>
        </is>
      </c>
      <c r="AF11" s="31" t="inlineStr">
        <is>
          <t>Research-only soccer score model; draw-aware, but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PAPER_CALL_MODEL_UNVALIDATED</t>
        </is>
      </c>
      <c r="AP11" s="24" t="inlineStr">
        <is>
          <t>Benin</t>
        </is>
      </c>
      <c r="AQ11" s="24" t="inlineStr">
        <is>
          <t>Benin</t>
        </is>
      </c>
      <c r="AR11" s="24" t="inlineStr">
        <is>
          <t>Benin</t>
        </is>
      </c>
      <c r="AS11" s="24" t="inlineStr">
        <is>
          <t>Argentina</t>
        </is>
      </c>
      <c r="AT11" s="24" t="inlineStr">
        <is>
          <t>Argentina</t>
        </is>
      </c>
      <c r="AU11" s="24" t="inlineStr">
        <is>
          <t>Argentina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3d16277c2cfc0628d7ec79d04feee92735e5c503a3be195cb225c7c52d024308</t>
        </is>
      </c>
      <c r="BB11" s="24" t="inlineStr">
        <is>
          <t>poisson_dixon_coles</t>
        </is>
      </c>
      <c r="BC11" s="24" t="inlineStr">
        <is>
          <t>soccer-poisson-dc-v1</t>
        </is>
      </c>
      <c r="BD11" s="24" t="inlineStr">
        <is>
          <t>3d16277c2cfc0628d7ec79d04feee92735e5c503a3be195cb225c7c52d024308</t>
        </is>
      </c>
      <c r="BE11" s="24" t="inlineStr">
        <is>
          <t>soccer-poisson-dc-v1</t>
        </is>
      </c>
      <c r="BF11" s="24" t="inlineStr">
        <is>
          <t>1</t>
        </is>
      </c>
      <c r="BG11" s="24" t="inlineStr">
        <is>
          <t>3d16277c2cfc0628d7ec79d04feee92735e5c503a3be195cb225c7c52d024308</t>
        </is>
      </c>
      <c r="BH11" s="24" t="inlineStr">
        <is>
          <t>2026-10-06T16:14:30.057798Z</t>
        </is>
      </c>
      <c r="BI11" s="24" t="inlineStr">
        <is>
          <t>["same_event","same_team_same_day","same_league_same_day"]</t>
        </is>
      </c>
      <c r="BJ11" s="25" t="n">
        <v>2.5</v>
      </c>
      <c r="BK11" s="26" t="n">
        <v>-1329</v>
      </c>
      <c r="BL11" s="27" t="n">
        <v>1.075245</v>
      </c>
      <c r="BM11" s="28" t="n">
        <v>0.930021</v>
      </c>
      <c r="BN11" s="28" t="n"/>
      <c r="BO11" s="28" t="n"/>
      <c r="BP11" s="25" t="n"/>
      <c r="BQ11" s="27" t="n">
        <v>1.075245</v>
      </c>
      <c r="BR11" s="28" t="n">
        <v>0.93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0.930021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98cb7cdad2e94968</t>
        </is>
      </c>
      <c r="B12" s="24" t="inlineStr">
        <is>
          <t>2026-10-06T22:24:10.744333Z</t>
        </is>
      </c>
      <c r="C12" s="24" t="inlineStr">
        <is>
          <t>2026-10-06T23:45Z</t>
        </is>
      </c>
      <c r="D12" s="24" t="inlineStr">
        <is>
          <t>401905332</t>
        </is>
      </c>
      <c r="E12" s="24" t="inlineStr">
        <is>
          <t>SOCCER</t>
        </is>
      </c>
      <c r="F12" s="24" t="inlineStr">
        <is>
          <t>Peru</t>
        </is>
      </c>
      <c r="G12" s="24" t="inlineStr">
        <is>
          <t>Colombia</t>
        </is>
      </c>
      <c r="H12" s="24" t="inlineStr">
        <is>
          <t>total</t>
        </is>
      </c>
      <c r="I12" s="24" t="inlineStr">
        <is>
          <t>under</t>
        </is>
      </c>
      <c r="J12" s="25" t="n">
        <v>2.5</v>
      </c>
      <c r="K12" s="24" t="inlineStr">
        <is>
          <t>polymarket_us</t>
        </is>
      </c>
      <c r="L12" s="26" t="n">
        <v>-122</v>
      </c>
      <c r="M12" s="27" t="n">
        <v>1.819672</v>
      </c>
      <c r="N12" s="28" t="n">
        <v>0.54955</v>
      </c>
      <c r="O12" s="28" t="n">
        <v>0.612228</v>
      </c>
      <c r="P12" s="28" t="n">
        <v>0.2</v>
      </c>
      <c r="Q12" s="28" t="n">
        <v>0.062678</v>
      </c>
      <c r="R12" s="26" t="n">
        <v>0</v>
      </c>
      <c r="S12" s="29" t="n">
        <v>1</v>
      </c>
      <c r="T12" s="24" t="inlineStr">
        <is>
          <t>soccer-poisson-dc-v1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2</v>
      </c>
      <c r="Y12" s="25" t="n"/>
      <c r="Z12" s="26" t="n">
        <v>-122</v>
      </c>
      <c r="AA12" s="28" t="n">
        <v>0.55</v>
      </c>
      <c r="AB12" s="28" t="n">
        <v>0.00045</v>
      </c>
      <c r="AC12" s="30" t="n">
        <v>0.8197</v>
      </c>
      <c r="AD12" s="24" t="inlineStr">
        <is>
          <t>2026-10-07T03:36:51.935349Z</t>
        </is>
      </c>
      <c r="AE12" s="31" t="inlineStr">
        <is>
          <t>Poisson-DC rates 1.42 (home) / 0.82 (away) from EWMA attack/defense strengths. Executable ask 0.5500 (tsc-intf-col-per-2026-10-06-2pt5).</t>
        </is>
      </c>
      <c r="AF12" s="31" t="inlineStr">
        <is>
          <t>Research-only soccer score model; draw-aware, but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paper_call</t>
        </is>
      </c>
      <c r="AL12" s="26" t="n">
        <v>4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PAPER_CALL_MODEL_UNVALIDATED</t>
        </is>
      </c>
      <c r="AP12" s="24" t="inlineStr">
        <is>
          <t>Peru</t>
        </is>
      </c>
      <c r="AQ12" s="24" t="inlineStr">
        <is>
          <t>Peru</t>
        </is>
      </c>
      <c r="AR12" s="24" t="inlineStr">
        <is>
          <t>Peru</t>
        </is>
      </c>
      <c r="AS12" s="24" t="inlineStr">
        <is>
          <t>Colombia</t>
        </is>
      </c>
      <c r="AT12" s="24" t="inlineStr">
        <is>
          <t>Colombia</t>
        </is>
      </c>
      <c r="AU12" s="24" t="inlineStr">
        <is>
          <t>Colombia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3d16277c2cfc0628d7ec79d04feee92735e5c503a3be195cb225c7c52d024308</t>
        </is>
      </c>
      <c r="BB12" s="24" t="inlineStr">
        <is>
          <t>poisson_dixon_coles</t>
        </is>
      </c>
      <c r="BC12" s="24" t="inlineStr">
        <is>
          <t>soccer-poisson-dc-v1</t>
        </is>
      </c>
      <c r="BD12" s="24" t="inlineStr">
        <is>
          <t>3d16277c2cfc0628d7ec79d04feee92735e5c503a3be195cb225c7c52d024308</t>
        </is>
      </c>
      <c r="BE12" s="24" t="inlineStr">
        <is>
          <t>soccer-poisson-dc-v1</t>
        </is>
      </c>
      <c r="BF12" s="24" t="inlineStr">
        <is>
          <t>1</t>
        </is>
      </c>
      <c r="BG12" s="24" t="inlineStr">
        <is>
          <t>3d16277c2cfc0628d7ec79d04feee92735e5c503a3be195cb225c7c52d024308</t>
        </is>
      </c>
      <c r="BH12" s="24" t="inlineStr">
        <is>
          <t>2026-10-06T22:16:44.414190Z</t>
        </is>
      </c>
      <c r="BI12" s="24" t="inlineStr">
        <is>
          <t>["same_event","same_team_same_day","same_league_same_day"]</t>
        </is>
      </c>
      <c r="BJ12" s="25" t="n">
        <v>2.5</v>
      </c>
      <c r="BK12" s="26" t="n">
        <v>-122</v>
      </c>
      <c r="BL12" s="27" t="n">
        <v>1.819672</v>
      </c>
      <c r="BM12" s="28" t="n">
        <v>0.54955</v>
      </c>
      <c r="BN12" s="28" t="n"/>
      <c r="BO12" s="28" t="n"/>
      <c r="BP12" s="25" t="n"/>
      <c r="BQ12" s="27" t="n">
        <v>1.819672</v>
      </c>
      <c r="BR12" s="28" t="n">
        <v>0.55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0.54955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9f8afd680d004c63</t>
        </is>
      </c>
      <c r="B13" s="24" t="inlineStr">
        <is>
          <t>2026-10-06T22:24:10.744333Z</t>
        </is>
      </c>
      <c r="C13" s="24" t="inlineStr">
        <is>
          <t>2026-10-07T00:00Z</t>
        </is>
      </c>
      <c r="D13" s="24" t="inlineStr">
        <is>
          <t>401905188</t>
        </is>
      </c>
      <c r="E13" s="24" t="inlineStr">
        <is>
          <t>SOCCER</t>
        </is>
      </c>
      <c r="F13" s="24" t="inlineStr">
        <is>
          <t>Canada</t>
        </is>
      </c>
      <c r="G13" s="24" t="inlineStr">
        <is>
          <t>United States</t>
        </is>
      </c>
      <c r="H13" s="24" t="inlineStr">
        <is>
          <t>total</t>
        </is>
      </c>
      <c r="I13" s="24" t="inlineStr">
        <is>
          <t>over</t>
        </is>
      </c>
      <c r="J13" s="25" t="n">
        <v>2.5</v>
      </c>
      <c r="K13" s="24" t="inlineStr">
        <is>
          <t>polymarket_us</t>
        </is>
      </c>
      <c r="L13" s="26" t="n">
        <v>-163</v>
      </c>
      <c r="M13" s="27" t="n">
        <v>1.613497</v>
      </c>
      <c r="N13" s="28" t="n">
        <v>0.619772</v>
      </c>
      <c r="O13" s="28" t="n">
        <v>0.637096</v>
      </c>
      <c r="P13" s="28" t="n">
        <v>0.15</v>
      </c>
      <c r="Q13" s="28" t="n">
        <v>0.017324</v>
      </c>
      <c r="R13" s="26" t="n">
        <v>0</v>
      </c>
      <c r="S13" s="29" t="n">
        <v>1</v>
      </c>
      <c r="T13" s="24" t="inlineStr">
        <is>
          <t>soccer-poisson-dc-v1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1</v>
      </c>
      <c r="Y13" s="25" t="n"/>
      <c r="Z13" s="26" t="n">
        <v>-163</v>
      </c>
      <c r="AA13" s="28" t="n">
        <v>0.62</v>
      </c>
      <c r="AB13" s="28" t="n">
        <v>0.000228</v>
      </c>
      <c r="AC13" s="30" t="n">
        <v>-1</v>
      </c>
      <c r="AD13" s="24" t="inlineStr">
        <is>
          <t>2026-10-07T03:36:55.447826Z</t>
        </is>
      </c>
      <c r="AE13" s="31" t="inlineStr">
        <is>
          <t>Poisson-DC rates 1.86 (home) / 1.42 (away) from EWMA attack/defense strengths. Executable ask 0.6200 (tsc-intf-usa-can-2026-10-06-2pt5).</t>
        </is>
      </c>
      <c r="AF13" s="31" t="inlineStr">
        <is>
          <t>Research-only soccer score model; draw-aware, but not yet locked-holdout qualified.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PAPER_CALL_MODEL_UNVALIDATED</t>
        </is>
      </c>
      <c r="AP13" s="24" t="inlineStr">
        <is>
          <t>Canada</t>
        </is>
      </c>
      <c r="AQ13" s="24" t="inlineStr">
        <is>
          <t>Canada</t>
        </is>
      </c>
      <c r="AR13" s="24" t="inlineStr">
        <is>
          <t>Canada</t>
        </is>
      </c>
      <c r="AS13" s="24" t="inlineStr">
        <is>
          <t>United States</t>
        </is>
      </c>
      <c r="AT13" s="24" t="inlineStr">
        <is>
          <t>United States</t>
        </is>
      </c>
      <c r="AU13" s="24" t="inlineStr">
        <is>
          <t>United States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3d16277c2cfc0628d7ec79d04feee92735e5c503a3be195cb225c7c52d024308</t>
        </is>
      </c>
      <c r="BB13" s="24" t="inlineStr">
        <is>
          <t>poisson_dixon_coles</t>
        </is>
      </c>
      <c r="BC13" s="24" t="inlineStr">
        <is>
          <t>soccer-poisson-dc-v1</t>
        </is>
      </c>
      <c r="BD13" s="24" t="inlineStr">
        <is>
          <t>3d16277c2cfc0628d7ec79d04feee92735e5c503a3be195cb225c7c52d024308</t>
        </is>
      </c>
      <c r="BE13" s="24" t="inlineStr">
        <is>
          <t>soccer-poisson-dc-v1</t>
        </is>
      </c>
      <c r="BF13" s="24" t="inlineStr">
        <is>
          <t>1</t>
        </is>
      </c>
      <c r="BG13" s="24" t="inlineStr">
        <is>
          <t>3d16277c2cfc0628d7ec79d04feee92735e5c503a3be195cb225c7c52d024308</t>
        </is>
      </c>
      <c r="BH13" s="24" t="inlineStr">
        <is>
          <t>2026-10-06T22:16:04.881666Z</t>
        </is>
      </c>
      <c r="BI13" s="24" t="inlineStr">
        <is>
          <t>["same_event","same_team_same_day","same_league_same_day"]</t>
        </is>
      </c>
      <c r="BJ13" s="25" t="n">
        <v>2.5</v>
      </c>
      <c r="BK13" s="26" t="n">
        <v>-163</v>
      </c>
      <c r="BL13" s="27" t="n">
        <v>1.613497</v>
      </c>
      <c r="BM13" s="28" t="n">
        <v>0.619772</v>
      </c>
      <c r="BN13" s="28" t="n"/>
      <c r="BO13" s="28" t="n"/>
      <c r="BP13" s="25" t="n"/>
      <c r="BQ13" s="27" t="n">
        <v>1.613497</v>
      </c>
      <c r="BR13" s="28" t="n">
        <v>0.62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0.619772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1a77d2b5e0f04996</t>
        </is>
      </c>
      <c r="B14" s="24" t="inlineStr">
        <is>
          <t>2026-10-06T22:24:10.744333Z</t>
        </is>
      </c>
      <c r="C14" s="24" t="inlineStr">
        <is>
          <t>2026-10-07T00:30Z</t>
        </is>
      </c>
      <c r="D14" s="24" t="inlineStr">
        <is>
          <t>761660</t>
        </is>
      </c>
      <c r="E14" s="24" t="inlineStr">
        <is>
          <t>SOCCER</t>
        </is>
      </c>
      <c r="F14" s="24" t="inlineStr">
        <is>
          <t>Vancouver Whitecaps</t>
        </is>
      </c>
      <c r="G14" s="24" t="inlineStr">
        <is>
          <t>Chicago Fire FC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127</v>
      </c>
      <c r="M14" s="27" t="n">
        <v>2.27</v>
      </c>
      <c r="N14" s="28" t="n">
        <v>0.440529</v>
      </c>
      <c r="O14" s="28" t="n">
        <v>0.395284</v>
      </c>
      <c r="P14" s="28" t="n">
        <v>0.04</v>
      </c>
      <c r="Q14" s="28" t="n">
        <v>-0.045245</v>
      </c>
      <c r="R14" s="26" t="n">
        <v>3</v>
      </c>
      <c r="S14" s="29" t="n">
        <v>1</v>
      </c>
      <c r="T14" s="24" t="inlineStr">
        <is>
          <t>soccer-poisson-dc-v1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3</v>
      </c>
      <c r="Y14" s="25" t="n"/>
      <c r="Z14" s="26" t="n">
        <v>-133</v>
      </c>
      <c r="AA14" s="28" t="n">
        <v>0.57</v>
      </c>
      <c r="AB14" s="28" t="n">
        <v>0.129471</v>
      </c>
      <c r="AC14" s="30" t="n">
        <v>-1</v>
      </c>
      <c r="AD14" s="24" t="inlineStr">
        <is>
          <t>2026-10-07T03:36:58.946296Z</t>
        </is>
      </c>
      <c r="AE14" s="31" t="inlineStr">
        <is>
          <t>Poisson-DC rates 1.65 (home) / 1.74 (away) from EWMA attack/defense strengths. Executable ask 0.4400 (atc-mls-chi-vwh-2026-10-06-vwh).</t>
        </is>
      </c>
      <c r="AF14" s="31" t="inlineStr">
        <is>
          <t>Research-only soccer score model; draw-aware, but not yet locked-holdout qualified.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Vancouver Whitecaps</t>
        </is>
      </c>
      <c r="AQ14" s="24" t="inlineStr">
        <is>
          <t>Vancouver Whitecaps</t>
        </is>
      </c>
      <c r="AR14" s="24" t="inlineStr">
        <is>
          <t>Vancouver Whitecaps</t>
        </is>
      </c>
      <c r="AS14" s="24" t="inlineStr">
        <is>
          <t>Chicago Fire FC</t>
        </is>
      </c>
      <c r="AT14" s="24" t="inlineStr">
        <is>
          <t>Chicago Fire FC</t>
        </is>
      </c>
      <c r="AU14" s="24" t="inlineStr">
        <is>
          <t>Chicago Fire FC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3d16277c2cfc0628d7ec79d04feee92735e5c503a3be195cb225c7c52d024308</t>
        </is>
      </c>
      <c r="BB14" s="24" t="inlineStr">
        <is>
          <t>poisson_dixon_coles</t>
        </is>
      </c>
      <c r="BC14" s="24" t="inlineStr">
        <is>
          <t>soccer-poisson-dc-v1</t>
        </is>
      </c>
      <c r="BD14" s="24" t="inlineStr">
        <is>
          <t>3d16277c2cfc0628d7ec79d04feee92735e5c503a3be195cb225c7c52d024308</t>
        </is>
      </c>
      <c r="BE14" s="24" t="inlineStr">
        <is>
          <t>soccer-poisson-dc-v1</t>
        </is>
      </c>
      <c r="BF14" s="24" t="inlineStr">
        <is>
          <t>1</t>
        </is>
      </c>
      <c r="BG14" s="24" t="inlineStr">
        <is>
          <t>3d16277c2cfc0628d7ec79d04feee92735e5c503a3be195cb225c7c52d024308</t>
        </is>
      </c>
      <c r="BH14" s="24" t="inlineStr">
        <is>
          <t>2026-10-06T10:11:30.867855Z</t>
        </is>
      </c>
      <c r="BI14" s="24" t="inlineStr">
        <is>
          <t>["same_event","same_team_same_day","same_league_same_day"]</t>
        </is>
      </c>
      <c r="BJ14" s="25" t="n"/>
      <c r="BK14" s="26" t="n">
        <v>127</v>
      </c>
      <c r="BL14" s="27" t="n">
        <v>2.27</v>
      </c>
      <c r="BM14" s="28" t="n">
        <v>0.440529</v>
      </c>
      <c r="BN14" s="28" t="n"/>
      <c r="BO14" s="28" t="n"/>
      <c r="BP14" s="25" t="n"/>
      <c r="BQ14" s="27" t="n">
        <v>1.75188</v>
      </c>
      <c r="BR14" s="28" t="n">
        <v>0.57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0.440529</t>
        </is>
      </c>
      <c r="DK14" s="24" t="n"/>
      <c r="DL14" s="24" t="n"/>
      <c r="DM14" s="24" t="n"/>
      <c r="DN14" s="24" t="n"/>
      <c r="DO14" s="24" t="n"/>
      <c r="DP14" s="24" t="n"/>
      <c r="DQ14" s="24" t="inlineStr">
        <is>
          <t>{"artifact_hash": "3d16277c2cfc0628d7ec79d04feee92735e5c503a3be195cb225c7c52d024308", "away_team": "Vancouver Whitecaps", "event_id": "761660", "event_start_utc": "2026-10-07T00:30Z", "features": {"away_goal_rate": 1.7371, "history_games": 9181, "home_goal_rate": 1.6489, "league_goals_per_team": 1.5536, "min_team_games": 85.0}, "historical_source_observation_times_verified": false, "home_team": "Chicago Fire FC", "inference_inputs": {"away_rate": 1.7370656945789518, "code_sha256": {"models/soccer.py": "3d16277c2cfc0628d7ec79d04feee92735e5c503a3be195cb225c7c52d024308"}, "home_rate": 1.6489254662925148, "sport": "SOCCER"}, "market_type": "moneyline", "model_version": "soccer-poisson-dc-v1", "observed_at_utc": "2026-10-06T22:24:10.045090+00:00", "probabilities": {"away": 0.395284, "draw": 0.246126, "home": 0.35859}, "replay_scope": "Exact full-precision serving state and rounding; upstream historical observation times are not certified.", "schema": "coded-moneyline-replay-v1", "snapshot_hash": "06a2627ba0eec00bd885fd8730fa858792f2d1150d8c01a922a08cc070f7afd7", "sport": "SOCCER"}</t>
        </is>
      </c>
    </row>
    <row r="15" ht="36" customHeight="1">
      <c r="A15" s="24" t="inlineStr">
        <is>
          <t>28104ea294c949e6</t>
        </is>
      </c>
      <c r="B15" s="24" t="inlineStr">
        <is>
          <t>2026-10-06T22:24:10.744333Z</t>
        </is>
      </c>
      <c r="C15" s="24" t="inlineStr">
        <is>
          <t>2026-10-07T00:35Z</t>
        </is>
      </c>
      <c r="D15" s="24" t="inlineStr">
        <is>
          <t>401860372</t>
        </is>
      </c>
      <c r="E15" s="24" t="inlineStr">
        <is>
          <t>SOCCER</t>
        </is>
      </c>
      <c r="F15" s="24" t="inlineStr">
        <is>
          <t>Juventude</t>
        </is>
      </c>
      <c r="G15" s="24" t="inlineStr">
        <is>
          <t>Ponte Preta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1150</v>
      </c>
      <c r="M15" s="27" t="n">
        <v>12.5</v>
      </c>
      <c r="N15" s="28" t="n">
        <v>0.08</v>
      </c>
      <c r="O15" s="28" t="n">
        <v>0.430486</v>
      </c>
      <c r="P15" s="28" t="n">
        <v>0.2</v>
      </c>
      <c r="Q15" s="28" t="n">
        <v>0.350486</v>
      </c>
      <c r="R15" s="26" t="n">
        <v>100</v>
      </c>
      <c r="S15" s="29" t="n">
        <v>2</v>
      </c>
      <c r="T15" s="24" t="inlineStr">
        <is>
          <t>soccer-poisson-dc-v1</t>
        </is>
      </c>
      <c r="U15" s="24" t="inlineStr">
        <is>
          <t>settled</t>
        </is>
      </c>
      <c r="V15" s="24" t="inlineStr">
        <is>
          <t>loss</t>
        </is>
      </c>
      <c r="W15" s="26" t="n">
        <v>2</v>
      </c>
      <c r="X15" s="26" t="n">
        <v>0</v>
      </c>
      <c r="Y15" s="25" t="n"/>
      <c r="Z15" s="26" t="n">
        <v>1150</v>
      </c>
      <c r="AA15" s="28" t="n">
        <v>0.08</v>
      </c>
      <c r="AB15" s="28" t="n">
        <v>0</v>
      </c>
      <c r="AC15" s="30" t="n">
        <v>-2</v>
      </c>
      <c r="AD15" s="24" t="inlineStr">
        <is>
          <t>2026-10-07T03:37:02.848578Z</t>
        </is>
      </c>
      <c r="AE15" s="31" t="inlineStr">
        <is>
          <t>Poisson-DC rates 1.59 (home) / 1.30 (away) from EWMA attack/defense strengths. Executable ask 0.0800 (atc-brb-pop-juv-2026-10-06-pop).</t>
        </is>
      </c>
      <c r="AF15" s="31" t="inlineStr">
        <is>
          <t>Research-only soccer score model; draw-aware, but not yet locked-holdout qualified.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PAPER_CALL_MODEL_UNVALIDATED</t>
        </is>
      </c>
      <c r="AP15" s="24" t="inlineStr">
        <is>
          <t>Juventude</t>
        </is>
      </c>
      <c r="AQ15" s="24" t="inlineStr">
        <is>
          <t>Juventude</t>
        </is>
      </c>
      <c r="AR15" s="24" t="inlineStr">
        <is>
          <t>Juventude</t>
        </is>
      </c>
      <c r="AS15" s="24" t="inlineStr">
        <is>
          <t>Ponte Preta</t>
        </is>
      </c>
      <c r="AT15" s="24" t="inlineStr">
        <is>
          <t>Ponte Preta</t>
        </is>
      </c>
      <c r="AU15" s="24" t="inlineStr">
        <is>
          <t>Ponte Preta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3d16277c2cfc0628d7ec79d04feee92735e5c503a3be195cb225c7c52d024308</t>
        </is>
      </c>
      <c r="BB15" s="24" t="inlineStr">
        <is>
          <t>poisson_dixon_coles</t>
        </is>
      </c>
      <c r="BC15" s="24" t="inlineStr">
        <is>
          <t>soccer-poisson-dc-v1</t>
        </is>
      </c>
      <c r="BD15" s="24" t="inlineStr">
        <is>
          <t>3d16277c2cfc0628d7ec79d04feee92735e5c503a3be195cb225c7c52d024308</t>
        </is>
      </c>
      <c r="BE15" s="24" t="inlineStr">
        <is>
          <t>soccer-poisson-dc-v1</t>
        </is>
      </c>
      <c r="BF15" s="24" t="inlineStr">
        <is>
          <t>1</t>
        </is>
      </c>
      <c r="BG15" s="24" t="inlineStr">
        <is>
          <t>3d16277c2cfc0628d7ec79d04feee92735e5c503a3be195cb225c7c52d024308</t>
        </is>
      </c>
      <c r="BH15" s="24" t="inlineStr">
        <is>
          <t>2026-10-06T22:15:44.874734Z</t>
        </is>
      </c>
      <c r="BI15" s="24" t="inlineStr">
        <is>
          <t>["same_event","same_team_same_day","same_league_same_day"]</t>
        </is>
      </c>
      <c r="BJ15" s="25" t="n"/>
      <c r="BK15" s="26" t="n">
        <v>1150</v>
      </c>
      <c r="BL15" s="27" t="n">
        <v>12.5</v>
      </c>
      <c r="BM15" s="28" t="n">
        <v>0.08</v>
      </c>
      <c r="BN15" s="28" t="n"/>
      <c r="BO15" s="28" t="n"/>
      <c r="BP15" s="25" t="n"/>
      <c r="BQ15" s="27" t="n">
        <v>12.5</v>
      </c>
      <c r="BR15" s="28" t="n">
        <v>0.08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0.08</t>
        </is>
      </c>
      <c r="DK15" s="24" t="n"/>
      <c r="DL15" s="24" t="n"/>
      <c r="DM15" s="24" t="n"/>
      <c r="DN15" s="24" t="n"/>
      <c r="DO15" s="24" t="n"/>
      <c r="DP15" s="24" t="n"/>
      <c r="DQ15" s="24" t="inlineStr">
        <is>
          <t>{"artifact_hash": "3d16277c2cfc0628d7ec79d04feee92735e5c503a3be195cb225c7c52d024308", "away_team": "Juventude", "event_id": "401860372", "event_start_utc": "2026-10-07T00:35Z", "features": {"away_goal_rate": 1.297, "history_games": 9181, "home_goal_rate": 1.5876, "league_goals_per_team": 1.4281, "min_team_games": 0.0}, "historical_source_observation_times_verified": false, "home_team": "Ponte Preta", "inference_inputs": {"away_rate": 1.2970496199092119, "code_sha256": {"models/soccer.py": "3d16277c2cfc0628d7ec79d04feee92735e5c503a3be195cb225c7c52d024308"}, "home_rate": 1.587570344552155, "sport": "SOCCER"}, "market_type": "moneyline", "model_version": "soccer-poisson-dc-v1", "observed_at_utc": "2026-10-06T22:24:10.045090+00:00", "probabilities": {"away": 0.30089, "draw": 0.268624, "home": 0.430486}, "replay_scope": "Exact full-precision serving state and rounding; upstream historical observation times are not certified.", "schema": "coded-moneyline-replay-v1", "snapshot_hash": "84c494a62e0e4501601a54444e96c6f374ec65a7f6017b73561bcabab8123b99", "sport": "SOCCER"}</t>
        </is>
      </c>
    </row>
    <row r="16" ht="36" customHeight="1">
      <c r="A16" s="24" t="inlineStr">
        <is>
          <t>5912e90163ac4fc2</t>
        </is>
      </c>
      <c r="B16" s="24" t="inlineStr">
        <is>
          <t>2026-10-06T22:24:10.744333Z</t>
        </is>
      </c>
      <c r="C16" s="24" t="inlineStr">
        <is>
          <t>2026-10-06T23:00Z</t>
        </is>
      </c>
      <c r="D16" s="24" t="inlineStr">
        <is>
          <t>401921408</t>
        </is>
      </c>
      <c r="E16" s="24" t="inlineStr">
        <is>
          <t>SOCCER</t>
        </is>
      </c>
      <c r="F16" s="24" t="inlineStr">
        <is>
          <t>Benin</t>
        </is>
      </c>
      <c r="G16" s="24" t="inlineStr">
        <is>
          <t>Argentina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-9900</v>
      </c>
      <c r="M16" s="27" t="n">
        <v>1.010101</v>
      </c>
      <c r="N16" s="28" t="n">
        <v>0.99</v>
      </c>
      <c r="O16" s="28" t="n">
        <v>0.605639</v>
      </c>
      <c r="P16" s="28" t="n">
        <v>0.2</v>
      </c>
      <c r="Q16" s="28" t="n">
        <v>-0.384361</v>
      </c>
      <c r="R16" s="26" t="n">
        <v>0</v>
      </c>
      <c r="S16" s="29" t="n">
        <v>1</v>
      </c>
      <c r="T16" s="24" t="inlineStr">
        <is>
          <t>soccer-poisson-dc-v1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3</v>
      </c>
      <c r="Y16" s="25" t="n"/>
      <c r="Z16" s="26" t="n">
        <v>-9900</v>
      </c>
      <c r="AA16" s="28" t="n">
        <v>0.99</v>
      </c>
      <c r="AB16" s="28" t="n">
        <v>0</v>
      </c>
      <c r="AC16" s="30" t="n">
        <v>0.0101</v>
      </c>
      <c r="AD16" s="24" t="inlineStr">
        <is>
          <t>2026-10-07T03:37:06.858758Z</t>
        </is>
      </c>
      <c r="AE16" s="31" t="inlineStr">
        <is>
          <t>Poisson-DC rates 2.13 (home) / 1.08 (away) from EWMA attack/defense strengths. Executable ask 0.9900 (atc-intf-arg-ben-2026-10-06-arg).</t>
        </is>
      </c>
      <c r="AF16" s="31" t="inlineStr">
        <is>
          <t>Research-only soccer score model; draw-aware, but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PAPER_CALL_MODEL_UNVALIDATED</t>
        </is>
      </c>
      <c r="AP16" s="24" t="inlineStr">
        <is>
          <t>Benin</t>
        </is>
      </c>
      <c r="AQ16" s="24" t="inlineStr">
        <is>
          <t>Benin</t>
        </is>
      </c>
      <c r="AR16" s="24" t="inlineStr">
        <is>
          <t>Benin</t>
        </is>
      </c>
      <c r="AS16" s="24" t="inlineStr">
        <is>
          <t>Argentina</t>
        </is>
      </c>
      <c r="AT16" s="24" t="inlineStr">
        <is>
          <t>Argentina</t>
        </is>
      </c>
      <c r="AU16" s="24" t="inlineStr">
        <is>
          <t>Argentina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3d16277c2cfc0628d7ec79d04feee92735e5c503a3be195cb225c7c52d024308</t>
        </is>
      </c>
      <c r="BB16" s="24" t="inlineStr">
        <is>
          <t>poisson_dixon_coles</t>
        </is>
      </c>
      <c r="BC16" s="24" t="inlineStr">
        <is>
          <t>soccer-poisson-dc-v1</t>
        </is>
      </c>
      <c r="BD16" s="24" t="inlineStr">
        <is>
          <t>3d16277c2cfc0628d7ec79d04feee92735e5c503a3be195cb225c7c52d024308</t>
        </is>
      </c>
      <c r="BE16" s="24" t="inlineStr">
        <is>
          <t>soccer-poisson-dc-v1</t>
        </is>
      </c>
      <c r="BF16" s="24" t="inlineStr">
        <is>
          <t>1</t>
        </is>
      </c>
      <c r="BG16" s="24" t="inlineStr">
        <is>
          <t>3d16277c2cfc0628d7ec79d04feee92735e5c503a3be195cb225c7c52d024308</t>
        </is>
      </c>
      <c r="BH16" s="24" t="inlineStr">
        <is>
          <t>2026-10-06T10:14:31.085481Z</t>
        </is>
      </c>
      <c r="BI16" s="24" t="inlineStr">
        <is>
          <t>["same_event","same_team_same_day","same_league_same_day"]</t>
        </is>
      </c>
      <c r="BJ16" s="25" t="n"/>
      <c r="BK16" s="26" t="n">
        <v>-9900</v>
      </c>
      <c r="BL16" s="27" t="n">
        <v>1.010101</v>
      </c>
      <c r="BM16" s="28" t="n">
        <v>0.99</v>
      </c>
      <c r="BN16" s="28" t="n"/>
      <c r="BO16" s="28" t="n"/>
      <c r="BP16" s="25" t="n"/>
      <c r="BQ16" s="27" t="n">
        <v>1.010101</v>
      </c>
      <c r="BR16" s="28" t="n">
        <v>0.99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0.99</t>
        </is>
      </c>
      <c r="DK16" s="24" t="n"/>
      <c r="DL16" s="24" t="n"/>
      <c r="DM16" s="24" t="n"/>
      <c r="DN16" s="24" t="n"/>
      <c r="DO16" s="24" t="n"/>
      <c r="DP16" s="24" t="n"/>
      <c r="DQ16" s="24" t="inlineStr">
        <is>
          <t>{"artifact_hash": "3d16277c2cfc0628d7ec79d04feee92735e5c503a3be195cb225c7c52d024308", "away_team": "Benin", "event_id": "401921408", "event_start_utc": "2026-10-06T23:00Z", "features": {"away_goal_rate": 1.0758, "history_games": 9181, "home_goal_rate": 2.1307, "league_goals_per_team": 1.4281, "min_team_games": 0.0}, "historical_source_observation_times_verified": false, "home_team": "Argentina", "inference_inputs": {"away_rate": 1.0758417190562526, "code_sha256": {"models/soccer.py": "3d16277c2cfc0628d7ec79d04feee92735e5c503a3be195cb225c7c52d024308"}, "home_rate": 2.130651938301031, "sport": "SOCCER"}, "market_type": "moneyline", "model_version": "soccer-poisson-dc-v1", "observed_at_utc": "2026-10-06T22:24:10.045090+00:00", "probabilities": {"away": 0.173582, "draw": 0.220779, "home": 0.605639}, "replay_scope": "Exact full-precision serving state and rounding; upstream historical observation times are not certified.", "schema": "coded-moneyline-replay-v1", "snapshot_hash": "92e78d5b3d0a9d4e5c1651daca40db94d18ef9dcb9ebe336386280dcc240d6df", "sport": "SOCCER"}</t>
        </is>
      </c>
    </row>
    <row r="17" ht="36" customHeight="1">
      <c r="A17" s="24" t="inlineStr">
        <is>
          <t>bb718daa6bb44fcf</t>
        </is>
      </c>
      <c r="B17" s="24" t="inlineStr">
        <is>
          <t>2026-10-06T22:24:10.744333Z</t>
        </is>
      </c>
      <c r="C17" s="24" t="inlineStr">
        <is>
          <t>2026-10-07T00:00Z</t>
        </is>
      </c>
      <c r="D17" s="24" t="inlineStr">
        <is>
          <t>401905188</t>
        </is>
      </c>
      <c r="E17" s="24" t="inlineStr">
        <is>
          <t>SOCCER</t>
        </is>
      </c>
      <c r="F17" s="24" t="inlineStr">
        <is>
          <t>Canada</t>
        </is>
      </c>
      <c r="G17" s="24" t="inlineStr">
        <is>
          <t>United States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-150</v>
      </c>
      <c r="M17" s="27" t="n">
        <v>1.666667</v>
      </c>
      <c r="N17" s="28" t="n">
        <v>0.6</v>
      </c>
      <c r="O17" s="28" t="n">
        <v>0.468098</v>
      </c>
      <c r="P17" s="28" t="n">
        <v>0.15</v>
      </c>
      <c r="Q17" s="28" t="n">
        <v>-0.131902</v>
      </c>
      <c r="R17" s="26" t="n">
        <v>0</v>
      </c>
      <c r="S17" s="29" t="n">
        <v>1</v>
      </c>
      <c r="T17" s="24" t="inlineStr">
        <is>
          <t>soccer-poisson-dc-v1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-150</v>
      </c>
      <c r="AA17" s="28" t="n">
        <v>0.6</v>
      </c>
      <c r="AB17" s="28" t="n">
        <v>0</v>
      </c>
      <c r="AC17" s="30" t="n">
        <v>0.6667</v>
      </c>
      <c r="AD17" s="24" t="inlineStr">
        <is>
          <t>2026-10-07T03:37:10.257664Z</t>
        </is>
      </c>
      <c r="AE17" s="31" t="inlineStr">
        <is>
          <t>Poisson-DC rates 1.86 (home) / 1.42 (away) from EWMA attack/defense strengths. Executable ask 0.6000 (atc-intf-usa-can-2026-10-06-usa).</t>
        </is>
      </c>
      <c r="AF17" s="31" t="inlineStr">
        <is>
          <t>Research-only soccer score model; draw-aware, but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PAPER_CALL_MODEL_UNVALIDATED</t>
        </is>
      </c>
      <c r="AP17" s="24" t="inlineStr">
        <is>
          <t>Canada</t>
        </is>
      </c>
      <c r="AQ17" s="24" t="inlineStr">
        <is>
          <t>Canada</t>
        </is>
      </c>
      <c r="AR17" s="24" t="inlineStr">
        <is>
          <t>Canada</t>
        </is>
      </c>
      <c r="AS17" s="24" t="inlineStr">
        <is>
          <t>United States</t>
        </is>
      </c>
      <c r="AT17" s="24" t="inlineStr">
        <is>
          <t>United States</t>
        </is>
      </c>
      <c r="AU17" s="24" t="inlineStr">
        <is>
          <t>United States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3d16277c2cfc0628d7ec79d04feee92735e5c503a3be195cb225c7c52d024308</t>
        </is>
      </c>
      <c r="BB17" s="24" t="inlineStr">
        <is>
          <t>poisson_dixon_coles</t>
        </is>
      </c>
      <c r="BC17" s="24" t="inlineStr">
        <is>
          <t>soccer-poisson-dc-v1</t>
        </is>
      </c>
      <c r="BD17" s="24" t="inlineStr">
        <is>
          <t>3d16277c2cfc0628d7ec79d04feee92735e5c503a3be195cb225c7c52d024308</t>
        </is>
      </c>
      <c r="BE17" s="24" t="inlineStr">
        <is>
          <t>soccer-poisson-dc-v1</t>
        </is>
      </c>
      <c r="BF17" s="24" t="inlineStr">
        <is>
          <t>1</t>
        </is>
      </c>
      <c r="BG17" s="24" t="inlineStr">
        <is>
          <t>3d16277c2cfc0628d7ec79d04feee92735e5c503a3be195cb225c7c52d024308</t>
        </is>
      </c>
      <c r="BH17" s="24" t="inlineStr">
        <is>
          <t>2026-10-06T16:14:40.123117Z</t>
        </is>
      </c>
      <c r="BI17" s="24" t="inlineStr">
        <is>
          <t>["same_event","same_team_same_day","same_league_same_day"]</t>
        </is>
      </c>
      <c r="BJ17" s="25" t="n"/>
      <c r="BK17" s="26" t="n">
        <v>-150</v>
      </c>
      <c r="BL17" s="27" t="n">
        <v>1.666667</v>
      </c>
      <c r="BM17" s="28" t="n">
        <v>0.6</v>
      </c>
      <c r="BN17" s="28" t="n"/>
      <c r="BO17" s="28" t="n"/>
      <c r="BP17" s="25" t="n"/>
      <c r="BQ17" s="27" t="n">
        <v>1.666667</v>
      </c>
      <c r="BR17" s="28" t="n">
        <v>0.6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</t>
        </is>
      </c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"3d16277c2cfc0628d7ec79d04feee92735e5c503a3be195cb225c7c52d024308", "away_team": "Canada", "event_id": "401905188", "event_start_utc": "2026-10-07T00:00Z", "features": {"away_goal_rate": 1.4249, "history_games": 9181, "home_goal_rate": 1.8578, "league_goals_per_team": 1.4281, "min_team_games": 5.0}, "historical_source_observation_times_verified": false, "home_team": "United States", "inference_inputs": {"away_rate": 1.424927740599089, "code_sha256": {"models/soccer.py": "3d16277c2cfc0628d7ec79d04feee92735e5c503a3be195cb225c7c52d024308"}, "home_rate": 1.8578242464495291, "sport": "SOCCER"}, "market_type": "moneyline", "model_version": "soccer-poisson-dc-v1", "observed_at_utc": "2026-10-06T22:24:10.045090+00:00", "probabilities": {"away": 0.286524, "draw": 0.245378, "home": 0.468098}, "replay_scope": "Exact full-precision serving state and rounding; upstream historical observation times are not certified.", "schema": "coded-moneyline-replay-v1", "snapshot_hash": "fd858b9799c490f1ab2f98d7f1691d11cba4c8d488b21086132b9ea9ce2d0f9d", "sport": "SOCCER"}</t>
        </is>
      </c>
    </row>
    <row r="18" ht="36" customHeight="1">
      <c r="A18" s="24" t="inlineStr">
        <is>
          <t>0a86a48c649c495f</t>
        </is>
      </c>
      <c r="B18" s="24" t="inlineStr">
        <is>
          <t>2026-10-06T22:24:10.744333Z</t>
        </is>
      </c>
      <c r="C18" s="24" t="inlineStr">
        <is>
          <t>2026-10-07T02:30Z</t>
        </is>
      </c>
      <c r="D18" s="24" t="inlineStr">
        <is>
          <t>401903298</t>
        </is>
      </c>
      <c r="E18" s="24" t="inlineStr">
        <is>
          <t>SOCCER</t>
        </is>
      </c>
      <c r="F18" s="24" t="inlineStr">
        <is>
          <t>Chile</t>
        </is>
      </c>
      <c r="G18" s="24" t="inlineStr">
        <is>
          <t>Mexico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-163</v>
      </c>
      <c r="M18" s="27" t="n">
        <v>1.613497</v>
      </c>
      <c r="N18" s="28" t="n">
        <v>0.619772</v>
      </c>
      <c r="O18" s="28" t="n">
        <v>0.575413</v>
      </c>
      <c r="P18" s="28" t="n">
        <v>0.2</v>
      </c>
      <c r="Q18" s="28" t="n">
        <v>-0.044359</v>
      </c>
      <c r="R18" s="26" t="n">
        <v>0</v>
      </c>
      <c r="S18" s="29" t="n">
        <v>1</v>
      </c>
      <c r="T18" s="24" t="inlineStr">
        <is>
          <t>soccer-poisson-dc-v1</t>
        </is>
      </c>
      <c r="U18" s="24" t="inlineStr">
        <is>
          <t>settled</t>
        </is>
      </c>
      <c r="V18" s="24" t="inlineStr">
        <is>
          <t>loss</t>
        </is>
      </c>
      <c r="W18" s="26" t="n">
        <v>2</v>
      </c>
      <c r="X18" s="26" t="n">
        <v>0</v>
      </c>
      <c r="Y18" s="25" t="n"/>
      <c r="Z18" s="26" t="n">
        <v>-163</v>
      </c>
      <c r="AA18" s="28" t="n">
        <v>0.62</v>
      </c>
      <c r="AB18" s="28" t="n">
        <v>0.000228</v>
      </c>
      <c r="AC18" s="30" t="n">
        <v>-1</v>
      </c>
      <c r="AD18" s="24" t="inlineStr">
        <is>
          <t>2026-10-07T10:02:57.940224Z</t>
        </is>
      </c>
      <c r="AE18" s="31" t="inlineStr">
        <is>
          <t>Poisson-DC rates 1.90 (home) / 0.99 (away) from EWMA attack/defense strengths. Executable ask 0.6200 (atc-intf-mex-chl-2026-10-05-mex).</t>
        </is>
      </c>
      <c r="AF18" s="31" t="inlineStr">
        <is>
          <t>Research-only soccer score model; draw-aware, but not yet locked-holdout qualified.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PAPER_CALL_MODEL_UNVALIDATED</t>
        </is>
      </c>
      <c r="AP18" s="24" t="inlineStr">
        <is>
          <t>Chile</t>
        </is>
      </c>
      <c r="AQ18" s="24" t="inlineStr">
        <is>
          <t>Chile</t>
        </is>
      </c>
      <c r="AR18" s="24" t="inlineStr">
        <is>
          <t>Chile</t>
        </is>
      </c>
      <c r="AS18" s="24" t="inlineStr">
        <is>
          <t>Mexico</t>
        </is>
      </c>
      <c r="AT18" s="24" t="inlineStr">
        <is>
          <t>Mexico</t>
        </is>
      </c>
      <c r="AU18" s="24" t="inlineStr">
        <is>
          <t>Mexico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3d16277c2cfc0628d7ec79d04feee92735e5c503a3be195cb225c7c52d024308</t>
        </is>
      </c>
      <c r="BB18" s="24" t="inlineStr">
        <is>
          <t>poisson_dixon_coles</t>
        </is>
      </c>
      <c r="BC18" s="24" t="inlineStr">
        <is>
          <t>soccer-poisson-dc-v1</t>
        </is>
      </c>
      <c r="BD18" s="24" t="inlineStr">
        <is>
          <t>3d16277c2cfc0628d7ec79d04feee92735e5c503a3be195cb225c7c52d024308</t>
        </is>
      </c>
      <c r="BE18" s="24" t="inlineStr">
        <is>
          <t>soccer-poisson-dc-v1</t>
        </is>
      </c>
      <c r="BF18" s="24" t="inlineStr">
        <is>
          <t>1</t>
        </is>
      </c>
      <c r="BG18" s="24" t="inlineStr">
        <is>
          <t>3d16277c2cfc0628d7ec79d04feee92735e5c503a3be195cb225c7c52d024308</t>
        </is>
      </c>
      <c r="BH18" s="24" t="inlineStr">
        <is>
          <t>2026-10-06T22:16:14.478449Z</t>
        </is>
      </c>
      <c r="BI18" s="24" t="inlineStr">
        <is>
          <t>["same_event","same_team_same_day","same_league_same_day"]</t>
        </is>
      </c>
      <c r="BJ18" s="25" t="n"/>
      <c r="BK18" s="26" t="n">
        <v>-163</v>
      </c>
      <c r="BL18" s="27" t="n">
        <v>1.613497</v>
      </c>
      <c r="BM18" s="28" t="n">
        <v>0.619772</v>
      </c>
      <c r="BN18" s="28" t="n"/>
      <c r="BO18" s="28" t="n"/>
      <c r="BP18" s="25" t="n"/>
      <c r="BQ18" s="27" t="n">
        <v>1.613497</v>
      </c>
      <c r="BR18" s="28" t="n">
        <v>0.62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0.619772</t>
        </is>
      </c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"3d16277c2cfc0628d7ec79d04feee92735e5c503a3be195cb225c7c52d024308", "away_team": "Chile", "event_id": "401903298", "event_start_utc": "2026-10-07T02:30Z", "features": {"away_goal_rate": 0.9936, "history_games": 9181, "home_goal_rate": 1.9011, "league_goals_per_team": 1.4281, "min_team_games": 0.0}, "historical_source_observation_times_verified": false, "home_team": "Mexico", "inference_inputs": {"away_rate": 0.9935825146460958, "code_sha256": {"models/soccer.py": "3d16277c2cfc0628d7ec79d04feee92735e5c503a3be195cb225c7c52d024308"}, "home_rate": 1.9011366479974803, "sport": "SOCCER"}, "market_type": "moneyline", "model_version": "soccer-poisson-dc-v1", "observed_at_utc": "2026-10-06T22:24:10.045090+00:00", "probabilities": {"away": 0.182871, "draw": 0.241716, "home": 0.575413}, "replay_scope": "Exact full-precision serving state and rounding; upstream historical observation times are not certified.", "schema": "coded-moneyline-replay-v1", "snapshot_hash": "3100a70bdd3d0b947ba31837a785499ba8978c167b409c0f73ff48c052fac7e2", "sport": "SOCCER"}</t>
        </is>
      </c>
    </row>
    <row r="19" ht="36" customHeight="1">
      <c r="A19" s="24" t="inlineStr">
        <is>
          <t>370a6a79284d4072</t>
        </is>
      </c>
      <c r="B19" s="24" t="inlineStr">
        <is>
          <t>2026-10-07T22:26:19.364010Z</t>
        </is>
      </c>
      <c r="C19" s="24" t="inlineStr">
        <is>
          <t>2026-10-07T22:30Z</t>
        </is>
      </c>
      <c r="D19" s="24" t="inlineStr">
        <is>
          <t>401841255</t>
        </is>
      </c>
      <c r="E19" s="24" t="inlineStr">
        <is>
          <t>SOCCER</t>
        </is>
      </c>
      <c r="F19" s="24" t="inlineStr">
        <is>
          <t>Corinthians</t>
        </is>
      </c>
      <c r="G19" s="24" t="inlineStr">
        <is>
          <t>Internacional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150</v>
      </c>
      <c r="M19" s="27" t="n">
        <v>2.5</v>
      </c>
      <c r="N19" s="28" t="n">
        <v>0.4</v>
      </c>
      <c r="O19" s="28" t="n">
        <v>0.456135</v>
      </c>
      <c r="P19" s="28" t="n">
        <v>0.2</v>
      </c>
      <c r="Q19" s="28" t="n">
        <v>0.056135</v>
      </c>
      <c r="R19" s="26" t="n">
        <v>0</v>
      </c>
      <c r="S19" s="29" t="n">
        <v>1</v>
      </c>
      <c r="T19" s="24" t="inlineStr">
        <is>
          <t>soccer-poisson-dc-v1</t>
        </is>
      </c>
      <c r="U19" s="24" t="inlineStr">
        <is>
          <t>settled</t>
        </is>
      </c>
      <c r="V19" s="24" t="inlineStr">
        <is>
          <t>win</t>
        </is>
      </c>
      <c r="W19" s="26" t="n">
        <v>1</v>
      </c>
      <c r="X19" s="26" t="n">
        <v>2</v>
      </c>
      <c r="Y19" s="25" t="n"/>
      <c r="Z19" s="26" t="n">
        <v>150</v>
      </c>
      <c r="AA19" s="28" t="n">
        <v>0.4</v>
      </c>
      <c r="AB19" s="28" t="n">
        <v>0</v>
      </c>
      <c r="AC19" s="30" t="n">
        <v>1.5</v>
      </c>
      <c r="AD19" s="24" t="inlineStr">
        <is>
          <t>2026-10-08T03:21:33.782043Z</t>
        </is>
      </c>
      <c r="AE19" s="31" t="inlineStr">
        <is>
          <t>Poisson-DC rates 1.64 (home) / 1.24 (away) from EWMA attack/defense strengths. Executable ask 0.4000 (atc-bra-int-scp-2026-10-07-int).</t>
        </is>
      </c>
      <c r="AF19" s="31" t="inlineStr">
        <is>
          <t>Research-only soccer score model; draw-aware, but not yet locked-holdout qualified.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PAPER_CALL_MODEL_UNVALIDATED</t>
        </is>
      </c>
      <c r="AP19" s="24" t="inlineStr">
        <is>
          <t>Corinthians</t>
        </is>
      </c>
      <c r="AQ19" s="24" t="inlineStr">
        <is>
          <t>Corinthians</t>
        </is>
      </c>
      <c r="AR19" s="24" t="inlineStr">
        <is>
          <t>Corinthians</t>
        </is>
      </c>
      <c r="AS19" s="24" t="inlineStr">
        <is>
          <t>Internacional</t>
        </is>
      </c>
      <c r="AT19" s="24" t="inlineStr">
        <is>
          <t>Internacional</t>
        </is>
      </c>
      <c r="AU19" s="24" t="inlineStr">
        <is>
          <t>Internacional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3d16277c2cfc0628d7ec79d04feee92735e5c503a3be195cb225c7c52d024308</t>
        </is>
      </c>
      <c r="BB19" s="24" t="inlineStr">
        <is>
          <t>poisson_dixon_coles</t>
        </is>
      </c>
      <c r="BC19" s="24" t="inlineStr">
        <is>
          <t>soccer-poisson-dc-v1</t>
        </is>
      </c>
      <c r="BD19" s="24" t="inlineStr">
        <is>
          <t>3d16277c2cfc0628d7ec79d04feee92735e5c503a3be195cb225c7c52d024308</t>
        </is>
      </c>
      <c r="BE19" s="24" t="inlineStr">
        <is>
          <t>soccer-poisson-dc-v1</t>
        </is>
      </c>
      <c r="BF19" s="24" t="inlineStr">
        <is>
          <t>1</t>
        </is>
      </c>
      <c r="BG19" s="24" t="inlineStr">
        <is>
          <t>3d16277c2cfc0628d7ec79d04feee92735e5c503a3be195cb225c7c52d024308</t>
        </is>
      </c>
      <c r="BH19" s="24" t="inlineStr">
        <is>
          <t>2026-10-07T16:18:39.778733Z</t>
        </is>
      </c>
      <c r="BI19" s="24" t="inlineStr">
        <is>
          <t>["same_event","same_team_same_day","same_league_same_day"]</t>
        </is>
      </c>
      <c r="BJ19" s="25" t="n"/>
      <c r="BK19" s="26" t="n">
        <v>150</v>
      </c>
      <c r="BL19" s="27" t="n">
        <v>2.5</v>
      </c>
      <c r="BM19" s="28" t="n">
        <v>0.4</v>
      </c>
      <c r="BN19" s="28" t="n"/>
      <c r="BO19" s="28" t="n"/>
      <c r="BP19" s="25" t="n"/>
      <c r="BQ19" s="27" t="n">
        <v>2.5</v>
      </c>
      <c r="BR19" s="28" t="n">
        <v>0.4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0.4</t>
        </is>
      </c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"3d16277c2cfc0628d7ec79d04feee92735e5c503a3be195cb225c7c52d024308", "away_team": "Corinthians", "event_id": "401841255", "event_start_utc": "2026-10-07T22:30Z", "features": {"away_goal_rate": 1.2418, "history_games": 9181, "home_goal_rate": 1.6423, "league_goals_per_team": 1.4281, "min_team_games": 0.0}, "historical_source_observation_times_verified": false, "home_team": "Internacional",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"2026-10-07T22:26:18.678651+00:00", "probabilities": {"away": 0.278015, "draw": 0.265851, "home": 0.456135}, "replay_scope": "Exact full-precision serving state and rounding; upstream historical observation times are not certified.", "schema": "coded-moneyline-replay-v1", "snapshot_hash": "f59c60733d0d65fdaeb6ebbea745b59f266d00710f6a6d49057015aa0bdd7f00", "sport": "SOCCER"}</t>
        </is>
      </c>
    </row>
    <row r="20" ht="36" customHeight="1">
      <c r="A20" s="24" t="inlineStr">
        <is>
          <t>a66533552ceb463d</t>
        </is>
      </c>
      <c r="B20" s="24" t="inlineStr">
        <is>
          <t>2026-10-07T22:26:19.364010Z</t>
        </is>
      </c>
      <c r="C20" s="24" t="inlineStr">
        <is>
          <t>2026-10-07T22:30Z</t>
        </is>
      </c>
      <c r="D20" s="24" t="inlineStr">
        <is>
          <t>401841253</t>
        </is>
      </c>
      <c r="E20" s="24" t="inlineStr">
        <is>
          <t>SOCCER</t>
        </is>
      </c>
      <c r="F20" s="24" t="inlineStr">
        <is>
          <t>Mirassol</t>
        </is>
      </c>
      <c r="G20" s="24" t="inlineStr">
        <is>
          <t>Red Bull Bragantino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-150</v>
      </c>
      <c r="M20" s="27" t="n">
        <v>1.666667</v>
      </c>
      <c r="N20" s="28" t="n">
        <v>0.6</v>
      </c>
      <c r="O20" s="28" t="n">
        <v>0.440521</v>
      </c>
      <c r="P20" s="28" t="n">
        <v>0.2</v>
      </c>
      <c r="Q20" s="28" t="n">
        <v>-0.159479</v>
      </c>
      <c r="R20" s="26" t="n">
        <v>0</v>
      </c>
      <c r="S20" s="29" t="n">
        <v>1</v>
      </c>
      <c r="T20" s="24" t="inlineStr">
        <is>
          <t>soccer-poisson-dc-v1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1</v>
      </c>
      <c r="Y20" s="25" t="n"/>
      <c r="Z20" s="26" t="n">
        <v>-150</v>
      </c>
      <c r="AA20" s="28" t="n">
        <v>0.6</v>
      </c>
      <c r="AB20" s="28" t="n">
        <v>0</v>
      </c>
      <c r="AC20" s="30" t="n">
        <v>-1</v>
      </c>
      <c r="AD20" s="24" t="inlineStr">
        <is>
          <t>2026-10-08T03:21:36.963702Z</t>
        </is>
      </c>
      <c r="AE20" s="31" t="inlineStr">
        <is>
          <t>Poisson-DC rates 1.46 (home) / 1.10 (away) from EWMA attack/defense strengths. Executable ask 0.6000 (atc-bra-bra-mir-2026-10-07-bra).</t>
        </is>
      </c>
      <c r="AF20" s="31" t="inlineStr">
        <is>
          <t>Research-only soccer score model; draw-aware, but not yet locked-holdout qualified.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PAPER_CALL_MODEL_UNVALIDATED</t>
        </is>
      </c>
      <c r="AP20" s="24" t="inlineStr">
        <is>
          <t>Mirassol</t>
        </is>
      </c>
      <c r="AQ20" s="24" t="inlineStr">
        <is>
          <t>Mirassol</t>
        </is>
      </c>
      <c r="AR20" s="24" t="inlineStr">
        <is>
          <t>Mirassol</t>
        </is>
      </c>
      <c r="AS20" s="24" t="inlineStr">
        <is>
          <t>Red Bull Bragantino</t>
        </is>
      </c>
      <c r="AT20" s="24" t="inlineStr">
        <is>
          <t>Red Bull Bragantino</t>
        </is>
      </c>
      <c r="AU20" s="24" t="inlineStr">
        <is>
          <t>Red Bull Bragantino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3d16277c2cfc0628d7ec79d04feee92735e5c503a3be195cb225c7c52d024308</t>
        </is>
      </c>
      <c r="BB20" s="24" t="inlineStr">
        <is>
          <t>poisson_dixon_coles</t>
        </is>
      </c>
      <c r="BC20" s="24" t="inlineStr">
        <is>
          <t>soccer-poisson-dc-v1</t>
        </is>
      </c>
      <c r="BD20" s="24" t="inlineStr">
        <is>
          <t>3d16277c2cfc0628d7ec79d04feee92735e5c503a3be195cb225c7c52d024308</t>
        </is>
      </c>
      <c r="BE20" s="24" t="inlineStr">
        <is>
          <t>soccer-poisson-dc-v1</t>
        </is>
      </c>
      <c r="BF20" s="24" t="inlineStr">
        <is>
          <t>1</t>
        </is>
      </c>
      <c r="BG20" s="24" t="inlineStr">
        <is>
          <t>3d16277c2cfc0628d7ec79d04feee92735e5c503a3be195cb225c7c52d024308</t>
        </is>
      </c>
      <c r="BH20" s="24" t="inlineStr">
        <is>
          <t>2026-10-07T16:18:39.750382Z</t>
        </is>
      </c>
      <c r="BI20" s="24" t="inlineStr">
        <is>
          <t>["same_event","same_team_same_day","same_league_same_day"]</t>
        </is>
      </c>
      <c r="BJ20" s="25" t="n"/>
      <c r="BK20" s="26" t="n">
        <v>-150</v>
      </c>
      <c r="BL20" s="27" t="n">
        <v>1.666667</v>
      </c>
      <c r="BM20" s="28" t="n">
        <v>0.6</v>
      </c>
      <c r="BN20" s="28" t="n"/>
      <c r="BO20" s="28" t="n"/>
      <c r="BP20" s="25" t="n"/>
      <c r="BQ20" s="27" t="n">
        <v>1.666667</v>
      </c>
      <c r="BR20" s="28" t="n">
        <v>0.6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</t>
        </is>
      </c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"3d16277c2cfc0628d7ec79d04feee92735e5c503a3be195cb225c7c52d024308", "away_team": "Mirassol", "event_id": "401841253", "event_start_utc": "2026-10-07T22:30Z", "features": {"away_goal_rate": 1.1038, "history_games": 9181, "home_goal_rate": 1.4598, "league_goals_per_team": 1.4281, "min_team_games": 0.0}, "historical_source_observation_times_verified": false, "home_team": "Red Bull Bragantino", "inference_inputs": {"away_rate": 1.1038129049333665, "code_sha256": {"models/soccer.py": "3d16277c2cfc0628d7ec79d04feee92735e5c503a3be195cb225c7c52d024308"}, "home_rate": 1.459792566774377, "sport": "SOCCER"}, "market_type": "moneyline", "model_version": "soccer-poisson-dc-v1", "observed_at_utc": "2026-10-07T22:26:18.678651+00:00", "probabilities": {"away": 0.273602, "draw": 0.285877, "home": 0.440521}, "replay_scope": "Exact full-precision serving state and rounding; upstream historical observation times are not certified.", "schema": "coded-moneyline-replay-v1", "snapshot_hash": "35791152e2ba85ac6d02f8993a5adb1c5a5673668875d8ecfdc530619962ebac", "sport": "SOCCER"}</t>
        </is>
      </c>
    </row>
    <row r="21" ht="36" customHeight="1">
      <c r="A21" s="24" t="inlineStr">
        <is>
          <t>342307cf26624581</t>
        </is>
      </c>
      <c r="B21" s="24" t="inlineStr">
        <is>
          <t>2026-10-07T22:26:19.364010Z</t>
        </is>
      </c>
      <c r="C21" s="24" t="inlineStr">
        <is>
          <t>2026-10-07T23:30Z</t>
        </is>
      </c>
      <c r="D21" s="24" t="inlineStr">
        <is>
          <t>401841257</t>
        </is>
      </c>
      <c r="E21" s="24" t="inlineStr">
        <is>
          <t>SOCCER</t>
        </is>
      </c>
      <c r="F21" s="24" t="inlineStr">
        <is>
          <t>Vasco da Gama</t>
        </is>
      </c>
      <c r="G21" s="24" t="inlineStr">
        <is>
          <t>Botafogo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212</v>
      </c>
      <c r="M21" s="27" t="n">
        <v>3.12</v>
      </c>
      <c r="N21" s="28" t="n">
        <v>0.320513</v>
      </c>
      <c r="O21" s="28" t="n">
        <v>0.456135</v>
      </c>
      <c r="P21" s="28" t="n">
        <v>0.2</v>
      </c>
      <c r="Q21" s="28" t="n">
        <v>0.135622</v>
      </c>
      <c r="R21" s="26" t="n">
        <v>0</v>
      </c>
      <c r="S21" s="29" t="n">
        <v>1</v>
      </c>
      <c r="T21" s="24" t="inlineStr">
        <is>
          <t>soccer-poisson-dc-v1</t>
        </is>
      </c>
      <c r="U21" s="24" t="inlineStr">
        <is>
          <t>settled</t>
        </is>
      </c>
      <c r="V21" s="24" t="inlineStr">
        <is>
          <t>loss</t>
        </is>
      </c>
      <c r="W21" s="26" t="n">
        <v>2</v>
      </c>
      <c r="X21" s="26" t="n">
        <v>1</v>
      </c>
      <c r="Y21" s="25" t="n"/>
      <c r="Z21" s="26" t="n">
        <v>212</v>
      </c>
      <c r="AA21" s="28" t="n">
        <v>0.32</v>
      </c>
      <c r="AB21" s="28" t="n">
        <v>-0.000513</v>
      </c>
      <c r="AC21" s="30" t="n">
        <v>-1</v>
      </c>
      <c r="AD21" s="24" t="inlineStr">
        <is>
          <t>2026-10-08T03:21:40.339890Z</t>
        </is>
      </c>
      <c r="AE21" s="31" t="inlineStr">
        <is>
          <t>Poisson-DC rates 1.64 (home) / 1.24 (away) from EWMA attack/defense strengths. Executable ask 0.3200 (atc-bra-bot-vas-2026-10-07-bot).</t>
        </is>
      </c>
      <c r="AF21" s="31" t="inlineStr">
        <is>
          <t>Research-only soccer score model; draw-aware, but not yet locked-holdout qualified.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PAPER_CALL_MODEL_UNVALIDATED</t>
        </is>
      </c>
      <c r="AP21" s="24" t="inlineStr">
        <is>
          <t>Vasco da Gama</t>
        </is>
      </c>
      <c r="AQ21" s="24" t="inlineStr">
        <is>
          <t>Vasco da Gama</t>
        </is>
      </c>
      <c r="AR21" s="24" t="inlineStr">
        <is>
          <t>Vasco da Gama</t>
        </is>
      </c>
      <c r="AS21" s="24" t="inlineStr">
        <is>
          <t>Botafogo</t>
        </is>
      </c>
      <c r="AT21" s="24" t="inlineStr">
        <is>
          <t>Botafogo</t>
        </is>
      </c>
      <c r="AU21" s="24" t="inlineStr">
        <is>
          <t>Botafogo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3d16277c2cfc0628d7ec79d04feee92735e5c503a3be195cb225c7c52d024308</t>
        </is>
      </c>
      <c r="BB21" s="24" t="inlineStr">
        <is>
          <t>poisson_dixon_coles</t>
        </is>
      </c>
      <c r="BC21" s="24" t="inlineStr">
        <is>
          <t>soccer-poisson-dc-v1</t>
        </is>
      </c>
      <c r="BD21" s="24" t="inlineStr">
        <is>
          <t>3d16277c2cfc0628d7ec79d04feee92735e5c503a3be195cb225c7c52d024308</t>
        </is>
      </c>
      <c r="BE21" s="24" t="inlineStr">
        <is>
          <t>soccer-poisson-dc-v1</t>
        </is>
      </c>
      <c r="BF21" s="24" t="inlineStr">
        <is>
          <t>1</t>
        </is>
      </c>
      <c r="BG21" s="24" t="inlineStr">
        <is>
          <t>3d16277c2cfc0628d7ec79d04feee92735e5c503a3be195cb225c7c52d024308</t>
        </is>
      </c>
      <c r="BH21" s="24" t="inlineStr">
        <is>
          <t>2026-10-07T16:18:49.875265Z</t>
        </is>
      </c>
      <c r="BI21" s="24" t="inlineStr">
        <is>
          <t>["same_event","same_team_same_day","same_league_same_day"]</t>
        </is>
      </c>
      <c r="BJ21" s="25" t="n"/>
      <c r="BK21" s="26" t="n">
        <v>212</v>
      </c>
      <c r="BL21" s="27" t="n">
        <v>3.12</v>
      </c>
      <c r="BM21" s="28" t="n">
        <v>0.320513</v>
      </c>
      <c r="BN21" s="28" t="n"/>
      <c r="BO21" s="28" t="n"/>
      <c r="BP21" s="25" t="n"/>
      <c r="BQ21" s="27" t="n">
        <v>3.12</v>
      </c>
      <c r="BR21" s="28" t="n">
        <v>0.32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0.320513</t>
        </is>
      </c>
      <c r="DK21" s="24" t="n"/>
      <c r="DL21" s="24" t="n"/>
      <c r="DM21" s="24" t="n"/>
      <c r="DN21" s="24" t="n"/>
      <c r="DO21" s="24" t="n"/>
      <c r="DP21" s="24" t="n"/>
      <c r="DQ21" s="24" t="inlineStr">
        <is>
          <t>{"artifact_hash": "3d16277c2cfc0628d7ec79d04feee92735e5c503a3be195cb225c7c52d024308", "away_team": "Vasco da Gama", "event_id": "401841257", "event_start_utc": "2026-10-07T23:30Z", "features": {"away_goal_rate": 1.2418, "history_games": 9181, "home_goal_rate": 1.6423, "league_goals_per_team": 1.4281, "min_team_games": 0.0}, "historical_source_observation_times_verified": false, "home_team": "Botafogo",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"2026-10-07T22:26:18.678651+00:00", "probabilities": {"away": 0.278015, "draw": 0.265851, "home": 0.456135}, "replay_scope": "Exact full-precision serving state and rounding; upstream historical observation times are not certified.", "schema": "coded-moneyline-replay-v1", "snapshot_hash": "ed7eefa269d22ad160279ea6cfd01a18007fe5f2e8176b1e630cedd9497a25ef", "sport": "SOCCER"}</t>
        </is>
      </c>
    </row>
    <row r="22" ht="36" customHeight="1">
      <c r="A22" s="24" t="inlineStr">
        <is>
          <t>b231201ef46140a7</t>
        </is>
      </c>
      <c r="B22" s="24" t="inlineStr">
        <is>
          <t>2026-10-07T22:26:19.364010Z</t>
        </is>
      </c>
      <c r="C22" s="24" t="inlineStr">
        <is>
          <t>2026-10-08T00:30Z</t>
        </is>
      </c>
      <c r="D22" s="24" t="inlineStr">
        <is>
          <t>401841249</t>
        </is>
      </c>
      <c r="E22" s="24" t="inlineStr">
        <is>
          <t>SOCCER</t>
        </is>
      </c>
      <c r="F22" s="24" t="inlineStr">
        <is>
          <t>São Paulo</t>
        </is>
      </c>
      <c r="G22" s="24" t="inlineStr">
        <is>
          <t>Cruzeiro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-117</v>
      </c>
      <c r="M22" s="27" t="n">
        <v>1.854701</v>
      </c>
      <c r="N22" s="28" t="n">
        <v>0.539171</v>
      </c>
      <c r="O22" s="28" t="n">
        <v>0.456135</v>
      </c>
      <c r="P22" s="28" t="n">
        <v>0.2</v>
      </c>
      <c r="Q22" s="28" t="n">
        <v>-0.083036</v>
      </c>
      <c r="R22" s="26" t="n">
        <v>0</v>
      </c>
      <c r="S22" s="29" t="n">
        <v>1</v>
      </c>
      <c r="T22" s="24" t="inlineStr">
        <is>
          <t>soccer-poisson-dc-v1</t>
        </is>
      </c>
      <c r="U22" s="24" t="inlineStr">
        <is>
          <t>settled</t>
        </is>
      </c>
      <c r="V22" s="24" t="inlineStr">
        <is>
          <t>win</t>
        </is>
      </c>
      <c r="W22" s="26" t="n">
        <v>0</v>
      </c>
      <c r="X22" s="26" t="n">
        <v>2</v>
      </c>
      <c r="Y22" s="25" t="n"/>
      <c r="Z22" s="26" t="n">
        <v>-117</v>
      </c>
      <c r="AA22" s="28" t="n">
        <v>0.54</v>
      </c>
      <c r="AB22" s="28" t="n">
        <v>0.000829</v>
      </c>
      <c r="AC22" s="30" t="n">
        <v>0.8547</v>
      </c>
      <c r="AD22" s="24" t="inlineStr">
        <is>
          <t>2026-10-08T03:21:43.530371Z</t>
        </is>
      </c>
      <c r="AE22" s="31" t="inlineStr">
        <is>
          <t>Poisson-DC rates 1.64 (home) / 1.24 (away) from EWMA attack/defense strengths. Executable ask 0.5400 (atc-bra-cru-sao-2026-10-07-cru).</t>
        </is>
      </c>
      <c r="AF22" s="31" t="inlineStr">
        <is>
          <t>Research-only soccer score model; draw-aware, but not yet locked-holdout qualified.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4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PAPER_CALL_MODEL_UNVALIDATED</t>
        </is>
      </c>
      <c r="AP22" s="24" t="inlineStr">
        <is>
          <t>São Paulo</t>
        </is>
      </c>
      <c r="AQ22" s="24" t="inlineStr">
        <is>
          <t>São Paulo</t>
        </is>
      </c>
      <c r="AR22" s="24" t="inlineStr">
        <is>
          <t>São Paulo</t>
        </is>
      </c>
      <c r="AS22" s="24" t="inlineStr">
        <is>
          <t>Cruzeiro</t>
        </is>
      </c>
      <c r="AT22" s="24" t="inlineStr">
        <is>
          <t>Cruzeiro</t>
        </is>
      </c>
      <c r="AU22" s="24" t="inlineStr">
        <is>
          <t>Cruzeiro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3d16277c2cfc0628d7ec79d04feee92735e5c503a3be195cb225c7c52d024308</t>
        </is>
      </c>
      <c r="BB22" s="24" t="inlineStr">
        <is>
          <t>poisson_dixon_coles</t>
        </is>
      </c>
      <c r="BC22" s="24" t="inlineStr">
        <is>
          <t>soccer-poisson-dc-v1</t>
        </is>
      </c>
      <c r="BD22" s="24" t="inlineStr">
        <is>
          <t>3d16277c2cfc0628d7ec79d04feee92735e5c503a3be195cb225c7c52d024308</t>
        </is>
      </c>
      <c r="BE22" s="24" t="inlineStr">
        <is>
          <t>soccer-poisson-dc-v1</t>
        </is>
      </c>
      <c r="BF22" s="24" t="inlineStr">
        <is>
          <t>1</t>
        </is>
      </c>
      <c r="BG22" s="24" t="inlineStr">
        <is>
          <t>3d16277c2cfc0628d7ec79d04feee92735e5c503a3be195cb225c7c52d024308</t>
        </is>
      </c>
      <c r="BH22" s="24" t="inlineStr">
        <is>
          <t>2026-10-07T16:18:29.628975Z</t>
        </is>
      </c>
      <c r="BI22" s="24" t="inlineStr">
        <is>
          <t>["same_event","same_team_same_day","same_league_same_day"]</t>
        </is>
      </c>
      <c r="BJ22" s="25" t="n"/>
      <c r="BK22" s="26" t="n">
        <v>-117</v>
      </c>
      <c r="BL22" s="27" t="n">
        <v>1.854701</v>
      </c>
      <c r="BM22" s="28" t="n">
        <v>0.539171</v>
      </c>
      <c r="BN22" s="28" t="n"/>
      <c r="BO22" s="28" t="n"/>
      <c r="BP22" s="25" t="n"/>
      <c r="BQ22" s="27" t="n">
        <v>1.854701</v>
      </c>
      <c r="BR22" s="28" t="n">
        <v>0.54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0.539171</t>
        </is>
      </c>
      <c r="DK22" s="24" t="n"/>
      <c r="DL22" s="24" t="n"/>
      <c r="DM22" s="24" t="n"/>
      <c r="DN22" s="24" t="n"/>
      <c r="DO22" s="24" t="n"/>
      <c r="DP22" s="24" t="n"/>
      <c r="DQ22" s="24" t="inlineStr">
        <is>
          <t>{"artifact_hash": "3d16277c2cfc0628d7ec79d04feee92735e5c503a3be195cb225c7c52d024308", "away_team": "S\u00e3o Paulo", "event_id": "401841249", "event_start_utc": "2026-10-08T00:30Z", "features": {"away_goal_rate": 1.2418, "history_games": 9181, "home_goal_rate": 1.6423, "league_goals_per_team": 1.4281, "min_team_games": 0.0}, "historical_source_observation_times_verified": false, "home_team": "Cruzeiro", "inference_inputs": {"away_rate": 1.2417895180500373, "code_sha256": {"models/soccer.py": "3d16277c2cfc0628d7ec79d04feee92735e5c503a3be195cb225c7c52d024308"}, "home_rate": 1.642266637621174, "sport": "SOCCER"}, "market_type": "moneyline", "model_version": "soccer-poisson-dc-v1", "observed_at_utc": "2026-10-07T22:26:18.678651+00:00", "probabilities": {"away": 0.278015, "draw": 0.265851, "home": 0.456135}, "replay_scope": "Exact full-precision serving state and rounding; upstream historical observation times are not certified.", "schema": "coded-moneyline-replay-v1", "snapshot_hash": "5887c30bde3553bda844cb9eb6cc596dae2460a9ca323029ff5348baa8014d84", "sport": "SOCCER"}</t>
        </is>
      </c>
    </row>
    <row r="23" ht="36" customHeight="1">
      <c r="A23" s="24" t="inlineStr">
        <is>
          <t>0f0298839f1e4b8a</t>
        </is>
      </c>
      <c r="B23" s="24" t="inlineStr">
        <is>
          <t>2026-10-07T22:26:19.364010Z</t>
        </is>
      </c>
      <c r="C23" s="24" t="inlineStr">
        <is>
          <t>2026-10-07T22:30Z</t>
        </is>
      </c>
      <c r="D23" s="24" t="inlineStr">
        <is>
          <t>401860374</t>
        </is>
      </c>
      <c r="E23" s="24" t="inlineStr">
        <is>
          <t>SOCCER</t>
        </is>
      </c>
      <c r="F23" s="24" t="inlineStr">
        <is>
          <t>Londrina</t>
        </is>
      </c>
      <c r="G23" s="24" t="inlineStr">
        <is>
          <t>Avaí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122</v>
      </c>
      <c r="M23" s="27" t="n">
        <v>2.22</v>
      </c>
      <c r="N23" s="28" t="n">
        <v>0.45045</v>
      </c>
      <c r="O23" s="28" t="n">
        <v>0.440521</v>
      </c>
      <c r="P23" s="28" t="n">
        <v>0.2</v>
      </c>
      <c r="Q23" s="28" t="n">
        <v>-0.009929</v>
      </c>
      <c r="R23" s="26" t="n">
        <v>0</v>
      </c>
      <c r="S23" s="29" t="n">
        <v>1</v>
      </c>
      <c r="T23" s="24" t="inlineStr">
        <is>
          <t>soccer-poisson-dc-v1</t>
        </is>
      </c>
      <c r="U23" s="24" t="inlineStr">
        <is>
          <t>settled</t>
        </is>
      </c>
      <c r="V23" s="24" t="inlineStr">
        <is>
          <t>win</t>
        </is>
      </c>
      <c r="W23" s="26" t="n">
        <v>1</v>
      </c>
      <c r="X23" s="26" t="n">
        <v>2</v>
      </c>
      <c r="Y23" s="25" t="n"/>
      <c r="Z23" s="26" t="n">
        <v>122</v>
      </c>
      <c r="AA23" s="28" t="n">
        <v>0.45</v>
      </c>
      <c r="AB23" s="28" t="n">
        <v>-0.00045</v>
      </c>
      <c r="AC23" s="30" t="n">
        <v>1.22</v>
      </c>
      <c r="AD23" s="24" t="inlineStr">
        <is>
          <t>2026-10-08T03:21:46.945968Z</t>
        </is>
      </c>
      <c r="AE23" s="31" t="inlineStr">
        <is>
          <t>Poisson-DC rates 1.46 (home) / 1.10 (away) from EWMA attack/defense strengths. Executable ask 0.4500 (atc-brb-ava-lon-2026-10-07-ava).</t>
        </is>
      </c>
      <c r="AF23" s="31" t="inlineStr">
        <is>
          <t>Research-only soccer score model; draw-aware, but not yet locked-holdout qualified.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PAPER_CALL_MODEL_UNVALIDATED</t>
        </is>
      </c>
      <c r="AP23" s="24" t="inlineStr">
        <is>
          <t>Londrina</t>
        </is>
      </c>
      <c r="AQ23" s="24" t="inlineStr">
        <is>
          <t>Londrina</t>
        </is>
      </c>
      <c r="AR23" s="24" t="inlineStr">
        <is>
          <t>Londrina</t>
        </is>
      </c>
      <c r="AS23" s="24" t="inlineStr">
        <is>
          <t>Avaí</t>
        </is>
      </c>
      <c r="AT23" s="24" t="inlineStr">
        <is>
          <t>Avaí</t>
        </is>
      </c>
      <c r="AU23" s="24" t="inlineStr">
        <is>
          <t>Avaí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3d16277c2cfc0628d7ec79d04feee92735e5c503a3be195cb225c7c52d024308</t>
        </is>
      </c>
      <c r="BB23" s="24" t="inlineStr">
        <is>
          <t>poisson_dixon_coles</t>
        </is>
      </c>
      <c r="BC23" s="24" t="inlineStr">
        <is>
          <t>soccer-poisson-dc-v1</t>
        </is>
      </c>
      <c r="BD23" s="24" t="inlineStr">
        <is>
          <t>3d16277c2cfc0628d7ec79d04feee92735e5c503a3be195cb225c7c52d024308</t>
        </is>
      </c>
      <c r="BE23" s="24" t="inlineStr">
        <is>
          <t>soccer-poisson-dc-v1</t>
        </is>
      </c>
      <c r="BF23" s="24" t="inlineStr">
        <is>
          <t>1</t>
        </is>
      </c>
      <c r="BG23" s="24" t="inlineStr">
        <is>
          <t>3d16277c2cfc0628d7ec79d04feee92735e5c503a3be195cb225c7c52d024308</t>
        </is>
      </c>
      <c r="BH23" s="24" t="inlineStr">
        <is>
          <t>2026-10-07T16:18:49.922602Z</t>
        </is>
      </c>
      <c r="BI23" s="24" t="inlineStr">
        <is>
          <t>["same_event","same_team_same_day","same_league_same_day"]</t>
        </is>
      </c>
      <c r="BJ23" s="25" t="n"/>
      <c r="BK23" s="26" t="n">
        <v>122</v>
      </c>
      <c r="BL23" s="27" t="n">
        <v>2.22</v>
      </c>
      <c r="BM23" s="28" t="n">
        <v>0.45045</v>
      </c>
      <c r="BN23" s="28" t="n"/>
      <c r="BO23" s="28" t="n"/>
      <c r="BP23" s="25" t="n"/>
      <c r="BQ23" s="27" t="n">
        <v>2.22</v>
      </c>
      <c r="BR23" s="28" t="n">
        <v>0.45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0.45045</t>
        </is>
      </c>
      <c r="DK23" s="24" t="n"/>
      <c r="DL23" s="24" t="n"/>
      <c r="DM23" s="24" t="n"/>
      <c r="DN23" s="24" t="n"/>
      <c r="DO23" s="24" t="n"/>
      <c r="DP23" s="24" t="n"/>
      <c r="DQ23" s="24" t="inlineStr">
        <is>
          <t>{"artifact_hash": "3d16277c2cfc0628d7ec79d04feee92735e5c503a3be195cb225c7c52d024308", "away_team": "Londrina", "event_id": "401860374", "event_start_utc": "2026-10-07T22:30Z", "features": {"away_goal_rate": 1.1038, "history_games": 9181, "home_goal_rate": 1.4598, "league_goals_per_team": 1.4281, "min_team_games": 0.0}, "historical_source_observation_times_verified": false, "home_team": "Ava\u00ed", "inference_inputs": {"away_rate": 1.1038129049333665, "code_sha256": {"models/soccer.py": "3d16277c2cfc0628d7ec79d04feee92735e5c503a3be195cb225c7c52d024308"}, "home_rate": 1.459792566774377, "sport": "SOCCER"}, "market_type": "moneyline", "model_version": "soccer-poisson-dc-v1", "observed_at_utc": "2026-10-07T22:26:18.678651+00:00", "probabilities": {"away": 0.273602, "draw": 0.285877, "home": 0.440521}, "replay_scope": "Exact full-precision serving state and rounding; upstream historical observation times are not certified.", "schema": "coded-moneyline-replay-v1", "snapshot_hash": "b4a4bf344d4d5cbac34b1c918e8e0a134dbe4ae5e9629a659fa07498131d97e6", "sport": "SOCCER"}</t>
        </is>
      </c>
    </row>
    <row r="24" ht="36" customHeight="1">
      <c r="A24" s="24" t="inlineStr">
        <is>
          <t>527a99774d574aae</t>
        </is>
      </c>
      <c r="B24" s="24" t="inlineStr">
        <is>
          <t>2026-10-07T22:26:19.364010Z</t>
        </is>
      </c>
      <c r="C24" s="24" t="inlineStr">
        <is>
          <t>2026-10-07T23:30Z</t>
        </is>
      </c>
      <c r="D24" s="24" t="inlineStr">
        <is>
          <t>401860376</t>
        </is>
      </c>
      <c r="E24" s="24" t="inlineStr">
        <is>
          <t>SOCCER</t>
        </is>
      </c>
      <c r="F24" s="24" t="inlineStr">
        <is>
          <t>Cuiabá</t>
        </is>
      </c>
      <c r="G24" s="24" t="inlineStr">
        <is>
          <t>Vila Nova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117</v>
      </c>
      <c r="M24" s="27" t="n">
        <v>2.17</v>
      </c>
      <c r="N24" s="28" t="n">
        <v>0.460829</v>
      </c>
      <c r="O24" s="28" t="n">
        <v>0.398039</v>
      </c>
      <c r="P24" s="28" t="n">
        <v>0.2</v>
      </c>
      <c r="Q24" s="28" t="n">
        <v>-0.06279</v>
      </c>
      <c r="R24" s="26" t="n">
        <v>0</v>
      </c>
      <c r="S24" s="29" t="n">
        <v>1</v>
      </c>
      <c r="T24" s="24" t="inlineStr">
        <is>
          <t>soccer-poisson-dc-v1</t>
        </is>
      </c>
      <c r="U24" s="24" t="inlineStr">
        <is>
          <t>settled</t>
        </is>
      </c>
      <c r="V24" s="24" t="inlineStr">
        <is>
          <t>loss</t>
        </is>
      </c>
      <c r="W24" s="26" t="n">
        <v>0</v>
      </c>
      <c r="X24" s="26" t="n">
        <v>0</v>
      </c>
      <c r="Y24" s="25" t="n"/>
      <c r="Z24" s="26" t="n">
        <v>117</v>
      </c>
      <c r="AA24" s="28" t="n">
        <v>0.46</v>
      </c>
      <c r="AB24" s="28" t="n">
        <v>-0.000829</v>
      </c>
      <c r="AC24" s="30" t="n">
        <v>-1</v>
      </c>
      <c r="AD24" s="24" t="inlineStr">
        <is>
          <t>2026-10-08T03:21:50.089152Z</t>
        </is>
      </c>
      <c r="AE24" s="31" t="inlineStr">
        <is>
          <t>Poisson-DC rates 1.46 (home) / 1.30 (away) from EWMA attack/defense strengths. Executable ask 0.4600 (atc-brb-vln-cui-2026-10-07-vln).</t>
        </is>
      </c>
      <c r="AF24" s="31" t="inlineStr">
        <is>
          <t>Research-only soccer score model; draw-aware, but not yet locked-holdout qualified.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PAPER_CALL_MODEL_UNVALIDATED</t>
        </is>
      </c>
      <c r="AP24" s="24" t="inlineStr">
        <is>
          <t>Cuiabá</t>
        </is>
      </c>
      <c r="AQ24" s="24" t="inlineStr">
        <is>
          <t>Cuiabá</t>
        </is>
      </c>
      <c r="AR24" s="24" t="inlineStr">
        <is>
          <t>Cuiabá</t>
        </is>
      </c>
      <c r="AS24" s="24" t="inlineStr">
        <is>
          <t>Vila Nova</t>
        </is>
      </c>
      <c r="AT24" s="24" t="inlineStr">
        <is>
          <t>Vila Nova</t>
        </is>
      </c>
      <c r="AU24" s="24" t="inlineStr">
        <is>
          <t>Vila Nova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3d16277c2cfc0628d7ec79d04feee92735e5c503a3be195cb225c7c52d024308</t>
        </is>
      </c>
      <c r="BB24" s="24" t="inlineStr">
        <is>
          <t>poisson_dixon_coles</t>
        </is>
      </c>
      <c r="BC24" s="24" t="inlineStr">
        <is>
          <t>soccer-poisson-dc-v1</t>
        </is>
      </c>
      <c r="BD24" s="24" t="inlineStr">
        <is>
          <t>3d16277c2cfc0628d7ec79d04feee92735e5c503a3be195cb225c7c52d024308</t>
        </is>
      </c>
      <c r="BE24" s="24" t="inlineStr">
        <is>
          <t>soccer-poisson-dc-v1</t>
        </is>
      </c>
      <c r="BF24" s="24" t="inlineStr">
        <is>
          <t>1</t>
        </is>
      </c>
      <c r="BG24" s="24" t="inlineStr">
        <is>
          <t>3d16277c2cfc0628d7ec79d04feee92735e5c503a3be195cb225c7c52d024308</t>
        </is>
      </c>
      <c r="BH24" s="24" t="inlineStr">
        <is>
          <t>2026-10-07T16:19:20.119941Z</t>
        </is>
      </c>
      <c r="BI24" s="24" t="inlineStr">
        <is>
          <t>["same_event","same_team_same_day","same_league_same_day"]</t>
        </is>
      </c>
      <c r="BJ24" s="25" t="n"/>
      <c r="BK24" s="26" t="n">
        <v>117</v>
      </c>
      <c r="BL24" s="27" t="n">
        <v>2.17</v>
      </c>
      <c r="BM24" s="28" t="n">
        <v>0.460829</v>
      </c>
      <c r="BN24" s="28" t="n"/>
      <c r="BO24" s="28" t="n"/>
      <c r="BP24" s="25" t="n"/>
      <c r="BQ24" s="27" t="n">
        <v>2.17</v>
      </c>
      <c r="BR24" s="28" t="n">
        <v>0.46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0.460829</t>
        </is>
      </c>
      <c r="DK24" s="24" t="n"/>
      <c r="DL24" s="24" t="n"/>
      <c r="DM24" s="24" t="n"/>
      <c r="DN24" s="24" t="n"/>
      <c r="DO24" s="24" t="n"/>
      <c r="DP24" s="24" t="n"/>
      <c r="DQ24" s="24" t="inlineStr">
        <is>
          <t>{"artifact_hash": "3d16277c2cfc0628d7ec79d04feee92735e5c503a3be195cb225c7c52d024308", "away_team": "Cuiab\u00e1", "event_id": "401860376", "event_start_utc": "2026-10-07T23:30Z", "features": {"away_goal_rate": 1.297, "history_games": 9181, "home_goal_rate": 1.4598, "league_goals_per_team": 1.4281, "min_team_games": 0.0}, "historical_source_observation_times_verified": false, "home_team": "Vila Nova", "inference_inputs": {"away_rate": 1.2970496199092119, "code_sha256": {"models/soccer.py": "3d16277c2cfc0628d7ec79d04feee92735e5c503a3be195cb225c7c52d024308"}, "home_rate": 1.459792566774377, "sport": "SOCCER"}, "market_type": "moneyline", "model_version": "soccer-poisson-dc-v1", "observed_at_utc": "2026-10-07T22:26:18.678651+00:00", "probabilities": {"away": 0.323801, "draw": 0.27816, "home": 0.398039}, "replay_scope": "Exact full-precision serving state and rounding; upstream historical observation times are not certified.", "schema": "coded-moneyline-replay-v1", "snapshot_hash": "9483f5e73c571a9b7ab1d528802e08f3d8597bf0ee95257094ca351463afee88", "sport": "SOCCER"}</t>
        </is>
      </c>
    </row>
    <row r="25" ht="36" customHeight="1">
      <c r="A25" s="24" t="inlineStr">
        <is>
          <t>5a42ce49dd9e42a1</t>
        </is>
      </c>
      <c r="B25" s="24" t="inlineStr">
        <is>
          <t>2026-10-11T01:05:49.904646Z</t>
        </is>
      </c>
      <c r="C25" s="24" t="inlineStr">
        <is>
          <t>2026-10-11T01:30Z</t>
        </is>
      </c>
      <c r="D25" s="24" t="inlineStr">
        <is>
          <t>761857</t>
        </is>
      </c>
      <c r="E25" s="24" t="inlineStr">
        <is>
          <t>SOCCER</t>
        </is>
      </c>
      <c r="F25" s="24" t="inlineStr">
        <is>
          <t>San Jose Earthquakes</t>
        </is>
      </c>
      <c r="G25" s="24" t="inlineStr">
        <is>
          <t>Colorado Rapids</t>
        </is>
      </c>
      <c r="H25" s="24" t="inlineStr">
        <is>
          <t>total</t>
        </is>
      </c>
      <c r="I25" s="24" t="inlineStr">
        <is>
          <t>over</t>
        </is>
      </c>
      <c r="J25" s="25" t="n">
        <v>2.5</v>
      </c>
      <c r="K25" s="24" t="inlineStr">
        <is>
          <t>polymarket_us</t>
        </is>
      </c>
      <c r="L25" s="26" t="n">
        <v>-163</v>
      </c>
      <c r="M25" s="27" t="n">
        <v>1.613497</v>
      </c>
      <c r="N25" s="28" t="n">
        <v>0.619772</v>
      </c>
      <c r="O25" s="28" t="n">
        <v>0.672976</v>
      </c>
      <c r="P25" s="28" t="n">
        <v>0.04</v>
      </c>
      <c r="Q25" s="28" t="n">
        <v>0.053204</v>
      </c>
      <c r="R25" s="26" t="n">
        <v>53</v>
      </c>
      <c r="S25" s="29" t="n">
        <v>1</v>
      </c>
      <c r="T25" s="24" t="inlineStr">
        <is>
          <t>soccer-poisson-dc-v1</t>
        </is>
      </c>
      <c r="U25" s="24" t="inlineStr">
        <is>
          <t>settled</t>
        </is>
      </c>
      <c r="V25" s="24" t="inlineStr">
        <is>
          <t>loss</t>
        </is>
      </c>
      <c r="W25" s="26" t="n">
        <v>1</v>
      </c>
      <c r="X25" s="26" t="n">
        <v>1</v>
      </c>
      <c r="Y25" s="25" t="n"/>
      <c r="Z25" s="26" t="n">
        <v>-163</v>
      </c>
      <c r="AA25" s="28" t="n">
        <v>0.62</v>
      </c>
      <c r="AB25" s="28" t="n">
        <v>0.000228</v>
      </c>
      <c r="AC25" s="30" t="n">
        <v>-1</v>
      </c>
      <c r="AD25" s="24" t="inlineStr">
        <is>
          <t>2026-10-11T04:35:25.812773Z</t>
        </is>
      </c>
      <c r="AE25" s="31" t="inlineStr">
        <is>
          <t>Poisson-DC rates 1.61 (home) / 1.86 (away) from EWMA attack/defense strengths. Executable ask 0.6200 (tsc-mls-col-sje-2026-10-10-2pt5).</t>
        </is>
      </c>
      <c r="AF25" s="31" t="inlineStr">
        <is>
          <t>Research-only soccer score model; draw-aware, but not yet locked-holdout qualified.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San Jose Earthquakes</t>
        </is>
      </c>
      <c r="AQ25" s="24" t="inlineStr">
        <is>
          <t>San Jose Earthquakes</t>
        </is>
      </c>
      <c r="AR25" s="24" t="inlineStr">
        <is>
          <t>San Jose Earthquakes</t>
        </is>
      </c>
      <c r="AS25" s="24" t="inlineStr">
        <is>
          <t>Colorado Rapids</t>
        </is>
      </c>
      <c r="AT25" s="24" t="inlineStr">
        <is>
          <t>Colorado Rapids</t>
        </is>
      </c>
      <c r="AU25" s="24" t="inlineStr">
        <is>
          <t>Colorado Rapids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98bf860303c67c58359be86b4d990cec1b82b49d21628d60e231e6f689c3423a</t>
        </is>
      </c>
      <c r="BB25" s="24" t="inlineStr">
        <is>
          <t>poisson_dixon_coles</t>
        </is>
      </c>
      <c r="BC25" s="24" t="inlineStr">
        <is>
          <t>soccer-poisson-dc-v1</t>
        </is>
      </c>
      <c r="BD25" s="24" t="inlineStr">
        <is>
          <t>98bf860303c67c58359be86b4d990cec1b82b49d21628d60e231e6f689c3423a</t>
        </is>
      </c>
      <c r="BE25" s="24" t="inlineStr">
        <is>
          <t>soccer-poisson-dc-v1</t>
        </is>
      </c>
      <c r="BF25" s="24" t="inlineStr">
        <is>
          <t>1</t>
        </is>
      </c>
      <c r="BG25" s="24" t="inlineStr">
        <is>
          <t>98bf860303c67c58359be86b4d990cec1b82b49d21628d60e231e6f689c3423a</t>
        </is>
      </c>
      <c r="BH25" s="24" t="inlineStr">
        <is>
          <t>2026-10-11T00:56:21.481601Z</t>
        </is>
      </c>
      <c r="BI25" s="24" t="inlineStr">
        <is>
          <t>["same_event","same_team_same_day","same_league_same_day"]</t>
        </is>
      </c>
      <c r="BJ25" s="25" t="n">
        <v>2.5</v>
      </c>
      <c r="BK25" s="26" t="n">
        <v>-163</v>
      </c>
      <c r="BL25" s="27" t="n">
        <v>1.613497</v>
      </c>
      <c r="BM25" s="28" t="n">
        <v>0.619772</v>
      </c>
      <c r="BN25" s="28" t="n"/>
      <c r="BO25" s="28" t="n"/>
      <c r="BP25" s="25" t="n"/>
      <c r="BQ25" s="27" t="n">
        <v>1.613497</v>
      </c>
      <c r="BR25" s="28" t="n">
        <v>0.62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n"/>
      <c r="DK25" s="24" t="n"/>
      <c r="DL25" s="24" t="n"/>
      <c r="DM25" s="24" t="n"/>
      <c r="DN25" s="24" t="n"/>
      <c r="DO25" s="24" t="n"/>
      <c r="DP25" s="24" t="n"/>
      <c r="DQ25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2026-10-11T04:35:28Z</dcterms:created>
  <dcterms:modified xmlns:dcterms="http://purl.org/dc/terms/" xmlns:xsi="http://www.w3.org/2001/XMLSchema-instance" xsi:type="dcterms:W3CDTF">2026-10-11T04:35:28Z</dcterms:modified>
</cp:coreProperties>
</file>