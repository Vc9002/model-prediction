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778" headerRowCount="1">
  <autoFilter ref="A1:DQ77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COUNTA('Picks'!$A$2:$A$778)</f>
        <v/>
      </c>
      <c r="C4" s="6">
        <f>COUNTIF('Picks'!$U$2:$U$778,"open")</f>
        <v/>
      </c>
      <c r="E4" s="6">
        <f>COUNTIF('Picks'!$U$2:$U$778,"settled")</f>
        <v/>
      </c>
      <c r="G4" s="6">
        <f>IF(COUNTIFS('Picks'!$U$2:$U$778,"settled",'Picks'!$V$2:$V$778,"win")+COUNTIFS('Picks'!$U$2:$U$778,"settled",'Picks'!$V$2:$V$778,"loss")&gt;=$L$2,"Ready","Insufficient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COUNTIF('Picks'!$BX$2:$BX$778,"&gt;0")</f>
        <v/>
      </c>
      <c r="C7" s="6">
        <f>COUNTIFS('Picks'!$BX$2:$BX$778,"&gt;0",'Picks'!$V$2:$V$778,"win")&amp;"-"&amp;COUNTIFS('Picks'!$BX$2:$BX$778,"&gt;0",'Picks'!$V$2:$V$778,"loss")</f>
        <v/>
      </c>
      <c r="E7" s="7">
        <f>IFERROR(COUNTIFS('Picks'!$BX$2:$BX$778,"&gt;0",'Picks'!$V$2:$V$778,"win")/(COUNTIFS('Picks'!$BX$2:$BX$778,"&gt;0",'Picks'!$V$2:$V$778,"win")+COUNTIFS('Picks'!$BX$2:$BX$778,"&gt;0",'Picks'!$V$2:$V$778,"loss")),0)</f>
        <v/>
      </c>
      <c r="G7" s="7">
        <f>IFERROR(SUM('Picks'!$BY$2:$BY$778)/SUM('Picks'!$BX$2:$BX$778),0)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SUM('Picks'!$BY$2:$BY$778)</f>
        <v/>
      </c>
      <c r="C10" s="9">
        <f>IFERROR(AVERAGEIF('Picks'!$AB$2:$AB$778,"&lt;&gt;",'Picks'!$AB$2:$AB$778),0)</f>
        <v/>
      </c>
      <c r="E10" s="6">
        <f>COUNTIFS('Picks'!$AM$2:$AM$778,"QUALIFIED_SHADOW_CALL",'Picks'!$U$2:$U$778,"settled")</f>
        <v/>
      </c>
      <c r="G10" s="8">
        <f>SUMIFS('Picks'!$AC$2:$AC$778,'Picks'!$AM$2:$AM$778,"QUALIFIED_SHADOW_CALL")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COUNTIFS('Picks'!$H$2:$H$778,$A14,'Picks'!$U$2:$U$778,"settled")</f>
        <v/>
      </c>
      <c r="C14" s="13">
        <f>COUNTIFS('Picks'!$H$2:$H$778,$A14,'Picks'!$U$2:$U$778,"settled",'Picks'!$V$2:$V$778,"win")</f>
        <v/>
      </c>
      <c r="D14" s="13">
        <f>COUNTIFS('Picks'!$H$2:$H$778,$A14,'Picks'!$U$2:$U$778,"settled",'Picks'!$V$2:$V$778,"loss")</f>
        <v/>
      </c>
      <c r="E14" s="14">
        <f>IFERROR(C14/(C14+D14),0)</f>
        <v/>
      </c>
      <c r="F14" s="15">
        <f>SUMIFS('Picks'!$BY$2:$BY$778,'Picks'!$H$2:$H$778,$A14)</f>
        <v/>
      </c>
      <c r="G14" s="16">
        <f>IFERROR(AVERAGEIFS('Picks'!$AB$2:$AB$778,'Picks'!$H$2:$H$778,$A14,'Picks'!$U$2:$U$778,"settled"),0)</f>
        <v/>
      </c>
    </row>
    <row r="15">
      <c r="A15" s="17" t="inlineStr">
        <is>
          <t>spread</t>
        </is>
      </c>
      <c r="B15" s="18">
        <f>COUNTIFS('Picks'!$H$2:$H$778,$A15,'Picks'!$U$2:$U$778,"settled")</f>
        <v/>
      </c>
      <c r="C15" s="18">
        <f>COUNTIFS('Picks'!$H$2:$H$778,$A15,'Picks'!$U$2:$U$778,"settled",'Picks'!$V$2:$V$778,"win")</f>
        <v/>
      </c>
      <c r="D15" s="18">
        <f>COUNTIFS('Picks'!$H$2:$H$778,$A15,'Picks'!$U$2:$U$778,"settled",'Picks'!$V$2:$V$778,"loss")</f>
        <v/>
      </c>
      <c r="E15" s="19">
        <f>IFERROR(C15/(C15+D15),0)</f>
        <v/>
      </c>
      <c r="F15" s="20">
        <f>SUMIFS('Picks'!$BY$2:$BY$778,'Picks'!$H$2:$H$778,$A15)</f>
        <v/>
      </c>
      <c r="G15" s="21">
        <f>IFERROR(AVERAGEIFS('Picks'!$AB$2:$AB$778,'Picks'!$H$2:$H$778,$A15,'Picks'!$U$2:$U$778,"settled"),0)</f>
        <v/>
      </c>
    </row>
    <row r="16">
      <c r="A16" s="12" t="inlineStr">
        <is>
          <t>total</t>
        </is>
      </c>
      <c r="B16" s="13">
        <f>COUNTIFS('Picks'!$H$2:$H$778,$A16,'Picks'!$U$2:$U$778,"settled")</f>
        <v/>
      </c>
      <c r="C16" s="13">
        <f>COUNTIFS('Picks'!$H$2:$H$778,$A16,'Picks'!$U$2:$U$778,"settled",'Picks'!$V$2:$V$778,"win")</f>
        <v/>
      </c>
      <c r="D16" s="13">
        <f>COUNTIFS('Picks'!$H$2:$H$778,$A16,'Picks'!$U$2:$U$778,"settled",'Picks'!$V$2:$V$778,"loss")</f>
        <v/>
      </c>
      <c r="E16" s="14">
        <f>IFERROR(C16/(C16+D16),0)</f>
        <v/>
      </c>
      <c r="F16" s="15">
        <f>SUMIFS('Picks'!$BY$2:$BY$778,'Picks'!$H$2:$H$778,$A16)</f>
        <v/>
      </c>
      <c r="G16" s="16">
        <f>IFERROR(AVERAGEIFS('Picks'!$AB$2:$AB$778,'Picks'!$H$2:$H$778,$A16,'Picks'!$U$2:$U$778,"settled"),0)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7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0.330033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0.640288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0.37037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0.609375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0.559471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c1a2615685634f23</t>
        </is>
      </c>
      <c r="B9" s="24" t="inlineStr">
        <is>
          <t>2026-07-28T20:34:14.874473Z</t>
        </is>
      </c>
      <c r="C9" s="24" t="inlineStr">
        <is>
          <t>2026-07-28T22:30Z</t>
        </is>
      </c>
      <c r="D9" s="24" t="inlineStr">
        <is>
          <t>401860261</t>
        </is>
      </c>
      <c r="E9" s="24" t="inlineStr">
        <is>
          <t>SOCCER</t>
        </is>
      </c>
      <c r="F9" s="24" t="inlineStr">
        <is>
          <t>Athletic</t>
        </is>
      </c>
      <c r="G9" s="24" t="inlineStr">
        <is>
          <t>Ponte Preta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300</v>
      </c>
      <c r="M9" s="27" t="n">
        <v>4</v>
      </c>
      <c r="N9" s="28" t="n">
        <v>0.25</v>
      </c>
      <c r="O9" s="28" t="n">
        <v>0.456199</v>
      </c>
      <c r="P9" s="28" t="n">
        <v>0.2</v>
      </c>
      <c r="Q9" s="28" t="n">
        <v>0.206199</v>
      </c>
      <c r="R9" s="26" t="n">
        <v>33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2026-08-02T16:08:30.066604Z</t>
        </is>
      </c>
      <c r="AE9" s="31" t="inlineStr">
        <is>
          <t>Poisson-DC rates 1.64 (home) / 1.24 (away) from EWMA attack/defense strengths. Executable ask 0.2500 (atc-brb-pop-ath-2026-07-28-pop).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Athletic</t>
        </is>
      </c>
      <c r="AQ9" s="24" t="inlineStr">
        <is>
          <t>Athletic</t>
        </is>
      </c>
      <c r="AR9" s="24" t="inlineStr">
        <is>
          <t>Athletic</t>
        </is>
      </c>
      <c r="AS9" s="24" t="inlineStr">
        <is>
          <t>Ponte Preta</t>
        </is>
      </c>
      <c r="AT9" s="24" t="inlineStr">
        <is>
          <t>Ponte Preta</t>
        </is>
      </c>
      <c r="AU9" s="24" t="inlineStr">
        <is>
          <t>Ponte Preta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2026-07-28T20:32:26.083099Z</t>
        </is>
      </c>
      <c r="BI9" s="24" t="inlineStr">
        <is>
          <t>["same_event","same_team_same_day","same_league_same_day"]</t>
        </is>
      </c>
      <c r="BJ9" s="25" t="n"/>
      <c r="BK9" s="26" t="n">
        <v>300</v>
      </c>
      <c r="BL9" s="27" t="n">
        <v>4</v>
      </c>
      <c r="BM9" s="28" t="n">
        <v>0.25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0.25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0.509804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2026-08-02T16:08:30.800425Z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0.640288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0.409836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9eab45bc1b49434a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401841170</t>
        </is>
      </c>
      <c r="E14" s="24" t="inlineStr">
        <is>
          <t>SOCCER</t>
        </is>
      </c>
      <c r="F14" s="24" t="inlineStr">
        <is>
          <t>Remo</t>
        </is>
      </c>
      <c r="G14" s="24" t="inlineStr">
        <is>
          <t>Mirassol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0.456199</v>
      </c>
      <c r="P14" s="28" t="n">
        <v>0.2</v>
      </c>
      <c r="Q14" s="28" t="n">
        <v>-0.123633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2</v>
      </c>
      <c r="Y14" s="25" t="n"/>
      <c r="Z14" s="26" t="n"/>
      <c r="AA14" s="28" t="n"/>
      <c r="AB14" s="28" t="n"/>
      <c r="AC14" s="30" t="n">
        <v>0.7246</v>
      </c>
      <c r="AD14" s="24" t="inlineStr">
        <is>
          <t>2026-07-30T04:12:52.337713Z</t>
        </is>
      </c>
      <c r="AE14" s="31" t="inlineStr">
        <is>
          <t>Poisson-DC rates 1.64 (home) / 1.24 (away) from EWMA attack/defense strengths. Executable ask 0.5800 (atc-bra-mir-cre-2026-07-29-mir).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Remo</t>
        </is>
      </c>
      <c r="AQ14" s="24" t="inlineStr">
        <is>
          <t>Remo</t>
        </is>
      </c>
      <c r="AR14" s="24" t="inlineStr">
        <is>
          <t>Remo</t>
        </is>
      </c>
      <c r="AS14" s="24" t="inlineStr">
        <is>
          <t>Mirassol</t>
        </is>
      </c>
      <c r="AT14" s="24" t="inlineStr">
        <is>
          <t>Mirassol</t>
        </is>
      </c>
      <c r="AU14" s="24" t="inlineStr">
        <is>
          <t>Mirassol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2026-07-29T17:43:19.742689Z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0.579832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e4ff84b7e06b4da7</t>
        </is>
      </c>
      <c r="B15" s="24" t="inlineStr">
        <is>
          <t>2026-07-29T17:45:15.881226Z</t>
        </is>
      </c>
      <c r="C15" s="24" t="inlineStr">
        <is>
          <t>2026-07-29T22:15Z</t>
        </is>
      </c>
      <c r="D15" s="24" t="inlineStr">
        <is>
          <t>401841457</t>
        </is>
      </c>
      <c r="E15" s="24" t="inlineStr">
        <is>
          <t>SOCCER</t>
        </is>
      </c>
      <c r="F15" s="24" t="inlineStr">
        <is>
          <t>River Plate</t>
        </is>
      </c>
      <c r="G15" s="24" t="inlineStr">
        <is>
          <t>Gimnasia La Plata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355</v>
      </c>
      <c r="M15" s="27" t="n">
        <v>4.55</v>
      </c>
      <c r="N15" s="28" t="n">
        <v>0.21978</v>
      </c>
      <c r="O15" s="28" t="n">
        <v>0.456199</v>
      </c>
      <c r="P15" s="28" t="n">
        <v>0.2</v>
      </c>
      <c r="Q15" s="28" t="n">
        <v>0.236419</v>
      </c>
      <c r="R15" s="26" t="n">
        <v>48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3.55</v>
      </c>
      <c r="AD15" s="24" t="inlineStr">
        <is>
          <t>2026-07-30T04:12:52.533511Z</t>
        </is>
      </c>
      <c r="AE15" s="31" t="inlineStr">
        <is>
          <t>Poisson-DC rates 1.64 (home) / 1.24 (away) from EWMA attack/defense strengths. Executable ask 0.2200 (atc-lpa-gim-riv-2026-07-29-gim).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River Plate</t>
        </is>
      </c>
      <c r="AQ15" s="24" t="inlineStr">
        <is>
          <t>River Plate</t>
        </is>
      </c>
      <c r="AR15" s="24" t="inlineStr">
        <is>
          <t>River Plate</t>
        </is>
      </c>
      <c r="AS15" s="24" t="inlineStr">
        <is>
          <t>Gimnasia La Plata</t>
        </is>
      </c>
      <c r="AT15" s="24" t="inlineStr">
        <is>
          <t>Gimnasia La Plata</t>
        </is>
      </c>
      <c r="AU15" s="24" t="inlineStr">
        <is>
          <t>Gimnasia La Plata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2026-07-29T17:43:20.814669Z</t>
        </is>
      </c>
      <c r="BI15" s="24" t="inlineStr">
        <is>
          <t>["same_event","same_team_same_day","same_league_same_day"]</t>
        </is>
      </c>
      <c r="BJ15" s="25" t="n"/>
      <c r="BK15" s="26" t="n">
        <v>355</v>
      </c>
      <c r="BL15" s="27" t="n">
        <v>4.55</v>
      </c>
      <c r="BM15" s="28" t="n">
        <v>0.21978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0.21978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6fe762116e044f29</t>
        </is>
      </c>
      <c r="B16" s="24" t="inlineStr">
        <is>
          <t>2026-07-29T17:45:15.881226Z</t>
        </is>
      </c>
      <c r="C16" s="24" t="inlineStr">
        <is>
          <t>2026-07-29T23:30Z</t>
        </is>
      </c>
      <c r="D16" s="24" t="inlineStr">
        <is>
          <t>401863532</t>
        </is>
      </c>
      <c r="E16" s="24" t="inlineStr">
        <is>
          <t>SOCCER</t>
        </is>
      </c>
      <c r="F16" s="24" t="inlineStr">
        <is>
          <t>Wrexham</t>
        </is>
      </c>
      <c r="G16" s="24" t="inlineStr">
        <is>
          <t>Liverpool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-233</v>
      </c>
      <c r="M16" s="27" t="n">
        <v>1.429185</v>
      </c>
      <c r="N16" s="28" t="n">
        <v>0.6997</v>
      </c>
      <c r="O16" s="28" t="n">
        <v>0.5541700000000001</v>
      </c>
      <c r="P16" s="28" t="n">
        <v>0.04</v>
      </c>
      <c r="Q16" s="28" t="n">
        <v>-0.14553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0.4292</v>
      </c>
      <c r="AD16" s="24" t="inlineStr">
        <is>
          <t>2026-07-30T04:12:55.723807Z</t>
        </is>
      </c>
      <c r="AE16" s="31" t="inlineStr">
        <is>
          <t>Poisson-DC rates 2.12 (home) / 1.29 (away) from EWMA attack/defense strengths. Executable ask 0.7000 (atc-clbf-lfc-wre-2026-07-29-lfc).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Wrexham</t>
        </is>
      </c>
      <c r="AQ16" s="24" t="inlineStr">
        <is>
          <t>Wrexham</t>
        </is>
      </c>
      <c r="AR16" s="24" t="inlineStr">
        <is>
          <t>Wrexham</t>
        </is>
      </c>
      <c r="AS16" s="24" t="inlineStr">
        <is>
          <t>Liverpool</t>
        </is>
      </c>
      <c r="AT16" s="24" t="inlineStr">
        <is>
          <t>Liverpool</t>
        </is>
      </c>
      <c r="AU16" s="24" t="inlineStr">
        <is>
          <t>Liverpool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2026-07-29T17:43:24.705734Z</t>
        </is>
      </c>
      <c r="BI16" s="24" t="inlineStr">
        <is>
          <t>["same_event","same_team_same_day","same_league_same_day"]</t>
        </is>
      </c>
      <c r="BJ16" s="25" t="n"/>
      <c r="BK16" s="26" t="n">
        <v>-233</v>
      </c>
      <c r="BL16" s="27" t="n">
        <v>1.429185</v>
      </c>
      <c r="BM16" s="28" t="n">
        <v>0.6997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0.6997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2016ad82b8004b89</t>
        </is>
      </c>
      <c r="B17" s="24" t="inlineStr">
        <is>
          <t>2026-07-29T17:45:15.881226Z</t>
        </is>
      </c>
      <c r="C17" s="24" t="inlineStr">
        <is>
          <t>2026-07-29T22:30Z</t>
        </is>
      </c>
      <c r="D17" s="24" t="inlineStr">
        <is>
          <t>401841171</t>
        </is>
      </c>
      <c r="E17" s="24" t="inlineStr">
        <is>
          <t>SOCCER</t>
        </is>
      </c>
      <c r="F17" s="24" t="inlineStr">
        <is>
          <t>Flamengo</t>
        </is>
      </c>
      <c r="G17" s="24" t="inlineStr">
        <is>
          <t>Internacional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285</v>
      </c>
      <c r="M17" s="27" t="n">
        <v>3.85</v>
      </c>
      <c r="N17" s="28" t="n">
        <v>0.25974</v>
      </c>
      <c r="O17" s="28" t="n">
        <v>0.456199</v>
      </c>
      <c r="P17" s="28" t="n">
        <v>0.2</v>
      </c>
      <c r="Q17" s="28" t="n">
        <v>0.196459</v>
      </c>
      <c r="R17" s="26" t="n">
        <v>28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2026-08-02T16:08:31.521562Z</t>
        </is>
      </c>
      <c r="AE17" s="31" t="inlineStr">
        <is>
          <t>Poisson-DC rates 1.64 (home) / 1.24 (away) from EWMA attack/defense strengths. Executable ask 0.2600 (atc-bra-int-fla-2026-07-29-int).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Flamengo</t>
        </is>
      </c>
      <c r="AQ17" s="24" t="inlineStr">
        <is>
          <t>Flamengo</t>
        </is>
      </c>
      <c r="AR17" s="24" t="inlineStr">
        <is>
          <t>Flamengo</t>
        </is>
      </c>
      <c r="AS17" s="24" t="inlineStr">
        <is>
          <t>Internacional</t>
        </is>
      </c>
      <c r="AT17" s="24" t="inlineStr">
        <is>
          <t>Internacional</t>
        </is>
      </c>
      <c r="AU17" s="24" t="inlineStr">
        <is>
          <t>Internacional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2026-07-29T17:43:19.651886Z</t>
        </is>
      </c>
      <c r="BI17" s="24" t="inlineStr">
        <is>
          <t>["same_event","same_team_same_day","same_league_same_day"]</t>
        </is>
      </c>
      <c r="BJ17" s="25" t="n"/>
      <c r="BK17" s="26" t="n">
        <v>285</v>
      </c>
      <c r="BL17" s="27" t="n">
        <v>3.85</v>
      </c>
      <c r="BM17" s="28" t="n">
        <v>0.25974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0.25974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543936a84904488a</t>
        </is>
      </c>
      <c r="B18" s="24" t="inlineStr">
        <is>
          <t>2026-07-29T17:45:15.881226Z</t>
        </is>
      </c>
      <c r="C18" s="24" t="inlineStr">
        <is>
          <t>2026-07-30T00:30Z</t>
        </is>
      </c>
      <c r="D18" s="24" t="inlineStr">
        <is>
          <t>401841177</t>
        </is>
      </c>
      <c r="E18" s="24" t="inlineStr">
        <is>
          <t>SOCCER</t>
        </is>
      </c>
      <c r="F18" s="24" t="inlineStr">
        <is>
          <t>Bahia</t>
        </is>
      </c>
      <c r="G18" s="24" t="inlineStr">
        <is>
          <t>Fluminense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-133</v>
      </c>
      <c r="M18" s="27" t="n">
        <v>1.75188</v>
      </c>
      <c r="N18" s="28" t="n">
        <v>0.570815</v>
      </c>
      <c r="O18" s="28" t="n">
        <v>0.456199</v>
      </c>
      <c r="P18" s="28" t="n">
        <v>0.2</v>
      </c>
      <c r="Q18" s="28" t="n">
        <v>-0.114616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0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2026-08-02T16:08:32.232747Z</t>
        </is>
      </c>
      <c r="AE18" s="31" t="inlineStr">
        <is>
          <t>Poisson-DC rates 1.64 (home) / 1.24 (away) from EWMA attack/defense strengths. Executable ask 0.5700 (atc-bra-flu-bah-2026-07-29-flu).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Bahia</t>
        </is>
      </c>
      <c r="AQ18" s="24" t="inlineStr">
        <is>
          <t>Bahia</t>
        </is>
      </c>
      <c r="AR18" s="24" t="inlineStr">
        <is>
          <t>Bahia</t>
        </is>
      </c>
      <c r="AS18" s="24" t="inlineStr">
        <is>
          <t>Fluminense</t>
        </is>
      </c>
      <c r="AT18" s="24" t="inlineStr">
        <is>
          <t>Fluminense</t>
        </is>
      </c>
      <c r="AU18" s="24" t="inlineStr">
        <is>
          <t>Fluminense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2026-07-29T17:43:20.222742Z</t>
        </is>
      </c>
      <c r="BI18" s="24" t="inlineStr">
        <is>
          <t>["same_event","same_team_same_day","same_league_same_day"]</t>
        </is>
      </c>
      <c r="BJ18" s="25" t="n"/>
      <c r="BK18" s="26" t="n">
        <v>-133</v>
      </c>
      <c r="BL18" s="27" t="n">
        <v>1.75188</v>
      </c>
      <c r="BM18" s="28" t="n">
        <v>0.570815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0.570815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0.289855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0.609375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0.309598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0.509804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0.359712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0.640288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loss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-1</v>
      </c>
      <c r="AD25" s="24" t="inlineStr">
        <is>
          <t>2026-08-02T16:08:32.974089Z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0.65035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0.490196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0.54955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2026-08-02T16:08:33.692075Z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0.45045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loss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2026-08-02T16:08:34.428201Z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02eb8e6babd749a2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401844018</t>
        </is>
      </c>
      <c r="E31" s="24" t="inlineStr">
        <is>
          <t>SOCCER</t>
        </is>
      </c>
      <c r="F31" s="24" t="inlineStr">
        <is>
          <t>Gimnasia y Esgrima (Jujuy)</t>
        </is>
      </c>
      <c r="G31" s="24" t="inlineStr">
        <is>
          <t>Colegiales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0.456135</v>
      </c>
      <c r="P31" s="28" t="n">
        <v>0.2</v>
      </c>
      <c r="Q31" s="28" t="n">
        <v>0.02695</v>
      </c>
      <c r="R31" s="26" t="n">
        <v>0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2</v>
      </c>
      <c r="Y31" s="25" t="n"/>
      <c r="Z31" s="26" t="n"/>
      <c r="AA31" s="28" t="n"/>
      <c r="AB31" s="28" t="n"/>
      <c r="AC31" s="30" t="n">
        <v>1.33</v>
      </c>
      <c r="AD31" s="24" t="inlineStr">
        <is>
          <t>2026-08-01T20:13:19.135597Z</t>
        </is>
      </c>
      <c r="AE31" s="31" t="inlineStr">
        <is>
          <t>Poisson-DC rates 1.64 (home) / 1.24 (away) from EWMA attack/defense strengths. Executable ask 0.4300 (atc-arg2-cac-ge-2026-08-01-cac).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Gimnasia y Esgrima (Jujuy)</t>
        </is>
      </c>
      <c r="AQ31" s="24" t="inlineStr">
        <is>
          <t>Gimnasia y Esgrima (Jujuy)</t>
        </is>
      </c>
      <c r="AR31" s="24" t="inlineStr">
        <is>
          <t>Gimnasia y Esgrima (Jujuy)</t>
        </is>
      </c>
      <c r="AS31" s="24" t="inlineStr">
        <is>
          <t>Colegiales</t>
        </is>
      </c>
      <c r="AT31" s="24" t="inlineStr">
        <is>
          <t>Colegiales</t>
        </is>
      </c>
      <c r="AU31" s="24" t="inlineStr">
        <is>
          <t>Colegiales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2026-08-01T16:49:30.893071Z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3119afb8f63442b9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401886553</t>
        </is>
      </c>
      <c r="E32" s="24" t="inlineStr">
        <is>
          <t>SOCCER</t>
        </is>
      </c>
      <c r="F32" s="24" t="inlineStr">
        <is>
          <t>Arsenal</t>
        </is>
      </c>
      <c r="G32" s="24" t="inlineStr">
        <is>
          <t>Girona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-144</v>
      </c>
      <c r="M32" s="27" t="n">
        <v>1.694444</v>
      </c>
      <c r="N32" s="28" t="n">
        <v>0.590164</v>
      </c>
      <c r="O32" s="28" t="n">
        <v>0.51186</v>
      </c>
      <c r="P32" s="28" t="n">
        <v>0.04</v>
      </c>
      <c r="Q32" s="28" t="n">
        <v>-0.078304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</v>
      </c>
      <c r="Y32" s="25" t="n"/>
      <c r="Z32" s="26" t="n"/>
      <c r="AA32" s="28" t="n"/>
      <c r="AB32" s="28" t="n"/>
      <c r="AC32" s="30" t="n">
        <v>0.6944</v>
      </c>
      <c r="AD32" s="24" t="inlineStr">
        <is>
          <t>2026-08-01T20:13:22.602729Z</t>
        </is>
      </c>
      <c r="AE32" s="31" t="inlineStr">
        <is>
          <t>Poisson-DC rates 0.58 (home) / 1.23 (away) from EWMA attack/defense strengths. Executable ask 0.5900 (atc-clbf-gir-afr-2026-08-01-afr).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Arsenal</t>
        </is>
      </c>
      <c r="AQ32" s="24" t="inlineStr">
        <is>
          <t>Arsenal</t>
        </is>
      </c>
      <c r="AR32" s="24" t="inlineStr">
        <is>
          <t>Arsenal</t>
        </is>
      </c>
      <c r="AS32" s="24" t="inlineStr">
        <is>
          <t>Girona</t>
        </is>
      </c>
      <c r="AT32" s="24" t="inlineStr">
        <is>
          <t>Girona</t>
        </is>
      </c>
      <c r="AU32" s="24" t="inlineStr">
        <is>
          <t>Girona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2026-08-01T16:49:39.645100Z</t>
        </is>
      </c>
      <c r="BI32" s="24" t="inlineStr">
        <is>
          <t>["same_event","same_team_same_day","same_league_same_day"]</t>
        </is>
      </c>
      <c r="BJ32" s="25" t="n"/>
      <c r="BK32" s="26" t="n">
        <v>-144</v>
      </c>
      <c r="BL32" s="27" t="n">
        <v>1.694444</v>
      </c>
      <c r="BM32" s="28" t="n">
        <v>0.590164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0.590164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f8ad772a47164d5f</t>
        </is>
      </c>
      <c r="B33" s="24" t="inlineStr">
        <is>
          <t>2026-08-01T16:52:27.367453Z</t>
        </is>
      </c>
      <c r="C33" s="24" t="inlineStr">
        <is>
          <t>2026-08-01T18:00Z</t>
        </is>
      </c>
      <c r="D33" s="24" t="inlineStr">
        <is>
          <t>401844028</t>
        </is>
      </c>
      <c r="E33" s="24" t="inlineStr">
        <is>
          <t>SOCCER</t>
        </is>
      </c>
      <c r="F33" s="24" t="inlineStr">
        <is>
          <t>Midland</t>
        </is>
      </c>
      <c r="G33" s="24" t="inlineStr">
        <is>
          <t>Almagro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233</v>
      </c>
      <c r="M33" s="27" t="n">
        <v>3.33</v>
      </c>
      <c r="N33" s="28" t="n">
        <v>0.3003</v>
      </c>
      <c r="O33" s="28" t="n">
        <v>0.456135</v>
      </c>
      <c r="P33" s="28" t="n">
        <v>0.2</v>
      </c>
      <c r="Q33" s="28" t="n">
        <v>0.155835</v>
      </c>
      <c r="R33" s="26" t="n">
        <v>8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2026-08-02T16:08:35.188473Z</t>
        </is>
      </c>
      <c r="AE33" s="31" t="inlineStr">
        <is>
          <t>Poisson-DC rates 1.64 (home) / 1.24 (away) from EWMA attack/defense strengths. Executable ask 0.3000 (atc-arg2-alm-afm-2026-08-02-alm).</t>
        </is>
      </c>
      <c r="AF33" s="31" t="inlineStr">
        <is>
          <t>Research-only soccer score model; draw-aware, but not yet locked-holdout qualified.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Midland</t>
        </is>
      </c>
      <c r="AQ33" s="24" t="inlineStr">
        <is>
          <t>Midland</t>
        </is>
      </c>
      <c r="AR33" s="24" t="inlineStr">
        <is>
          <t>Midland</t>
        </is>
      </c>
      <c r="AS33" s="24" t="inlineStr">
        <is>
          <t>Almagro</t>
        </is>
      </c>
      <c r="AT33" s="24" t="inlineStr">
        <is>
          <t>Almagro</t>
        </is>
      </c>
      <c r="AU33" s="24" t="inlineStr">
        <is>
          <t>Almagro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2026-08-01T16:49:30.902860Z</t>
        </is>
      </c>
      <c r="BI33" s="24" t="inlineStr">
        <is>
          <t>["same_event","same_team_same_day","same_league_same_day"]</t>
        </is>
      </c>
      <c r="BJ33" s="25" t="n"/>
      <c r="BK33" s="26" t="n">
        <v>233</v>
      </c>
      <c r="BL33" s="27" t="n">
        <v>3.33</v>
      </c>
      <c r="BM33" s="28" t="n">
        <v>0.3003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0.3003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4b09a9d9374d46a7</t>
        </is>
      </c>
      <c r="B34" s="24" t="inlineStr">
        <is>
          <t>2026-08-01T16:52:27.367453Z</t>
        </is>
      </c>
      <c r="C34" s="24" t="inlineStr">
        <is>
          <t>2026-08-01T18:30Z</t>
        </is>
      </c>
      <c r="D34" s="24" t="inlineStr">
        <is>
          <t>401844021</t>
        </is>
      </c>
      <c r="E34" s="24" t="inlineStr">
        <is>
          <t>SOCCER</t>
        </is>
      </c>
      <c r="F34" s="24" t="inlineStr">
        <is>
          <t>Quilmes</t>
        </is>
      </c>
      <c r="G34" s="24" t="inlineStr">
        <is>
          <t>Patronato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144</v>
      </c>
      <c r="M34" s="27" t="n">
        <v>2.44</v>
      </c>
      <c r="N34" s="28" t="n">
        <v>0.409836</v>
      </c>
      <c r="O34" s="28" t="n">
        <v>0.440521</v>
      </c>
      <c r="P34" s="28" t="n">
        <v>0.2</v>
      </c>
      <c r="Q34" s="28" t="n">
        <v>0.030685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2026-08-02T16:08:35.924162Z</t>
        </is>
      </c>
      <c r="AE34" s="31" t="inlineStr">
        <is>
          <t>Poisson-DC rates 1.46 (home) / 1.10 (away) from EWMA attack/defense strengths. Executable ask 0.4100 (atc-arg2-cap-qui-2026-08-02-cap).</t>
        </is>
      </c>
      <c r="AF34" s="31" t="inlineStr">
        <is>
          <t>Research-only soccer score model; draw-aware, but not yet locked-holdout qualified.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Quilmes</t>
        </is>
      </c>
      <c r="AQ34" s="24" t="inlineStr">
        <is>
          <t>Quilmes</t>
        </is>
      </c>
      <c r="AR34" s="24" t="inlineStr">
        <is>
          <t>Quilmes</t>
        </is>
      </c>
      <c r="AS34" s="24" t="inlineStr">
        <is>
          <t>Patronato</t>
        </is>
      </c>
      <c r="AT34" s="24" t="inlineStr">
        <is>
          <t>Patronato</t>
        </is>
      </c>
      <c r="AU34" s="24" t="inlineStr">
        <is>
          <t>Patronato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2026-08-01T16:49:31.486214Z</t>
        </is>
      </c>
      <c r="BI34" s="24" t="inlineStr">
        <is>
          <t>["same_event","same_team_same_day","same_league_same_day"]</t>
        </is>
      </c>
      <c r="BJ34" s="25" t="n"/>
      <c r="BK34" s="26" t="n">
        <v>144</v>
      </c>
      <c r="BL34" s="27" t="n">
        <v>2.44</v>
      </c>
      <c r="BM34" s="28" t="n">
        <v>0.409836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0.409836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ce8bcb5176c94e2f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401872730</t>
        </is>
      </c>
      <c r="E35" s="24" t="inlineStr">
        <is>
          <t>SOCCER</t>
        </is>
      </c>
      <c r="F35" s="24" t="inlineStr">
        <is>
          <t>Juventud</t>
        </is>
      </c>
      <c r="G35" s="24" t="inlineStr">
        <is>
          <t>Deportivo Maldonado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-117</v>
      </c>
      <c r="M35" s="27" t="n">
        <v>1.854701</v>
      </c>
      <c r="N35" s="28" t="n">
        <v>0.539171</v>
      </c>
      <c r="O35" s="28" t="n">
        <v>0.418807</v>
      </c>
      <c r="P35" s="28" t="n">
        <v>0.2</v>
      </c>
      <c r="Q35" s="28" t="n">
        <v>-0.120364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0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2026-08-02T16:08:36.637340Z</t>
        </is>
      </c>
      <c r="AE35" s="31" t="inlineStr">
        <is>
          <t>Poisson-DC rates 1.46 (home) / 1.20 (away) from EWMA attack/defense strengths. Executable ask 0.5400 (atc-uru1-mal-juv-2026-08-01-mal).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Juventud</t>
        </is>
      </c>
      <c r="AQ35" s="24" t="inlineStr">
        <is>
          <t>Juventud</t>
        </is>
      </c>
      <c r="AR35" s="24" t="inlineStr">
        <is>
          <t>Juventud</t>
        </is>
      </c>
      <c r="AS35" s="24" t="inlineStr">
        <is>
          <t>Deportivo Maldonado</t>
        </is>
      </c>
      <c r="AT35" s="24" t="inlineStr">
        <is>
          <t>Deportivo Maldonado</t>
        </is>
      </c>
      <c r="AU35" s="24" t="inlineStr">
        <is>
          <t>Deportivo Maldonado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2026-08-01T16:49:34.759598Z</t>
        </is>
      </c>
      <c r="BI35" s="24" t="inlineStr">
        <is>
          <t>["same_event","same_team_same_day","same_league_same_day"]</t>
        </is>
      </c>
      <c r="BJ35" s="25" t="n"/>
      <c r="BK35" s="26" t="n">
        <v>-117</v>
      </c>
      <c r="BL35" s="27" t="n">
        <v>1.854701</v>
      </c>
      <c r="BM35" s="28" t="n">
        <v>0.539171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0.539171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0.289855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0.34965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0.509804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0.760192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0.74026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0.619772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ae6c537b76914b00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761700</t>
        </is>
      </c>
      <c r="E42" s="24" t="inlineStr">
        <is>
          <t>SOCCER</t>
        </is>
      </c>
      <c r="F42" s="24" t="inlineStr">
        <is>
          <t>San Jose Earthquakes</t>
        </is>
      </c>
      <c r="G42" s="24" t="inlineStr">
        <is>
          <t>FC Cincinnati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0.418282</v>
      </c>
      <c r="P42" s="28" t="n">
        <v>0.04</v>
      </c>
      <c r="Q42" s="28" t="n">
        <v>-0.100949</v>
      </c>
      <c r="R42" s="26" t="n">
        <v>0</v>
      </c>
      <c r="S42" s="29" t="n">
        <v>1.25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4</v>
      </c>
      <c r="Y42" s="25" t="n"/>
      <c r="Z42" s="26" t="n"/>
      <c r="AA42" s="28" t="n"/>
      <c r="AB42" s="28" t="n"/>
      <c r="AC42" s="30" t="n">
        <v>1.1574</v>
      </c>
      <c r="AD42" s="24" t="inlineStr">
        <is>
          <t>2026-08-02T04:26:21.397669Z</t>
        </is>
      </c>
      <c r="AE42" s="31" t="inlineStr">
        <is>
          <t>Poisson-DC rates 2.60 (home) / 2.52 (away) from EWMA attack/defense strengths. Executable ask 0.5200 (atc-mls-fcc-sje-2026-08-01-fcc).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San Jose Earthquakes</t>
        </is>
      </c>
      <c r="AQ42" s="24" t="inlineStr">
        <is>
          <t>San Jose Earthquakes</t>
        </is>
      </c>
      <c r="AR42" s="24" t="inlineStr">
        <is>
          <t>San Jose Earthquakes</t>
        </is>
      </c>
      <c r="AS42" s="24" t="inlineStr">
        <is>
          <t>FC Cincinnati</t>
        </is>
      </c>
      <c r="AT42" s="24" t="inlineStr">
        <is>
          <t>FC Cincinnati</t>
        </is>
      </c>
      <c r="AU42" s="24" t="inlineStr">
        <is>
          <t>FC Cincinnati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2026-08-01T20:14:21.554713Z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1e573e73d5d24ee5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761702</t>
        </is>
      </c>
      <c r="E43" s="24" t="inlineStr">
        <is>
          <t>SOCCER</t>
        </is>
      </c>
      <c r="F43" s="24" t="inlineStr">
        <is>
          <t>Atlanta United FC</t>
        </is>
      </c>
      <c r="G43" s="24" t="inlineStr">
        <is>
          <t>Philadelphia Union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0.5599229999999999</v>
      </c>
      <c r="P43" s="28" t="n">
        <v>0.04</v>
      </c>
      <c r="Q43" s="28" t="n">
        <v>-0.049452</v>
      </c>
      <c r="R43" s="26" t="n">
        <v>1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3</v>
      </c>
      <c r="Y43" s="25" t="n"/>
      <c r="Z43" s="26" t="n"/>
      <c r="AA43" s="28" t="n"/>
      <c r="AB43" s="28" t="n"/>
      <c r="AC43" s="30" t="n">
        <v>0.8013</v>
      </c>
      <c r="AD43" s="24" t="inlineStr">
        <is>
          <t>2026-08-02T03:26:15.763444Z</t>
        </is>
      </c>
      <c r="AE43" s="31" t="inlineStr">
        <is>
          <t>Poisson-DC rates 1.93 (home) / 1.08 (away) from EWMA attack/defense strengths. Executable ask 0.6100 (atc-mls-phi-atl-2026-08-01-phi).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Atlanta United FC</t>
        </is>
      </c>
      <c r="AQ43" s="24" t="inlineStr">
        <is>
          <t>Atlanta United FC</t>
        </is>
      </c>
      <c r="AR43" s="24" t="inlineStr">
        <is>
          <t>Atlanta United FC</t>
        </is>
      </c>
      <c r="AS43" s="24" t="inlineStr">
        <is>
          <t>Philadelphia Union</t>
        </is>
      </c>
      <c r="AT43" s="24" t="inlineStr">
        <is>
          <t>Philadelphia Union</t>
        </is>
      </c>
      <c r="AU43" s="24" t="inlineStr">
        <is>
          <t>Philadelphia Union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2026-08-01T20:14:26.266239Z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40b54f606eb04e02</t>
        </is>
      </c>
      <c r="B44" s="24" t="inlineStr">
        <is>
          <t>2026-08-01T20:17:05.741632Z</t>
        </is>
      </c>
      <c r="C44" s="24" t="inlineStr">
        <is>
          <t>2026-08-01T21:00Z</t>
        </is>
      </c>
      <c r="D44" s="24" t="inlineStr">
        <is>
          <t>401841478</t>
        </is>
      </c>
      <c r="E44" s="24" t="inlineStr">
        <is>
          <t>SOCCER</t>
        </is>
      </c>
      <c r="F44" s="24" t="inlineStr">
        <is>
          <t>Defensa y Justicia</t>
        </is>
      </c>
      <c r="G44" s="24" t="inlineStr">
        <is>
          <t>Estudiantes de La Plata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0.451659</v>
      </c>
      <c r="P44" s="28" t="n">
        <v>0.2</v>
      </c>
      <c r="Q44" s="28" t="n">
        <v>-0.138505</v>
      </c>
      <c r="R44" s="26" t="n">
        <v>0</v>
      </c>
      <c r="S44" s="29" t="n">
        <v>1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3</v>
      </c>
      <c r="Y44" s="25" t="n"/>
      <c r="Z44" s="26" t="n"/>
      <c r="AA44" s="28" t="n"/>
      <c r="AB44" s="28" t="n"/>
      <c r="AC44" s="30" t="n">
        <v>0.6944</v>
      </c>
      <c r="AD44" s="24" t="inlineStr">
        <is>
          <t>2026-08-01T23:51:10.459392Z</t>
        </is>
      </c>
      <c r="AE44" s="31" t="inlineStr">
        <is>
          <t>Poisson-DC rates 1.59 (home) / 1.20 (away) from EWMA attack/defense strengths. Executable ask 0.5900 (atc-lpa-est-def-2026-08-01-est).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Defensa y Justicia</t>
        </is>
      </c>
      <c r="AQ44" s="24" t="inlineStr">
        <is>
          <t>Defensa y Justicia</t>
        </is>
      </c>
      <c r="AR44" s="24" t="inlineStr">
        <is>
          <t>Defensa y Justicia</t>
        </is>
      </c>
      <c r="AS44" s="24" t="inlineStr">
        <is>
          <t>Estudiantes de La Plata</t>
        </is>
      </c>
      <c r="AT44" s="24" t="inlineStr">
        <is>
          <t>Estudiantes de La Plata</t>
        </is>
      </c>
      <c r="AU44" s="24" t="inlineStr">
        <is>
          <t>Estudiantes de La Plata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2026-08-01T20:14:41.137983Z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0318e2143c9e4155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401841475</t>
        </is>
      </c>
      <c r="E45" s="24" t="inlineStr">
        <is>
          <t>SOCCER</t>
        </is>
      </c>
      <c r="F45" s="24" t="inlineStr">
        <is>
          <t>Tigre</t>
        </is>
      </c>
      <c r="G45" s="24" t="inlineStr">
        <is>
          <t>Racing Club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113</v>
      </c>
      <c r="M45" s="27" t="n">
        <v>2.13</v>
      </c>
      <c r="N45" s="28" t="n">
        <v>0.469484</v>
      </c>
      <c r="O45" s="28" t="n">
        <v>0.483295</v>
      </c>
      <c r="P45" s="28" t="n">
        <v>0.2</v>
      </c>
      <c r="Q45" s="28" t="n">
        <v>0.013811</v>
      </c>
      <c r="R45" s="26" t="n">
        <v>0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loss</t>
        </is>
      </c>
      <c r="W45" s="26" t="n">
        <v>3</v>
      </c>
      <c r="X45" s="26" t="n">
        <v>1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2026-08-02T03:26:17.235577Z</t>
        </is>
      </c>
      <c r="AE45" s="31" t="inlineStr">
        <is>
          <t>Poisson-DC rates 1.72 (home) / 1.20 (away) from EWMA attack/defense strengths. Executable ask 0.4700 (atc-lpa-rac-tig-2026-08-01-rac).</t>
        </is>
      </c>
      <c r="AF45" s="31" t="inlineStr">
        <is>
          <t>Research-only soccer score model; draw-aware, but not yet locked-holdout qualified.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Tigre</t>
        </is>
      </c>
      <c r="AQ45" s="24" t="inlineStr">
        <is>
          <t>Tigre</t>
        </is>
      </c>
      <c r="AR45" s="24" t="inlineStr">
        <is>
          <t>Tigre</t>
        </is>
      </c>
      <c r="AS45" s="24" t="inlineStr">
        <is>
          <t>Racing Club</t>
        </is>
      </c>
      <c r="AT45" s="24" t="inlineStr">
        <is>
          <t>Racing Club</t>
        </is>
      </c>
      <c r="AU45" s="24" t="inlineStr">
        <is>
          <t>Racing Club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2026-08-01T20:14:41.628532Z</t>
        </is>
      </c>
      <c r="BI45" s="24" t="inlineStr">
        <is>
          <t>["same_event","same_team_same_day","same_league_same_day"]</t>
        </is>
      </c>
      <c r="BJ45" s="25" t="n"/>
      <c r="BK45" s="26" t="n">
        <v>113</v>
      </c>
      <c r="BL45" s="27" t="n">
        <v>2.13</v>
      </c>
      <c r="BM45" s="28" t="n">
        <v>0.469484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0.469484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711928eecb964b43</t>
        </is>
      </c>
      <c r="B46" s="24" t="inlineStr">
        <is>
          <t>2026-08-01T20:17:05.741632Z</t>
        </is>
      </c>
      <c r="C46" s="24" t="inlineStr">
        <is>
          <t>2026-08-01T21:30Z</t>
        </is>
      </c>
      <c r="D46" s="24" t="inlineStr">
        <is>
          <t>401850608</t>
        </is>
      </c>
      <c r="E46" s="24" t="inlineStr">
        <is>
          <t>SOCCER</t>
        </is>
      </c>
      <c r="F46" s="24" t="inlineStr">
        <is>
          <t>Coquimbo Unido</t>
        </is>
      </c>
      <c r="G46" s="24" t="inlineStr">
        <is>
          <t>Palestino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186</v>
      </c>
      <c r="M46" s="27" t="n">
        <v>2.86</v>
      </c>
      <c r="N46" s="28" t="n">
        <v>0.34965</v>
      </c>
      <c r="O46" s="28" t="n">
        <v>0.505507</v>
      </c>
      <c r="P46" s="28" t="n">
        <v>0.2</v>
      </c>
      <c r="Q46" s="28" t="n">
        <v>0.155857</v>
      </c>
      <c r="R46" s="26" t="n">
        <v>8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2</v>
      </c>
      <c r="Y46" s="25" t="n"/>
      <c r="Z46" s="26" t="n"/>
      <c r="AA46" s="28" t="n"/>
      <c r="AB46" s="28" t="n"/>
      <c r="AC46" s="30" t="n">
        <v>1.86</v>
      </c>
      <c r="AD46" s="24" t="inlineStr">
        <is>
          <t>2026-08-01T23:51:10.837881Z</t>
        </is>
      </c>
      <c r="AE46" s="31" t="inlineStr">
        <is>
          <t>Poisson-DC rates 1.72 (home) / 1.10 (away) from EWMA attack/defense strengths. Executable ask 0.3500 (atc-pdc-pal-coq-2026-08-01-pal).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Coquimbo Unido</t>
        </is>
      </c>
      <c r="AQ46" s="24" t="inlineStr">
        <is>
          <t>Coquimbo Unido</t>
        </is>
      </c>
      <c r="AR46" s="24" t="inlineStr">
        <is>
          <t>Coquimbo Unido</t>
        </is>
      </c>
      <c r="AS46" s="24" t="inlineStr">
        <is>
          <t>Palestino</t>
        </is>
      </c>
      <c r="AT46" s="24" t="inlineStr">
        <is>
          <t>Palestino</t>
        </is>
      </c>
      <c r="AU46" s="24" t="inlineStr">
        <is>
          <t>Palestino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2026-08-01T20:14:43.888722Z</t>
        </is>
      </c>
      <c r="BI46" s="24" t="inlineStr">
        <is>
          <t>["same_event","same_team_same_day","same_league_same_day"]</t>
        </is>
      </c>
      <c r="BJ46" s="25" t="n"/>
      <c r="BK46" s="26" t="n">
        <v>186</v>
      </c>
      <c r="BL46" s="27" t="n">
        <v>2.86</v>
      </c>
      <c r="BM46" s="28" t="n">
        <v>0.34965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0.34965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95372c50a2ed4ced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761699</t>
        </is>
      </c>
      <c r="E47" s="24" t="inlineStr">
        <is>
          <t>SOCCER</t>
        </is>
      </c>
      <c r="F47" s="24" t="inlineStr">
        <is>
          <t>Nashville SC</t>
        </is>
      </c>
      <c r="G47" s="24" t="inlineStr">
        <is>
          <t>D.C. United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0.552914</v>
      </c>
      <c r="P47" s="28" t="n">
        <v>0.04</v>
      </c>
      <c r="Q47" s="28" t="n">
        <v>0.143078</v>
      </c>
      <c r="R47" s="26" t="n">
        <v>98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2</v>
      </c>
      <c r="X47" s="26" t="n">
        <v>2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2026-08-02T16:08:37.346741Z</t>
        </is>
      </c>
      <c r="AE47" s="31" t="inlineStr">
        <is>
          <t>Poisson-DC rates 1.27 (home) / 2.09 (away) from EWMA attack/defense strengths. Executable ask 0.4100 (atc-mls-dcu-nas-2026-08-01-nas).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Nashville SC</t>
        </is>
      </c>
      <c r="AQ47" s="24" t="inlineStr">
        <is>
          <t>Nashville SC</t>
        </is>
      </c>
      <c r="AR47" s="24" t="inlineStr">
        <is>
          <t>Nashville SC</t>
        </is>
      </c>
      <c r="AS47" s="24" t="inlineStr">
        <is>
          <t>D.C. United</t>
        </is>
      </c>
      <c r="AT47" s="24" t="inlineStr">
        <is>
          <t>D.C. United</t>
        </is>
      </c>
      <c r="AU47" s="24" t="inlineStr">
        <is>
          <t>D.C. United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2026-08-01T20:14:20.050683Z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0.409836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b586e7aa165f48df</t>
        </is>
      </c>
      <c r="B48" s="24" t="inlineStr">
        <is>
          <t>2026-08-01T20:17:05.741632Z</t>
        </is>
      </c>
      <c r="C48" s="24" t="inlineStr">
        <is>
          <t>2026-08-01T23:30Z</t>
        </is>
      </c>
      <c r="D48" s="24" t="inlineStr">
        <is>
          <t>761701</t>
        </is>
      </c>
      <c r="E48" s="24" t="inlineStr">
        <is>
          <t>SOCCER</t>
        </is>
      </c>
      <c r="F48" s="24" t="inlineStr">
        <is>
          <t>Columbus Crew</t>
        </is>
      </c>
      <c r="G48" s="24" t="inlineStr">
        <is>
          <t>Inter Miami CF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-170</v>
      </c>
      <c r="M48" s="27" t="n">
        <v>1.588235</v>
      </c>
      <c r="N48" s="28" t="n">
        <v>0.62963</v>
      </c>
      <c r="O48" s="28" t="n">
        <v>0.715665</v>
      </c>
      <c r="P48" s="28" t="n">
        <v>0.04</v>
      </c>
      <c r="Q48" s="28" t="n">
        <v>0.086035</v>
      </c>
      <c r="R48" s="26" t="n">
        <v>69</v>
      </c>
      <c r="S48" s="29" t="n">
        <v>2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2</v>
      </c>
      <c r="Y48" s="25" t="n"/>
      <c r="Z48" s="26" t="n"/>
      <c r="AA48" s="28" t="n"/>
      <c r="AB48" s="28" t="n"/>
      <c r="AC48" s="30" t="n">
        <v>-2</v>
      </c>
      <c r="AD48" s="24" t="inlineStr">
        <is>
          <t>2026-08-02T16:08:38.088611Z</t>
        </is>
      </c>
      <c r="AE48" s="31" t="inlineStr">
        <is>
          <t>Poisson-DC rates 3.37 (home) / 1.57 (away) from EWMA attack/defense strengths. Executable ask 0.6300 (atc-mls-mia-clb-2026-08-01-mia).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Columbus Crew</t>
        </is>
      </c>
      <c r="AQ48" s="24" t="inlineStr">
        <is>
          <t>Columbus Crew</t>
        </is>
      </c>
      <c r="AR48" s="24" t="inlineStr">
        <is>
          <t>Columbus Crew</t>
        </is>
      </c>
      <c r="AS48" s="24" t="inlineStr">
        <is>
          <t>Inter Miami CF</t>
        </is>
      </c>
      <c r="AT48" s="24" t="inlineStr">
        <is>
          <t>Inter Miami CF</t>
        </is>
      </c>
      <c r="AU48" s="24" t="inlineStr">
        <is>
          <t>Inter Miami CF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2026-08-01T20:14:23.116312Z</t>
        </is>
      </c>
      <c r="BI48" s="24" t="inlineStr">
        <is>
          <t>["same_event","same_team_same_day","same_league_same_day"]</t>
        </is>
      </c>
      <c r="BJ48" s="25" t="n"/>
      <c r="BK48" s="26" t="n">
        <v>-170</v>
      </c>
      <c r="BL48" s="27" t="n">
        <v>1.588235</v>
      </c>
      <c r="BM48" s="28" t="n">
        <v>0.62963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0.62963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0.62963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0.590164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0.640288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0.579832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0.669967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0.65035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6faae02228ba477e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761706</t>
        </is>
      </c>
      <c r="E57" s="24" t="inlineStr">
        <is>
          <t>SOCCER</t>
        </is>
      </c>
      <c r="F57" s="24" t="inlineStr">
        <is>
          <t>Houston Dynamo FC</t>
        </is>
      </c>
      <c r="G57" s="24" t="inlineStr">
        <is>
          <t>Sporting Kansas City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117</v>
      </c>
      <c r="M57" s="27" t="n">
        <v>2.17</v>
      </c>
      <c r="N57" s="28" t="n">
        <v>0.460829</v>
      </c>
      <c r="O57" s="28" t="n">
        <v>0.458041</v>
      </c>
      <c r="P57" s="28" t="n">
        <v>0.04</v>
      </c>
      <c r="Q57" s="28" t="n">
        <v>-0.002788</v>
      </c>
      <c r="R57" s="26" t="n">
        <v>25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win</t>
        </is>
      </c>
      <c r="W57" s="26" t="n">
        <v>2</v>
      </c>
      <c r="X57" s="26" t="n">
        <v>0</v>
      </c>
      <c r="Y57" s="25" t="n"/>
      <c r="Z57" s="26" t="n"/>
      <c r="AA57" s="28" t="n"/>
      <c r="AB57" s="28" t="n"/>
      <c r="AC57" s="30" t="n">
        <v>1.17</v>
      </c>
      <c r="AD57" s="24" t="inlineStr">
        <is>
          <t>2026-08-02T03:26:19.661895Z</t>
        </is>
      </c>
      <c r="AE57" s="31" t="inlineStr">
        <is>
          <t>Poisson-DC rates 1.49 (home) / 1.87 (away) from EWMA attack/defense strengths. Executable ask 0.4600 (atc-mls-skc-hou-2026-08-01-hou).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Houston Dynamo FC</t>
        </is>
      </c>
      <c r="AQ57" s="24" t="inlineStr">
        <is>
          <t>Houston Dynamo FC</t>
        </is>
      </c>
      <c r="AR57" s="24" t="inlineStr">
        <is>
          <t>Houston Dynamo FC</t>
        </is>
      </c>
      <c r="AS57" s="24" t="inlineStr">
        <is>
          <t>Sporting Kansas City</t>
        </is>
      </c>
      <c r="AT57" s="24" t="inlineStr">
        <is>
          <t>Sporting Kansas City</t>
        </is>
      </c>
      <c r="AU57" s="24" t="inlineStr">
        <is>
          <t>Sporting Kansas City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2026-08-01T23:52:06.344991Z</t>
        </is>
      </c>
      <c r="BI57" s="24" t="inlineStr">
        <is>
          <t>["same_event","same_team_same_day","same_league_same_day"]</t>
        </is>
      </c>
      <c r="BJ57" s="25" t="n"/>
      <c r="BK57" s="26" t="n">
        <v>117</v>
      </c>
      <c r="BL57" s="27" t="n">
        <v>2.17</v>
      </c>
      <c r="BM57" s="28" t="n">
        <v>0.460829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0.460829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22f0f340d5054823</t>
        </is>
      </c>
      <c r="B58" s="24" t="inlineStr">
        <is>
          <t>2026-08-01T23:53:24.455746Z</t>
        </is>
      </c>
      <c r="C58" s="24" t="inlineStr">
        <is>
          <t>2026-08-02T01:30Z</t>
        </is>
      </c>
      <c r="D58" s="24" t="inlineStr">
        <is>
          <t>761707</t>
        </is>
      </c>
      <c r="E58" s="24" t="inlineStr">
        <is>
          <t>SOCCER</t>
        </is>
      </c>
      <c r="F58" s="24" t="inlineStr">
        <is>
          <t>Austin FC</t>
        </is>
      </c>
      <c r="G58" s="24" t="inlineStr">
        <is>
          <t>Colorado Rapids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0.6000259999999999</v>
      </c>
      <c r="P58" s="28" t="n">
        <v>0.04</v>
      </c>
      <c r="Q58" s="28" t="n">
        <v>0.040555</v>
      </c>
      <c r="R58" s="26" t="n">
        <v>46</v>
      </c>
      <c r="S58" s="29" t="n">
        <v>1.5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1.1811</v>
      </c>
      <c r="AD58" s="24" t="inlineStr">
        <is>
          <t>2026-08-02T04:26:21.937064Z</t>
        </is>
      </c>
      <c r="AE58" s="31" t="inlineStr">
        <is>
          <t>Poisson-DC rates 2.28 (home) / 1.24 (away) from EWMA attack/defense strengths. Executable ask 0.5600 (atc-mls-col-aus-2026-08-01-col).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Austin FC</t>
        </is>
      </c>
      <c r="AQ58" s="24" t="inlineStr">
        <is>
          <t>Austin FC</t>
        </is>
      </c>
      <c r="AR58" s="24" t="inlineStr">
        <is>
          <t>Austin FC</t>
        </is>
      </c>
      <c r="AS58" s="24" t="inlineStr">
        <is>
          <t>Colorado Rapids</t>
        </is>
      </c>
      <c r="AT58" s="24" t="inlineStr">
        <is>
          <t>Colorado Rapids</t>
        </is>
      </c>
      <c r="AU58" s="24" t="inlineStr">
        <is>
          <t>Colorado Rapids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2026-08-01T23:52:09.543896Z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0.559471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6a04218c09a84664</t>
        </is>
      </c>
      <c r="B59" s="24" t="inlineStr">
        <is>
          <t>2026-08-01T23:53:24.455746Z</t>
        </is>
      </c>
      <c r="C59" s="24" t="inlineStr">
        <is>
          <t>2026-08-02T02:45Z</t>
        </is>
      </c>
      <c r="D59" s="24" t="inlineStr">
        <is>
          <t>761708</t>
        </is>
      </c>
      <c r="E59" s="24" t="inlineStr">
        <is>
          <t>SOCCER</t>
        </is>
      </c>
      <c r="F59" s="24" t="inlineStr">
        <is>
          <t>Seattle Sounders FC</t>
        </is>
      </c>
      <c r="G59" s="24" t="inlineStr">
        <is>
          <t>Portland Timbers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0.432832</v>
      </c>
      <c r="P59" s="28" t="n">
        <v>0.04</v>
      </c>
      <c r="Q59" s="28" t="n">
        <v>-0.036652</v>
      </c>
      <c r="R59" s="26" t="n">
        <v>8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2</v>
      </c>
      <c r="Y59" s="25" t="n"/>
      <c r="Z59" s="26" t="n"/>
      <c r="AA59" s="28" t="n"/>
      <c r="AB59" s="28" t="n"/>
      <c r="AC59" s="30" t="n">
        <v>1.4125</v>
      </c>
      <c r="AD59" s="24" t="inlineStr">
        <is>
          <t>2026-08-02T05:39:26.164706Z</t>
        </is>
      </c>
      <c r="AE59" s="31" t="inlineStr">
        <is>
          <t>Poisson-DC rates 1.85 (home) / 1.59 (away) from EWMA attack/defense strengths. Executable ask 0.4700 (atc-mls-por-sea-2026-08-01-por).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Seattle Sounders FC</t>
        </is>
      </c>
      <c r="AQ59" s="24" t="inlineStr">
        <is>
          <t>Seattle Sounders FC</t>
        </is>
      </c>
      <c r="AR59" s="24" t="inlineStr">
        <is>
          <t>Seattle Sounders FC</t>
        </is>
      </c>
      <c r="AS59" s="24" t="inlineStr">
        <is>
          <t>Portland Timbers</t>
        </is>
      </c>
      <c r="AT59" s="24" t="inlineStr">
        <is>
          <t>Portland Timbers</t>
        </is>
      </c>
      <c r="AU59" s="24" t="inlineStr">
        <is>
          <t>Portland Timbers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2026-08-01T23:52:12.696180Z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3d7c6e251fde488b</t>
        </is>
      </c>
      <c r="B60" s="24" t="inlineStr">
        <is>
          <t>2026-08-01T23:53:24.455746Z</t>
        </is>
      </c>
      <c r="C60" s="24" t="inlineStr">
        <is>
          <t>2026-08-02T00:00Z</t>
        </is>
      </c>
      <c r="D60" s="24" t="inlineStr">
        <is>
          <t>401859646</t>
        </is>
      </c>
      <c r="E60" s="24" t="inlineStr">
        <is>
          <t>SOCCER</t>
        </is>
      </c>
      <c r="F60" s="24" t="inlineStr">
        <is>
          <t>Aucas</t>
        </is>
      </c>
      <c r="G60" s="24" t="inlineStr">
        <is>
          <t>Emelec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133</v>
      </c>
      <c r="M60" s="27" t="n">
        <v>2.33</v>
      </c>
      <c r="N60" s="28" t="n">
        <v>0.429185</v>
      </c>
      <c r="O60" s="28" t="n">
        <v>0.456135</v>
      </c>
      <c r="P60" s="28" t="n">
        <v>0.2</v>
      </c>
      <c r="Q60" s="28" t="n">
        <v>0.02695</v>
      </c>
      <c r="R60" s="26" t="n">
        <v>0</v>
      </c>
      <c r="S60" s="29" t="n">
        <v>1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2026-08-02T03:26:22.035170Z</t>
        </is>
      </c>
      <c r="AE60" s="31" t="inlineStr">
        <is>
          <t>Poisson-DC rates 1.64 (home) / 1.24 (away) from EWMA attack/defense strengths. Executable ask 0.4300 (atc-ecu1-cse-sda-2026-08-01-cse).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Aucas</t>
        </is>
      </c>
      <c r="AQ60" s="24" t="inlineStr">
        <is>
          <t>Aucas</t>
        </is>
      </c>
      <c r="AR60" s="24" t="inlineStr">
        <is>
          <t>Aucas</t>
        </is>
      </c>
      <c r="AS60" s="24" t="inlineStr">
        <is>
          <t>Emelec</t>
        </is>
      </c>
      <c r="AT60" s="24" t="inlineStr">
        <is>
          <t>Emelec</t>
        </is>
      </c>
      <c r="AU60" s="24" t="inlineStr">
        <is>
          <t>Emelec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2026-08-01T23:52:16.427787Z</t>
        </is>
      </c>
      <c r="BI60" s="24" t="inlineStr">
        <is>
          <t>["same_event","same_team_same_day","same_league_same_day"]</t>
        </is>
      </c>
      <c r="BJ60" s="25" t="n"/>
      <c r="BK60" s="26" t="n">
        <v>133</v>
      </c>
      <c r="BL60" s="27" t="n">
        <v>2.33</v>
      </c>
      <c r="BM60" s="28" t="n">
        <v>0.429185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0.429185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0c98127e634e4762</t>
        </is>
      </c>
      <c r="B61" s="24" t="inlineStr">
        <is>
          <t>2026-08-01T23:53:24.455746Z</t>
        </is>
      </c>
      <c r="C61" s="24" t="inlineStr">
        <is>
          <t>2026-08-02T00:30Z</t>
        </is>
      </c>
      <c r="D61" s="24" t="inlineStr">
        <is>
          <t>761703</t>
        </is>
      </c>
      <c r="E61" s="24" t="inlineStr">
        <is>
          <t>SOCCER</t>
        </is>
      </c>
      <c r="F61" s="24" t="inlineStr">
        <is>
          <t>San Diego FC</t>
        </is>
      </c>
      <c r="G61" s="24" t="inlineStr">
        <is>
          <t>Minnesota United FC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0.405166</v>
      </c>
      <c r="P61" s="28" t="n">
        <v>0.04</v>
      </c>
      <c r="Q61" s="28" t="n">
        <v>-0.08502999999999999</v>
      </c>
      <c r="R61" s="26" t="n">
        <v>0</v>
      </c>
      <c r="S61" s="29" t="n">
        <v>1.25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-1.25</v>
      </c>
      <c r="AD61" s="24" t="inlineStr">
        <is>
          <t>2026-08-02T16:08:38.803420Z</t>
        </is>
      </c>
      <c r="AE61" s="31" t="inlineStr">
        <is>
          <t>Poisson-DC rates 1.78 (home) / 1.65 (away) from EWMA attack/defense strengths. Executable ask 0.4900 (atc-mls-min-sdg-2026-08-01-min).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San Diego FC</t>
        </is>
      </c>
      <c r="AQ61" s="24" t="inlineStr">
        <is>
          <t>San Diego FC</t>
        </is>
      </c>
      <c r="AR61" s="24" t="inlineStr">
        <is>
          <t>San Diego FC</t>
        </is>
      </c>
      <c r="AS61" s="24" t="inlineStr">
        <is>
          <t>Minnesota United FC</t>
        </is>
      </c>
      <c r="AT61" s="24" t="inlineStr">
        <is>
          <t>Minnesota United FC</t>
        </is>
      </c>
      <c r="AU61" s="24" t="inlineStr">
        <is>
          <t>Minnesota United FC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2026-08-01T23:52:04.626307Z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cc6b8b218f134422</t>
        </is>
      </c>
      <c r="B62" s="24" t="inlineStr">
        <is>
          <t>2026-08-01T23:53:24.455746Z</t>
        </is>
      </c>
      <c r="C62" s="24" t="inlineStr">
        <is>
          <t>2026-08-02T00:30Z</t>
        </is>
      </c>
      <c r="D62" s="24" t="inlineStr">
        <is>
          <t>761705</t>
        </is>
      </c>
      <c r="E62" s="24" t="inlineStr">
        <is>
          <t>SOCCER</t>
        </is>
      </c>
      <c r="F62" s="24" t="inlineStr">
        <is>
          <t>Real Salt Lake</t>
        </is>
      </c>
      <c r="G62" s="24" t="inlineStr">
        <is>
          <t>St. Louis CITY SC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100</v>
      </c>
      <c r="M62" s="27" t="n">
        <v>2</v>
      </c>
      <c r="N62" s="28" t="n">
        <v>0.5</v>
      </c>
      <c r="O62" s="28" t="n">
        <v>0.416937</v>
      </c>
      <c r="P62" s="28" t="n">
        <v>0.04</v>
      </c>
      <c r="Q62" s="28" t="n">
        <v>-0.083063</v>
      </c>
      <c r="R62" s="26" t="n">
        <v>0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1</v>
      </c>
      <c r="Y62" s="25" t="n"/>
      <c r="Z62" s="26" t="n"/>
      <c r="AA62" s="28" t="n"/>
      <c r="AB62" s="28" t="n"/>
      <c r="AC62" s="30" t="n">
        <v>-1.25</v>
      </c>
      <c r="AD62" s="24" t="inlineStr">
        <is>
          <t>2026-08-02T16:08:39.533103Z</t>
        </is>
      </c>
      <c r="AE62" s="31" t="inlineStr">
        <is>
          <t>Poisson-DC rates 1.71 (home) / 1.51 (away) from EWMA attack/defense strengths. Executable ask 0.5000 (atc-mls-stl-rsl-2026-08-01-stl).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Real Salt Lake</t>
        </is>
      </c>
      <c r="AQ62" s="24" t="inlineStr">
        <is>
          <t>Real Salt Lake</t>
        </is>
      </c>
      <c r="AR62" s="24" t="inlineStr">
        <is>
          <t>Real Salt Lake</t>
        </is>
      </c>
      <c r="AS62" s="24" t="inlineStr">
        <is>
          <t>St. Louis CITY SC</t>
        </is>
      </c>
      <c r="AT62" s="24" t="inlineStr">
        <is>
          <t>St. Louis CITY SC</t>
        </is>
      </c>
      <c r="AU62" s="24" t="inlineStr">
        <is>
          <t>St. Louis CITY SC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2026-08-01T23:52:07.835197Z</t>
        </is>
      </c>
      <c r="BI62" s="24" t="inlineStr">
        <is>
          <t>["same_event","same_team_same_day","same_league_same_day"]</t>
        </is>
      </c>
      <c r="BJ62" s="25" t="n"/>
      <c r="BK62" s="26" t="n">
        <v>100</v>
      </c>
      <c r="BL62" s="27" t="n">
        <v>2</v>
      </c>
      <c r="BM62" s="28" t="n">
        <v>0.5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17c41ca1fdf74770</t>
        </is>
      </c>
      <c r="B63" s="24" t="inlineStr">
        <is>
          <t>2026-08-01T23:53:24.455746Z</t>
        </is>
      </c>
      <c r="C63" s="24" t="inlineStr">
        <is>
          <t>2026-08-02T02:30Z</t>
        </is>
      </c>
      <c r="D63" s="24" t="inlineStr">
        <is>
          <t>761709</t>
        </is>
      </c>
      <c r="E63" s="24" t="inlineStr">
        <is>
          <t>SOCCER</t>
        </is>
      </c>
      <c r="F63" s="24" t="inlineStr">
        <is>
          <t>FC Dallas</t>
        </is>
      </c>
      <c r="G63" s="24" t="inlineStr">
        <is>
          <t>LA Galaxy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186</v>
      </c>
      <c r="M63" s="27" t="n">
        <v>2.86</v>
      </c>
      <c r="N63" s="28" t="n">
        <v>0.34965</v>
      </c>
      <c r="O63" s="28" t="n">
        <v>0.38746</v>
      </c>
      <c r="P63" s="28" t="n">
        <v>0.04</v>
      </c>
      <c r="Q63" s="28" t="n">
        <v>0.03781</v>
      </c>
      <c r="R63" s="26" t="n">
        <v>45</v>
      </c>
      <c r="S63" s="29" t="n">
        <v>1.5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-1.5</v>
      </c>
      <c r="AD63" s="24" t="inlineStr">
        <is>
          <t>2026-08-02T16:08:40.273795Z</t>
        </is>
      </c>
      <c r="AE63" s="31" t="inlineStr">
        <is>
          <t>Poisson-DC rates 1.76 (home) / 1.79 (away) from EWMA attack/defense strengths. Executable ask 0.3500 (atc-mls-lag-dal-2026-08-01-dal).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FC Dallas</t>
        </is>
      </c>
      <c r="AQ63" s="24" t="inlineStr">
        <is>
          <t>FC Dallas</t>
        </is>
      </c>
      <c r="AR63" s="24" t="inlineStr">
        <is>
          <t>FC Dallas</t>
        </is>
      </c>
      <c r="AS63" s="24" t="inlineStr">
        <is>
          <t>LA Galaxy</t>
        </is>
      </c>
      <c r="AT63" s="24" t="inlineStr">
        <is>
          <t>LA Galaxy</t>
        </is>
      </c>
      <c r="AU63" s="24" t="inlineStr">
        <is>
          <t>LA Galaxy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2026-08-01T23:52:11.231740Z</t>
        </is>
      </c>
      <c r="BI63" s="24" t="inlineStr">
        <is>
          <t>["same_event","same_team_same_day","same_league_same_day"]</t>
        </is>
      </c>
      <c r="BJ63" s="25" t="n"/>
      <c r="BK63" s="26" t="n">
        <v>186</v>
      </c>
      <c r="BL63" s="27" t="n">
        <v>2.86</v>
      </c>
      <c r="BM63" s="28" t="n">
        <v>0.34965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0.34965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1570b2da88bb4c5a</t>
        </is>
      </c>
      <c r="B64" s="24" t="inlineStr">
        <is>
          <t>2026-08-02T12:28:25.454250Z</t>
        </is>
      </c>
      <c r="C64" s="24" t="inlineStr">
        <is>
          <t>2026-08-02T12:30Z</t>
        </is>
      </c>
      <c r="D64" s="24" t="inlineStr">
        <is>
          <t>401886552</t>
        </is>
      </c>
      <c r="E64" s="24" t="inlineStr">
        <is>
          <t>SOCCER</t>
        </is>
      </c>
      <c r="F64" s="24" t="inlineStr">
        <is>
          <t>Ajax Amsterdam</t>
        </is>
      </c>
      <c r="G64" s="24" t="inlineStr">
        <is>
          <t>FC Volendam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-194</v>
      </c>
      <c r="M64" s="27" t="n">
        <v>1.515464</v>
      </c>
      <c r="N64" s="28" t="n">
        <v>0.659864</v>
      </c>
      <c r="O64" s="28" t="n">
        <v>0.515227</v>
      </c>
      <c r="P64" s="28" t="n">
        <v>0.04</v>
      </c>
      <c r="Q64" s="28" t="n">
        <v>-0.144637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win</t>
        </is>
      </c>
      <c r="W64" s="26" t="n">
        <v>3</v>
      </c>
      <c r="X64" s="26" t="n">
        <v>1</v>
      </c>
      <c r="Y64" s="25" t="n"/>
      <c r="Z64" s="26" t="n"/>
      <c r="AA64" s="28" t="n"/>
      <c r="AB64" s="28" t="n"/>
      <c r="AC64" s="30" t="n">
        <v>0.5155</v>
      </c>
      <c r="AD64" s="24" t="inlineStr">
        <is>
          <t>2026-08-02T15:52:39.747371Z</t>
        </is>
      </c>
      <c r="AE64" s="31" t="inlineStr">
        <is>
          <t>Poisson-DC rates 0.88 (home) / 1.54 (away) from EWMA attack/defense strengths. Executable ask 0.6600 (atc-clbf-fvco-aja-2026-08-02-aja).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Ajax Amsterdam</t>
        </is>
      </c>
      <c r="AQ64" s="24" t="inlineStr">
        <is>
          <t>Ajax Amsterdam</t>
        </is>
      </c>
      <c r="AR64" s="24" t="inlineStr">
        <is>
          <t>Ajax Amsterdam</t>
        </is>
      </c>
      <c r="AS64" s="24" t="inlineStr">
        <is>
          <t>FC Volendam</t>
        </is>
      </c>
      <c r="AT64" s="24" t="inlineStr">
        <is>
          <t>FC Volendam</t>
        </is>
      </c>
      <c r="AU64" s="24" t="inlineStr">
        <is>
          <t>FC Volendam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2026-08-02T12:25:27.623402Z</t>
        </is>
      </c>
      <c r="BI64" s="24" t="inlineStr">
        <is>
          <t>["same_event","same_team_same_day","same_league_same_day"]</t>
        </is>
      </c>
      <c r="BJ64" s="25" t="n"/>
      <c r="BK64" s="26" t="n">
        <v>-194</v>
      </c>
      <c r="BL64" s="27" t="n">
        <v>1.515464</v>
      </c>
      <c r="BM64" s="28" t="n">
        <v>0.659864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0.659864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f7b150997a264103</t>
        </is>
      </c>
      <c r="B65" s="24" t="inlineStr">
        <is>
          <t>2026-08-02T12:28:25.454250Z</t>
        </is>
      </c>
      <c r="C65" s="24" t="inlineStr">
        <is>
          <t>2026-08-02T13:00Z</t>
        </is>
      </c>
      <c r="D65" s="24" t="inlineStr">
        <is>
          <t>401886551</t>
        </is>
      </c>
      <c r="E65" s="24" t="inlineStr">
        <is>
          <t>SOCCER</t>
        </is>
      </c>
      <c r="F65" s="24" t="inlineStr">
        <is>
          <t>Atalanta</t>
        </is>
      </c>
      <c r="G65" s="24" t="inlineStr">
        <is>
          <t>Feyenoord Rotterdam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194</v>
      </c>
      <c r="M65" s="27" t="n">
        <v>2.94</v>
      </c>
      <c r="N65" s="28" t="n">
        <v>0.340136</v>
      </c>
      <c r="O65" s="28" t="n">
        <v>0.575359</v>
      </c>
      <c r="P65" s="28" t="n">
        <v>0.04</v>
      </c>
      <c r="Q65" s="28" t="n">
        <v>0.235223</v>
      </c>
      <c r="R65" s="26" t="n">
        <v>100</v>
      </c>
      <c r="S65" s="29" t="n">
        <v>1.25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2</v>
      </c>
      <c r="Y65" s="25" t="n"/>
      <c r="Z65" s="26" t="n"/>
      <c r="AA65" s="28" t="n"/>
      <c r="AB65" s="28" t="n"/>
      <c r="AC65" s="30" t="n">
        <v>2.425</v>
      </c>
      <c r="AD65" s="24" t="inlineStr">
        <is>
          <t>2026-08-02T15:52:40.668054Z</t>
        </is>
      </c>
      <c r="AE65" s="31" t="inlineStr">
        <is>
          <t>Poisson-DC rates 1.92 (home) / 1.01 (away) from EWMA attack/defense strengths. Executable ask 0.3400 (atc-clbf-fey-ata-2026-08-02-fey).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Atalanta</t>
        </is>
      </c>
      <c r="AQ65" s="24" t="inlineStr">
        <is>
          <t>Atalanta</t>
        </is>
      </c>
      <c r="AR65" s="24" t="inlineStr">
        <is>
          <t>Atalanta</t>
        </is>
      </c>
      <c r="AS65" s="24" t="inlineStr">
        <is>
          <t>Feyenoord Rotterdam</t>
        </is>
      </c>
      <c r="AT65" s="24" t="inlineStr">
        <is>
          <t>Feyenoord Rotterdam</t>
        </is>
      </c>
      <c r="AU65" s="24" t="inlineStr">
        <is>
          <t>Feyenoord Rotterdam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2026-08-02T12:25:27.610137Z</t>
        </is>
      </c>
      <c r="BI65" s="24" t="inlineStr">
        <is>
          <t>["same_event","same_team_same_day","same_league_same_day"]</t>
        </is>
      </c>
      <c r="BJ65" s="25" t="n"/>
      <c r="BK65" s="26" t="n">
        <v>194</v>
      </c>
      <c r="BL65" s="27" t="n">
        <v>2.94</v>
      </c>
      <c r="BM65" s="28" t="n">
        <v>0.340136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0.340136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7ab1c307320046bd</t>
        </is>
      </c>
      <c r="B66" s="24" t="inlineStr">
        <is>
          <t>2026-08-02T13:05:47.245126Z</t>
        </is>
      </c>
      <c r="C66" s="24" t="inlineStr">
        <is>
          <t>2026-08-02T15:00Z</t>
        </is>
      </c>
      <c r="D66" s="24" t="inlineStr">
        <is>
          <t>401872734</t>
        </is>
      </c>
      <c r="E66" s="24" t="inlineStr">
        <is>
          <t>SOCCER</t>
        </is>
      </c>
      <c r="F66" s="24" t="inlineStr">
        <is>
          <t>Boston River</t>
        </is>
      </c>
      <c r="G66" s="24" t="inlineStr">
        <is>
          <t>Racing (Montevideo)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-127</v>
      </c>
      <c r="M66" s="27" t="n">
        <v>1.787402</v>
      </c>
      <c r="N66" s="28" t="n">
        <v>0.5594710000000001</v>
      </c>
      <c r="O66" s="28" t="n">
        <v>0.5359159999999999</v>
      </c>
      <c r="P66" s="28" t="n">
        <v>0.2</v>
      </c>
      <c r="Q66" s="28" t="n">
        <v>-0.023555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0.7874</v>
      </c>
      <c r="AD66" s="24" t="inlineStr">
        <is>
          <t>2026-08-02T17:15:06.999882Z</t>
        </is>
      </c>
      <c r="AE66" s="31" t="inlineStr">
        <is>
          <t>Poisson-DC rates 1.84 (home) / 1.10 (away) from EWMA attack/defense strengths. Executable ask 0.5600 (atc-uru1-rcm-bri-2026-08-02-rcm).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Boston River</t>
        </is>
      </c>
      <c r="AQ66" s="24" t="inlineStr">
        <is>
          <t>Boston River</t>
        </is>
      </c>
      <c r="AR66" s="24" t="inlineStr">
        <is>
          <t>Boston River</t>
        </is>
      </c>
      <c r="AS66" s="24" t="inlineStr">
        <is>
          <t>Racing (Montevideo)</t>
        </is>
      </c>
      <c r="AT66" s="24" t="inlineStr">
        <is>
          <t>Racing (Montevideo)</t>
        </is>
      </c>
      <c r="AU66" s="24" t="inlineStr">
        <is>
          <t>Racing (Montevideo)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2026-08-02T13:02:47.678863Z</t>
        </is>
      </c>
      <c r="BI66" s="24" t="inlineStr">
        <is>
          <t>["same_event","same_team_same_day","same_league_same_day"]</t>
        </is>
      </c>
      <c r="BJ66" s="25" t="n"/>
      <c r="BK66" s="26" t="n">
        <v>-127</v>
      </c>
      <c r="BL66" s="27" t="n">
        <v>1.787402</v>
      </c>
      <c r="BM66" s="28" t="n">
        <v>0.5594710000000001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0.559471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ba6383f0b7054d55</t>
        </is>
      </c>
      <c r="B67" s="24" t="inlineStr">
        <is>
          <t>2026-08-02T13:05:47.245126Z</t>
        </is>
      </c>
      <c r="C67" s="24" t="inlineStr">
        <is>
          <t>2026-08-02T14:30Z</t>
        </is>
      </c>
      <c r="D67" s="24" t="inlineStr">
        <is>
          <t>401898711</t>
        </is>
      </c>
      <c r="E67" s="24" t="inlineStr">
        <is>
          <t>SOCCER</t>
        </is>
      </c>
      <c r="F67" s="24" t="inlineStr">
        <is>
          <t>Udinese</t>
        </is>
      </c>
      <c r="G67" s="24" t="inlineStr">
        <is>
          <t>Trabzonspor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0.395816</v>
      </c>
      <c r="P67" s="28" t="n">
        <v>0.2</v>
      </c>
      <c r="Q67" s="28" t="n">
        <v>0.005191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1.56</v>
      </c>
      <c r="AD67" s="24" t="inlineStr">
        <is>
          <t>2026-08-02T16:39:24.462328Z</t>
        </is>
      </c>
      <c r="AE67" s="31" t="inlineStr">
        <is>
          <t>Poisson-DC rates 1.26 (home) / 1.06 (away) from EWMA attack/defense strengths. Executable ask 0.3900 (atc-clbf-tra-udi-2026-08-02-tra).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Udinese</t>
        </is>
      </c>
      <c r="AQ67" s="24" t="inlineStr">
        <is>
          <t>Udinese</t>
        </is>
      </c>
      <c r="AR67" s="24" t="inlineStr">
        <is>
          <t>Udinese</t>
        </is>
      </c>
      <c r="AS67" s="24" t="inlineStr">
        <is>
          <t>Trabzonspor</t>
        </is>
      </c>
      <c r="AT67" s="24" t="inlineStr">
        <is>
          <t>Trabzonspor</t>
        </is>
      </c>
      <c r="AU67" s="24" t="inlineStr">
        <is>
          <t>Trabzonspor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2026-08-02T13:02:50.866524Z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0.390625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73e5fffe29124687</t>
        </is>
      </c>
      <c r="B68" s="24" t="inlineStr">
        <is>
          <t>2026-08-02T15:49:40.829108Z</t>
        </is>
      </c>
      <c r="C68" s="24" t="inlineStr">
        <is>
          <t>2026-08-02T16:00Z</t>
        </is>
      </c>
      <c r="D68" s="24" t="inlineStr">
        <is>
          <t>401897751</t>
        </is>
      </c>
      <c r="E68" s="24" t="inlineStr">
        <is>
          <t>SOCCER</t>
        </is>
      </c>
      <c r="F68" s="24" t="inlineStr">
        <is>
          <t>Wrexham</t>
        </is>
      </c>
      <c r="G68" s="24" t="inlineStr">
        <is>
          <t>Sunderland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-104</v>
      </c>
      <c r="M68" s="27" t="n">
        <v>1.961538</v>
      </c>
      <c r="N68" s="28" t="n">
        <v>0.509804</v>
      </c>
      <c r="O68" s="28" t="n">
        <v>0.395592</v>
      </c>
      <c r="P68" s="28" t="n">
        <v>0.04</v>
      </c>
      <c r="Q68" s="28" t="n">
        <v>-0.114212</v>
      </c>
      <c r="R68" s="26" t="n">
        <v>0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/>
      <c r="AA68" s="28" t="n"/>
      <c r="AB68" s="28" t="n"/>
      <c r="AC68" s="30" t="n">
        <v>1.4423</v>
      </c>
      <c r="AD68" s="24" t="inlineStr">
        <is>
          <t>2026-08-02T18:18:44.054014Z</t>
        </is>
      </c>
      <c r="AE68" s="31" t="inlineStr">
        <is>
          <t>Poisson-DC rates 1.40 (home) / 1.24 (away) from EWMA attack/defense strengths. Executable ask 0.5100 (atc-clbf-sun-wre-2026-08-02-sun).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Wrexham</t>
        </is>
      </c>
      <c r="AQ68" s="24" t="inlineStr">
        <is>
          <t>Wrexham</t>
        </is>
      </c>
      <c r="AR68" s="24" t="inlineStr">
        <is>
          <t>Wrexham</t>
        </is>
      </c>
      <c r="AS68" s="24" t="inlineStr">
        <is>
          <t>Sunderland</t>
        </is>
      </c>
      <c r="AT68" s="24" t="inlineStr">
        <is>
          <t>Sunderland</t>
        </is>
      </c>
      <c r="AU68" s="24" t="inlineStr">
        <is>
          <t>Sunderland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2026-08-02T15:46:37.855949Z</t>
        </is>
      </c>
      <c r="BI68" s="24" t="inlineStr">
        <is>
          <t>["same_event","same_team_same_day","same_league_same_day"]</t>
        </is>
      </c>
      <c r="BJ68" s="25" t="n"/>
      <c r="BK68" s="26" t="n">
        <v>-104</v>
      </c>
      <c r="BL68" s="27" t="n">
        <v>1.961538</v>
      </c>
      <c r="BM68" s="28" t="n">
        <v>0.509804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0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0.509804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0.359712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0.530516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0.409836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0.519231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0.409836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0.640288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0.659864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0.330033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0.45045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0.570815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0.859944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0.3003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-1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0.330033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1.5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0.659864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1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0.490196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1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0.9258999999999999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0.519231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1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1.17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0.460829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0.519231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ec9fbb53d3bd434e</t>
        </is>
      </c>
      <c r="B91" s="24" t="inlineStr">
        <is>
          <t>2026-08-07T18:30:33.836209Z</t>
        </is>
      </c>
      <c r="C91" s="24" t="inlineStr">
        <is>
          <t>2026-08-07T20:15Z</t>
        </is>
      </c>
      <c r="D91" s="24" t="inlineStr">
        <is>
          <t>401886111</t>
        </is>
      </c>
      <c r="E91" s="24" t="inlineStr">
        <is>
          <t>SOCCER</t>
        </is>
      </c>
      <c r="F91" s="24" t="inlineStr">
        <is>
          <t>Cusco FC</t>
        </is>
      </c>
      <c r="G91" s="24" t="inlineStr">
        <is>
          <t>Comerciantes Unidos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163</v>
      </c>
      <c r="M91" s="27" t="n">
        <v>2.63</v>
      </c>
      <c r="N91" s="28" t="n">
        <v>0.380228</v>
      </c>
      <c r="O91" s="28" t="n">
        <v>0.394611</v>
      </c>
      <c r="P91" s="28" t="n">
        <v>0.19</v>
      </c>
      <c r="Q91" s="28" t="n">
        <v>0.014383</v>
      </c>
      <c r="R91" s="26" t="n">
        <v>0</v>
      </c>
      <c r="S91" s="29" t="n">
        <v>1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3</v>
      </c>
      <c r="Y91" s="25" t="n"/>
      <c r="Z91" s="26" t="n"/>
      <c r="AA91" s="28" t="n"/>
      <c r="AB91" s="28" t="n"/>
      <c r="AC91" s="30" t="n">
        <v>1.63</v>
      </c>
      <c r="AD91" s="24" t="inlineStr">
        <is>
          <t>2026-08-08T00:59:17.322513Z</t>
        </is>
      </c>
      <c r="AE91" s="31" t="inlineStr">
        <is>
          <t>Poisson-DC rates 1.66 (home) / 1.56 (away) from EWMA attack/defense strengths. Executable ask 0.3800 (atc-pl1-cou-gar-2026-08-07-cou).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PAPER_CALL_WINNER_OVERVALUED</t>
        </is>
      </c>
      <c r="AP91" s="24" t="inlineStr">
        <is>
          <t>Cusco FC</t>
        </is>
      </c>
      <c r="AQ91" s="24" t="inlineStr">
        <is>
          <t>Cusco FC</t>
        </is>
      </c>
      <c r="AR91" s="24" t="inlineStr">
        <is>
          <t>Cusco FC</t>
        </is>
      </c>
      <c r="AS91" s="24" t="inlineStr">
        <is>
          <t>Comerciantes Unidos</t>
        </is>
      </c>
      <c r="AT91" s="24" t="inlineStr">
        <is>
          <t>Comerciantes Unidos</t>
        </is>
      </c>
      <c r="AU91" s="24" t="inlineStr">
        <is>
          <t>Comerciantes Unidos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2026-08-07T18:28:05.240611Z</t>
        </is>
      </c>
      <c r="BI91" s="24" t="inlineStr">
        <is>
          <t>["same_event","same_team_same_day","same_league_same_day"]</t>
        </is>
      </c>
      <c r="BJ91" s="25" t="n"/>
      <c r="BK91" s="26" t="n">
        <v>163</v>
      </c>
      <c r="BL91" s="27" t="n">
        <v>2.63</v>
      </c>
      <c r="BM91" s="28" t="n">
        <v>0.380228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0.380228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65cbf0fd53194669</t>
        </is>
      </c>
      <c r="B92" s="24" t="inlineStr">
        <is>
          <t>2026-08-07T18:30:33.836209Z</t>
        </is>
      </c>
      <c r="C92" s="24" t="inlineStr">
        <is>
          <t>2026-08-07T18:45Z</t>
        </is>
      </c>
      <c r="D92" s="24" t="inlineStr">
        <is>
          <t>401906279</t>
        </is>
      </c>
      <c r="E92" s="24" t="inlineStr">
        <is>
          <t>SOCCER</t>
        </is>
      </c>
      <c r="F92" s="24" t="inlineStr">
        <is>
          <t>Padova</t>
        </is>
      </c>
      <c r="G92" s="24" t="inlineStr">
        <is>
          <t>Monza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426</v>
      </c>
      <c r="M92" s="27" t="n">
        <v>5.26</v>
      </c>
      <c r="N92" s="28" t="n">
        <v>0.190114</v>
      </c>
      <c r="O92" s="28" t="n">
        <v>0.5644479999999999</v>
      </c>
      <c r="P92" s="28" t="n">
        <v>0.2</v>
      </c>
      <c r="Q92" s="28" t="n">
        <v>0.374334</v>
      </c>
      <c r="R92" s="26" t="n">
        <v>100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3</v>
      </c>
      <c r="X92" s="26" t="n">
        <v>3</v>
      </c>
      <c r="Y92" s="25" t="n"/>
      <c r="Z92" s="26" t="n"/>
      <c r="AA92" s="28" t="n"/>
      <c r="AB92" s="28" t="n"/>
      <c r="AC92" s="30" t="n">
        <v>-1</v>
      </c>
      <c r="AD92" s="24" t="inlineStr">
        <is>
          <t>2026-08-08T00:59:18.895318Z</t>
        </is>
      </c>
      <c r="AE92" s="31" t="inlineStr">
        <is>
          <t>Poisson-DC rates 0.86 (home) / 1.71 (away) from EWMA attack/defense strengths. Executable ask 0.1900 (atc-clbf-mon-pad-2026-08-07-pad).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Padova</t>
        </is>
      </c>
      <c r="AQ92" s="24" t="inlineStr">
        <is>
          <t>Padova</t>
        </is>
      </c>
      <c r="AR92" s="24" t="inlineStr">
        <is>
          <t>Padova</t>
        </is>
      </c>
      <c r="AS92" s="24" t="inlineStr">
        <is>
          <t>Monza</t>
        </is>
      </c>
      <c r="AT92" s="24" t="inlineStr">
        <is>
          <t>Monza</t>
        </is>
      </c>
      <c r="AU92" s="24" t="inlineStr">
        <is>
          <t>Monza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2026-08-07T18:28:05.312057Z</t>
        </is>
      </c>
      <c r="BI92" s="24" t="inlineStr">
        <is>
          <t>["same_event","same_team_same_day","same_league_same_day"]</t>
        </is>
      </c>
      <c r="BJ92" s="25" t="n"/>
      <c r="BK92" s="26" t="n">
        <v>426</v>
      </c>
      <c r="BL92" s="27" t="n">
        <v>5.26</v>
      </c>
      <c r="BM92" s="28" t="n">
        <v>0.190114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0.190114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afd9334bbea54991</t>
        </is>
      </c>
      <c r="B93" s="24" t="inlineStr">
        <is>
          <t>2026-08-07T21:57:06.967476Z</t>
        </is>
      </c>
      <c r="C93" s="24" t="inlineStr">
        <is>
          <t>2026-08-07T23:30Z</t>
        </is>
      </c>
      <c r="D93" s="24" t="inlineStr">
        <is>
          <t>401860269</t>
        </is>
      </c>
      <c r="E93" s="24" t="inlineStr">
        <is>
          <t>SOCCER</t>
        </is>
      </c>
      <c r="F93" s="24" t="inlineStr">
        <is>
          <t>Ponte Preta</t>
        </is>
      </c>
      <c r="G93" s="24" t="inlineStr">
        <is>
          <t>Ceará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-213</v>
      </c>
      <c r="M93" s="27" t="n">
        <v>1.469484</v>
      </c>
      <c r="N93" s="28" t="n">
        <v>0.680511</v>
      </c>
      <c r="O93" s="28" t="n">
        <v>0.483295</v>
      </c>
      <c r="P93" s="28" t="n">
        <v>0.2</v>
      </c>
      <c r="Q93" s="28" t="n">
        <v>-0.197216</v>
      </c>
      <c r="R93" s="26" t="n">
        <v>0</v>
      </c>
      <c r="S93" s="29" t="n">
        <v>1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2</v>
      </c>
      <c r="Y93" s="25" t="n"/>
      <c r="Z93" s="26" t="n"/>
      <c r="AA93" s="28" t="n"/>
      <c r="AB93" s="28" t="n"/>
      <c r="AC93" s="30" t="n">
        <v>0.4695</v>
      </c>
      <c r="AD93" s="24" t="inlineStr">
        <is>
          <t>2026-08-08T04:03:55.725680Z</t>
        </is>
      </c>
      <c r="AE93" s="31" t="inlineStr">
        <is>
          <t>Poisson-DC rates 1.72 (home) / 1.20 (away) from EWMA attack/defense strengths. Executable ask 0.6800 (atc-brb-csc-pop-2026-08-07-csc).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PAPER_CALL_WINNER_OVERVALUED</t>
        </is>
      </c>
      <c r="AP93" s="24" t="inlineStr">
        <is>
          <t>Ponte Preta</t>
        </is>
      </c>
      <c r="AQ93" s="24" t="inlineStr">
        <is>
          <t>Ponte Preta</t>
        </is>
      </c>
      <c r="AR93" s="24" t="inlineStr">
        <is>
          <t>Ponte Preta</t>
        </is>
      </c>
      <c r="AS93" s="24" t="inlineStr">
        <is>
          <t>Ceará</t>
        </is>
      </c>
      <c r="AT93" s="24" t="inlineStr">
        <is>
          <t>Ceará</t>
        </is>
      </c>
      <c r="AU93" s="24" t="inlineStr">
        <is>
          <t>Ceará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2026-08-07T21:56:01.183000Z</t>
        </is>
      </c>
      <c r="BI93" s="24" t="inlineStr">
        <is>
          <t>["same_event","same_team_same_day","same_league_same_day"]</t>
        </is>
      </c>
      <c r="BJ93" s="25" t="n"/>
      <c r="BK93" s="26" t="n">
        <v>-213</v>
      </c>
      <c r="BL93" s="27" t="n">
        <v>1.469484</v>
      </c>
      <c r="BM93" s="28" t="n">
        <v>0.680511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0.680511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a8f858cba7cb4501</t>
        </is>
      </c>
      <c r="B94" s="24" t="inlineStr">
        <is>
          <t>2026-08-07T21:57:06.967476Z</t>
        </is>
      </c>
      <c r="C94" s="24" t="inlineStr">
        <is>
          <t>2026-08-07T22:30Z</t>
        </is>
      </c>
      <c r="D94" s="24" t="inlineStr">
        <is>
          <t>401841491</t>
        </is>
      </c>
      <c r="E94" s="24" t="inlineStr">
        <is>
          <t>SOCCER</t>
        </is>
      </c>
      <c r="F94" s="24" t="inlineStr">
        <is>
          <t>Aldosivi</t>
        </is>
      </c>
      <c r="G94" s="24" t="inlineStr">
        <is>
          <t>Rosario Central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0.456135</v>
      </c>
      <c r="P94" s="28" t="n">
        <v>0.2</v>
      </c>
      <c r="Q94" s="28" t="n">
        <v>-0.173495</v>
      </c>
      <c r="R94" s="26" t="n">
        <v>0</v>
      </c>
      <c r="S94" s="29" t="n">
        <v>1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2026-08-08T00:59:22.760236Z</t>
        </is>
      </c>
      <c r="AE94" s="31" t="inlineStr">
        <is>
          <t>Poisson-DC rates 1.64 (home) / 1.24 (away) from EWMA attack/defense strengths. Executable ask 0.6300 (atc-lpa-ros-ald-2026-08-07-ros).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Aldosivi</t>
        </is>
      </c>
      <c r="AQ94" s="24" t="inlineStr">
        <is>
          <t>Aldosivi</t>
        </is>
      </c>
      <c r="AR94" s="24" t="inlineStr">
        <is>
          <t>Aldosivi</t>
        </is>
      </c>
      <c r="AS94" s="24" t="inlineStr">
        <is>
          <t>Rosario Central</t>
        </is>
      </c>
      <c r="AT94" s="24" t="inlineStr">
        <is>
          <t>Rosario Central</t>
        </is>
      </c>
      <c r="AU94" s="24" t="inlineStr">
        <is>
          <t>Rosario Central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2026-08-07T21:56:01.197015Z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01e015683cc44227</t>
        </is>
      </c>
      <c r="B95" s="24" t="inlineStr">
        <is>
          <t>2026-08-07T21:57:06.967476Z</t>
        </is>
      </c>
      <c r="C95" s="24" t="inlineStr">
        <is>
          <t>2026-08-07T22:00Z</t>
        </is>
      </c>
      <c r="D95" s="24" t="inlineStr">
        <is>
          <t>401905201</t>
        </is>
      </c>
      <c r="E95" s="24" t="inlineStr">
        <is>
          <t>SOCCER</t>
        </is>
      </c>
      <c r="F95" s="24" t="inlineStr">
        <is>
          <t>Juventud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203</v>
      </c>
      <c r="M95" s="27" t="n">
        <v>3.03</v>
      </c>
      <c r="N95" s="28" t="n">
        <v>0.330033</v>
      </c>
      <c r="O95" s="28" t="n">
        <v>0.456135</v>
      </c>
      <c r="P95" s="28" t="n">
        <v>0.2</v>
      </c>
      <c r="Q95" s="28" t="n">
        <v>0.126102</v>
      </c>
      <c r="R95" s="26" t="n">
        <v>0</v>
      </c>
      <c r="S95" s="29" t="n">
        <v>1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/>
      <c r="AA95" s="28" t="n"/>
      <c r="AB95" s="28" t="n"/>
      <c r="AC95" s="30" t="n">
        <v>-1</v>
      </c>
      <c r="AD95" s="24" t="inlineStr">
        <is>
          <t>2026-08-08T00:59:23.350192Z</t>
        </is>
      </c>
      <c r="AE95" s="31" t="inlineStr">
        <is>
          <t>Poisson-DC rates 1.64 (home) / 1.24 (away) from EWMA attack/defense strengths. Executable ask 0.3300 (atc-uru1-cla-juv-2026-08-07-cla).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Juventud</t>
        </is>
      </c>
      <c r="AQ95" s="24" t="inlineStr">
        <is>
          <t>Juventud</t>
        </is>
      </c>
      <c r="AR95" s="24" t="inlineStr">
        <is>
          <t>Juventud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2026-08-07T21:56:01.741896Z</t>
        </is>
      </c>
      <c r="BI95" s="24" t="inlineStr">
        <is>
          <t>["same_event","same_team_same_day","same_league_same_day"]</t>
        </is>
      </c>
      <c r="BJ95" s="25" t="n"/>
      <c r="BK95" s="26" t="n">
        <v>203</v>
      </c>
      <c r="BL95" s="27" t="n">
        <v>3.03</v>
      </c>
      <c r="BM95" s="28" t="n">
        <v>0.330033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0.330033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850960253aab4352</t>
        </is>
      </c>
      <c r="B96" s="24" t="inlineStr">
        <is>
          <t>2026-08-08T04:06:48.430272Z</t>
        </is>
      </c>
      <c r="C96" s="24" t="inlineStr">
        <is>
          <t>2026-08-08T12:00Z</t>
        </is>
      </c>
      <c r="D96" s="24" t="inlineStr">
        <is>
          <t>401871495</t>
        </is>
      </c>
      <c r="E96" s="24" t="inlineStr">
        <is>
          <t>SOCCER</t>
        </is>
      </c>
      <c r="F96" s="24" t="inlineStr">
        <is>
          <t>AC Milan</t>
        </is>
      </c>
      <c r="G96" s="24" t="inlineStr">
        <is>
          <t>Chelsea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223</v>
      </c>
      <c r="M96" s="27" t="n">
        <v>3.23</v>
      </c>
      <c r="N96" s="28" t="n">
        <v>0.309598</v>
      </c>
      <c r="O96" s="28" t="n">
        <v>0.38707</v>
      </c>
      <c r="P96" s="28" t="n">
        <v>0.04</v>
      </c>
      <c r="Q96" s="28" t="n">
        <v>0.077472</v>
      </c>
      <c r="R96" s="26" t="n">
        <v>65</v>
      </c>
      <c r="S96" s="29" t="n">
        <v>1.5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3</v>
      </c>
      <c r="Y96" s="25" t="n"/>
      <c r="Z96" s="26" t="n"/>
      <c r="AA96" s="28" t="n"/>
      <c r="AB96" s="28" t="n"/>
      <c r="AC96" s="30" t="n">
        <v>-1.5</v>
      </c>
      <c r="AD96" s="24" t="inlineStr">
        <is>
          <t>2026-08-08T18:33:30.065799Z</t>
        </is>
      </c>
      <c r="AE96" s="31" t="inlineStr">
        <is>
          <t>Poisson-DC rates 1.20 (home) / 1.34 (away) from EWMA attack/defense strengths. Executable ask 0.3100 (atc-clbf-cfc-acm-2026-08-08-acm).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AC Milan</t>
        </is>
      </c>
      <c r="AQ96" s="24" t="inlineStr">
        <is>
          <t>AC Milan</t>
        </is>
      </c>
      <c r="AR96" s="24" t="inlineStr">
        <is>
          <t>AC Milan</t>
        </is>
      </c>
      <c r="AS96" s="24" t="inlineStr">
        <is>
          <t>Chelsea</t>
        </is>
      </c>
      <c r="AT96" s="24" t="inlineStr">
        <is>
          <t>Chelsea</t>
        </is>
      </c>
      <c r="AU96" s="24" t="inlineStr">
        <is>
          <t>Chelsea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c95ec2023134439ab985cb4cdcc58243749b9deb564fca7a2d587c15c9875427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c95ec2023134439ab985cb4cdcc58243749b9deb564fca7a2d587c15c9875427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c95ec2023134439ab985cb4cdcc58243749b9deb564fca7a2d587c15c9875427</t>
        </is>
      </c>
      <c r="BH96" s="24" t="inlineStr">
        <is>
          <t>2026-08-08T04:05:26.078272Z</t>
        </is>
      </c>
      <c r="BI96" s="24" t="inlineStr">
        <is>
          <t>["same_event","same_team_same_day","same_league_same_day"]</t>
        </is>
      </c>
      <c r="BJ96" s="25" t="n"/>
      <c r="BK96" s="26" t="n">
        <v>223</v>
      </c>
      <c r="BL96" s="27" t="n">
        <v>3.23</v>
      </c>
      <c r="BM96" s="28" t="n">
        <v>0.309598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0.309598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720c129b5d7a4477</t>
        </is>
      </c>
      <c r="B97" s="24" t="inlineStr">
        <is>
          <t>2026-08-08T18:36:33.205564Z</t>
        </is>
      </c>
      <c r="C97" s="24" t="inlineStr">
        <is>
          <t>2026-08-08T23:30Z</t>
        </is>
      </c>
      <c r="D97" s="24" t="inlineStr">
        <is>
          <t>401841184</t>
        </is>
      </c>
      <c r="E97" s="24" t="inlineStr">
        <is>
          <t>SOCCER</t>
        </is>
      </c>
      <c r="F97" s="24" t="inlineStr">
        <is>
          <t>Chapecoense</t>
        </is>
      </c>
      <c r="G97" s="24" t="inlineStr">
        <is>
          <t>Coritiba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0.451659</v>
      </c>
      <c r="P97" s="28" t="n">
        <v>0.2</v>
      </c>
      <c r="Q97" s="28" t="n">
        <v>-0.138505</v>
      </c>
      <c r="R97" s="26" t="n">
        <v>0</v>
      </c>
      <c r="S97" s="29" t="n">
        <v>1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/>
      <c r="AA97" s="28" t="n"/>
      <c r="AB97" s="28" t="n"/>
      <c r="AC97" s="30" t="n">
        <v>0.6944</v>
      </c>
      <c r="AD97" s="24" t="inlineStr">
        <is>
          <t>2026-08-09T05:13:11.862105Z</t>
        </is>
      </c>
      <c r="AE97" s="31" t="inlineStr">
        <is>
          <t>Poisson-DC rates 1.59 (home) / 1.20 (away) from EWMA attack/defense strengths. Executable ask 0.5900 (atc-bra-cor-cha-2026-08-08-cor).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PAPER_CALL_WINNER_OVERVALUED</t>
        </is>
      </c>
      <c r="AP97" s="24" t="inlineStr">
        <is>
          <t>Chapecoense</t>
        </is>
      </c>
      <c r="AQ97" s="24" t="inlineStr">
        <is>
          <t>Chapecoense</t>
        </is>
      </c>
      <c r="AR97" s="24" t="inlineStr">
        <is>
          <t>Chapecoense</t>
        </is>
      </c>
      <c r="AS97" s="24" t="inlineStr">
        <is>
          <t>Coritiba</t>
        </is>
      </c>
      <c r="AT97" s="24" t="inlineStr">
        <is>
          <t>Coritiba</t>
        </is>
      </c>
      <c r="AU97" s="24" t="inlineStr">
        <is>
          <t>Coritiba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c95ec2023134439ab985cb4cdcc58243749b9deb564fca7a2d587c15c9875427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c95ec2023134439ab985cb4cdcc58243749b9deb564fca7a2d587c15c9875427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c95ec2023134439ab985cb4cdcc58243749b9deb564fca7a2d587c15c9875427</t>
        </is>
      </c>
      <c r="BH97" s="24" t="inlineStr">
        <is>
          <t>2026-08-08T18:35:42.695025Z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0.590164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1e3c78a3ea604069</t>
        </is>
      </c>
      <c r="B98" s="24" t="inlineStr">
        <is>
          <t>2026-08-08T18:36:33.205564Z</t>
        </is>
      </c>
      <c r="C98" s="24" t="inlineStr">
        <is>
          <t>2026-08-09T00:00Z</t>
        </is>
      </c>
      <c r="D98" s="24" t="inlineStr">
        <is>
          <t>401841185</t>
        </is>
      </c>
      <c r="E98" s="24" t="inlineStr">
        <is>
          <t>SOCCER</t>
        </is>
      </c>
      <c r="F98" s="24" t="inlineStr">
        <is>
          <t>Fluminense</t>
        </is>
      </c>
      <c r="G98" s="24" t="inlineStr">
        <is>
          <t>Botafogo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133</v>
      </c>
      <c r="M98" s="27" t="n">
        <v>2.33</v>
      </c>
      <c r="N98" s="28" t="n">
        <v>0.429185</v>
      </c>
      <c r="O98" s="28" t="n">
        <v>0.456135</v>
      </c>
      <c r="P98" s="28" t="n">
        <v>0.2</v>
      </c>
      <c r="Q98" s="28" t="n">
        <v>0.02695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1</v>
      </c>
      <c r="Y98" s="25" t="n"/>
      <c r="Z98" s="26" t="n"/>
      <c r="AA98" s="28" t="n"/>
      <c r="AB98" s="28" t="n"/>
      <c r="AC98" s="30" t="n">
        <v>-1</v>
      </c>
      <c r="AD98" s="24" t="inlineStr">
        <is>
          <t>2026-08-09T05:13:13.233873Z</t>
        </is>
      </c>
      <c r="AE98" s="31" t="inlineStr">
        <is>
          <t>Poisson-DC rates 1.64 (home) / 1.24 (away) from EWMA attack/defense strengths. Executable ask 0.4300 (atc-bra-bot-flu-2026-08-08-bot).</t>
        </is>
      </c>
      <c r="AF98" s="31" t="inlineStr">
        <is>
          <t>Research-only soccer score model; draw-aware, but not yet locked-holdout qualified.</t>
        </is>
      </c>
      <c r="AG98" s="24" t="inlineStr">
        <is>
          <t>review_required</t>
        </is>
      </c>
      <c r="AH98" s="24" t="n"/>
      <c r="AI98" s="31" t="n"/>
      <c r="AJ9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PAPER_CALL_WINNER_OVERVALUED</t>
        </is>
      </c>
      <c r="AP98" s="24" t="inlineStr">
        <is>
          <t>Fluminense</t>
        </is>
      </c>
      <c r="AQ98" s="24" t="inlineStr">
        <is>
          <t>Fluminense</t>
        </is>
      </c>
      <c r="AR98" s="24" t="inlineStr">
        <is>
          <t>Fluminense</t>
        </is>
      </c>
      <c r="AS98" s="24" t="inlineStr">
        <is>
          <t>Botafogo</t>
        </is>
      </c>
      <c r="AT98" s="24" t="inlineStr">
        <is>
          <t>Botafogo</t>
        </is>
      </c>
      <c r="AU98" s="24" t="inlineStr">
        <is>
          <t>Botafogo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c95ec2023134439ab985cb4cdcc58243749b9deb564fca7a2d587c15c9875427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c95ec2023134439ab985cb4cdcc58243749b9deb564fca7a2d587c15c9875427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c95ec2023134439ab985cb4cdcc58243749b9deb564fca7a2d587c15c9875427</t>
        </is>
      </c>
      <c r="BH98" s="24" t="inlineStr">
        <is>
          <t>2026-08-08T18:35:42.924313Z</t>
        </is>
      </c>
      <c r="BI98" s="24" t="inlineStr">
        <is>
          <t>["same_event","same_team_same_day","same_league_same_day"]</t>
        </is>
      </c>
      <c r="BJ98" s="25" t="n"/>
      <c r="BK98" s="26" t="n">
        <v>133</v>
      </c>
      <c r="BL98" s="27" t="n">
        <v>2.33</v>
      </c>
      <c r="BM98" s="28" t="n">
        <v>0.429185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0.429185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9a46107b2e294898</t>
        </is>
      </c>
      <c r="B99" s="24" t="inlineStr">
        <is>
          <t>2026-08-08T18:36:33.205564Z</t>
        </is>
      </c>
      <c r="C99" s="24" t="inlineStr">
        <is>
          <t>2026-08-08T20:00Z</t>
        </is>
      </c>
      <c r="D99" s="24" t="inlineStr">
        <is>
          <t>401841488</t>
        </is>
      </c>
      <c r="E99" s="24" t="inlineStr">
        <is>
          <t>SOCCER</t>
        </is>
      </c>
      <c r="F99" s="24" t="inlineStr">
        <is>
          <t>River Plate</t>
        </is>
      </c>
      <c r="G99" s="24" t="inlineStr">
        <is>
          <t>Tigre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270</v>
      </c>
      <c r="M99" s="27" t="n">
        <v>3.7</v>
      </c>
      <c r="N99" s="28" t="n">
        <v>0.27027</v>
      </c>
      <c r="O99" s="28" t="n">
        <v>0.378182</v>
      </c>
      <c r="P99" s="28" t="n">
        <v>0.2</v>
      </c>
      <c r="Q99" s="28" t="n">
        <v>0.107912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2.7</v>
      </c>
      <c r="AD99" s="24" t="inlineStr">
        <is>
          <t>2026-08-09T05:13:15.462045Z</t>
        </is>
      </c>
      <c r="AE99" s="31" t="inlineStr">
        <is>
          <t>Poisson-DC rates 1.46 (home) / 1.39 (away) from EWMA attack/defense strengths. Executable ask 0.2700 (atc-lpa-tig-riv-2026-08-08-tig).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River Plate</t>
        </is>
      </c>
      <c r="AQ99" s="24" t="inlineStr">
        <is>
          <t>River Plate</t>
        </is>
      </c>
      <c r="AR99" s="24" t="inlineStr">
        <is>
          <t>River Plate</t>
        </is>
      </c>
      <c r="AS99" s="24" t="inlineStr">
        <is>
          <t>Tigre</t>
        </is>
      </c>
      <c r="AT99" s="24" t="inlineStr">
        <is>
          <t>Tigre</t>
        </is>
      </c>
      <c r="AU99" s="24" t="inlineStr">
        <is>
          <t>Tigre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c95ec2023134439ab985cb4cdcc58243749b9deb564fca7a2d587c15c9875427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c95ec2023134439ab985cb4cdcc58243749b9deb564fca7a2d587c15c9875427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c95ec2023134439ab985cb4cdcc58243749b9deb564fca7a2d587c15c9875427</t>
        </is>
      </c>
      <c r="BH99" s="24" t="inlineStr">
        <is>
          <t>2026-08-08T18:35:43.449488Z</t>
        </is>
      </c>
      <c r="BI99" s="24" t="inlineStr">
        <is>
          <t>["same_event","same_team_same_day","same_league_same_day"]</t>
        </is>
      </c>
      <c r="BJ99" s="25" t="n"/>
      <c r="BK99" s="26" t="n">
        <v>270</v>
      </c>
      <c r="BL99" s="27" t="n">
        <v>3.7</v>
      </c>
      <c r="BM99" s="28" t="n">
        <v>0.27027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0.27027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66c9f4dd7dde449c</t>
        </is>
      </c>
      <c r="B100" s="24" t="inlineStr">
        <is>
          <t>2026-08-08T18:36:33.205564Z</t>
        </is>
      </c>
      <c r="C100" s="24" t="inlineStr">
        <is>
          <t>2026-08-09T00:30Z</t>
        </is>
      </c>
      <c r="D100" s="24" t="inlineStr">
        <is>
          <t>401841486</t>
        </is>
      </c>
      <c r="E100" s="24" t="inlineStr">
        <is>
          <t>SOCCER</t>
        </is>
      </c>
      <c r="F100" s="24" t="inlineStr">
        <is>
          <t>Platense</t>
        </is>
      </c>
      <c r="G100" s="24" t="inlineStr">
        <is>
          <t>Independiente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-113</v>
      </c>
      <c r="M100" s="27" t="n">
        <v>1.884956</v>
      </c>
      <c r="N100" s="28" t="n">
        <v>0.530516</v>
      </c>
      <c r="O100" s="28" t="n">
        <v>0.456135</v>
      </c>
      <c r="P100" s="28" t="n">
        <v>0.2</v>
      </c>
      <c r="Q100" s="28" t="n">
        <v>-0.074381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2026-08-09T05:13:17.044847Z</t>
        </is>
      </c>
      <c r="AE100" s="31" t="inlineStr">
        <is>
          <t>Poisson-DC rates 1.64 (home) / 1.24 (away) from EWMA attack/defense strengths. Executable ask 0.5300 (atc-lpa-ind-pla-2026-08-08-ind).</t>
        </is>
      </c>
      <c r="AF100" s="31" t="inlineStr">
        <is>
          <t>Research-only soccer score model; draw-aware, but not yet locked-holdout qualified.</t>
        </is>
      </c>
      <c r="AG100" s="24" t="inlineStr">
        <is>
          <t>review_required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Platense</t>
        </is>
      </c>
      <c r="AQ100" s="24" t="inlineStr">
        <is>
          <t>Platense</t>
        </is>
      </c>
      <c r="AR100" s="24" t="inlineStr">
        <is>
          <t>Platense</t>
        </is>
      </c>
      <c r="AS100" s="24" t="inlineStr">
        <is>
          <t>Independiente</t>
        </is>
      </c>
      <c r="AT100" s="24" t="inlineStr">
        <is>
          <t>Independiente</t>
        </is>
      </c>
      <c r="AU100" s="24" t="inlineStr">
        <is>
          <t>Independiente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c95ec2023134439ab985cb4cdcc58243749b9deb564fca7a2d587c15c9875427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c95ec2023134439ab985cb4cdcc58243749b9deb564fca7a2d587c15c9875427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c95ec2023134439ab985cb4cdcc58243749b9deb564fca7a2d587c15c9875427</t>
        </is>
      </c>
      <c r="BH100" s="24" t="inlineStr">
        <is>
          <t>2026-08-08T18:35:43.668850Z</t>
        </is>
      </c>
      <c r="BI100" s="24" t="inlineStr">
        <is>
          <t>["same_event","same_team_same_day","same_league_same_day"]</t>
        </is>
      </c>
      <c r="BJ100" s="25" t="n"/>
      <c r="BK100" s="26" t="n">
        <v>-113</v>
      </c>
      <c r="BL100" s="27" t="n">
        <v>1.884956</v>
      </c>
      <c r="BM100" s="28" t="n">
        <v>0.530516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0.530516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da9a3a117c814575</t>
        </is>
      </c>
      <c r="B101" s="24" t="inlineStr">
        <is>
          <t>2026-08-08T18:36:33.205564Z</t>
        </is>
      </c>
      <c r="C101" s="24" t="inlineStr">
        <is>
          <t>2026-08-08T19:00Z</t>
        </is>
      </c>
      <c r="D101" s="24" t="inlineStr">
        <is>
          <t>401844041</t>
        </is>
      </c>
      <c r="E101" s="24" t="inlineStr">
        <is>
          <t>SOCCER</t>
        </is>
      </c>
      <c r="F101" s="24" t="inlineStr">
        <is>
          <t>Chacarita Juniors</t>
        </is>
      </c>
      <c r="G101" s="24" t="inlineStr">
        <is>
          <t>Atletico Rafaela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144</v>
      </c>
      <c r="M101" s="27" t="n">
        <v>2.44</v>
      </c>
      <c r="N101" s="28" t="n">
        <v>0.409836</v>
      </c>
      <c r="O101" s="28" t="n">
        <v>0.456135</v>
      </c>
      <c r="P101" s="28" t="n">
        <v>0.2</v>
      </c>
      <c r="Q101" s="28" t="n">
        <v>0.046299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1.44</v>
      </c>
      <c r="AD101" s="24" t="inlineStr">
        <is>
          <t>2026-08-09T05:13:18.773319Z</t>
        </is>
      </c>
      <c r="AE101" s="31" t="inlineStr">
        <is>
          <t>Poisson-DC rates 1.64 (home) / 1.24 (away) from EWMA attack/defense strengths. Executable ask 0.4100 (atc-arg2-ar-cjh-2026-08-08-ar).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Chacarita Juniors</t>
        </is>
      </c>
      <c r="AQ101" s="24" t="inlineStr">
        <is>
          <t>Chacarita Juniors</t>
        </is>
      </c>
      <c r="AR101" s="24" t="inlineStr">
        <is>
          <t>Chacarita Juniors</t>
        </is>
      </c>
      <c r="AS101" s="24" t="inlineStr">
        <is>
          <t>Atletico Rafaela</t>
        </is>
      </c>
      <c r="AT101" s="24" t="inlineStr">
        <is>
          <t>Atletico Rafaela</t>
        </is>
      </c>
      <c r="AU101" s="24" t="inlineStr">
        <is>
          <t>Atletico Rafaela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c95ec2023134439ab985cb4cdcc58243749b9deb564fca7a2d587c15c9875427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c95ec2023134439ab985cb4cdcc58243749b9deb564fca7a2d587c15c9875427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c95ec2023134439ab985cb4cdcc58243749b9deb564fca7a2d587c15c9875427</t>
        </is>
      </c>
      <c r="BH101" s="24" t="inlineStr">
        <is>
          <t>2026-08-08T18:35:44.262304Z</t>
        </is>
      </c>
      <c r="BI101" s="24" t="inlineStr">
        <is>
          <t>["same_event","same_team_same_day","same_league_same_day"]</t>
        </is>
      </c>
      <c r="BJ101" s="25" t="n"/>
      <c r="BK101" s="26" t="n">
        <v>144</v>
      </c>
      <c r="BL101" s="27" t="n">
        <v>2.44</v>
      </c>
      <c r="BM101" s="28" t="n">
        <v>0.409836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0.409836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2357169c6c404e94</t>
        </is>
      </c>
      <c r="B102" s="24" t="inlineStr">
        <is>
          <t>2026-08-08T18:36:33.205564Z</t>
        </is>
      </c>
      <c r="C102" s="24" t="inlineStr">
        <is>
          <t>2026-08-08T19:00Z</t>
        </is>
      </c>
      <c r="D102" s="24" t="inlineStr">
        <is>
          <t>401850616</t>
        </is>
      </c>
      <c r="E102" s="24" t="inlineStr">
        <is>
          <t>SOCCER</t>
        </is>
      </c>
      <c r="F102" s="24" t="inlineStr">
        <is>
          <t>Everton CD</t>
        </is>
      </c>
      <c r="G102" s="24" t="inlineStr">
        <is>
          <t>Huachipato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212</v>
      </c>
      <c r="M102" s="27" t="n">
        <v>3.12</v>
      </c>
      <c r="N102" s="28" t="n">
        <v>0.320513</v>
      </c>
      <c r="O102" s="28" t="n">
        <v>0.468722</v>
      </c>
      <c r="P102" s="28" t="n">
        <v>0.19</v>
      </c>
      <c r="Q102" s="28" t="n">
        <v>0.148209</v>
      </c>
      <c r="R102" s="26" t="n">
        <v>10</v>
      </c>
      <c r="S102" s="29" t="n">
        <v>1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loss</t>
        </is>
      </c>
      <c r="W102" s="26" t="n">
        <v>4</v>
      </c>
      <c r="X102" s="26" t="n">
        <v>1</v>
      </c>
      <c r="Y102" s="25" t="n"/>
      <c r="Z102" s="26" t="n"/>
      <c r="AA102" s="28" t="n"/>
      <c r="AB102" s="28" t="n"/>
      <c r="AC102" s="30" t="n">
        <v>-1</v>
      </c>
      <c r="AD102" s="24" t="inlineStr">
        <is>
          <t>2026-08-09T05:13:20.714473Z</t>
        </is>
      </c>
      <c r="AE102" s="31" t="inlineStr">
        <is>
          <t>Poisson-DC rates 1.53 (home) / 1.07 (away) from EWMA attack/defense strengths. Executable ask 0.3200 (atc-pdc-hua-eve-2026-08-08-hua).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Everton CD</t>
        </is>
      </c>
      <c r="AQ102" s="24" t="inlineStr">
        <is>
          <t>Everton CD</t>
        </is>
      </c>
      <c r="AR102" s="24" t="inlineStr">
        <is>
          <t>Everton CD</t>
        </is>
      </c>
      <c r="AS102" s="24" t="inlineStr">
        <is>
          <t>Huachipato</t>
        </is>
      </c>
      <c r="AT102" s="24" t="inlineStr">
        <is>
          <t>Huachipato</t>
        </is>
      </c>
      <c r="AU102" s="24" t="inlineStr">
        <is>
          <t>Huachipato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c95ec2023134439ab985cb4cdcc58243749b9deb564fca7a2d587c15c9875427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c95ec2023134439ab985cb4cdcc58243749b9deb564fca7a2d587c15c9875427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c95ec2023134439ab985cb4cdcc58243749b9deb564fca7a2d587c15c9875427</t>
        </is>
      </c>
      <c r="BH102" s="24" t="inlineStr">
        <is>
          <t>2026-08-08T18:35:44.660930Z</t>
        </is>
      </c>
      <c r="BI102" s="24" t="inlineStr">
        <is>
          <t>["same_event","same_team_same_day","same_league_same_day"]</t>
        </is>
      </c>
      <c r="BJ102" s="25" t="n"/>
      <c r="BK102" s="26" t="n">
        <v>212</v>
      </c>
      <c r="BL102" s="27" t="n">
        <v>3.12</v>
      </c>
      <c r="BM102" s="28" t="n">
        <v>0.320513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0.320513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01440401ec2847a1</t>
        </is>
      </c>
      <c r="B103" s="24" t="inlineStr">
        <is>
          <t>2026-08-08T18:36:33.205564Z</t>
        </is>
      </c>
      <c r="C103" s="24" t="inlineStr">
        <is>
          <t>2026-08-08T21:30Z</t>
        </is>
      </c>
      <c r="D103" s="24" t="inlineStr">
        <is>
          <t>401850618</t>
        </is>
      </c>
      <c r="E103" s="24" t="inlineStr">
        <is>
          <t>SOCCER</t>
        </is>
      </c>
      <c r="F103" s="24" t="inlineStr">
        <is>
          <t>La Serena</t>
        </is>
      </c>
      <c r="G103" s="24" t="inlineStr">
        <is>
          <t>Coquimbo Unido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0.456135</v>
      </c>
      <c r="P103" s="28" t="n">
        <v>0.2</v>
      </c>
      <c r="Q103" s="28" t="n">
        <v>-0.15324</v>
      </c>
      <c r="R103" s="26" t="n">
        <v>0</v>
      </c>
      <c r="S103" s="29" t="n">
        <v>1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1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2026-08-09T05:13:22.294978Z</t>
        </is>
      </c>
      <c r="AE103" s="31" t="inlineStr">
        <is>
          <t>Poisson-DC rates 1.64 (home) / 1.24 (away) from EWMA attack/defense strengths. Executable ask 0.6100 (atc-pdc-coq-ser-2026-08-08-coq).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La Serena</t>
        </is>
      </c>
      <c r="AQ103" s="24" t="inlineStr">
        <is>
          <t>La Serena</t>
        </is>
      </c>
      <c r="AR103" s="24" t="inlineStr">
        <is>
          <t>La Serena</t>
        </is>
      </c>
      <c r="AS103" s="24" t="inlineStr">
        <is>
          <t>Coquimbo Unido</t>
        </is>
      </c>
      <c r="AT103" s="24" t="inlineStr">
        <is>
          <t>Coquimbo Unido</t>
        </is>
      </c>
      <c r="AU103" s="24" t="inlineStr">
        <is>
          <t>Coquimbo Unido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c95ec2023134439ab985cb4cdcc58243749b9deb564fca7a2d587c15c9875427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c95ec2023134439ab985cb4cdcc58243749b9deb564fca7a2d587c15c9875427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c95ec2023134439ab985cb4cdcc58243749b9deb564fca7a2d587c15c9875427</t>
        </is>
      </c>
      <c r="BH103" s="24" t="inlineStr">
        <is>
          <t>2026-08-08T18:35:44.820477Z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bc2dba08f8934343</t>
        </is>
      </c>
      <c r="B104" s="24" t="inlineStr">
        <is>
          <t>2026-08-08T18:36:33.205564Z</t>
        </is>
      </c>
      <c r="C104" s="24" t="inlineStr">
        <is>
          <t>2026-08-08T21:30Z</t>
        </is>
      </c>
      <c r="D104" s="24" t="inlineStr">
        <is>
          <t>401859719</t>
        </is>
      </c>
      <c r="E104" s="24" t="inlineStr">
        <is>
          <t>SOCCER</t>
        </is>
      </c>
      <c r="F104" s="24" t="inlineStr">
        <is>
          <t>Leones</t>
        </is>
      </c>
      <c r="G104" s="24" t="inlineStr">
        <is>
          <t>Aucas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0.418807</v>
      </c>
      <c r="P104" s="28" t="n">
        <v>0.2</v>
      </c>
      <c r="Q104" s="28" t="n">
        <v>-0.130743</v>
      </c>
      <c r="R104" s="26" t="n">
        <v>0</v>
      </c>
      <c r="S104" s="29" t="n">
        <v>1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3</v>
      </c>
      <c r="Y104" s="25" t="n"/>
      <c r="Z104" s="26" t="n"/>
      <c r="AA104" s="28" t="n"/>
      <c r="AB104" s="28" t="n"/>
      <c r="AC104" s="30" t="n">
        <v>0.8197</v>
      </c>
      <c r="AD104" s="24" t="inlineStr">
        <is>
          <t>2026-08-09T05:13:24.792766Z</t>
        </is>
      </c>
      <c r="AE104" s="31" t="inlineStr">
        <is>
          <t>Poisson-DC rates 1.46 (home) / 1.20 (away) from EWMA attack/defense strengths. Executable ask 0.5500 (atc-ecu1-sda-leo-2026-08-08-sda).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PAPER_CALL_WINNER_OVERVALUED</t>
        </is>
      </c>
      <c r="AP104" s="24" t="inlineStr">
        <is>
          <t>Leones</t>
        </is>
      </c>
      <c r="AQ104" s="24" t="inlineStr">
        <is>
          <t>Leones</t>
        </is>
      </c>
      <c r="AR104" s="24" t="inlineStr">
        <is>
          <t>Leones</t>
        </is>
      </c>
      <c r="AS104" s="24" t="inlineStr">
        <is>
          <t>Aucas</t>
        </is>
      </c>
      <c r="AT104" s="24" t="inlineStr">
        <is>
          <t>Aucas</t>
        </is>
      </c>
      <c r="AU104" s="24" t="inlineStr">
        <is>
          <t>Aucas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c95ec2023134439ab985cb4cdcc58243749b9deb564fca7a2d587c15c9875427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c95ec2023134439ab985cb4cdcc58243749b9deb564fca7a2d587c15c9875427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c95ec2023134439ab985cb4cdcc58243749b9deb564fca7a2d587c15c9875427</t>
        </is>
      </c>
      <c r="BH104" s="24" t="inlineStr">
        <is>
          <t>2026-08-08T18:35:45.141525Z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1170a686f31f4a8a</t>
        </is>
      </c>
      <c r="B105" s="24" t="inlineStr">
        <is>
          <t>2026-08-08T18:36:33.205564Z</t>
        </is>
      </c>
      <c r="C105" s="24" t="inlineStr">
        <is>
          <t>2026-08-09T00:00Z</t>
        </is>
      </c>
      <c r="D105" s="24" t="inlineStr">
        <is>
          <t>401859652</t>
        </is>
      </c>
      <c r="E105" s="24" t="inlineStr">
        <is>
          <t>SOCCER</t>
        </is>
      </c>
      <c r="F105" s="24" t="inlineStr">
        <is>
          <t>Macará</t>
        </is>
      </c>
      <c r="G105" s="24" t="inlineStr">
        <is>
          <t>Barcelona SC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0.643159</v>
      </c>
      <c r="P105" s="28" t="n">
        <v>0.2</v>
      </c>
      <c r="Q105" s="28" t="n">
        <v>0.06332699999999999</v>
      </c>
      <c r="R105" s="26" t="n">
        <v>0</v>
      </c>
      <c r="S105" s="29" t="n">
        <v>1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1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2026-08-09T05:13:26.168921Z</t>
        </is>
      </c>
      <c r="AE105" s="31" t="inlineStr">
        <is>
          <t>Poisson-DC rates 2.32 (home) / 1.08 (away) from EWMA attack/defense strengths. Executable ask 0.5800 (atc-ecu1-bsc-mac-2026-08-08-bsc).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PAPER_CALL_WINNER_OVERVALUED</t>
        </is>
      </c>
      <c r="AP105" s="24" t="inlineStr">
        <is>
          <t>Macará</t>
        </is>
      </c>
      <c r="AQ105" s="24" t="inlineStr">
        <is>
          <t>Macará</t>
        </is>
      </c>
      <c r="AR105" s="24" t="inlineStr">
        <is>
          <t>Macará</t>
        </is>
      </c>
      <c r="AS105" s="24" t="inlineStr">
        <is>
          <t>Barcelona SC</t>
        </is>
      </c>
      <c r="AT105" s="24" t="inlineStr">
        <is>
          <t>Barcelona SC</t>
        </is>
      </c>
      <c r="AU105" s="24" t="inlineStr">
        <is>
          <t>Barcelona SC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c95ec2023134439ab985cb4cdcc58243749b9deb564fca7a2d587c15c9875427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c95ec2023134439ab985cb4cdcc58243749b9deb564fca7a2d587c15c9875427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c95ec2023134439ab985cb4cdcc58243749b9deb564fca7a2d587c15c9875427</t>
        </is>
      </c>
      <c r="BH105" s="24" t="inlineStr">
        <is>
          <t>2026-08-08T18:35:45.231100Z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0.579832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1581e7658fc84bc3</t>
        </is>
      </c>
      <c r="B106" s="24" t="inlineStr">
        <is>
          <t>2026-08-08T18:36:33.205564Z</t>
        </is>
      </c>
      <c r="C106" s="24" t="inlineStr">
        <is>
          <t>2026-08-09T01:00Z</t>
        </is>
      </c>
      <c r="D106" s="24" t="inlineStr">
        <is>
          <t>401886115</t>
        </is>
      </c>
      <c r="E106" s="24" t="inlineStr">
        <is>
          <t>SOCCER</t>
        </is>
      </c>
      <c r="F106" s="24" t="inlineStr">
        <is>
          <t>Alianza Lima</t>
        </is>
      </c>
      <c r="G106" s="24" t="inlineStr">
        <is>
          <t>Sport Boys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317</v>
      </c>
      <c r="M106" s="27" t="n">
        <v>4.17</v>
      </c>
      <c r="N106" s="28" t="n">
        <v>0.239808</v>
      </c>
      <c r="O106" s="28" t="n">
        <v>0.456135</v>
      </c>
      <c r="P106" s="28" t="n">
        <v>0.2</v>
      </c>
      <c r="Q106" s="28" t="n">
        <v>0.216327</v>
      </c>
      <c r="R106" s="26" t="n">
        <v>38</v>
      </c>
      <c r="S106" s="29" t="n">
        <v>1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1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2026-08-09T05:13:27.966768Z</t>
        </is>
      </c>
      <c r="AE106" s="31" t="inlineStr">
        <is>
          <t>Poisson-DC rates 1.64 (home) / 1.24 (away) from EWMA attack/defense strengths. Executable ask 0.2400 (atc-pl1-sba-ali-2026-08-08-sba).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Alianza Lima</t>
        </is>
      </c>
      <c r="AQ106" s="24" t="inlineStr">
        <is>
          <t>Alianza Lima</t>
        </is>
      </c>
      <c r="AR106" s="24" t="inlineStr">
        <is>
          <t>Alianza Lima</t>
        </is>
      </c>
      <c r="AS106" s="24" t="inlineStr">
        <is>
          <t>Sport Boys</t>
        </is>
      </c>
      <c r="AT106" s="24" t="inlineStr">
        <is>
          <t>Sport Boys</t>
        </is>
      </c>
      <c r="AU106" s="24" t="inlineStr">
        <is>
          <t>Sport Boys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c95ec2023134439ab985cb4cdcc58243749b9deb564fca7a2d587c15c9875427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c95ec2023134439ab985cb4cdcc58243749b9deb564fca7a2d587c15c9875427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c95ec2023134439ab985cb4cdcc58243749b9deb564fca7a2d587c15c9875427</t>
        </is>
      </c>
      <c r="BH106" s="24" t="inlineStr">
        <is>
          <t>2026-08-08T18:35:45.582063Z</t>
        </is>
      </c>
      <c r="BI106" s="24" t="inlineStr">
        <is>
          <t>["same_event","same_team_same_day","same_league_same_day"]</t>
        </is>
      </c>
      <c r="BJ106" s="25" t="n"/>
      <c r="BK106" s="26" t="n">
        <v>317</v>
      </c>
      <c r="BL106" s="27" t="n">
        <v>4.17</v>
      </c>
      <c r="BM106" s="28" t="n">
        <v>0.239808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0.239808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278048158f944a91</t>
        </is>
      </c>
      <c r="B107" s="24" t="inlineStr">
        <is>
          <t>2026-08-08T18:36:33.205564Z</t>
        </is>
      </c>
      <c r="C107" s="24" t="inlineStr">
        <is>
          <t>2026-08-08T19:00Z</t>
        </is>
      </c>
      <c r="D107" s="24" t="inlineStr">
        <is>
          <t>401906390</t>
        </is>
      </c>
      <c r="E107" s="24" t="inlineStr">
        <is>
          <t>SOCCER</t>
        </is>
      </c>
      <c r="F107" s="24" t="inlineStr">
        <is>
          <t>Celta Vigo</t>
        </is>
      </c>
      <c r="G107" s="24" t="inlineStr">
        <is>
          <t>Napoli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0.537819</v>
      </c>
      <c r="P107" s="28" t="n">
        <v>0.04</v>
      </c>
      <c r="Q107" s="28" t="n">
        <v>0.028015</v>
      </c>
      <c r="R107" s="26" t="n">
        <v>40</v>
      </c>
      <c r="S107" s="29" t="n">
        <v>1</v>
      </c>
      <c r="T107" s="24" t="inlineStr">
        <is>
          <t>soccer-poisson-dc-v1</t>
        </is>
      </c>
      <c r="U107" s="24" t="inlineStr">
        <is>
          <t>settled</t>
        </is>
      </c>
      <c r="V107" s="24" t="inlineStr">
        <is>
          <t>loss</t>
        </is>
      </c>
      <c r="W107" s="26" t="n">
        <v>1</v>
      </c>
      <c r="X107" s="26" t="n">
        <v>1</v>
      </c>
      <c r="Y107" s="25" t="n"/>
      <c r="Z107" s="26" t="n">
        <v>-104</v>
      </c>
      <c r="AA107" s="28" t="n">
        <v>0.51</v>
      </c>
      <c r="AB107" s="28" t="n">
        <v>0.000196</v>
      </c>
      <c r="AC107" s="30" t="n">
        <v>-1</v>
      </c>
      <c r="AD107" s="24" t="inlineStr">
        <is>
          <t>2026-08-31T04:33:30.998059Z</t>
        </is>
      </c>
      <c r="AE107" s="31" t="inlineStr">
        <is>
          <t>Poisson-DC rates 1.64 (home) / 0.90 (away) from EWMA attack/defense strengths. Executable ask 0.5100 (atc-clbf-nap-rcc-2026-08-08-nap).</t>
        </is>
      </c>
      <c r="AF107" s="31" t="inlineStr">
        <is>
          <t>Research-only soccer score model; draw-aware, but not yet locked-holdout qualified.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Celta Vigo</t>
        </is>
      </c>
      <c r="AQ107" s="24" t="inlineStr">
        <is>
          <t>Celta Vigo</t>
        </is>
      </c>
      <c r="AR107" s="24" t="inlineStr">
        <is>
          <t>Celta Vigo</t>
        </is>
      </c>
      <c r="AS107" s="24" t="inlineStr">
        <is>
          <t>Napoli</t>
        </is>
      </c>
      <c r="AT107" s="24" t="inlineStr">
        <is>
          <t>Napoli</t>
        </is>
      </c>
      <c r="AU107" s="24" t="inlineStr">
        <is>
          <t>Napoli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c95ec2023134439ab985cb4cdcc58243749b9deb564fca7a2d587c15c9875427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c95ec2023134439ab985cb4cdcc58243749b9deb564fca7a2d587c15c9875427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c95ec2023134439ab985cb4cdcc58243749b9deb564fca7a2d587c15c9875427</t>
        </is>
      </c>
      <c r="BH107" s="24" t="inlineStr">
        <is>
          <t>2026-08-08T18:35:46.451248Z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>
        <v>1.961538</v>
      </c>
      <c r="BR107" s="28" t="n">
        <v>0.51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0.509804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c44cee7417a24a76</t>
        </is>
      </c>
      <c r="B108" s="24" t="inlineStr">
        <is>
          <t>2026-08-08T18:36:33.205564Z</t>
        </is>
      </c>
      <c r="C108" s="24" t="inlineStr">
        <is>
          <t>2026-08-08T19:00Z</t>
        </is>
      </c>
      <c r="D108" s="24" t="inlineStr">
        <is>
          <t>401905968</t>
        </is>
      </c>
      <c r="E108" s="24" t="inlineStr">
        <is>
          <t>SOCCER</t>
        </is>
      </c>
      <c r="F108" s="24" t="inlineStr">
        <is>
          <t>Newcastle United</t>
        </is>
      </c>
      <c r="G108" s="24" t="inlineStr">
        <is>
          <t>Valencia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194</v>
      </c>
      <c r="M108" s="27" t="n">
        <v>2.94</v>
      </c>
      <c r="N108" s="28" t="n">
        <v>0.340136</v>
      </c>
      <c r="O108" s="28" t="n">
        <v>0.495811</v>
      </c>
      <c r="P108" s="28" t="n">
        <v>0.04</v>
      </c>
      <c r="Q108" s="28" t="n">
        <v>0.155675</v>
      </c>
      <c r="R108" s="26" t="n">
        <v>100</v>
      </c>
      <c r="S108" s="29" t="n">
        <v>1</v>
      </c>
      <c r="T108" s="24" t="inlineStr">
        <is>
          <t>soccer-poisson-dc-v1</t>
        </is>
      </c>
      <c r="U108" s="24" t="inlineStr">
        <is>
          <t>settled</t>
        </is>
      </c>
      <c r="V108" s="24" t="inlineStr">
        <is>
          <t>loss</t>
        </is>
      </c>
      <c r="W108" s="26" t="n">
        <v>2</v>
      </c>
      <c r="X108" s="26" t="n">
        <v>1</v>
      </c>
      <c r="Y108" s="25" t="n"/>
      <c r="Z108" s="26" t="n">
        <v>194</v>
      </c>
      <c r="AA108" s="28" t="n">
        <v>0.34</v>
      </c>
      <c r="AB108" s="28" t="n">
        <v>-0.000136</v>
      </c>
      <c r="AC108" s="30" t="n">
        <v>-1</v>
      </c>
      <c r="AD108" s="24" t="inlineStr">
        <is>
          <t>2026-08-31T04:33:32.762029Z</t>
        </is>
      </c>
      <c r="AE108" s="31" t="inlineStr">
        <is>
          <t>Poisson-DC rates 1.88 (home) / 1.32 (away) from EWMA attack/defense strengths. Executable ask 0.3400 (atc-clbf-vcf-new-2026-08-08-vcf).</t>
        </is>
      </c>
      <c r="AF108" s="31" t="inlineStr">
        <is>
          <t>Research-only soccer score model; draw-aware, but not yet locked-holdout qualified.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Newcastle United</t>
        </is>
      </c>
      <c r="AQ108" s="24" t="inlineStr">
        <is>
          <t>Newcastle United</t>
        </is>
      </c>
      <c r="AR108" s="24" t="inlineStr">
        <is>
          <t>Newcastle United</t>
        </is>
      </c>
      <c r="AS108" s="24" t="inlineStr">
        <is>
          <t>Valencia</t>
        </is>
      </c>
      <c r="AT108" s="24" t="inlineStr">
        <is>
          <t>Valencia</t>
        </is>
      </c>
      <c r="AU108" s="24" t="inlineStr">
        <is>
          <t>Valencia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c95ec2023134439ab985cb4cdcc58243749b9deb564fca7a2d587c15c9875427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c95ec2023134439ab985cb4cdcc58243749b9deb564fca7a2d587c15c9875427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c95ec2023134439ab985cb4cdcc58243749b9deb564fca7a2d587c15c9875427</t>
        </is>
      </c>
      <c r="BH108" s="24" t="inlineStr">
        <is>
          <t>2026-08-08T18:35:46.298113Z</t>
        </is>
      </c>
      <c r="BI108" s="24" t="inlineStr">
        <is>
          <t>["same_event","same_team_same_day","same_league_same_day"]</t>
        </is>
      </c>
      <c r="BJ108" s="25" t="n"/>
      <c r="BK108" s="26" t="n">
        <v>194</v>
      </c>
      <c r="BL108" s="27" t="n">
        <v>2.94</v>
      </c>
      <c r="BM108" s="28" t="n">
        <v>0.340136</v>
      </c>
      <c r="BN108" s="28" t="n"/>
      <c r="BO108" s="28" t="n"/>
      <c r="BP108" s="25" t="n"/>
      <c r="BQ108" s="27" t="n">
        <v>2.94</v>
      </c>
      <c r="BR108" s="28" t="n">
        <v>0.34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0.340136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4b36994d157b4f6c</t>
        </is>
      </c>
      <c r="B109" s="24" t="inlineStr">
        <is>
          <t>2026-08-09T05:17:56.951687Z</t>
        </is>
      </c>
      <c r="C109" s="24" t="inlineStr">
        <is>
          <t>2026-08-09T12:00Z</t>
        </is>
      </c>
      <c r="D109" s="24" t="inlineStr">
        <is>
          <t>401886559</t>
        </is>
      </c>
      <c r="E109" s="24" t="inlineStr">
        <is>
          <t>SOCCER</t>
        </is>
      </c>
      <c r="F109" s="24" t="inlineStr">
        <is>
          <t>Chelsea</t>
        </is>
      </c>
      <c r="G109" s="24" t="inlineStr">
        <is>
          <t>Johor Darul Ta'zim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400</v>
      </c>
      <c r="M109" s="27" t="n">
        <v>5</v>
      </c>
      <c r="N109" s="28" t="n">
        <v>0.2</v>
      </c>
      <c r="O109" s="28" t="n">
        <v>0.569527</v>
      </c>
      <c r="P109" s="28" t="n">
        <v>0.2</v>
      </c>
      <c r="Q109" s="28" t="n">
        <v>0.369527</v>
      </c>
      <c r="R109" s="26" t="n">
        <v>100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</v>
      </c>
      <c r="X109" s="26" t="n">
        <v>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2026-08-09T17:03:54.566081Z</t>
        </is>
      </c>
      <c r="AE109" s="31" t="inlineStr">
        <is>
          <t>Poisson-DC rates 2.01 (home) / 1.12 (away) from EWMA attack/defense strengths. Executable ask 0.2000 (atc-clbf-joh-cfc-2026-08-09-joh).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Chelsea</t>
        </is>
      </c>
      <c r="AQ109" s="24" t="inlineStr">
        <is>
          <t>Chelsea</t>
        </is>
      </c>
      <c r="AR109" s="24" t="inlineStr">
        <is>
          <t>Chelsea</t>
        </is>
      </c>
      <c r="AS109" s="24" t="inlineStr">
        <is>
          <t>Johor Darul Ta'zim</t>
        </is>
      </c>
      <c r="AT109" s="24" t="inlineStr">
        <is>
          <t>Johor Darul Ta'zim</t>
        </is>
      </c>
      <c r="AU109" s="24" t="inlineStr">
        <is>
          <t>Johor Darul Ta'zim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c95ec2023134439ab985cb4cdcc58243749b9deb564fca7a2d587c15c9875427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c95ec2023134439ab985cb4cdcc58243749b9deb564fca7a2d587c15c9875427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c95ec2023134439ab985cb4cdcc58243749b9deb564fca7a2d587c15c9875427</t>
        </is>
      </c>
      <c r="BH109" s="24" t="inlineStr">
        <is>
          <t>2026-08-09T05:15:21.422169Z</t>
        </is>
      </c>
      <c r="BI109" s="24" t="inlineStr">
        <is>
          <t>["same_event","same_team_same_day","same_league_same_day"]</t>
        </is>
      </c>
      <c r="BJ109" s="25" t="n"/>
      <c r="BK109" s="26" t="n">
        <v>400</v>
      </c>
      <c r="BL109" s="27" t="n">
        <v>5</v>
      </c>
      <c r="BM109" s="28" t="n">
        <v>0.2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0.2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2a3f47ffd5cc4a91</t>
        </is>
      </c>
      <c r="B110" s="24" t="inlineStr">
        <is>
          <t>2026-08-09T05:17:56.951687Z</t>
        </is>
      </c>
      <c r="C110" s="24" t="inlineStr">
        <is>
          <t>2026-08-09T13:30Z</t>
        </is>
      </c>
      <c r="D110" s="24" t="inlineStr">
        <is>
          <t>401886533</t>
        </is>
      </c>
      <c r="E110" s="24" t="inlineStr">
        <is>
          <t>SOCCER</t>
        </is>
      </c>
      <c r="F110" s="24" t="inlineStr">
        <is>
          <t>AS Monaco</t>
        </is>
      </c>
      <c r="G110" s="24" t="inlineStr">
        <is>
          <t>Liverpool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-178</v>
      </c>
      <c r="M110" s="27" t="n">
        <v>1.561798</v>
      </c>
      <c r="N110" s="28" t="n">
        <v>0.640288</v>
      </c>
      <c r="O110" s="28" t="n">
        <v>0.547186</v>
      </c>
      <c r="P110" s="28" t="n">
        <v>0.04</v>
      </c>
      <c r="Q110" s="28" t="n">
        <v>-0.093102</v>
      </c>
      <c r="R110" s="26" t="n">
        <v>0</v>
      </c>
      <c r="S110" s="29" t="n">
        <v>1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2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2026-08-09T17:03:55.372556Z</t>
        </is>
      </c>
      <c r="AE110" s="31" t="inlineStr">
        <is>
          <t>Poisson-DC rates 2.31 (home) / 1.51 (away) from EWMA attack/defense strengths. Executable ask 0.6400 (atc-clbf-lfc-asm-2026-08-09-lfc).</t>
        </is>
      </c>
      <c r="AF110" s="31" t="inlineStr">
        <is>
          <t>Research-only soccer score model; draw-aware, but not yet locked-holdout qualified.</t>
        </is>
      </c>
      <c r="AG110" s="24" t="inlineStr">
        <is>
          <t>review_required</t>
        </is>
      </c>
      <c r="AH110" s="24" t="n"/>
      <c r="AI110" s="31" t="n"/>
      <c r="AJ1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PAPER_CALL_WINNER_OVERVALUED</t>
        </is>
      </c>
      <c r="AP110" s="24" t="inlineStr">
        <is>
          <t>AS Monaco</t>
        </is>
      </c>
      <c r="AQ110" s="24" t="inlineStr">
        <is>
          <t>AS Monaco</t>
        </is>
      </c>
      <c r="AR110" s="24" t="inlineStr">
        <is>
          <t>AS Monaco</t>
        </is>
      </c>
      <c r="AS110" s="24" t="inlineStr">
        <is>
          <t>Liverpool</t>
        </is>
      </c>
      <c r="AT110" s="24" t="inlineStr">
        <is>
          <t>Liverpool</t>
        </is>
      </c>
      <c r="AU110" s="24" t="inlineStr">
        <is>
          <t>Liverpool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c95ec2023134439ab985cb4cdcc58243749b9deb564fca7a2d587c15c9875427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c95ec2023134439ab985cb4cdcc58243749b9deb564fca7a2d587c15c9875427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c95ec2023134439ab985cb4cdcc58243749b9deb564fca7a2d587c15c9875427</t>
        </is>
      </c>
      <c r="BH110" s="24" t="inlineStr">
        <is>
          <t>2026-08-09T05:15:21.440984Z</t>
        </is>
      </c>
      <c r="BI110" s="24" t="inlineStr">
        <is>
          <t>["same_event","same_team_same_day","same_league_same_day"]</t>
        </is>
      </c>
      <c r="BJ110" s="25" t="n"/>
      <c r="BK110" s="26" t="n">
        <v>-178</v>
      </c>
      <c r="BL110" s="27" t="n">
        <v>1.561798</v>
      </c>
      <c r="BM110" s="28" t="n">
        <v>0.640288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0.640288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02d7e290c3604e1d</t>
        </is>
      </c>
      <c r="B111" s="24" t="inlineStr">
        <is>
          <t>2026-08-09T14:01:10.760642Z</t>
        </is>
      </c>
      <c r="C111" s="24" t="inlineStr">
        <is>
          <t>2026-08-09T17:00Z</t>
        </is>
      </c>
      <c r="D111" s="24" t="inlineStr">
        <is>
          <t>401844040</t>
        </is>
      </c>
      <c r="E111" s="24" t="inlineStr">
        <is>
          <t>SOCCER</t>
        </is>
      </c>
      <c r="F111" s="24" t="inlineStr">
        <is>
          <t>Temperley</t>
        </is>
      </c>
      <c r="G111" s="24" t="inlineStr">
        <is>
          <t>Atlanta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113</v>
      </c>
      <c r="M111" s="27" t="n">
        <v>2.13</v>
      </c>
      <c r="N111" s="28" t="n">
        <v>0.469484</v>
      </c>
      <c r="O111" s="28" t="n">
        <v>0.456135</v>
      </c>
      <c r="P111" s="28" t="n">
        <v>0.2</v>
      </c>
      <c r="Q111" s="28" t="n">
        <v>-0.013349</v>
      </c>
      <c r="R111" s="26" t="n">
        <v>0</v>
      </c>
      <c r="S111" s="29" t="n">
        <v>1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1.13</v>
      </c>
      <c r="AD111" s="24" t="inlineStr">
        <is>
          <t>2026-08-09T23:29:11.211957Z</t>
        </is>
      </c>
      <c r="AE111" s="31" t="inlineStr">
        <is>
          <t>Poisson-DC rates 1.64 (home) / 1.24 (away) from EWMA attack/defense strengths. Executable ask 0.4700 (atc-arg2-atl-cat-2026-08-08-atl).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Temperley</t>
        </is>
      </c>
      <c r="AQ111" s="24" t="inlineStr">
        <is>
          <t>Temperley</t>
        </is>
      </c>
      <c r="AR111" s="24" t="inlineStr">
        <is>
          <t>Temperley</t>
        </is>
      </c>
      <c r="AS111" s="24" t="inlineStr">
        <is>
          <t>Atlanta</t>
        </is>
      </c>
      <c r="AT111" s="24" t="inlineStr">
        <is>
          <t>Atlanta</t>
        </is>
      </c>
      <c r="AU111" s="24" t="inlineStr">
        <is>
          <t>Atlanta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c95ec2023134439ab985cb4cdcc58243749b9deb564fca7a2d587c15c9875427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c95ec2023134439ab985cb4cdcc58243749b9deb564fca7a2d587c15c9875427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c95ec2023134439ab985cb4cdcc58243749b9deb564fca7a2d587c15c9875427</t>
        </is>
      </c>
      <c r="BH111" s="24" t="inlineStr">
        <is>
          <t>2026-08-09T13:58:17.449388Z</t>
        </is>
      </c>
      <c r="BI111" s="24" t="inlineStr">
        <is>
          <t>["same_event","same_team_same_day","same_league_same_day"]</t>
        </is>
      </c>
      <c r="BJ111" s="25" t="n"/>
      <c r="BK111" s="26" t="n">
        <v>113</v>
      </c>
      <c r="BL111" s="27" t="n">
        <v>2.13</v>
      </c>
      <c r="BM111" s="28" t="n">
        <v>0.469484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0.469484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153e6299134847e8</t>
        </is>
      </c>
      <c r="B112" s="24" t="inlineStr">
        <is>
          <t>2026-08-09T14:01:10.760642Z</t>
        </is>
      </c>
      <c r="C112" s="24" t="inlineStr">
        <is>
          <t>2026-08-09T15:30Z</t>
        </is>
      </c>
      <c r="D112" s="24" t="inlineStr">
        <is>
          <t>401906389</t>
        </is>
      </c>
      <c r="E112" s="24" t="inlineStr">
        <is>
          <t>SOCCER</t>
        </is>
      </c>
      <c r="F112" s="24" t="inlineStr">
        <is>
          <t>Athletic Club</t>
        </is>
      </c>
      <c r="G112" s="24" t="inlineStr">
        <is>
          <t>Marseille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178</v>
      </c>
      <c r="M112" s="27" t="n">
        <v>2.78</v>
      </c>
      <c r="N112" s="28" t="n">
        <v>0.359712</v>
      </c>
      <c r="O112" s="28" t="n">
        <v>0.568607</v>
      </c>
      <c r="P112" s="28" t="n">
        <v>0.04</v>
      </c>
      <c r="Q112" s="28" t="n">
        <v>0.208895</v>
      </c>
      <c r="R112" s="26" t="n">
        <v>100</v>
      </c>
      <c r="S112" s="29" t="n">
        <v>1.25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3</v>
      </c>
      <c r="Y112" s="25" t="n"/>
      <c r="Z112" s="26" t="n"/>
      <c r="AA112" s="28" t="n"/>
      <c r="AB112" s="28" t="n"/>
      <c r="AC112" s="30" t="n">
        <v>2.225</v>
      </c>
      <c r="AD112" s="24" t="inlineStr">
        <is>
          <t>2026-08-09T20:24:50.983986Z</t>
        </is>
      </c>
      <c r="AE112" s="31" t="inlineStr">
        <is>
          <t>Poisson-DC rates 2.04 (home) / 1.15 (away) from EWMA attack/defense strengths. Executable ask 0.3600 (atc-clbf-olm-ath-2026-08-09-olm).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Athletic Club</t>
        </is>
      </c>
      <c r="AQ112" s="24" t="inlineStr">
        <is>
          <t>Athletic Club</t>
        </is>
      </c>
      <c r="AR112" s="24" t="inlineStr">
        <is>
          <t>Athletic Club</t>
        </is>
      </c>
      <c r="AS112" s="24" t="inlineStr">
        <is>
          <t>Marseille</t>
        </is>
      </c>
      <c r="AT112" s="24" t="inlineStr">
        <is>
          <t>Marseille</t>
        </is>
      </c>
      <c r="AU112" s="24" t="inlineStr">
        <is>
          <t>Marseille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c95ec2023134439ab985cb4cdcc58243749b9deb564fca7a2d587c15c9875427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c95ec2023134439ab985cb4cdcc58243749b9deb564fca7a2d587c15c9875427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c95ec2023134439ab985cb4cdcc58243749b9deb564fca7a2d587c15c9875427</t>
        </is>
      </c>
      <c r="BH112" s="24" t="inlineStr">
        <is>
          <t>2026-08-09T13:58:20.170765Z</t>
        </is>
      </c>
      <c r="BI112" s="24" t="inlineStr">
        <is>
          <t>["same_event","same_team_same_day","same_league_same_day"]</t>
        </is>
      </c>
      <c r="BJ112" s="25" t="n"/>
      <c r="BK112" s="26" t="n">
        <v>178</v>
      </c>
      <c r="BL112" s="27" t="n">
        <v>2.78</v>
      </c>
      <c r="BM112" s="28" t="n">
        <v>0.359712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0.359712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44f244a02f344744</t>
        </is>
      </c>
      <c r="B113" s="24" t="inlineStr">
        <is>
          <t>2026-08-09T17:07:17.181830Z</t>
        </is>
      </c>
      <c r="C113" s="24" t="inlineStr">
        <is>
          <t>2026-08-09T19:00Z</t>
        </is>
      </c>
      <c r="D113" s="24" t="inlineStr">
        <is>
          <t>401841186</t>
        </is>
      </c>
      <c r="E113" s="24" t="inlineStr">
        <is>
          <t>SOCCER</t>
        </is>
      </c>
      <c r="F113" s="24" t="inlineStr">
        <is>
          <t>Vasco da Gama</t>
        </is>
      </c>
      <c r="G113" s="24" t="inlineStr">
        <is>
          <t>Bahia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104</v>
      </c>
      <c r="M113" s="27" t="n">
        <v>2.04</v>
      </c>
      <c r="N113" s="28" t="n">
        <v>0.490196</v>
      </c>
      <c r="O113" s="28" t="n">
        <v>0.456135</v>
      </c>
      <c r="P113" s="28" t="n">
        <v>0.2</v>
      </c>
      <c r="Q113" s="28" t="n">
        <v>-0.034061</v>
      </c>
      <c r="R113" s="26" t="n">
        <v>0</v>
      </c>
      <c r="S113" s="29" t="n">
        <v>1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2026-08-09T23:29:59.353408Z</t>
        </is>
      </c>
      <c r="AE113" s="31" t="inlineStr">
        <is>
          <t>Poisson-DC rates 1.64 (home) / 1.24 (away) from EWMA attack/defense strengths. Executable ask 0.4900 (atc-bra-bah-vas-2026-08-09-bah).</t>
        </is>
      </c>
      <c r="AF113" s="31" t="inlineStr">
        <is>
          <t>Research-only soccer score model; draw-aware, but not yet locked-holdout qualified.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>Vasco da Gama</t>
        </is>
      </c>
      <c r="AQ113" s="24" t="inlineStr">
        <is>
          <t>Vasco da Gama</t>
        </is>
      </c>
      <c r="AR113" s="24" t="inlineStr">
        <is>
          <t>Vasco da Gama</t>
        </is>
      </c>
      <c r="AS113" s="24" t="inlineStr">
        <is>
          <t>Bahia</t>
        </is>
      </c>
      <c r="AT113" s="24" t="inlineStr">
        <is>
          <t>Bahia</t>
        </is>
      </c>
      <c r="AU113" s="24" t="inlineStr">
        <is>
          <t>Bahia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c95ec2023134439ab985cb4cdcc58243749b9deb564fca7a2d587c15c9875427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c95ec2023134439ab985cb4cdcc58243749b9deb564fca7a2d587c15c9875427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c95ec2023134439ab985cb4cdcc58243749b9deb564fca7a2d587c15c9875427</t>
        </is>
      </c>
      <c r="BH113" s="24" t="inlineStr">
        <is>
          <t>2026-08-09T17:05:43.237837Z</t>
        </is>
      </c>
      <c r="BI113" s="24" t="inlineStr">
        <is>
          <t>["same_event","same_team_same_day","same_league_same_day"]</t>
        </is>
      </c>
      <c r="BJ113" s="25" t="n"/>
      <c r="BK113" s="26" t="n">
        <v>104</v>
      </c>
      <c r="BL113" s="27" t="n">
        <v>2.04</v>
      </c>
      <c r="BM113" s="28" t="n">
        <v>0.490196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0.490196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f7d2e8931ff24429</t>
        </is>
      </c>
      <c r="B114" s="24" t="inlineStr">
        <is>
          <t>2026-08-09T17:07:17.181830Z</t>
        </is>
      </c>
      <c r="C114" s="24" t="inlineStr">
        <is>
          <t>2026-08-09T19:00Z</t>
        </is>
      </c>
      <c r="D114" s="24" t="inlineStr">
        <is>
          <t>401841180</t>
        </is>
      </c>
      <c r="E114" s="24" t="inlineStr">
        <is>
          <t>SOCCER</t>
        </is>
      </c>
      <c r="F114" s="24" t="inlineStr">
        <is>
          <t>Internacional</t>
        </is>
      </c>
      <c r="G114" s="24" t="inlineStr">
        <is>
          <t>Palmeiras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0.456135</v>
      </c>
      <c r="P114" s="28" t="n">
        <v>0.2</v>
      </c>
      <c r="Q114" s="28" t="n">
        <v>-0.173495</v>
      </c>
      <c r="R114" s="26" t="n">
        <v>0</v>
      </c>
      <c r="S114" s="29" t="n">
        <v>1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0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2026-08-09T23:30:00.191545Z</t>
        </is>
      </c>
      <c r="AE114" s="31" t="inlineStr">
        <is>
          <t>Poisson-DC rates 1.64 (home) / 1.24 (away) from EWMA attack/defense strengths. Executable ask 0.6300 (atc-bra-pal-int-2026-08-09-pal).</t>
        </is>
      </c>
      <c r="AF114" s="31" t="inlineStr">
        <is>
          <t>Research-only soccer score model; draw-aware, but not yet locked-holdout qualified.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PAPER_CALL_WINNER_OVERVALUED</t>
        </is>
      </c>
      <c r="AP114" s="24" t="inlineStr">
        <is>
          <t>Internacional</t>
        </is>
      </c>
      <c r="AQ114" s="24" t="inlineStr">
        <is>
          <t>Internacional</t>
        </is>
      </c>
      <c r="AR114" s="24" t="inlineStr">
        <is>
          <t>Internacional</t>
        </is>
      </c>
      <c r="AS114" s="24" t="inlineStr">
        <is>
          <t>Palmeiras</t>
        </is>
      </c>
      <c r="AT114" s="24" t="inlineStr">
        <is>
          <t>Palmeiras</t>
        </is>
      </c>
      <c r="AU114" s="24" t="inlineStr">
        <is>
          <t>Palmeiras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c95ec2023134439ab985cb4cdcc58243749b9deb564fca7a2d587c15c9875427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c95ec2023134439ab985cb4cdcc58243749b9deb564fca7a2d587c15c9875427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c95ec2023134439ab985cb4cdcc58243749b9deb564fca7a2d587c15c9875427</t>
        </is>
      </c>
      <c r="BH114" s="24" t="inlineStr">
        <is>
          <t>2026-08-09T17:05:43.426223Z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0.62963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5f21b3c5f8b24a7c</t>
        </is>
      </c>
      <c r="B115" s="24" t="inlineStr">
        <is>
          <t>2026-08-09T17:07:17.181830Z</t>
        </is>
      </c>
      <c r="C115" s="24" t="inlineStr">
        <is>
          <t>2026-08-09T19:00Z</t>
        </is>
      </c>
      <c r="D115" s="24" t="inlineStr">
        <is>
          <t>401860271</t>
        </is>
      </c>
      <c r="E115" s="24" t="inlineStr">
        <is>
          <t>SOCCER</t>
        </is>
      </c>
      <c r="F115" s="24" t="inlineStr">
        <is>
          <t>Juventude</t>
        </is>
      </c>
      <c r="G115" s="24" t="inlineStr">
        <is>
          <t>Novorizontino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113</v>
      </c>
      <c r="M115" s="27" t="n">
        <v>2.13</v>
      </c>
      <c r="N115" s="28" t="n">
        <v>0.469484</v>
      </c>
      <c r="O115" s="28" t="n">
        <v>0.456135</v>
      </c>
      <c r="P115" s="28" t="n">
        <v>0.2</v>
      </c>
      <c r="Q115" s="28" t="n">
        <v>-0.013349</v>
      </c>
      <c r="R115" s="26" t="n">
        <v>0</v>
      </c>
      <c r="S115" s="29" t="n">
        <v>1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2026-08-09T23:30:00.992007Z</t>
        </is>
      </c>
      <c r="AE115" s="31" t="inlineStr">
        <is>
          <t>Poisson-DC rates 1.64 (home) / 1.24 (away) from EWMA attack/defense strengths. Executable ask 0.4700 (atc-brb-nov-juv-2026-08-09-nov).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PAPER_CALL_WINNER_OVERVALUED</t>
        </is>
      </c>
      <c r="AP115" s="24" t="inlineStr">
        <is>
          <t>Juventude</t>
        </is>
      </c>
      <c r="AQ115" s="24" t="inlineStr">
        <is>
          <t>Juventude</t>
        </is>
      </c>
      <c r="AR115" s="24" t="inlineStr">
        <is>
          <t>Juventude</t>
        </is>
      </c>
      <c r="AS115" s="24" t="inlineStr">
        <is>
          <t>Novorizontino</t>
        </is>
      </c>
      <c r="AT115" s="24" t="inlineStr">
        <is>
          <t>Novorizontino</t>
        </is>
      </c>
      <c r="AU115" s="24" t="inlineStr">
        <is>
          <t>Novorizontino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c95ec2023134439ab985cb4cdcc58243749b9deb564fca7a2d587c15c9875427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c95ec2023134439ab985cb4cdcc58243749b9deb564fca7a2d587c15c9875427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c95ec2023134439ab985cb4cdcc58243749b9deb564fca7a2d587c15c9875427</t>
        </is>
      </c>
      <c r="BH115" s="24" t="inlineStr">
        <is>
          <t>2026-08-09T17:05:43.950668Z</t>
        </is>
      </c>
      <c r="BI115" s="24" t="inlineStr">
        <is>
          <t>["same_event","same_team_same_day","same_league_same_day"]</t>
        </is>
      </c>
      <c r="BJ115" s="25" t="n"/>
      <c r="BK115" s="26" t="n">
        <v>113</v>
      </c>
      <c r="BL115" s="27" t="n">
        <v>2.13</v>
      </c>
      <c r="BM115" s="28" t="n">
        <v>0.469484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0.469484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2d1fa41a590440d8</t>
        </is>
      </c>
      <c r="B116" s="24" t="inlineStr">
        <is>
          <t>2026-08-09T17:07:17.181830Z</t>
        </is>
      </c>
      <c r="C116" s="24" t="inlineStr">
        <is>
          <t>2026-08-09T17:30Z</t>
        </is>
      </c>
      <c r="D116" s="24" t="inlineStr">
        <is>
          <t>401844032</t>
        </is>
      </c>
      <c r="E116" s="24" t="inlineStr">
        <is>
          <t>SOCCER</t>
        </is>
      </c>
      <c r="F116" s="24" t="inlineStr">
        <is>
          <t>Ferro Carril Oeste</t>
        </is>
      </c>
      <c r="G116" s="24" t="inlineStr">
        <is>
          <t>Los Andes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178</v>
      </c>
      <c r="M116" s="27" t="n">
        <v>2.78</v>
      </c>
      <c r="N116" s="28" t="n">
        <v>0.359712</v>
      </c>
      <c r="O116" s="28" t="n">
        <v>0.456135</v>
      </c>
      <c r="P116" s="28" t="n">
        <v>0.2</v>
      </c>
      <c r="Q116" s="28" t="n">
        <v>0.09642299999999999</v>
      </c>
      <c r="R116" s="26" t="n">
        <v>0</v>
      </c>
      <c r="S116" s="29" t="n">
        <v>1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1</v>
      </c>
      <c r="Y116" s="25" t="n"/>
      <c r="Z116" s="26" t="n"/>
      <c r="AA116" s="28" t="n"/>
      <c r="AB116" s="28" t="n"/>
      <c r="AC116" s="30" t="n">
        <v>-1</v>
      </c>
      <c r="AD116" s="24" t="inlineStr">
        <is>
          <t>2026-08-09T23:30:01.792009Z</t>
        </is>
      </c>
      <c r="AE116" s="31" t="inlineStr">
        <is>
          <t>Poisson-DC rates 1.64 (home) / 1.24 (away) from EWMA attack/defense strengths. Executable ask 0.3600 (atc-arg2-ala-fco-2026-08-08-ala).</t>
        </is>
      </c>
      <c r="AF116" s="31" t="inlineStr">
        <is>
          <t>Research-only soccer score model; draw-aware, but not yet locked-holdout qualified.</t>
        </is>
      </c>
      <c r="AG116" s="24" t="inlineStr">
        <is>
          <t>review_required</t>
        </is>
      </c>
      <c r="AH116" s="24" t="n"/>
      <c r="AI116" s="31" t="n"/>
      <c r="AJ1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PAPER_CALL_WINNER_OVERVALUED</t>
        </is>
      </c>
      <c r="AP116" s="24" t="inlineStr">
        <is>
          <t>Ferro Carril Oeste</t>
        </is>
      </c>
      <c r="AQ116" s="24" t="inlineStr">
        <is>
          <t>Ferro Carril Oeste</t>
        </is>
      </c>
      <c r="AR116" s="24" t="inlineStr">
        <is>
          <t>Ferro Carril Oeste</t>
        </is>
      </c>
      <c r="AS116" s="24" t="inlineStr">
        <is>
          <t>Los Andes</t>
        </is>
      </c>
      <c r="AT116" s="24" t="inlineStr">
        <is>
          <t>Los Andes</t>
        </is>
      </c>
      <c r="AU116" s="24" t="inlineStr">
        <is>
          <t>Los Andes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c95ec2023134439ab985cb4cdcc58243749b9deb564fca7a2d587c15c9875427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c95ec2023134439ab985cb4cdcc58243749b9deb564fca7a2d587c15c9875427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c95ec2023134439ab985cb4cdcc58243749b9deb564fca7a2d587c15c9875427</t>
        </is>
      </c>
      <c r="BH116" s="24" t="inlineStr">
        <is>
          <t>2026-08-09T17:05:44.777099Z</t>
        </is>
      </c>
      <c r="BI116" s="24" t="inlineStr">
        <is>
          <t>["same_event","same_team_same_day","same_league_same_day"]</t>
        </is>
      </c>
      <c r="BJ116" s="25" t="n"/>
      <c r="BK116" s="26" t="n">
        <v>178</v>
      </c>
      <c r="BL116" s="27" t="n">
        <v>2.78</v>
      </c>
      <c r="BM116" s="28" t="n">
        <v>0.359712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0.359712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5bba191e45ae466d</t>
        </is>
      </c>
      <c r="B117" s="24" t="inlineStr">
        <is>
          <t>2026-08-09T17:07:17.181830Z</t>
        </is>
      </c>
      <c r="C117" s="24" t="inlineStr">
        <is>
          <t>2026-08-09T18:00Z</t>
        </is>
      </c>
      <c r="D117" s="24" t="inlineStr">
        <is>
          <t>401844042</t>
        </is>
      </c>
      <c r="E117" s="24" t="inlineStr">
        <is>
          <t>SOCCER</t>
        </is>
      </c>
      <c r="F117" s="24" t="inlineStr">
        <is>
          <t>Patronato</t>
        </is>
      </c>
      <c r="G117" s="24" t="inlineStr">
        <is>
          <t>Colegiales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108</v>
      </c>
      <c r="M117" s="27" t="n">
        <v>2.08</v>
      </c>
      <c r="N117" s="28" t="n">
        <v>0.480769</v>
      </c>
      <c r="O117" s="28" t="n">
        <v>0.456135</v>
      </c>
      <c r="P117" s="28" t="n">
        <v>0.2</v>
      </c>
      <c r="Q117" s="28" t="n">
        <v>-0.024634</v>
      </c>
      <c r="R117" s="26" t="n">
        <v>0</v>
      </c>
      <c r="S117" s="29" t="n">
        <v>1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2</v>
      </c>
      <c r="Y117" s="25" t="n"/>
      <c r="Z117" s="26" t="n"/>
      <c r="AA117" s="28" t="n"/>
      <c r="AB117" s="28" t="n"/>
      <c r="AC117" s="30" t="n">
        <v>-1</v>
      </c>
      <c r="AD117" s="24" t="inlineStr">
        <is>
          <t>2026-08-09T23:30:02.628000Z</t>
        </is>
      </c>
      <c r="AE117" s="31" t="inlineStr">
        <is>
          <t>Poisson-DC rates 1.64 (home) / 1.24 (away) from EWMA attack/defense strengths. Executable ask 0.4800 (atc-arg2-cac-cap-2026-08-08-cac).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PAPER_CALL_WINNER_OVERVALUED</t>
        </is>
      </c>
      <c r="AP117" s="24" t="inlineStr">
        <is>
          <t>Patronato</t>
        </is>
      </c>
      <c r="AQ117" s="24" t="inlineStr">
        <is>
          <t>Patronato</t>
        </is>
      </c>
      <c r="AR117" s="24" t="inlineStr">
        <is>
          <t>Patronato</t>
        </is>
      </c>
      <c r="AS117" s="24" t="inlineStr">
        <is>
          <t>Colegiales</t>
        </is>
      </c>
      <c r="AT117" s="24" t="inlineStr">
        <is>
          <t>Colegiales</t>
        </is>
      </c>
      <c r="AU117" s="24" t="inlineStr">
        <is>
          <t>Colegiales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c95ec2023134439ab985cb4cdcc58243749b9deb564fca7a2d587c15c9875427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c95ec2023134439ab985cb4cdcc58243749b9deb564fca7a2d587c15c9875427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c95ec2023134439ab985cb4cdcc58243749b9deb564fca7a2d587c15c9875427</t>
        </is>
      </c>
      <c r="BH117" s="24" t="inlineStr">
        <is>
          <t>2026-08-09T17:05:44.745762Z</t>
        </is>
      </c>
      <c r="BI117" s="24" t="inlineStr">
        <is>
          <t>["same_event","same_team_same_day","same_league_same_day"]</t>
        </is>
      </c>
      <c r="BJ117" s="25" t="n"/>
      <c r="BK117" s="26" t="n">
        <v>108</v>
      </c>
      <c r="BL117" s="27" t="n">
        <v>2.08</v>
      </c>
      <c r="BM117" s="28" t="n">
        <v>0.480769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0.480769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e12d19b332d24984</t>
        </is>
      </c>
      <c r="B118" s="24" t="inlineStr">
        <is>
          <t>2026-08-09T17:07:17.181830Z</t>
        </is>
      </c>
      <c r="C118" s="24" t="inlineStr">
        <is>
          <t>2026-08-09T19:00Z</t>
        </is>
      </c>
      <c r="D118" s="24" t="inlineStr">
        <is>
          <t>401844033</t>
        </is>
      </c>
      <c r="E118" s="24" t="inlineStr">
        <is>
          <t>SOCCER</t>
        </is>
      </c>
      <c r="F118" s="24" t="inlineStr">
        <is>
          <t>Defensores de Belgrano</t>
        </is>
      </c>
      <c r="G118" s="24" t="inlineStr">
        <is>
          <t>Mitre (Santiago del Estero)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150</v>
      </c>
      <c r="M118" s="27" t="n">
        <v>2.5</v>
      </c>
      <c r="N118" s="28" t="n">
        <v>0.4</v>
      </c>
      <c r="O118" s="28" t="n">
        <v>0.456135</v>
      </c>
      <c r="P118" s="28" t="n">
        <v>0.2</v>
      </c>
      <c r="Q118" s="28" t="n">
        <v>0.056135</v>
      </c>
      <c r="R118" s="26" t="n">
        <v>0</v>
      </c>
      <c r="S118" s="29" t="n">
        <v>1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2</v>
      </c>
      <c r="Y118" s="25" t="n"/>
      <c r="Z118" s="26" t="n"/>
      <c r="AA118" s="28" t="n"/>
      <c r="AB118" s="28" t="n"/>
      <c r="AC118" s="30" t="n">
        <v>1.5</v>
      </c>
      <c r="AD118" s="24" t="inlineStr">
        <is>
          <t>2026-08-10T02:34:05.570382Z</t>
        </is>
      </c>
      <c r="AE118" s="31" t="inlineStr">
        <is>
          <t>Poisson-DC rates 1.64 (home) / 1.24 (away) from EWMA attack/defense strengths. Executable ask 0.4000 (atc-arg2-cam-ddb-2026-08-08-cam).</t>
        </is>
      </c>
      <c r="AF118" s="31" t="inlineStr">
        <is>
          <t>Research-only soccer score model; draw-aware, but not yet locked-holdout qualified.</t>
        </is>
      </c>
      <c r="AG118" s="24" t="inlineStr">
        <is>
          <t>not_applicable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PAPER_CALL_WINNER_OVERVALUED</t>
        </is>
      </c>
      <c r="AP118" s="24" t="inlineStr">
        <is>
          <t>Defensores de Belgrano</t>
        </is>
      </c>
      <c r="AQ118" s="24" t="inlineStr">
        <is>
          <t>Defensores de Belgrano</t>
        </is>
      </c>
      <c r="AR118" s="24" t="inlineStr">
        <is>
          <t>Defensores de Belgrano</t>
        </is>
      </c>
      <c r="AS118" s="24" t="inlineStr">
        <is>
          <t>Mitre (Santiago del Estero)</t>
        </is>
      </c>
      <c r="AT118" s="24" t="inlineStr">
        <is>
          <t>Mitre (Santiago del Estero)</t>
        </is>
      </c>
      <c r="AU118" s="24" t="inlineStr">
        <is>
          <t>Mitre (Santiago del Estero)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c95ec2023134439ab985cb4cdcc58243749b9deb564fca7a2d587c15c9875427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c95ec2023134439ab985cb4cdcc58243749b9deb564fca7a2d587c15c9875427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c95ec2023134439ab985cb4cdcc58243749b9deb564fca7a2d587c15c9875427</t>
        </is>
      </c>
      <c r="BH118" s="24" t="inlineStr">
        <is>
          <t>2026-08-09T17:05:45.178866Z</t>
        </is>
      </c>
      <c r="BI118" s="24" t="inlineStr">
        <is>
          <t>["same_event","same_team_same_day","same_league_same_day"]</t>
        </is>
      </c>
      <c r="BJ118" s="25" t="n"/>
      <c r="BK118" s="26" t="n">
        <v>150</v>
      </c>
      <c r="BL118" s="27" t="n">
        <v>2.5</v>
      </c>
      <c r="BM118" s="28" t="n">
        <v>0.4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be4880370c874e51</t>
        </is>
      </c>
      <c r="B119" s="24" t="inlineStr">
        <is>
          <t>2026-08-09T17:07:17.181830Z</t>
        </is>
      </c>
      <c r="C119" s="24" t="inlineStr">
        <is>
          <t>2026-08-09T20:00Z</t>
        </is>
      </c>
      <c r="D119" s="24" t="inlineStr">
        <is>
          <t>401844034</t>
        </is>
      </c>
      <c r="E119" s="24" t="inlineStr">
        <is>
          <t>SOCCER</t>
        </is>
      </c>
      <c r="F119" s="24" t="inlineStr">
        <is>
          <t>Almagro</t>
        </is>
      </c>
      <c r="G119" s="24" t="inlineStr">
        <is>
          <t>Quilmes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0.440521</v>
      </c>
      <c r="P119" s="28" t="n">
        <v>0.2</v>
      </c>
      <c r="Q119" s="28" t="n">
        <v>-0.189109</v>
      </c>
      <c r="R119" s="26" t="n">
        <v>0</v>
      </c>
      <c r="S119" s="29" t="n">
        <v>1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1</v>
      </c>
      <c r="Y119" s="25" t="n"/>
      <c r="Z119" s="26" t="n"/>
      <c r="AA119" s="28" t="n"/>
      <c r="AB119" s="28" t="n"/>
      <c r="AC119" s="30" t="n">
        <v>-1</v>
      </c>
      <c r="AD119" s="24" t="inlineStr">
        <is>
          <t>2026-08-10T02:34:06.350793Z</t>
        </is>
      </c>
      <c r="AE119" s="31" t="inlineStr">
        <is>
          <t>Poisson-DC rates 1.46 (home) / 1.10 (away) from EWMA attack/defense strengths. Executable ask 0.6300 (atc-arg2-qui-alm-2026-08-08-qui).</t>
        </is>
      </c>
      <c r="AF119" s="31" t="inlineStr">
        <is>
          <t>Research-only soccer score model; draw-aware, but not yet locked-holdout qualified.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PAPER_CALL_WINNER_OVERVALUED</t>
        </is>
      </c>
      <c r="AP119" s="24" t="inlineStr">
        <is>
          <t>Almagro</t>
        </is>
      </c>
      <c r="AQ119" s="24" t="inlineStr">
        <is>
          <t>Almagro</t>
        </is>
      </c>
      <c r="AR119" s="24" t="inlineStr">
        <is>
          <t>Almagro</t>
        </is>
      </c>
      <c r="AS119" s="24" t="inlineStr">
        <is>
          <t>Quilmes</t>
        </is>
      </c>
      <c r="AT119" s="24" t="inlineStr">
        <is>
          <t>Quilmes</t>
        </is>
      </c>
      <c r="AU119" s="24" t="inlineStr">
        <is>
          <t>Quilmes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c95ec2023134439ab985cb4cdcc58243749b9deb564fca7a2d587c15c9875427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c95ec2023134439ab985cb4cdcc58243749b9deb564fca7a2d587c15c9875427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c95ec2023134439ab985cb4cdcc58243749b9deb564fca7a2d587c15c9875427</t>
        </is>
      </c>
      <c r="BH119" s="24" t="inlineStr">
        <is>
          <t>2026-08-09T17:05:45.373359Z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0.62963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95b699d9fb2f473d</t>
        </is>
      </c>
      <c r="B120" s="24" t="inlineStr">
        <is>
          <t>2026-08-09T17:07:17.181830Z</t>
        </is>
      </c>
      <c r="C120" s="24" t="inlineStr">
        <is>
          <t>2026-08-09T18:00Z</t>
        </is>
      </c>
      <c r="D120" s="24" t="inlineStr">
        <is>
          <t>401905197</t>
        </is>
      </c>
      <c r="E120" s="24" t="inlineStr">
        <is>
          <t>SOCCER</t>
        </is>
      </c>
      <c r="F120" s="24" t="inlineStr">
        <is>
          <t>Montevideo Wanderers</t>
        </is>
      </c>
      <c r="G120" s="24" t="inlineStr">
        <is>
          <t>Defensor Sporting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127</v>
      </c>
      <c r="M120" s="27" t="n">
        <v>2.27</v>
      </c>
      <c r="N120" s="28" t="n">
        <v>0.440529</v>
      </c>
      <c r="O120" s="28" t="n">
        <v>0.456347</v>
      </c>
      <c r="P120" s="28" t="n">
        <v>0.19</v>
      </c>
      <c r="Q120" s="28" t="n">
        <v>0.015818</v>
      </c>
      <c r="R120" s="26" t="n">
        <v>0</v>
      </c>
      <c r="S120" s="29" t="n">
        <v>1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2026-08-09T20:25:05.861348Z</t>
        </is>
      </c>
      <c r="AE120" s="31" t="inlineStr">
        <is>
          <t>Poisson-DC rates 1.41 (home) / 0.98 (away) from EWMA attack/defense strengths. Executable ask 0.4400 (atc-uru1-def-wan-2026-08-09-def).</t>
        </is>
      </c>
      <c r="AF120" s="31" t="inlineStr">
        <is>
          <t>Research-only soccer score model; draw-aware, but not yet locked-holdout qualified.</t>
        </is>
      </c>
      <c r="AG120" s="24" t="inlineStr">
        <is>
          <t>review_required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PAPER_CALL_WINNER_OVERVALUED</t>
        </is>
      </c>
      <c r="AP120" s="24" t="inlineStr">
        <is>
          <t>Montevideo Wanderers</t>
        </is>
      </c>
      <c r="AQ120" s="24" t="inlineStr">
        <is>
          <t>Montevideo Wanderers</t>
        </is>
      </c>
      <c r="AR120" s="24" t="inlineStr">
        <is>
          <t>Montevideo Wanderers</t>
        </is>
      </c>
      <c r="AS120" s="24" t="inlineStr">
        <is>
          <t>Defensor Sporting</t>
        </is>
      </c>
      <c r="AT120" s="24" t="inlineStr">
        <is>
          <t>Defensor Sporting</t>
        </is>
      </c>
      <c r="AU120" s="24" t="inlineStr">
        <is>
          <t>Defensor Sporting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c95ec2023134439ab985cb4cdcc58243749b9deb564fca7a2d587c15c9875427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c95ec2023134439ab985cb4cdcc58243749b9deb564fca7a2d587c15c9875427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c95ec2023134439ab985cb4cdcc58243749b9deb564fca7a2d587c15c9875427</t>
        </is>
      </c>
      <c r="BH120" s="24" t="inlineStr">
        <is>
          <t>2026-08-09T17:05:46.624016Z</t>
        </is>
      </c>
      <c r="BI120" s="24" t="inlineStr">
        <is>
          <t>["same_event","same_team_same_day","same_league_same_day"]</t>
        </is>
      </c>
      <c r="BJ120" s="25" t="n"/>
      <c r="BK120" s="26" t="n">
        <v>127</v>
      </c>
      <c r="BL120" s="27" t="n">
        <v>2.27</v>
      </c>
      <c r="BM120" s="28" t="n">
        <v>0.440529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0.440529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fe38f070f2ee44a6</t>
        </is>
      </c>
      <c r="B121" s="24" t="inlineStr">
        <is>
          <t>2026-08-09T17:07:17.181830Z</t>
        </is>
      </c>
      <c r="C121" s="24" t="inlineStr">
        <is>
          <t>2026-08-09T18:45Z</t>
        </is>
      </c>
      <c r="D121" s="24" t="inlineStr">
        <is>
          <t>401906454</t>
        </is>
      </c>
      <c r="E121" s="24" t="inlineStr">
        <is>
          <t>SOCCER</t>
        </is>
      </c>
      <c r="F121" s="24" t="inlineStr">
        <is>
          <t>Lazio</t>
        </is>
      </c>
      <c r="G121" s="24" t="inlineStr">
        <is>
          <t>Frosinone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0.349881</v>
      </c>
      <c r="P121" s="28" t="n">
        <v>0.04</v>
      </c>
      <c r="Q121" s="28" t="n">
        <v>-0.119603</v>
      </c>
      <c r="R121" s="26" t="n">
        <v>0</v>
      </c>
      <c r="S121" s="29" t="n">
        <v>1.75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1</v>
      </c>
      <c r="Y121" s="25" t="n"/>
      <c r="Z121" s="26" t="n"/>
      <c r="AA121" s="28" t="n"/>
      <c r="AB121" s="28" t="n"/>
      <c r="AC121" s="30" t="n">
        <v>1.9775</v>
      </c>
      <c r="AD121" s="24" t="inlineStr">
        <is>
          <t>2026-08-09T23:30:06.839430Z</t>
        </is>
      </c>
      <c r="AE121" s="31" t="inlineStr">
        <is>
          <t>Poisson-DC rates 1.07 (home) / 1.11 (away) from EWMA attack/defense strengths. Executable ask 0.4700 (atc-clbf-fro-laz-2026-08-09-laz).</t>
        </is>
      </c>
      <c r="AF121" s="31" t="inlineStr">
        <is>
          <t>Research-only soccer score model; draw-aware, but not yet locked-holdout qualified.</t>
        </is>
      </c>
      <c r="AG121" s="24" t="inlineStr">
        <is>
          <t>not_applicable</t>
        </is>
      </c>
      <c r="AH121" s="24" t="n"/>
      <c r="AI121" s="31" t="n"/>
      <c r="AJ1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PAPER_CALL_WINNER_OVERVALUED</t>
        </is>
      </c>
      <c r="AP121" s="24" t="inlineStr">
        <is>
          <t>Lazio</t>
        </is>
      </c>
      <c r="AQ121" s="24" t="inlineStr">
        <is>
          <t>Lazio</t>
        </is>
      </c>
      <c r="AR121" s="24" t="inlineStr">
        <is>
          <t>Lazio</t>
        </is>
      </c>
      <c r="AS121" s="24" t="inlineStr">
        <is>
          <t>Frosinone</t>
        </is>
      </c>
      <c r="AT121" s="24" t="inlineStr">
        <is>
          <t>Frosinone</t>
        </is>
      </c>
      <c r="AU121" s="24" t="inlineStr">
        <is>
          <t>Frosinone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c95ec2023134439ab985cb4cdcc58243749b9deb564fca7a2d587c15c9875427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c95ec2023134439ab985cb4cdcc58243749b9deb564fca7a2d587c15c9875427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c95ec2023134439ab985cb4cdcc58243749b9deb564fca7a2d587c15c9875427</t>
        </is>
      </c>
      <c r="BH121" s="24" t="inlineStr">
        <is>
          <t>2026-08-09T17:05:47.155497Z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0.469484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93cfc81fc4e94d70</t>
        </is>
      </c>
      <c r="B122" s="24" t="inlineStr">
        <is>
          <t>2026-08-09T20:27:41.663537Z</t>
        </is>
      </c>
      <c r="C122" s="24" t="inlineStr">
        <is>
          <t>2026-08-09T21:30Z</t>
        </is>
      </c>
      <c r="D122" s="24" t="inlineStr">
        <is>
          <t>401841179</t>
        </is>
      </c>
      <c r="E122" s="24" t="inlineStr">
        <is>
          <t>SOCCER</t>
        </is>
      </c>
      <c r="F122" s="24" t="inlineStr">
        <is>
          <t>Corinthians</t>
        </is>
      </c>
      <c r="G122" s="24" t="inlineStr">
        <is>
          <t>Red Bull Bragantino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133</v>
      </c>
      <c r="M122" s="27" t="n">
        <v>2.33</v>
      </c>
      <c r="N122" s="28" t="n">
        <v>0.429185</v>
      </c>
      <c r="O122" s="28" t="n">
        <v>0.456135</v>
      </c>
      <c r="P122" s="28" t="n">
        <v>0.2</v>
      </c>
      <c r="Q122" s="28" t="n">
        <v>0.02695</v>
      </c>
      <c r="R122" s="26" t="n">
        <v>0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2026-08-09T23:30:07.637002Z</t>
        </is>
      </c>
      <c r="AE122" s="31" t="inlineStr">
        <is>
          <t>Poisson-DC rates 1.64 (home) / 1.24 (away) from EWMA attack/defense strengths. Executable ask 0.4300 (atc-bra-bra-scp-2026-08-09-bra).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PAPER_CALL_MODEL_UNVALIDATED</t>
        </is>
      </c>
      <c r="AP122" s="24" t="inlineStr">
        <is>
          <t>Corinthians</t>
        </is>
      </c>
      <c r="AQ122" s="24" t="inlineStr">
        <is>
          <t>Corinthians</t>
        </is>
      </c>
      <c r="AR122" s="24" t="inlineStr">
        <is>
          <t>Corinthians</t>
        </is>
      </c>
      <c r="AS122" s="24" t="inlineStr">
        <is>
          <t>Red Bull Bragantino</t>
        </is>
      </c>
      <c r="AT122" s="24" t="inlineStr">
        <is>
          <t>Red Bull Bragantino</t>
        </is>
      </c>
      <c r="AU122" s="24" t="inlineStr">
        <is>
          <t>Red Bull Bragantino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c95ec2023134439ab985cb4cdcc58243749b9deb564fca7a2d587c15c9875427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c95ec2023134439ab985cb4cdcc58243749b9deb564fca7a2d587c15c9875427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c95ec2023134439ab985cb4cdcc58243749b9deb564fca7a2d587c15c9875427</t>
        </is>
      </c>
      <c r="BH122" s="24" t="inlineStr">
        <is>
          <t>2026-08-09T20:26:43.607886Z</t>
        </is>
      </c>
      <c r="BI122" s="24" t="inlineStr">
        <is>
          <t>["same_event","same_team_same_day","same_league_same_day"]</t>
        </is>
      </c>
      <c r="BJ122" s="25" t="n"/>
      <c r="BK122" s="26" t="n">
        <v>133</v>
      </c>
      <c r="BL122" s="27" t="n">
        <v>2.33</v>
      </c>
      <c r="BM122" s="28" t="n">
        <v>0.429185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0.429185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9e180722f6194899</t>
        </is>
      </c>
      <c r="B123" s="24" t="inlineStr">
        <is>
          <t>2026-08-09T20:27:41.663537Z</t>
        </is>
      </c>
      <c r="C123" s="24" t="inlineStr">
        <is>
          <t>2026-08-09T21:00Z</t>
        </is>
      </c>
      <c r="D123" s="24" t="inlineStr">
        <is>
          <t>401860268</t>
        </is>
      </c>
      <c r="E123" s="24" t="inlineStr">
        <is>
          <t>SOCCER</t>
        </is>
      </c>
      <c r="F123" s="24" t="inlineStr">
        <is>
          <t>Fortaleza</t>
        </is>
      </c>
      <c r="G123" s="24" t="inlineStr">
        <is>
          <t>Cuiabá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203</v>
      </c>
      <c r="M123" s="27" t="n">
        <v>3.03</v>
      </c>
      <c r="N123" s="28" t="n">
        <v>0.330033</v>
      </c>
      <c r="O123" s="28" t="n">
        <v>0.456135</v>
      </c>
      <c r="P123" s="28" t="n">
        <v>0.2</v>
      </c>
      <c r="Q123" s="28" t="n">
        <v>0.126102</v>
      </c>
      <c r="R123" s="26" t="n">
        <v>0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1</v>
      </c>
      <c r="Y123" s="25" t="n"/>
      <c r="Z123" s="26" t="n"/>
      <c r="AA123" s="28" t="n"/>
      <c r="AB123" s="28" t="n"/>
      <c r="AC123" s="30" t="n">
        <v>-1</v>
      </c>
      <c r="AD123" s="24" t="inlineStr">
        <is>
          <t>2026-08-09T23:30:08.480184Z</t>
        </is>
      </c>
      <c r="AE123" s="31" t="inlineStr">
        <is>
          <t>Poisson-DC rates 1.64 (home) / 1.24 (away) from EWMA attack/defense strengths. Executable ask 0.3300 (atc-brb-cui-fec-2026-08-09-cui).</t>
        </is>
      </c>
      <c r="AF123" s="31" t="inlineStr">
        <is>
          <t>Research-only soccer score model; draw-aware, but not yet locked-holdout qualified.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Fortaleza</t>
        </is>
      </c>
      <c r="AQ123" s="24" t="inlineStr">
        <is>
          <t>Fortaleza</t>
        </is>
      </c>
      <c r="AR123" s="24" t="inlineStr">
        <is>
          <t>Fortaleza</t>
        </is>
      </c>
      <c r="AS123" s="24" t="inlineStr">
        <is>
          <t>Cuiabá</t>
        </is>
      </c>
      <c r="AT123" s="24" t="inlineStr">
        <is>
          <t>Cuiabá</t>
        </is>
      </c>
      <c r="AU123" s="24" t="inlineStr">
        <is>
          <t>Cuiabá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c95ec2023134439ab985cb4cdcc58243749b9deb564fca7a2d587c15c9875427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c95ec2023134439ab985cb4cdcc58243749b9deb564fca7a2d587c15c9875427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c95ec2023134439ab985cb4cdcc58243749b9deb564fca7a2d587c15c9875427</t>
        </is>
      </c>
      <c r="BH123" s="24" t="inlineStr">
        <is>
          <t>2026-08-09T20:26:44.239332Z</t>
        </is>
      </c>
      <c r="BI123" s="24" t="inlineStr">
        <is>
          <t>["same_event","same_team_same_day","same_league_same_day"]</t>
        </is>
      </c>
      <c r="BJ123" s="25" t="n"/>
      <c r="BK123" s="26" t="n">
        <v>203</v>
      </c>
      <c r="BL123" s="27" t="n">
        <v>3.03</v>
      </c>
      <c r="BM123" s="28" t="n">
        <v>0.330033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0.330033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2ccd48b1847f4c8b</t>
        </is>
      </c>
      <c r="B124" s="24" t="inlineStr">
        <is>
          <t>2026-08-09T20:27:41.663537Z</t>
        </is>
      </c>
      <c r="C124" s="24" t="inlineStr">
        <is>
          <t>2026-08-09T20:45Z</t>
        </is>
      </c>
      <c r="D124" s="24" t="inlineStr">
        <is>
          <t>401841481</t>
        </is>
      </c>
      <c r="E124" s="24" t="inlineStr">
        <is>
          <t>SOCCER</t>
        </is>
      </c>
      <c r="F124" s="24" t="inlineStr">
        <is>
          <t>Newell's Old Boys</t>
        </is>
      </c>
      <c r="G124" s="24" t="inlineStr">
        <is>
          <t>Defensa y Justicia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104</v>
      </c>
      <c r="M124" s="27" t="n">
        <v>2.04</v>
      </c>
      <c r="N124" s="28" t="n">
        <v>0.490196</v>
      </c>
      <c r="O124" s="28" t="n">
        <v>0.456135</v>
      </c>
      <c r="P124" s="28" t="n">
        <v>0.2</v>
      </c>
      <c r="Q124" s="28" t="n">
        <v>-0.034061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2</v>
      </c>
      <c r="Y124" s="25" t="n"/>
      <c r="Z124" s="26" t="n"/>
      <c r="AA124" s="28" t="n"/>
      <c r="AB124" s="28" t="n"/>
      <c r="AC124" s="30" t="n">
        <v>1.04</v>
      </c>
      <c r="AD124" s="24" t="inlineStr">
        <is>
          <t>2026-08-09T23:30:09.272826Z</t>
        </is>
      </c>
      <c r="AE124" s="31" t="inlineStr">
        <is>
          <t>Poisson-DC rates 1.64 (home) / 1.24 (away) from EWMA attack/defense strengths. Executable ask 0.4900 (atc-lpa-def-new-2026-08-09-def).</t>
        </is>
      </c>
      <c r="AF124" s="31" t="inlineStr">
        <is>
          <t>Research-only soccer score model; draw-aware, but not yet locked-holdout qualified.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PAPER_CALL_MODEL_UNVALIDATED</t>
        </is>
      </c>
      <c r="AP124" s="24" t="inlineStr">
        <is>
          <t>Newell's Old Boys</t>
        </is>
      </c>
      <c r="AQ124" s="24" t="inlineStr">
        <is>
          <t>Newell's Old Boys</t>
        </is>
      </c>
      <c r="AR124" s="24" t="inlineStr">
        <is>
          <t>Newell's Old Boys</t>
        </is>
      </c>
      <c r="AS124" s="24" t="inlineStr">
        <is>
          <t>Defensa y Justicia</t>
        </is>
      </c>
      <c r="AT124" s="24" t="inlineStr">
        <is>
          <t>Defensa y Justicia</t>
        </is>
      </c>
      <c r="AU124" s="24" t="inlineStr">
        <is>
          <t>Defensa y Justicia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c95ec2023134439ab985cb4cdcc58243749b9deb564fca7a2d587c15c9875427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c95ec2023134439ab985cb4cdcc58243749b9deb564fca7a2d587c15c9875427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c95ec2023134439ab985cb4cdcc58243749b9deb564fca7a2d587c15c9875427</t>
        </is>
      </c>
      <c r="BH124" s="24" t="inlineStr">
        <is>
          <t>2026-08-09T20:26:44.427542Z</t>
        </is>
      </c>
      <c r="BI124" s="24" t="inlineStr">
        <is>
          <t>["same_event","same_team_same_day","same_league_same_day"]</t>
        </is>
      </c>
      <c r="BJ124" s="25" t="n"/>
      <c r="BK124" s="26" t="n">
        <v>104</v>
      </c>
      <c r="BL124" s="27" t="n">
        <v>2.04</v>
      </c>
      <c r="BM124" s="28" t="n">
        <v>0.490196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0.490196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12db96f44c404db8</t>
        </is>
      </c>
      <c r="B125" s="24" t="inlineStr">
        <is>
          <t>2026-08-09T20:27:41.663537Z</t>
        </is>
      </c>
      <c r="C125" s="24" t="inlineStr">
        <is>
          <t>2026-08-09T20:45Z</t>
        </is>
      </c>
      <c r="D125" s="24" t="inlineStr">
        <is>
          <t>401841479</t>
        </is>
      </c>
      <c r="E125" s="24" t="inlineStr">
        <is>
          <t>SOCCER</t>
        </is>
      </c>
      <c r="F125" s="24" t="inlineStr">
        <is>
          <t>Barracas Central</t>
        </is>
      </c>
      <c r="G125" s="24" t="inlineStr">
        <is>
          <t>Gimnasia La Plata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-108</v>
      </c>
      <c r="M125" s="27" t="n">
        <v>1.925926</v>
      </c>
      <c r="N125" s="28" t="n">
        <v>0.519231</v>
      </c>
      <c r="O125" s="28" t="n">
        <v>0.5359159999999999</v>
      </c>
      <c r="P125" s="28" t="n">
        <v>0.2</v>
      </c>
      <c r="Q125" s="28" t="n">
        <v>0.016685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2</v>
      </c>
      <c r="Y125" s="25" t="n"/>
      <c r="Z125" s="26" t="n"/>
      <c r="AA125" s="28" t="n"/>
      <c r="AB125" s="28" t="n"/>
      <c r="AC125" s="30" t="n">
        <v>0.9258999999999999</v>
      </c>
      <c r="AD125" s="24" t="inlineStr">
        <is>
          <t>2026-08-09T23:30:10.083077Z</t>
        </is>
      </c>
      <c r="AE125" s="31" t="inlineStr">
        <is>
          <t>Poisson-DC rates 1.84 (home) / 1.10 (away) from EWMA attack/defense strengths. Executable ask 0.5200 (atc-lpa-gim-bar-2026-08-09-gim).</t>
        </is>
      </c>
      <c r="AF125" s="31" t="inlineStr">
        <is>
          <t>Research-only soccer score model; draw-aware, but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Barracas Central</t>
        </is>
      </c>
      <c r="AQ125" s="24" t="inlineStr">
        <is>
          <t>Barracas Central</t>
        </is>
      </c>
      <c r="AR125" s="24" t="inlineStr">
        <is>
          <t>Barracas Central</t>
        </is>
      </c>
      <c r="AS125" s="24" t="inlineStr">
        <is>
          <t>Gimnasia La Plata</t>
        </is>
      </c>
      <c r="AT125" s="24" t="inlineStr">
        <is>
          <t>Gimnasia La Plata</t>
        </is>
      </c>
      <c r="AU125" s="24" t="inlineStr">
        <is>
          <t>Gimnasia La Plata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c95ec2023134439ab985cb4cdcc58243749b9deb564fca7a2d587c15c9875427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c95ec2023134439ab985cb4cdcc58243749b9deb564fca7a2d587c15c9875427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c95ec2023134439ab985cb4cdcc58243749b9deb564fca7a2d587c15c9875427</t>
        </is>
      </c>
      <c r="BH125" s="24" t="inlineStr">
        <is>
          <t>2026-08-09T20:26:44.412176Z</t>
        </is>
      </c>
      <c r="BI125" s="24" t="inlineStr">
        <is>
          <t>["same_event","same_team_same_day","same_league_same_day"]</t>
        </is>
      </c>
      <c r="BJ125" s="25" t="n"/>
      <c r="BK125" s="26" t="n">
        <v>-108</v>
      </c>
      <c r="BL125" s="27" t="n">
        <v>1.925926</v>
      </c>
      <c r="BM125" s="28" t="n">
        <v>0.519231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0.519231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2ca2c4e7a56c42f6</t>
        </is>
      </c>
      <c r="B126" s="24" t="inlineStr">
        <is>
          <t>2026-08-09T20:27:41.663537Z</t>
        </is>
      </c>
      <c r="C126" s="24" t="inlineStr">
        <is>
          <t>2026-08-09T23:15Z</t>
        </is>
      </c>
      <c r="D126" s="24" t="inlineStr">
        <is>
          <t>401841485</t>
        </is>
      </c>
      <c r="E126" s="24" t="inlineStr">
        <is>
          <t>SOCCER</t>
        </is>
      </c>
      <c r="F126" s="24" t="inlineStr">
        <is>
          <t>Racing Club</t>
        </is>
      </c>
      <c r="G126" s="24" t="inlineStr">
        <is>
          <t>Argentinos Juniors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0.430486</v>
      </c>
      <c r="P126" s="28" t="n">
        <v>0.2</v>
      </c>
      <c r="Q126" s="28" t="n">
        <v>-0.019964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2</v>
      </c>
      <c r="Y126" s="25" t="n"/>
      <c r="Z126" s="26" t="n"/>
      <c r="AA126" s="28" t="n"/>
      <c r="AB126" s="28" t="n"/>
      <c r="AC126" s="30" t="n">
        <v>1.22</v>
      </c>
      <c r="AD126" s="24" t="inlineStr">
        <is>
          <t>2026-08-10T02:34:12.586148Z</t>
        </is>
      </c>
      <c r="AE126" s="31" t="inlineStr">
        <is>
          <t>Poisson-DC rates 1.59 (home) / 1.30 (away) from EWMA attack/defense strengths. Executable ask 0.4500 (atc-lpa-aaj-rac-2026-08-09-aaj).</t>
        </is>
      </c>
      <c r="AF126" s="31" t="inlineStr">
        <is>
          <t>Research-only soccer score model; draw-aware, but not yet locked-holdout qualified.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PAPER_CALL_MODEL_UNVALIDATED</t>
        </is>
      </c>
      <c r="AP126" s="24" t="inlineStr">
        <is>
          <t>Racing Club</t>
        </is>
      </c>
      <c r="AQ126" s="24" t="inlineStr">
        <is>
          <t>Racing Club</t>
        </is>
      </c>
      <c r="AR126" s="24" t="inlineStr">
        <is>
          <t>Racing Club</t>
        </is>
      </c>
      <c r="AS126" s="24" t="inlineStr">
        <is>
          <t>Argentinos Juniors</t>
        </is>
      </c>
      <c r="AT126" s="24" t="inlineStr">
        <is>
          <t>Argentinos Juniors</t>
        </is>
      </c>
      <c r="AU126" s="24" t="inlineStr">
        <is>
          <t>Argentinos Juniors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c95ec2023134439ab985cb4cdcc58243749b9deb564fca7a2d587c15c9875427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c95ec2023134439ab985cb4cdcc58243749b9deb564fca7a2d587c15c9875427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c95ec2023134439ab985cb4cdcc58243749b9deb564fca7a2d587c15c9875427</t>
        </is>
      </c>
      <c r="BH126" s="24" t="inlineStr">
        <is>
          <t>2026-08-09T20:26:44.651790Z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3a175074334f4562</t>
        </is>
      </c>
      <c r="B127" s="24" t="inlineStr">
        <is>
          <t>2026-08-09T20:27:41.663537Z</t>
        </is>
      </c>
      <c r="C127" s="24" t="inlineStr">
        <is>
          <t>2026-08-09T20:30Z</t>
        </is>
      </c>
      <c r="D127" s="24" t="inlineStr">
        <is>
          <t>401844030</t>
        </is>
      </c>
      <c r="E127" s="24" t="inlineStr">
        <is>
          <t>SOCCER</t>
        </is>
      </c>
      <c r="F127" s="24" t="inlineStr">
        <is>
          <t>Nueva Chicago</t>
        </is>
      </c>
      <c r="G127" s="24" t="inlineStr">
        <is>
          <t>Gimnasia y Tiro (Salta)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0.440521</v>
      </c>
      <c r="P127" s="28" t="n">
        <v>0.2</v>
      </c>
      <c r="Q127" s="28" t="n">
        <v>-0.11895</v>
      </c>
      <c r="R127" s="26" t="n">
        <v>0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2</v>
      </c>
      <c r="Y127" s="25" t="n"/>
      <c r="Z127" s="26" t="n"/>
      <c r="AA127" s="28" t="n"/>
      <c r="AB127" s="28" t="n"/>
      <c r="AC127" s="30" t="n">
        <v>0.7874</v>
      </c>
      <c r="AD127" s="24" t="inlineStr">
        <is>
          <t>2026-08-10T02:34:13.361726Z</t>
        </is>
      </c>
      <c r="AE127" s="31" t="inlineStr">
        <is>
          <t>Poisson-DC rates 1.46 (home) / 1.10 (away) from EWMA attack/defense strengths. Executable ask 0.5600 (atc-arg2-gyt-chi-2026-08-08-gyt).</t>
        </is>
      </c>
      <c r="AF127" s="31" t="inlineStr">
        <is>
          <t>Research-only soccer score model; draw-aware, but not yet locked-holdout qualified.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3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PAPER_CALL_MODEL_UNVALIDATED</t>
        </is>
      </c>
      <c r="AP127" s="24" t="inlineStr">
        <is>
          <t>Nueva Chicago</t>
        </is>
      </c>
      <c r="AQ127" s="24" t="inlineStr">
        <is>
          <t>Nueva Chicago</t>
        </is>
      </c>
      <c r="AR127" s="24" t="inlineStr">
        <is>
          <t>Nueva Chicago</t>
        </is>
      </c>
      <c r="AS127" s="24" t="inlineStr">
        <is>
          <t>Gimnasia y Tiro (Salta)</t>
        </is>
      </c>
      <c r="AT127" s="24" t="inlineStr">
        <is>
          <t>Gimnasia y Tiro (Salta)</t>
        </is>
      </c>
      <c r="AU127" s="24" t="inlineStr">
        <is>
          <t>Gimnasia y Tiro (Salta)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c95ec2023134439ab985cb4cdcc58243749b9deb564fca7a2d587c15c9875427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c95ec2023134439ab985cb4cdcc58243749b9deb564fca7a2d587c15c9875427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c95ec2023134439ab985cb4cdcc58243749b9deb564fca7a2d587c15c9875427</t>
        </is>
      </c>
      <c r="BH127" s="24" t="inlineStr">
        <is>
          <t>2026-08-09T20:26:45.204260Z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b8243052705d4baa</t>
        </is>
      </c>
      <c r="B128" s="24" t="inlineStr">
        <is>
          <t>2026-08-09T20:27:41.663537Z</t>
        </is>
      </c>
      <c r="C128" s="24" t="inlineStr">
        <is>
          <t>2026-08-09T21:30Z</t>
        </is>
      </c>
      <c r="D128" s="24" t="inlineStr">
        <is>
          <t>401905176</t>
        </is>
      </c>
      <c r="E128" s="24" t="inlineStr">
        <is>
          <t>SOCCER</t>
        </is>
      </c>
      <c r="F128" s="24" t="inlineStr">
        <is>
          <t>Boston River</t>
        </is>
      </c>
      <c r="G128" s="24" t="inlineStr">
        <is>
          <t>Nacional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0.5359159999999999</v>
      </c>
      <c r="P128" s="28" t="n">
        <v>0.2</v>
      </c>
      <c r="Q128" s="28" t="n">
        <v>-0.114434</v>
      </c>
      <c r="R128" s="26" t="n">
        <v>0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2</v>
      </c>
      <c r="X128" s="26" t="n">
        <v>1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2026-08-09T23:30:10.879404Z</t>
        </is>
      </c>
      <c r="AE128" s="31" t="inlineStr">
        <is>
          <t>Poisson-DC rates 1.84 (home) / 1.10 (away) from EWMA attack/defense strengths. Executable ask 0.6500 (atc-uru1-nac-bri-2026-08-09-nac).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Boston River</t>
        </is>
      </c>
      <c r="AQ128" s="24" t="inlineStr">
        <is>
          <t>Boston River</t>
        </is>
      </c>
      <c r="AR128" s="24" t="inlineStr">
        <is>
          <t>Boston River</t>
        </is>
      </c>
      <c r="AS128" s="24" t="inlineStr">
        <is>
          <t>Nacional</t>
        </is>
      </c>
      <c r="AT128" s="24" t="inlineStr">
        <is>
          <t>Nacional</t>
        </is>
      </c>
      <c r="AU128" s="24" t="inlineStr">
        <is>
          <t>Nacional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c95ec2023134439ab985cb4cdcc58243749b9deb564fca7a2d587c15c9875427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c95ec2023134439ab985cb4cdcc58243749b9deb564fca7a2d587c15c9875427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c95ec2023134439ab985cb4cdcc58243749b9deb564fca7a2d587c15c9875427</t>
        </is>
      </c>
      <c r="BH128" s="24" t="inlineStr">
        <is>
          <t>2026-08-09T20:26:46.029236Z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b33982c52540465a</t>
        </is>
      </c>
      <c r="B129" s="24" t="inlineStr">
        <is>
          <t>2026-08-09T20:27:41.663537Z</t>
        </is>
      </c>
      <c r="C129" s="24" t="inlineStr">
        <is>
          <t>2026-08-09T20:30Z</t>
        </is>
      </c>
      <c r="D129" s="24" t="inlineStr">
        <is>
          <t>401886114</t>
        </is>
      </c>
      <c r="E129" s="24" t="inlineStr">
        <is>
          <t>SOCCER</t>
        </is>
      </c>
      <c r="F129" s="24" t="inlineStr">
        <is>
          <t>FC Cajamarca</t>
        </is>
      </c>
      <c r="G129" s="24" t="inlineStr">
        <is>
          <t>Melgar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-376</v>
      </c>
      <c r="M129" s="27" t="n">
        <v>1.265957</v>
      </c>
      <c r="N129" s="28" t="n">
        <v>0.789916</v>
      </c>
      <c r="O129" s="28" t="n">
        <v>0.456135</v>
      </c>
      <c r="P129" s="28" t="n">
        <v>0.2</v>
      </c>
      <c r="Q129" s="28" t="n">
        <v>-0.333781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loss</t>
        </is>
      </c>
      <c r="W129" s="26" t="n">
        <v>4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2026-08-09T23:30:11.724544Z</t>
        </is>
      </c>
      <c r="AE129" s="31" t="inlineStr">
        <is>
          <t>Poisson-DC rates 1.64 (home) / 1.24 (away) from EWMA attack/defense strengths. Executable ask 0.7900 (atc-pl1-mel-caj-2026-08-09-mel).</t>
        </is>
      </c>
      <c r="AF129" s="31" t="inlineStr">
        <is>
          <t>Research-only soccer score model; draw-aware, but not yet locked-holdout qualified.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FC Cajamarca</t>
        </is>
      </c>
      <c r="AQ129" s="24" t="inlineStr">
        <is>
          <t>FC Cajamarca</t>
        </is>
      </c>
      <c r="AR129" s="24" t="inlineStr">
        <is>
          <t>FC Cajamarca</t>
        </is>
      </c>
      <c r="AS129" s="24" t="inlineStr">
        <is>
          <t>Melgar</t>
        </is>
      </c>
      <c r="AT129" s="24" t="inlineStr">
        <is>
          <t>Melgar</t>
        </is>
      </c>
      <c r="AU129" s="24" t="inlineStr">
        <is>
          <t>Melgar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c95ec2023134439ab985cb4cdcc58243749b9deb564fca7a2d587c15c9875427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c95ec2023134439ab985cb4cdcc58243749b9deb564fca7a2d587c15c9875427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c95ec2023134439ab985cb4cdcc58243749b9deb564fca7a2d587c15c9875427</t>
        </is>
      </c>
      <c r="BH129" s="24" t="inlineStr">
        <is>
          <t>2026-08-09T20:26:46.345403Z</t>
        </is>
      </c>
      <c r="BI129" s="24" t="inlineStr">
        <is>
          <t>["same_event","same_team_same_day","same_league_same_day"]</t>
        </is>
      </c>
      <c r="BJ129" s="25" t="n"/>
      <c r="BK129" s="26" t="n">
        <v>-376</v>
      </c>
      <c r="BL129" s="27" t="n">
        <v>1.265957</v>
      </c>
      <c r="BM129" s="28" t="n">
        <v>0.789916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0.789916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fa70dae0e6ff42dd</t>
        </is>
      </c>
      <c r="B130" s="24" t="inlineStr">
        <is>
          <t>2026-08-09T23:32:22.221451Z</t>
        </is>
      </c>
      <c r="C130" s="24" t="inlineStr">
        <is>
          <t>2026-08-10T00:00Z</t>
        </is>
      </c>
      <c r="D130" s="24" t="inlineStr">
        <is>
          <t>401850613</t>
        </is>
      </c>
      <c r="E130" s="24" t="inlineStr">
        <is>
          <t>SOCCER</t>
        </is>
      </c>
      <c r="F130" s="24" t="inlineStr">
        <is>
          <t>Palestino</t>
        </is>
      </c>
      <c r="G130" s="24" t="inlineStr">
        <is>
          <t>Universidad de Chile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-150</v>
      </c>
      <c r="M130" s="27" t="n">
        <v>1.666667</v>
      </c>
      <c r="N130" s="28" t="n">
        <v>0.6</v>
      </c>
      <c r="O130" s="28" t="n">
        <v>0.394509</v>
      </c>
      <c r="P130" s="28" t="n">
        <v>0.19</v>
      </c>
      <c r="Q130" s="28" t="n">
        <v>-0.205491</v>
      </c>
      <c r="R130" s="26" t="n">
        <v>0</v>
      </c>
      <c r="S130" s="29" t="n">
        <v>1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2</v>
      </c>
      <c r="Y130" s="25" t="n"/>
      <c r="Z130" s="26" t="n"/>
      <c r="AA130" s="28" t="n"/>
      <c r="AB130" s="28" t="n"/>
      <c r="AC130" s="30" t="n">
        <v>0.6667</v>
      </c>
      <c r="AD130" s="24" t="inlineStr">
        <is>
          <t>2026-08-10T02:34:17.311144Z</t>
        </is>
      </c>
      <c r="AE130" s="31" t="inlineStr">
        <is>
          <t>Poisson-DC rates 1.41 (home) / 1.25 (away) from EWMA attack/defense strengths. Executable ask 0.6000 (atc-pdc-unc-pal-2026-08-09-unc).</t>
        </is>
      </c>
      <c r="AF130" s="31" t="inlineStr">
        <is>
          <t>Research-only soccer score model; draw-aware, but not yet locked-holdout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Palestino</t>
        </is>
      </c>
      <c r="AQ130" s="24" t="inlineStr">
        <is>
          <t>Palestino</t>
        </is>
      </c>
      <c r="AR130" s="24" t="inlineStr">
        <is>
          <t>Palestino</t>
        </is>
      </c>
      <c r="AS130" s="24" t="inlineStr">
        <is>
          <t>Universidad de Chile</t>
        </is>
      </c>
      <c r="AT130" s="24" t="inlineStr">
        <is>
          <t>Universidad de Chile</t>
        </is>
      </c>
      <c r="AU130" s="24" t="inlineStr">
        <is>
          <t>Universidad de Chile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c95ec2023134439ab985cb4cdcc58243749b9deb564fca7a2d587c15c9875427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c95ec2023134439ab985cb4cdcc58243749b9deb564fca7a2d587c15c9875427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c95ec2023134439ab985cb4cdcc58243749b9deb564fca7a2d587c15c9875427</t>
        </is>
      </c>
      <c r="BH130" s="24" t="inlineStr">
        <is>
          <t>2026-08-09T23:31:34.043692Z</t>
        </is>
      </c>
      <c r="BI130" s="24" t="inlineStr">
        <is>
          <t>["same_event","same_team_same_day","same_league_same_day"]</t>
        </is>
      </c>
      <c r="BJ130" s="25" t="n"/>
      <c r="BK130" s="26" t="n">
        <v>-150</v>
      </c>
      <c r="BL130" s="27" t="n">
        <v>1.666667</v>
      </c>
      <c r="BM130" s="28" t="n">
        <v>0.6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26595c7ac6b5414f</t>
        </is>
      </c>
      <c r="B131" s="24" t="inlineStr">
        <is>
          <t>2026-08-09T23:32:22.221451Z</t>
        </is>
      </c>
      <c r="C131" s="24" t="inlineStr">
        <is>
          <t>2026-08-10T00:00Z</t>
        </is>
      </c>
      <c r="D131" s="24" t="inlineStr">
        <is>
          <t>401859649</t>
        </is>
      </c>
      <c r="E131" s="24" t="inlineStr">
        <is>
          <t>SOCCER</t>
        </is>
      </c>
      <c r="F131" s="24" t="inlineStr">
        <is>
          <t>Emelec</t>
        </is>
      </c>
      <c r="G131" s="24" t="inlineStr">
        <is>
          <t>Guayaquil City FC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203</v>
      </c>
      <c r="M131" s="27" t="n">
        <v>3.03</v>
      </c>
      <c r="N131" s="28" t="n">
        <v>0.330033</v>
      </c>
      <c r="O131" s="28" t="n">
        <v>0.456135</v>
      </c>
      <c r="P131" s="28" t="n">
        <v>0.2</v>
      </c>
      <c r="Q131" s="28" t="n">
        <v>0.126102</v>
      </c>
      <c r="R131" s="26" t="n">
        <v>0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0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2026-08-10T02:34:18.686986Z</t>
        </is>
      </c>
      <c r="AE131" s="31" t="inlineStr">
        <is>
          <t>Poisson-DC rates 1.64 (home) / 1.24 (away) from EWMA attack/defense strengths. Executable ask 0.3300 (atc-ecu1-gua-cse-2026-08-09-gua).</t>
        </is>
      </c>
      <c r="AF131" s="31" t="inlineStr">
        <is>
          <t>Research-only soccer score model; draw-aware, but not yet locked-holdout qualified.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3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Emelec</t>
        </is>
      </c>
      <c r="AQ131" s="24" t="inlineStr">
        <is>
          <t>Emelec</t>
        </is>
      </c>
      <c r="AR131" s="24" t="inlineStr">
        <is>
          <t>Emelec</t>
        </is>
      </c>
      <c r="AS131" s="24" t="inlineStr">
        <is>
          <t>Guayaquil City FC</t>
        </is>
      </c>
      <c r="AT131" s="24" t="inlineStr">
        <is>
          <t>Guayaquil City FC</t>
        </is>
      </c>
      <c r="AU131" s="24" t="inlineStr">
        <is>
          <t>Guayaquil City FC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c95ec2023134439ab985cb4cdcc58243749b9deb564fca7a2d587c15c9875427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c95ec2023134439ab985cb4cdcc58243749b9deb564fca7a2d587c15c9875427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c95ec2023134439ab985cb4cdcc58243749b9deb564fca7a2d587c15c9875427</t>
        </is>
      </c>
      <c r="BH131" s="24" t="inlineStr">
        <is>
          <t>2026-08-09T23:31:34.338314Z</t>
        </is>
      </c>
      <c r="BI131" s="24" t="inlineStr">
        <is>
          <t>["same_event","same_team_same_day","same_league_same_day"]</t>
        </is>
      </c>
      <c r="BJ131" s="25" t="n"/>
      <c r="BK131" s="26" t="n">
        <v>203</v>
      </c>
      <c r="BL131" s="27" t="n">
        <v>3.03</v>
      </c>
      <c r="BM131" s="28" t="n">
        <v>0.330033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0.330033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9772a262379042a6</t>
        </is>
      </c>
      <c r="B132" s="24" t="inlineStr">
        <is>
          <t>2026-08-10T16:35:20.124872Z</t>
        </is>
      </c>
      <c r="C132" s="24" t="inlineStr">
        <is>
          <t>2026-08-10T21:00Z</t>
        </is>
      </c>
      <c r="D132" s="24" t="inlineStr">
        <is>
          <t>401877954</t>
        </is>
      </c>
      <c r="E132" s="24" t="inlineStr">
        <is>
          <t>SOCCER</t>
        </is>
      </c>
      <c r="F132" s="24" t="inlineStr">
        <is>
          <t>Llaneros FC</t>
        </is>
      </c>
      <c r="G132" s="24" t="inlineStr">
        <is>
          <t>Águilas Doradas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-104</v>
      </c>
      <c r="M132" s="27" t="n">
        <v>1.961538</v>
      </c>
      <c r="N132" s="28" t="n">
        <v>0.509804</v>
      </c>
      <c r="O132" s="28" t="n">
        <v>0.418807</v>
      </c>
      <c r="P132" s="28" t="n">
        <v>0.2</v>
      </c>
      <c r="Q132" s="28" t="n">
        <v>-0.09099699999999999</v>
      </c>
      <c r="R132" s="26" t="n">
        <v>0</v>
      </c>
      <c r="S132" s="29" t="n">
        <v>1</v>
      </c>
      <c r="T132" s="24" t="inlineStr">
        <is>
          <t>soccer-poisson-dc-v1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1</v>
      </c>
      <c r="Y132" s="25" t="n"/>
      <c r="Z132" s="26" t="n">
        <v>-104</v>
      </c>
      <c r="AA132" s="28" t="n">
        <v>0.51</v>
      </c>
      <c r="AB132" s="28" t="n">
        <v>0.000196</v>
      </c>
      <c r="AC132" s="30" t="n">
        <v>-1</v>
      </c>
      <c r="AD132" s="24" t="inlineStr">
        <is>
          <t>2026-08-31T04:33:37.874217Z</t>
        </is>
      </c>
      <c r="AE132" s="31" t="inlineStr">
        <is>
          <t>Poisson-DC rates 1.46 (home) / 1.20 (away) from EWMA attack/defense strengths. Executable ask 0.5100 (atc-lco-agu-lla-2026-08-10-agu).</t>
        </is>
      </c>
      <c r="AF132" s="31" t="inlineStr">
        <is>
          <t>Research-only soccer score model; draw-aware, but not yet locked-holdout qualified.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Llaneros FC</t>
        </is>
      </c>
      <c r="AQ132" s="24" t="inlineStr">
        <is>
          <t>Llaneros FC</t>
        </is>
      </c>
      <c r="AR132" s="24" t="inlineStr">
        <is>
          <t>Llaneros FC</t>
        </is>
      </c>
      <c r="AS132" s="24" t="inlineStr">
        <is>
          <t>Águilas Doradas</t>
        </is>
      </c>
      <c r="AT132" s="24" t="inlineStr">
        <is>
          <t>Águilas Doradas</t>
        </is>
      </c>
      <c r="AU132" s="24" t="inlineStr">
        <is>
          <t>Águilas Doradas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c95ec2023134439ab985cb4cdcc58243749b9deb564fca7a2d587c15c9875427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c95ec2023134439ab985cb4cdcc58243749b9deb564fca7a2d587c15c9875427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c95ec2023134439ab985cb4cdcc58243749b9deb564fca7a2d587c15c9875427</t>
        </is>
      </c>
      <c r="BH132" s="24" t="inlineStr">
        <is>
          <t>2026-08-10T16:34:16.858542Z</t>
        </is>
      </c>
      <c r="BI132" s="24" t="inlineStr">
        <is>
          <t>["same_event","same_team_same_day","same_league_same_day"]</t>
        </is>
      </c>
      <c r="BJ132" s="25" t="n"/>
      <c r="BK132" s="26" t="n">
        <v>-104</v>
      </c>
      <c r="BL132" s="27" t="n">
        <v>1.961538</v>
      </c>
      <c r="BM132" s="28" t="n">
        <v>0.509804</v>
      </c>
      <c r="BN132" s="28" t="n"/>
      <c r="BO132" s="28" t="n"/>
      <c r="BP132" s="25" t="n"/>
      <c r="BQ132" s="27" t="n">
        <v>1.961538</v>
      </c>
      <c r="BR132" s="28" t="n">
        <v>0.51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0.509804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c2a9fbe9b26145b7</t>
        </is>
      </c>
      <c r="B133" s="24" t="inlineStr">
        <is>
          <t>2026-08-10T16:35:20.124872Z</t>
        </is>
      </c>
      <c r="C133" s="24" t="inlineStr">
        <is>
          <t>2026-08-11T00:00Z</t>
        </is>
      </c>
      <c r="D133" s="24" t="inlineStr">
        <is>
          <t>401850612</t>
        </is>
      </c>
      <c r="E133" s="24" t="inlineStr">
        <is>
          <t>SOCCER</t>
        </is>
      </c>
      <c r="F133" s="24" t="inlineStr">
        <is>
          <t>Ñublense</t>
        </is>
      </c>
      <c r="G133" s="24" t="inlineStr">
        <is>
          <t>Audax Italiano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144</v>
      </c>
      <c r="M133" s="27" t="n">
        <v>2.44</v>
      </c>
      <c r="N133" s="28" t="n">
        <v>0.409836</v>
      </c>
      <c r="O133" s="28" t="n">
        <v>0.416467</v>
      </c>
      <c r="P133" s="28" t="n">
        <v>0.19</v>
      </c>
      <c r="Q133" s="28" t="n">
        <v>0.006631</v>
      </c>
      <c r="R133" s="26" t="n">
        <v>0</v>
      </c>
      <c r="S133" s="29" t="n">
        <v>1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2026-08-11T13:07:14.498541Z</t>
        </is>
      </c>
      <c r="AE133" s="31" t="inlineStr">
        <is>
          <t>Poisson-DC rates 1.41 (home) / 1.15 (away) from EWMA attack/defense strengths. Executable ask 0.4100 (atc-pdc-aud-nub-2026-08-10-aud).</t>
        </is>
      </c>
      <c r="AF133" s="31" t="inlineStr">
        <is>
          <t>Research-only soccer score model; draw-aware, but not yet locked-holdout qualified.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Ñublense</t>
        </is>
      </c>
      <c r="AQ133" s="24" t="inlineStr">
        <is>
          <t>Ñublense</t>
        </is>
      </c>
      <c r="AR133" s="24" t="inlineStr">
        <is>
          <t>Ñublense</t>
        </is>
      </c>
      <c r="AS133" s="24" t="inlineStr">
        <is>
          <t>Audax Italiano</t>
        </is>
      </c>
      <c r="AT133" s="24" t="inlineStr">
        <is>
          <t>Audax Italiano</t>
        </is>
      </c>
      <c r="AU133" s="24" t="inlineStr">
        <is>
          <t>Audax Italiano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c95ec2023134439ab985cb4cdcc58243749b9deb564fca7a2d587c15c9875427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c95ec2023134439ab985cb4cdcc58243749b9deb564fca7a2d587c15c9875427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c95ec2023134439ab985cb4cdcc58243749b9deb564fca7a2d587c15c9875427</t>
        </is>
      </c>
      <c r="BH133" s="24" t="inlineStr">
        <is>
          <t>2026-08-10T16:34:16.617464Z</t>
        </is>
      </c>
      <c r="BI133" s="24" t="inlineStr">
        <is>
          <t>["same_event","same_team_same_day","same_league_same_day"]</t>
        </is>
      </c>
      <c r="BJ133" s="25" t="n"/>
      <c r="BK133" s="26" t="n">
        <v>144</v>
      </c>
      <c r="BL133" s="27" t="n">
        <v>2.44</v>
      </c>
      <c r="BM133" s="28" t="n">
        <v>0.409836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0.409836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4418c8b2bda14fc7</t>
        </is>
      </c>
      <c r="B134" s="24" t="inlineStr">
        <is>
          <t>2026-08-10T16:35:20.124872Z</t>
        </is>
      </c>
      <c r="C134" s="24" t="inlineStr">
        <is>
          <t>2026-08-10T22:00Z</t>
        </is>
      </c>
      <c r="D134" s="24" t="inlineStr">
        <is>
          <t>401905175</t>
        </is>
      </c>
      <c r="E134" s="24" t="inlineStr">
        <is>
          <t>SOCCER</t>
        </is>
      </c>
      <c r="F134" s="24" t="inlineStr">
        <is>
          <t>Racing (Montevideo)</t>
        </is>
      </c>
      <c r="G134" s="24" t="inlineStr">
        <is>
          <t>Deportivo Maldonado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0.418807</v>
      </c>
      <c r="P134" s="28" t="n">
        <v>0.2</v>
      </c>
      <c r="Q134" s="28" t="n">
        <v>0.059095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2</v>
      </c>
      <c r="X134" s="26" t="n">
        <v>2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2026-08-11T13:07:15.329814Z</t>
        </is>
      </c>
      <c r="AE134" s="31" t="inlineStr">
        <is>
          <t>Poisson-DC rates 1.46 (home) / 1.20 (away) from EWMA attack/defense strengths. Executable ask 0.3600 (atc-uru1-mal-rcm-2026-08-10-mal).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PAPER_CALL_MODEL_UNVALIDATED</t>
        </is>
      </c>
      <c r="AP134" s="24" t="inlineStr">
        <is>
          <t>Racing (Montevideo)</t>
        </is>
      </c>
      <c r="AQ134" s="24" t="inlineStr">
        <is>
          <t>Racing (Montevideo)</t>
        </is>
      </c>
      <c r="AR134" s="24" t="inlineStr">
        <is>
          <t>Racing (Montevideo)</t>
        </is>
      </c>
      <c r="AS134" s="24" t="inlineStr">
        <is>
          <t>Deportivo Maldonado</t>
        </is>
      </c>
      <c r="AT134" s="24" t="inlineStr">
        <is>
          <t>Deportivo Maldonado</t>
        </is>
      </c>
      <c r="AU134" s="24" t="inlineStr">
        <is>
          <t>Deportivo Maldonado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c95ec2023134439ab985cb4cdcc58243749b9deb564fca7a2d587c15c9875427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c95ec2023134439ab985cb4cdcc58243749b9deb564fca7a2d587c15c9875427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c95ec2023134439ab985cb4cdcc58243749b9deb564fca7a2d587c15c9875427</t>
        </is>
      </c>
      <c r="BH134" s="24" t="inlineStr">
        <is>
          <t>2026-08-10T16:34:18.047174Z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0.359712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8769d69447524052</t>
        </is>
      </c>
      <c r="B135" s="24" t="inlineStr">
        <is>
          <t>2026-08-12T14:36:23.068398Z</t>
        </is>
      </c>
      <c r="C135" s="24" t="inlineStr">
        <is>
          <t>2026-08-12T16:15Z</t>
        </is>
      </c>
      <c r="D135" s="24" t="inlineStr">
        <is>
          <t>401905959</t>
        </is>
      </c>
      <c r="E135" s="24" t="inlineStr">
        <is>
          <t>SOCCER</t>
        </is>
      </c>
      <c r="F135" s="24" t="inlineStr">
        <is>
          <t>Everton</t>
        </is>
      </c>
      <c r="G135" s="24" t="inlineStr">
        <is>
          <t>Newcastle United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122</v>
      </c>
      <c r="M135" s="27" t="n">
        <v>2.22</v>
      </c>
      <c r="N135" s="28" t="n">
        <v>0.45045</v>
      </c>
      <c r="O135" s="28" t="n">
        <v>0.498576</v>
      </c>
      <c r="P135" s="28" t="n">
        <v>0.04</v>
      </c>
      <c r="Q135" s="28" t="n">
        <v>0.048126</v>
      </c>
      <c r="R135" s="26" t="n">
        <v>50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2026-08-12T21:14:07.780173Z</t>
        </is>
      </c>
      <c r="AE135" s="31" t="inlineStr">
        <is>
          <t>Poisson-DC rates 1.90 (home) / 1.33 (away) from EWMA attack/defense strengths. Executable ask 0.4500 (atc-clbf-efv-new-2026-08-12-new).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Everton</t>
        </is>
      </c>
      <c r="AQ135" s="24" t="inlineStr">
        <is>
          <t>Everton</t>
        </is>
      </c>
      <c r="AR135" s="24" t="inlineStr">
        <is>
          <t>Everton</t>
        </is>
      </c>
      <c r="AS135" s="24" t="inlineStr">
        <is>
          <t>Newcastle United</t>
        </is>
      </c>
      <c r="AT135" s="24" t="inlineStr">
        <is>
          <t>Newcastle United</t>
        </is>
      </c>
      <c r="AU135" s="24" t="inlineStr">
        <is>
          <t>Newcastle United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c95ec2023134439ab985cb4cdcc58243749b9deb564fca7a2d587c15c9875427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c95ec2023134439ab985cb4cdcc58243749b9deb564fca7a2d587c15c9875427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c95ec2023134439ab985cb4cdcc58243749b9deb564fca7a2d587c15c9875427</t>
        </is>
      </c>
      <c r="BH135" s="24" t="inlineStr">
        <is>
          <t>2026-08-12T14:34:14.668127Z</t>
        </is>
      </c>
      <c r="BI135" s="24" t="inlineStr">
        <is>
          <t>["same_event","same_team_same_day","same_league_same_day"]</t>
        </is>
      </c>
      <c r="BJ135" s="25" t="n"/>
      <c r="BK135" s="26" t="n">
        <v>122</v>
      </c>
      <c r="BL135" s="27" t="n">
        <v>2.22</v>
      </c>
      <c r="BM135" s="28" t="n">
        <v>0.45045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0.45045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843c5d8ab85c48ab</t>
        </is>
      </c>
      <c r="B136" s="24" t="inlineStr">
        <is>
          <t>2026-08-12T17:43:17.410674Z</t>
        </is>
      </c>
      <c r="C136" s="24" t="inlineStr">
        <is>
          <t>2026-08-12T18:30Z</t>
        </is>
      </c>
      <c r="D136" s="24" t="inlineStr">
        <is>
          <t>401886555</t>
        </is>
      </c>
      <c r="E136" s="24" t="inlineStr">
        <is>
          <t>SOCCER</t>
        </is>
      </c>
      <c r="F136" s="24" t="inlineStr">
        <is>
          <t>Como</t>
        </is>
      </c>
      <c r="G136" s="24" t="inlineStr">
        <is>
          <t>Arsenal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-186</v>
      </c>
      <c r="M136" s="27" t="n">
        <v>1.537634</v>
      </c>
      <c r="N136" s="28" t="n">
        <v>0.65035</v>
      </c>
      <c r="O136" s="28" t="n">
        <v>0.417429</v>
      </c>
      <c r="P136" s="28" t="n">
        <v>0.04</v>
      </c>
      <c r="Q136" s="28" t="n">
        <v>-0.232921</v>
      </c>
      <c r="R136" s="26" t="n">
        <v>0</v>
      </c>
      <c r="S136" s="29" t="n">
        <v>1.25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1</v>
      </c>
      <c r="Y136" s="25" t="n"/>
      <c r="Z136" s="26" t="n"/>
      <c r="AA136" s="28" t="n"/>
      <c r="AB136" s="28" t="n"/>
      <c r="AC136" s="30" t="n">
        <v>-1.25</v>
      </c>
      <c r="AD136" s="24" t="inlineStr">
        <is>
          <t>2026-08-12T21:14:20.486952Z</t>
        </is>
      </c>
      <c r="AE136" s="31" t="inlineStr">
        <is>
          <t>Poisson-DC rates 1.08 (home) / 0.75 (away) from EWMA attack/defense strengths. Executable ask 0.6500 (atc-clbf-afr-com-2026-08-12-afr).</t>
        </is>
      </c>
      <c r="AF136" s="31" t="inlineStr">
        <is>
          <t>Research-only soccer score model; draw-aware, but not yet locked-holdout qualified.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Como</t>
        </is>
      </c>
      <c r="AQ136" s="24" t="inlineStr">
        <is>
          <t>Como</t>
        </is>
      </c>
      <c r="AR136" s="24" t="inlineStr">
        <is>
          <t>Como</t>
        </is>
      </c>
      <c r="AS136" s="24" t="inlineStr">
        <is>
          <t>Arsenal</t>
        </is>
      </c>
      <c r="AT136" s="24" t="inlineStr">
        <is>
          <t>Arsenal</t>
        </is>
      </c>
      <c r="AU136" s="24" t="inlineStr">
        <is>
          <t>Arsenal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c95ec2023134439ab985cb4cdcc58243749b9deb564fca7a2d587c15c9875427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c95ec2023134439ab985cb4cdcc58243749b9deb564fca7a2d587c15c9875427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c95ec2023134439ab985cb4cdcc58243749b9deb564fca7a2d587c15c9875427</t>
        </is>
      </c>
      <c r="BH136" s="24" t="inlineStr">
        <is>
          <t>2026-08-12T17:41:32.473435Z</t>
        </is>
      </c>
      <c r="BI136" s="24" t="inlineStr">
        <is>
          <t>["same_event","same_team_same_day","same_league_same_day"]</t>
        </is>
      </c>
      <c r="BJ136" s="25" t="n"/>
      <c r="BK136" s="26" t="n">
        <v>-186</v>
      </c>
      <c r="BL136" s="27" t="n">
        <v>1.537634</v>
      </c>
      <c r="BM136" s="28" t="n">
        <v>0.65035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0.65035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ce25c2f24a924c0f</t>
        </is>
      </c>
      <c r="B137" s="24" t="inlineStr">
        <is>
          <t>2026-08-12T17:43:17.410674Z</t>
        </is>
      </c>
      <c r="C137" s="24" t="inlineStr">
        <is>
          <t>2026-08-12T18:30Z</t>
        </is>
      </c>
      <c r="D137" s="24" t="inlineStr">
        <is>
          <t>401867394</t>
        </is>
      </c>
      <c r="E137" s="24" t="inlineStr">
        <is>
          <t>SOCCER</t>
        </is>
      </c>
      <c r="F137" s="24" t="inlineStr">
        <is>
          <t>Leeds United</t>
        </is>
      </c>
      <c r="G137" s="24" t="inlineStr">
        <is>
          <t>Manchester United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0.5307269999999999</v>
      </c>
      <c r="P137" s="28" t="n">
        <v>0.04</v>
      </c>
      <c r="Q137" s="28" t="n">
        <v>0.000211</v>
      </c>
      <c r="R137" s="26" t="n">
        <v>26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2026-08-12T21:14:21.484779Z</t>
        </is>
      </c>
      <c r="AE137" s="31" t="inlineStr">
        <is>
          <t>Poisson-DC rates 1.71 (home) / 0.99 (away) from EWMA attack/defense strengths. Executable ask 0.5300 (atc-clbf-mun-lee-2026-08-12-mun).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Leeds United</t>
        </is>
      </c>
      <c r="AQ137" s="24" t="inlineStr">
        <is>
          <t>Leeds United</t>
        </is>
      </c>
      <c r="AR137" s="24" t="inlineStr">
        <is>
          <t>Leeds United</t>
        </is>
      </c>
      <c r="AS137" s="24" t="inlineStr">
        <is>
          <t>Manchester United</t>
        </is>
      </c>
      <c r="AT137" s="24" t="inlineStr">
        <is>
          <t>Manchester United</t>
        </is>
      </c>
      <c r="AU137" s="24" t="inlineStr">
        <is>
          <t>Manchester United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c95ec2023134439ab985cb4cdcc58243749b9deb564fca7a2d587c15c9875427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c95ec2023134439ab985cb4cdcc58243749b9deb564fca7a2d587c15c9875427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c95ec2023134439ab985cb4cdcc58243749b9deb564fca7a2d587c15c9875427</t>
        </is>
      </c>
      <c r="BH137" s="24" t="inlineStr">
        <is>
          <t>2026-08-12T17:41:32.336635Z</t>
        </is>
      </c>
      <c r="BI137" s="24" t="inlineStr">
        <is>
          <t>["same_event","same_team_same_day","same_league_same_day"]</t>
        </is>
      </c>
      <c r="BJ137" s="25" t="n"/>
      <c r="BK137" s="26" t="n">
        <v>-113</v>
      </c>
      <c r="BL137" s="27" t="n">
        <v>1.884956</v>
      </c>
      <c r="BM137" s="28" t="n">
        <v>0.530516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0.530516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7441bf945d0c4b67</t>
        </is>
      </c>
      <c r="B138" s="24" t="inlineStr">
        <is>
          <t>2026-08-12T17:43:17.410674Z</t>
        </is>
      </c>
      <c r="C138" s="24" t="inlineStr">
        <is>
          <t>2026-08-12T18:45Z</t>
        </is>
      </c>
      <c r="D138" s="24" t="inlineStr">
        <is>
          <t>401906432</t>
        </is>
      </c>
      <c r="E138" s="24" t="inlineStr">
        <is>
          <t>SOCCER</t>
        </is>
      </c>
      <c r="F138" s="24" t="inlineStr">
        <is>
          <t>Bayer Leverkusen</t>
        </is>
      </c>
      <c r="G138" s="24" t="inlineStr">
        <is>
          <t>Nottingham Forest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0.465639</v>
      </c>
      <c r="P138" s="28" t="n">
        <v>0.04</v>
      </c>
      <c r="Q138" s="28" t="n">
        <v>0.055803</v>
      </c>
      <c r="R138" s="26" t="n">
        <v>54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loss</t>
        </is>
      </c>
      <c r="W138" s="26" t="n">
        <v>0</v>
      </c>
      <c r="X138" s="26" t="n">
        <v>0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2026-08-12T21:14:22.485912Z</t>
        </is>
      </c>
      <c r="AE138" s="31" t="inlineStr">
        <is>
          <t>Poisson-DC rates 1.76 (home) / 1.33 (away) from EWMA attack/defense strengths. Executable ask 0.4100 (atc-clbf-nfo-lev-2026-08-12-nfo).</t>
        </is>
      </c>
      <c r="AF138" s="31" t="inlineStr">
        <is>
          <t>Research-only soccer score model; draw-aware, but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Bayer Leverkusen</t>
        </is>
      </c>
      <c r="AQ138" s="24" t="inlineStr">
        <is>
          <t>Bayer Leverkusen</t>
        </is>
      </c>
      <c r="AR138" s="24" t="inlineStr">
        <is>
          <t>Bayer Leverkusen</t>
        </is>
      </c>
      <c r="AS138" s="24" t="inlineStr">
        <is>
          <t>Nottingham Forest</t>
        </is>
      </c>
      <c r="AT138" s="24" t="inlineStr">
        <is>
          <t>Nottingham Forest</t>
        </is>
      </c>
      <c r="AU138" s="24" t="inlineStr">
        <is>
          <t>Nottingham Forest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c95ec2023134439ab985cb4cdcc58243749b9deb564fca7a2d587c15c9875427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c95ec2023134439ab985cb4cdcc58243749b9deb564fca7a2d587c15c9875427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c95ec2023134439ab985cb4cdcc58243749b9deb564fca7a2d587c15c9875427</t>
        </is>
      </c>
      <c r="BH138" s="24" t="inlineStr">
        <is>
          <t>2026-08-12T17:41:32.663481Z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93356bd1ded542d7</t>
        </is>
      </c>
      <c r="B139" s="24" t="inlineStr">
        <is>
          <t>2026-08-12T17:43:17.410674Z</t>
        </is>
      </c>
      <c r="C139" s="24" t="inlineStr">
        <is>
          <t>2026-08-12T19:00Z</t>
        </is>
      </c>
      <c r="D139" s="24" t="inlineStr">
        <is>
          <t>401887955</t>
        </is>
      </c>
      <c r="E139" s="24" t="inlineStr">
        <is>
          <t>SOCCER</t>
        </is>
      </c>
      <c r="F139" s="24" t="inlineStr">
        <is>
          <t>Real Madrid</t>
        </is>
      </c>
      <c r="G139" s="24" t="inlineStr">
        <is>
          <t>Deportivo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-270</v>
      </c>
      <c r="M139" s="27" t="n">
        <v>1.37037</v>
      </c>
      <c r="N139" s="28" t="n">
        <v>0.72973</v>
      </c>
      <c r="O139" s="28" t="n">
        <v>0.444718</v>
      </c>
      <c r="P139" s="28" t="n">
        <v>0.2</v>
      </c>
      <c r="Q139" s="28" t="n">
        <v>-0.285012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/>
      <c r="AA139" s="28" t="n"/>
      <c r="AB139" s="28" t="n"/>
      <c r="AC139" s="30" t="n">
        <v>0.3704</v>
      </c>
      <c r="AD139" s="24" t="inlineStr">
        <is>
          <t>2026-08-12T21:14:23.558698Z</t>
        </is>
      </c>
      <c r="AE139" s="31" t="inlineStr">
        <is>
          <t>Poisson-DC rates 1.35 (home) / 1.69 (away) from EWMA attack/defense strengths. Executable ask 0.7300 (atc-clbf-dep-rme-2026-08-12-rme).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Real Madrid</t>
        </is>
      </c>
      <c r="AQ139" s="24" t="inlineStr">
        <is>
          <t>Real Madrid</t>
        </is>
      </c>
      <c r="AR139" s="24" t="inlineStr">
        <is>
          <t>Real Madrid</t>
        </is>
      </c>
      <c r="AS139" s="24" t="inlineStr">
        <is>
          <t>Deportivo</t>
        </is>
      </c>
      <c r="AT139" s="24" t="inlineStr">
        <is>
          <t>Deportivo</t>
        </is>
      </c>
      <c r="AU139" s="24" t="inlineStr">
        <is>
          <t>Deportivo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c95ec2023134439ab985cb4cdcc58243749b9deb564fca7a2d587c15c9875427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c95ec2023134439ab985cb4cdcc58243749b9deb564fca7a2d587c15c9875427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c95ec2023134439ab985cb4cdcc58243749b9deb564fca7a2d587c15c9875427</t>
        </is>
      </c>
      <c r="BH139" s="24" t="inlineStr">
        <is>
          <t>2026-08-12T17:41:32.802271Z</t>
        </is>
      </c>
      <c r="BI139" s="24" t="inlineStr">
        <is>
          <t>["same_event","same_team_same_day","same_league_same_day"]</t>
        </is>
      </c>
      <c r="BJ139" s="25" t="n"/>
      <c r="BK139" s="26" t="n">
        <v>-270</v>
      </c>
      <c r="BL139" s="27" t="n">
        <v>1.37037</v>
      </c>
      <c r="BM139" s="28" t="n">
        <v>0.72973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0.72973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1f6f7effab0b4f7e</t>
        </is>
      </c>
      <c r="B140" s="24" t="inlineStr">
        <is>
          <t>2026-08-12T17:43:17.410674Z</t>
        </is>
      </c>
      <c r="C140" s="24" t="inlineStr">
        <is>
          <t>2026-08-12T19:00Z</t>
        </is>
      </c>
      <c r="D140" s="24" t="inlineStr">
        <is>
          <t>401906428</t>
        </is>
      </c>
      <c r="E140" s="24" t="inlineStr">
        <is>
          <t>SOCCER</t>
        </is>
      </c>
      <c r="F140" s="24" t="inlineStr">
        <is>
          <t>Aris</t>
        </is>
      </c>
      <c r="G140" s="24" t="inlineStr">
        <is>
          <t>Napoli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-257</v>
      </c>
      <c r="M140" s="27" t="n">
        <v>1.389105</v>
      </c>
      <c r="N140" s="28" t="n">
        <v>0.719888</v>
      </c>
      <c r="O140" s="28" t="n">
        <v>0.565923</v>
      </c>
      <c r="P140" s="28" t="n">
        <v>0.2</v>
      </c>
      <c r="Q140" s="28" t="n">
        <v>-0.153965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2</v>
      </c>
      <c r="X140" s="26" t="n">
        <v>6</v>
      </c>
      <c r="Y140" s="25" t="n"/>
      <c r="Z140" s="26" t="n"/>
      <c r="AA140" s="28" t="n"/>
      <c r="AB140" s="28" t="n"/>
      <c r="AC140" s="30" t="n">
        <v>0.3891</v>
      </c>
      <c r="AD140" s="24" t="inlineStr">
        <is>
          <t>2026-08-13T05:32:15.478830Z</t>
        </is>
      </c>
      <c r="AE140" s="31" t="inlineStr">
        <is>
          <t>Poisson-DC rates 1.74 (home) / 0.88 (away) from EWMA attack/defense strengths. Executable ask 0.7200 (atc-clbf-nap-aris-2026-08-12-nap).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Aris</t>
        </is>
      </c>
      <c r="AQ140" s="24" t="inlineStr">
        <is>
          <t>Aris</t>
        </is>
      </c>
      <c r="AR140" s="24" t="inlineStr">
        <is>
          <t>Aris</t>
        </is>
      </c>
      <c r="AS140" s="24" t="inlineStr">
        <is>
          <t>Napoli</t>
        </is>
      </c>
      <c r="AT140" s="24" t="inlineStr">
        <is>
          <t>Napoli</t>
        </is>
      </c>
      <c r="AU140" s="24" t="inlineStr">
        <is>
          <t>Napoli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c95ec2023134439ab985cb4cdcc58243749b9deb564fca7a2d587c15c9875427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c95ec2023134439ab985cb4cdcc58243749b9deb564fca7a2d587c15c9875427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c95ec2023134439ab985cb4cdcc58243749b9deb564fca7a2d587c15c9875427</t>
        </is>
      </c>
      <c r="BH140" s="24" t="inlineStr">
        <is>
          <t>2026-08-12T17:41:32.874312Z</t>
        </is>
      </c>
      <c r="BI140" s="24" t="inlineStr">
        <is>
          <t>["same_event","same_team_same_day","same_league_same_day"]</t>
        </is>
      </c>
      <c r="BJ140" s="25" t="n"/>
      <c r="BK140" s="26" t="n">
        <v>-257</v>
      </c>
      <c r="BL140" s="27" t="n">
        <v>1.389105</v>
      </c>
      <c r="BM140" s="28" t="n">
        <v>0.719888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0.719888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297ea97baf454982</t>
        </is>
      </c>
      <c r="B141" s="24" t="inlineStr">
        <is>
          <t>2026-08-12T21:32:30.006308Z</t>
        </is>
      </c>
      <c r="C141" s="24" t="inlineStr">
        <is>
          <t>2026-08-12T22:00Z</t>
        </is>
      </c>
      <c r="D141" s="24" t="inlineStr">
        <is>
          <t>401902573</t>
        </is>
      </c>
      <c r="E141" s="24" t="inlineStr">
        <is>
          <t>SOCCER</t>
        </is>
      </c>
      <c r="F141" s="24" t="inlineStr">
        <is>
          <t>Montevideo City Torque</t>
        </is>
      </c>
      <c r="G141" s="24" t="inlineStr">
        <is>
          <t>Tigre</t>
        </is>
      </c>
      <c r="H141" s="24" t="inlineStr">
        <is>
          <t>total</t>
        </is>
      </c>
      <c r="I141" s="24" t="inlineStr">
        <is>
          <t>over</t>
        </is>
      </c>
      <c r="J141" s="25" t="n">
        <v>2.5</v>
      </c>
      <c r="K141" s="24" t="inlineStr">
        <is>
          <t>polymarket_us</t>
        </is>
      </c>
      <c r="L141" s="26" t="n">
        <v>203</v>
      </c>
      <c r="M141" s="27" t="n">
        <v>3.03</v>
      </c>
      <c r="N141" s="28" t="n">
        <v>0.330033</v>
      </c>
      <c r="O141" s="28" t="n">
        <v>0.550338</v>
      </c>
      <c r="P141" s="28" t="n">
        <v>0.2</v>
      </c>
      <c r="Q141" s="28" t="n">
        <v>0.220305</v>
      </c>
      <c r="R141" s="26" t="n">
        <v>40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2026-08-13T05:32:45.267121Z</t>
        </is>
      </c>
      <c r="AE141" s="31" t="inlineStr">
        <is>
          <t>Poisson-DC rates 1.64 (home) / 1.24 (away) from EWMA attack/defense strengths. Executable ask 0.3300 (tsc-sud-tig-tor-2026-08-12-2pt5).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PAPER_CALL_MODEL_UNVALIDATED</t>
        </is>
      </c>
      <c r="AP141" s="24" t="inlineStr">
        <is>
          <t>Montevideo City Torque</t>
        </is>
      </c>
      <c r="AQ141" s="24" t="inlineStr">
        <is>
          <t>Montevideo City Torque</t>
        </is>
      </c>
      <c r="AR141" s="24" t="inlineStr">
        <is>
          <t>Montevideo City Torque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c95ec2023134439ab985cb4cdcc58243749b9deb564fca7a2d587c15c9875427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c95ec2023134439ab985cb4cdcc58243749b9deb564fca7a2d587c15c9875427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c95ec2023134439ab985cb4cdcc58243749b9deb564fca7a2d587c15c9875427</t>
        </is>
      </c>
      <c r="BH141" s="24" t="inlineStr">
        <is>
          <t>2026-08-12T21:16:27.752629Z</t>
        </is>
      </c>
      <c r="BI141" s="24" t="inlineStr">
        <is>
          <t>["same_event","same_team_same_day","same_league_same_day"]</t>
        </is>
      </c>
      <c r="BJ141" s="25" t="n">
        <v>2.5</v>
      </c>
      <c r="BK141" s="26" t="n">
        <v>203</v>
      </c>
      <c r="BL141" s="27" t="n">
        <v>3.03</v>
      </c>
      <c r="BM141" s="28" t="n">
        <v>0.330033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0.330033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6f4d17d72452439a</t>
        </is>
      </c>
      <c r="B142" s="24" t="inlineStr">
        <is>
          <t>2026-08-12T21:32:30.006308Z</t>
        </is>
      </c>
      <c r="C142" s="24" t="inlineStr">
        <is>
          <t>2026-08-12T22:00Z</t>
        </is>
      </c>
      <c r="D142" s="24" t="inlineStr">
        <is>
          <t>401902573</t>
        </is>
      </c>
      <c r="E142" s="24" t="inlineStr">
        <is>
          <t>SOCCER</t>
        </is>
      </c>
      <c r="F142" s="24" t="inlineStr">
        <is>
          <t>Montevideo City Torque</t>
        </is>
      </c>
      <c r="G142" s="24" t="inlineStr">
        <is>
          <t>Tigre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0.456135</v>
      </c>
      <c r="P142" s="28" t="n">
        <v>0.2</v>
      </c>
      <c r="Q142" s="28" t="n">
        <v>-0.063096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2026-08-13T05:32:46.272104Z</t>
        </is>
      </c>
      <c r="AE142" s="31" t="inlineStr">
        <is>
          <t>Poisson-DC rates 1.64 (home) / 1.24 (away) from EWMA attack/defense strengths. Executable ask 0.5200 (atc-sud-tig-tor-2026-08-12-tig).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Montevideo City Torque</t>
        </is>
      </c>
      <c r="AQ142" s="24" t="inlineStr">
        <is>
          <t>Montevideo City Torque</t>
        </is>
      </c>
      <c r="AR142" s="24" t="inlineStr">
        <is>
          <t>Montevideo City Torque</t>
        </is>
      </c>
      <c r="AS142" s="24" t="inlineStr">
        <is>
          <t>Tigre</t>
        </is>
      </c>
      <c r="AT142" s="24" t="inlineStr">
        <is>
          <t>Tigre</t>
        </is>
      </c>
      <c r="AU142" s="24" t="inlineStr">
        <is>
          <t>Tigre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c95ec2023134439ab985cb4cdcc58243749b9deb564fca7a2d587c15c9875427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c95ec2023134439ab985cb4cdcc58243749b9deb564fca7a2d587c15c9875427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c95ec2023134439ab985cb4cdcc58243749b9deb564fca7a2d587c15c9875427</t>
        </is>
      </c>
      <c r="BH142" s="24" t="inlineStr">
        <is>
          <t>2026-08-12T21:16:27.579259Z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8224bb44fb5c4368</t>
        </is>
      </c>
      <c r="B143" s="24" t="inlineStr">
        <is>
          <t>2026-08-13T20:13:58.570570Z</t>
        </is>
      </c>
      <c r="C143" s="24" t="inlineStr">
        <is>
          <t>2026-08-13T22:00Z</t>
        </is>
      </c>
      <c r="D143" s="24" t="inlineStr">
        <is>
          <t>401902572</t>
        </is>
      </c>
      <c r="E143" s="24" t="inlineStr">
        <is>
          <t>SOCCER</t>
        </is>
      </c>
      <c r="F143" s="24" t="inlineStr">
        <is>
          <t>Macará</t>
        </is>
      </c>
      <c r="G143" s="24" t="inlineStr">
        <is>
          <t>Santos</t>
        </is>
      </c>
      <c r="H143" s="24" t="inlineStr">
        <is>
          <t>total</t>
        </is>
      </c>
      <c r="I143" s="24" t="inlineStr">
        <is>
          <t>over</t>
        </is>
      </c>
      <c r="J143" s="25" t="n">
        <v>2.5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0.550338</v>
      </c>
      <c r="P143" s="28" t="n">
        <v>0.2</v>
      </c>
      <c r="Q143" s="28" t="n">
        <v>0.031107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2</v>
      </c>
      <c r="Y143" s="25" t="n"/>
      <c r="Z143" s="26" t="n"/>
      <c r="AA143" s="28" t="n"/>
      <c r="AB143" s="28" t="n"/>
      <c r="AC143" s="30" t="n">
        <v>0.9258999999999999</v>
      </c>
      <c r="AD143" s="24" t="inlineStr">
        <is>
          <t>2026-08-14T02:21:15.849606Z</t>
        </is>
      </c>
      <c r="AE143" s="31" t="inlineStr">
        <is>
          <t>Poisson-DC rates 1.64 (home) / 1.24 (away) from EWMA attack/defense strengths. Executable ask 0.5200 (tsc-sud-sfa-mac-2026-08-13-2pt5).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PAPER_CALL_MODEL_UNVALIDATED</t>
        </is>
      </c>
      <c r="AP143" s="24" t="inlineStr">
        <is>
          <t>Macará</t>
        </is>
      </c>
      <c r="AQ143" s="24" t="inlineStr">
        <is>
          <t>Macará</t>
        </is>
      </c>
      <c r="AR143" s="24" t="inlineStr">
        <is>
          <t>Macará</t>
        </is>
      </c>
      <c r="AS143" s="24" t="inlineStr">
        <is>
          <t>Santos</t>
        </is>
      </c>
      <c r="AT143" s="24" t="inlineStr">
        <is>
          <t>Santos</t>
        </is>
      </c>
      <c r="AU143" s="24" t="inlineStr">
        <is>
          <t>Santos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c95ec2023134439ab985cb4cdcc58243749b9deb564fca7a2d587c15c9875427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c95ec2023134439ab985cb4cdcc58243749b9deb564fca7a2d587c15c9875427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c95ec2023134439ab985cb4cdcc58243749b9deb564fca7a2d587c15c9875427</t>
        </is>
      </c>
      <c r="BH143" s="24" t="inlineStr">
        <is>
          <t>2026-08-13T20:12:58.984282Z</t>
        </is>
      </c>
      <c r="BI143" s="24" t="inlineStr">
        <is>
          <t>["same_event","same_team_same_day","same_league_same_day"]</t>
        </is>
      </c>
      <c r="BJ143" s="25" t="n">
        <v>2.5</v>
      </c>
      <c r="BK143" s="26" t="n">
        <v>-108</v>
      </c>
      <c r="BL143" s="27" t="n">
        <v>1.925926</v>
      </c>
      <c r="BM143" s="28" t="n">
        <v>0.519231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0.519231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5ea9db1f3af6443a</t>
        </is>
      </c>
      <c r="B144" s="24" t="inlineStr">
        <is>
          <t>2026-08-13T20:13:58.570570Z</t>
        </is>
      </c>
      <c r="C144" s="24" t="inlineStr">
        <is>
          <t>2026-08-13T22:00Z</t>
        </is>
      </c>
      <c r="D144" s="24" t="inlineStr">
        <is>
          <t>401902742</t>
        </is>
      </c>
      <c r="E144" s="24" t="inlineStr">
        <is>
          <t>SOCCER</t>
        </is>
      </c>
      <c r="F144" s="24" t="inlineStr">
        <is>
          <t>Club Olimpia</t>
        </is>
      </c>
      <c r="G144" s="24" t="inlineStr">
        <is>
          <t>Vasco da Gama</t>
        </is>
      </c>
      <c r="H144" s="24" t="inlineStr">
        <is>
          <t>total</t>
        </is>
      </c>
      <c r="I144" s="24" t="inlineStr">
        <is>
          <t>over</t>
        </is>
      </c>
      <c r="J144" s="25" t="n">
        <v>2.5</v>
      </c>
      <c r="K144" s="24" t="inlineStr">
        <is>
          <t>polymarket_us</t>
        </is>
      </c>
      <c r="L144" s="26" t="n">
        <v>163</v>
      </c>
      <c r="M144" s="27" t="n">
        <v>2.63</v>
      </c>
      <c r="N144" s="28" t="n">
        <v>0.380228</v>
      </c>
      <c r="O144" s="28" t="n">
        <v>0.550338</v>
      </c>
      <c r="P144" s="28" t="n">
        <v>0.2</v>
      </c>
      <c r="Q144" s="28" t="n">
        <v>0.17011</v>
      </c>
      <c r="R144" s="26" t="n">
        <v>15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0</v>
      </c>
      <c r="Y144" s="25" t="n"/>
      <c r="Z144" s="26" t="n"/>
      <c r="AA144" s="28" t="n"/>
      <c r="AB144" s="28" t="n"/>
      <c r="AC144" s="30" t="n">
        <v>-1</v>
      </c>
      <c r="AD144" s="24" t="inlineStr">
        <is>
          <t>2026-08-14T02:21:16.654953Z</t>
        </is>
      </c>
      <c r="AE144" s="31" t="inlineStr">
        <is>
          <t>Poisson-DC rates 1.64 (home) / 1.24 (away) from EWMA attack/defense strengths. Executable ask 0.3800 (tsc-sud-vas-clo-2026-08-13-2pt5).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PAPER_CALL_MODEL_UNVALIDATED</t>
        </is>
      </c>
      <c r="AP144" s="24" t="inlineStr">
        <is>
          <t>Club Olimpia</t>
        </is>
      </c>
      <c r="AQ144" s="24" t="inlineStr">
        <is>
          <t>Club Olimpia</t>
        </is>
      </c>
      <c r="AR144" s="24" t="inlineStr">
        <is>
          <t>Club Olimpia</t>
        </is>
      </c>
      <c r="AS144" s="24" t="inlineStr">
        <is>
          <t>Vasco da Gama</t>
        </is>
      </c>
      <c r="AT144" s="24" t="inlineStr">
        <is>
          <t>Vasco da Gama</t>
        </is>
      </c>
      <c r="AU144" s="24" t="inlineStr">
        <is>
          <t>Vasco da Gama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c95ec2023134439ab985cb4cdcc58243749b9deb564fca7a2d587c15c9875427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c95ec2023134439ab985cb4cdcc58243749b9deb564fca7a2d587c15c9875427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c95ec2023134439ab985cb4cdcc58243749b9deb564fca7a2d587c15c9875427</t>
        </is>
      </c>
      <c r="BH144" s="24" t="inlineStr">
        <is>
          <t>2026-08-13T20:12:58.555070Z</t>
        </is>
      </c>
      <c r="BI144" s="24" t="inlineStr">
        <is>
          <t>["same_event","same_team_same_day","same_league_same_day"]</t>
        </is>
      </c>
      <c r="BJ144" s="25" t="n">
        <v>2.5</v>
      </c>
      <c r="BK144" s="26" t="n">
        <v>163</v>
      </c>
      <c r="BL144" s="27" t="n">
        <v>2.63</v>
      </c>
      <c r="BM144" s="28" t="n">
        <v>0.380228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0.380228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22f7da745c92468f</t>
        </is>
      </c>
      <c r="B145" s="24" t="inlineStr">
        <is>
          <t>2026-08-13T20:13:58.570570Z</t>
        </is>
      </c>
      <c r="C145" s="24" t="inlineStr">
        <is>
          <t>2026-08-13T22:00Z</t>
        </is>
      </c>
      <c r="D145" s="24" t="inlineStr">
        <is>
          <t>401902572</t>
        </is>
      </c>
      <c r="E145" s="24" t="inlineStr">
        <is>
          <t>SOCCER</t>
        </is>
      </c>
      <c r="F145" s="24" t="inlineStr">
        <is>
          <t>Macará</t>
        </is>
      </c>
      <c r="G145" s="24" t="inlineStr">
        <is>
          <t>Santos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-245</v>
      </c>
      <c r="M145" s="27" t="n">
        <v>1.408163</v>
      </c>
      <c r="N145" s="28" t="n">
        <v>0.710145</v>
      </c>
      <c r="O145" s="28" t="n">
        <v>0.456135</v>
      </c>
      <c r="P145" s="28" t="n">
        <v>0.2</v>
      </c>
      <c r="Q145" s="28" t="n">
        <v>-0.25401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2</v>
      </c>
      <c r="Y145" s="25" t="n"/>
      <c r="Z145" s="26" t="n"/>
      <c r="AA145" s="28" t="n"/>
      <c r="AB145" s="28" t="n"/>
      <c r="AC145" s="30" t="n">
        <v>0.4082</v>
      </c>
      <c r="AD145" s="24" t="inlineStr">
        <is>
          <t>2026-08-14T02:21:17.510898Z</t>
        </is>
      </c>
      <c r="AE145" s="31" t="inlineStr">
        <is>
          <t>Poisson-DC rates 1.64 (home) / 1.24 (away) from EWMA attack/defense strengths. Executable ask 0.7100 (atc-sud-sfa-mac-2026-08-13-sfa).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PAPER_CALL_MODEL_UNVALIDATED</t>
        </is>
      </c>
      <c r="AP145" s="24" t="inlineStr">
        <is>
          <t>Macará</t>
        </is>
      </c>
      <c r="AQ145" s="24" t="inlineStr">
        <is>
          <t>Macará</t>
        </is>
      </c>
      <c r="AR145" s="24" t="inlineStr">
        <is>
          <t>Macará</t>
        </is>
      </c>
      <c r="AS145" s="24" t="inlineStr">
        <is>
          <t>Santos</t>
        </is>
      </c>
      <c r="AT145" s="24" t="inlineStr">
        <is>
          <t>Santos</t>
        </is>
      </c>
      <c r="AU145" s="24" t="inlineStr">
        <is>
          <t>Santos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c95ec2023134439ab985cb4cdcc58243749b9deb564fca7a2d587c15c9875427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c95ec2023134439ab985cb4cdcc58243749b9deb564fca7a2d587c15c9875427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c95ec2023134439ab985cb4cdcc58243749b9deb564fca7a2d587c15c9875427</t>
        </is>
      </c>
      <c r="BH145" s="24" t="inlineStr">
        <is>
          <t>2026-08-13T20:12:58.835398Z</t>
        </is>
      </c>
      <c r="BI145" s="24" t="inlineStr">
        <is>
          <t>["same_event","same_team_same_day","same_league_same_day"]</t>
        </is>
      </c>
      <c r="BJ145" s="25" t="n"/>
      <c r="BK145" s="26" t="n">
        <v>-245</v>
      </c>
      <c r="BL145" s="27" t="n">
        <v>1.408163</v>
      </c>
      <c r="BM145" s="28" t="n">
        <v>0.710145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0.710145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73f410c3ac804e06</t>
        </is>
      </c>
      <c r="B146" s="24" t="inlineStr">
        <is>
          <t>2026-08-13T20:13:58.570570Z</t>
        </is>
      </c>
      <c r="C146" s="24" t="inlineStr">
        <is>
          <t>2026-08-13T22:00Z</t>
        </is>
      </c>
      <c r="D146" s="24" t="inlineStr">
        <is>
          <t>401902742</t>
        </is>
      </c>
      <c r="E146" s="24" t="inlineStr">
        <is>
          <t>SOCCER</t>
        </is>
      </c>
      <c r="F146" s="24" t="inlineStr">
        <is>
          <t>Club Olimpia</t>
        </is>
      </c>
      <c r="G146" s="24" t="inlineStr">
        <is>
          <t>Vasco da Gama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-122</v>
      </c>
      <c r="M146" s="27" t="n">
        <v>1.819672</v>
      </c>
      <c r="N146" s="28" t="n">
        <v>0.54955</v>
      </c>
      <c r="O146" s="28" t="n">
        <v>0.456135</v>
      </c>
      <c r="P146" s="28" t="n">
        <v>0.2</v>
      </c>
      <c r="Q146" s="28" t="n">
        <v>-0.093415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0</v>
      </c>
      <c r="Y146" s="25" t="n"/>
      <c r="Z146" s="26" t="n"/>
      <c r="AA146" s="28" t="n"/>
      <c r="AB146" s="28" t="n"/>
      <c r="AC146" s="30" t="n">
        <v>-1</v>
      </c>
      <c r="AD146" s="24" t="inlineStr">
        <is>
          <t>2026-08-14T02:21:18.315133Z</t>
        </is>
      </c>
      <c r="AE146" s="31" t="inlineStr">
        <is>
          <t>Poisson-DC rates 1.64 (home) / 1.24 (away) from EWMA attack/defense strengths. Executable ask 0.5500 (atc-sud-vas-clo-2026-08-13-vas).</t>
        </is>
      </c>
      <c r="AF146" s="31" t="inlineStr">
        <is>
          <t>Research-only soccer score model; draw-aware, but not yet locked-holdout qualified.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Club Olimpia</t>
        </is>
      </c>
      <c r="AQ146" s="24" t="inlineStr">
        <is>
          <t>Club Olimpia</t>
        </is>
      </c>
      <c r="AR146" s="24" t="inlineStr">
        <is>
          <t>Club Olimpia</t>
        </is>
      </c>
      <c r="AS146" s="24" t="inlineStr">
        <is>
          <t>Vasco da Gama</t>
        </is>
      </c>
      <c r="AT146" s="24" t="inlineStr">
        <is>
          <t>Vasco da Gama</t>
        </is>
      </c>
      <c r="AU146" s="24" t="inlineStr">
        <is>
          <t>Vasco da Gama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c95ec2023134439ab985cb4cdcc58243749b9deb564fca7a2d587c15c9875427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c95ec2023134439ab985cb4cdcc58243749b9deb564fca7a2d587c15c9875427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c95ec2023134439ab985cb4cdcc58243749b9deb564fca7a2d587c15c9875427</t>
        </is>
      </c>
      <c r="BH146" s="24" t="inlineStr">
        <is>
          <t>2026-08-13T20:12:58.382808Z</t>
        </is>
      </c>
      <c r="BI146" s="24" t="inlineStr">
        <is>
          <t>["same_event","same_team_same_day","same_league_same_day"]</t>
        </is>
      </c>
      <c r="BJ146" s="25" t="n"/>
      <c r="BK146" s="26" t="n">
        <v>-122</v>
      </c>
      <c r="BL146" s="27" t="n">
        <v>1.819672</v>
      </c>
      <c r="BM146" s="28" t="n">
        <v>0.54955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0.54955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adeabcc874204de9</t>
        </is>
      </c>
      <c r="B147" s="24" t="inlineStr">
        <is>
          <t>2026-08-14T17:04:49.427276Z</t>
        </is>
      </c>
      <c r="C147" s="24" t="inlineStr">
        <is>
          <t>2026-08-14T18:00Z</t>
        </is>
      </c>
      <c r="D147" s="24" t="inlineStr">
        <is>
          <t>401844054</t>
        </is>
      </c>
      <c r="E147" s="24" t="inlineStr">
        <is>
          <t>SOCCER</t>
        </is>
      </c>
      <c r="F147" s="24" t="inlineStr">
        <is>
          <t>Midland</t>
        </is>
      </c>
      <c r="G147" s="24" t="inlineStr">
        <is>
          <t>Acassuso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285</v>
      </c>
      <c r="M147" s="27" t="n">
        <v>3.85</v>
      </c>
      <c r="N147" s="28" t="n">
        <v>0.25974</v>
      </c>
      <c r="O147" s="28" t="n">
        <v>0.456135</v>
      </c>
      <c r="P147" s="28" t="n">
        <v>0.2</v>
      </c>
      <c r="Q147" s="28" t="n">
        <v>0.196395</v>
      </c>
      <c r="R147" s="26" t="n">
        <v>28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1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2026-08-14T20:40:43.438879Z</t>
        </is>
      </c>
      <c r="AE147" s="31" t="inlineStr">
        <is>
          <t>Poisson-DC rates 1.64 (home) / 1.24 (away) from EWMA attack/defense strengths. Executable ask 0.2600 (atc-arg2-aca-afm-2026-08-14-aca).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Midland</t>
        </is>
      </c>
      <c r="AQ147" s="24" t="inlineStr">
        <is>
          <t>Midland</t>
        </is>
      </c>
      <c r="AR147" s="24" t="inlineStr">
        <is>
          <t>Midland</t>
        </is>
      </c>
      <c r="AS147" s="24" t="inlineStr">
        <is>
          <t>Acassuso</t>
        </is>
      </c>
      <c r="AT147" s="24" t="inlineStr">
        <is>
          <t>Acassuso</t>
        </is>
      </c>
      <c r="AU147" s="24" t="inlineStr">
        <is>
          <t>Acassuso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c95ec2023134439ab985cb4cdcc58243749b9deb564fca7a2d587c15c9875427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c95ec2023134439ab985cb4cdcc58243749b9deb564fca7a2d587c15c9875427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c95ec2023134439ab985cb4cdcc58243749b9deb564fca7a2d587c15c9875427</t>
        </is>
      </c>
      <c r="BH147" s="24" t="inlineStr">
        <is>
          <t>2026-08-14T17:02:57.769776Z</t>
        </is>
      </c>
      <c r="BI147" s="24" t="inlineStr">
        <is>
          <t>["same_event","same_team_same_day","same_league_same_day"]</t>
        </is>
      </c>
      <c r="BJ147" s="25" t="n"/>
      <c r="BK147" s="26" t="n">
        <v>285</v>
      </c>
      <c r="BL147" s="27" t="n">
        <v>3.85</v>
      </c>
      <c r="BM147" s="28" t="n">
        <v>0.25974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0.25974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bf540277e6e8441c</t>
        </is>
      </c>
      <c r="B148" s="24" t="inlineStr">
        <is>
          <t>2026-08-14T17:04:49.427276Z</t>
        </is>
      </c>
      <c r="C148" s="24" t="inlineStr">
        <is>
          <t>2026-08-14T18:30Z</t>
        </is>
      </c>
      <c r="D148" s="24" t="inlineStr">
        <is>
          <t>401906447</t>
        </is>
      </c>
      <c r="E148" s="24" t="inlineStr">
        <is>
          <t>SOCCER</t>
        </is>
      </c>
      <c r="F148" s="24" t="inlineStr">
        <is>
          <t>AS Monaco</t>
        </is>
      </c>
      <c r="G148" s="24" t="inlineStr">
        <is>
          <t>Coventry City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156</v>
      </c>
      <c r="M148" s="27" t="n">
        <v>2.56</v>
      </c>
      <c r="N148" s="28" t="n">
        <v>0.390625</v>
      </c>
      <c r="O148" s="28" t="n">
        <v>0.7488629999999999</v>
      </c>
      <c r="P148" s="28" t="n">
        <v>0.04</v>
      </c>
      <c r="Q148" s="28" t="n">
        <v>0.358238</v>
      </c>
      <c r="R148" s="26" t="n">
        <v>100</v>
      </c>
      <c r="S148" s="29" t="n">
        <v>2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loss</t>
        </is>
      </c>
      <c r="W148" s="26" t="n">
        <v>0</v>
      </c>
      <c r="X148" s="26" t="n">
        <v>0</v>
      </c>
      <c r="Y148" s="25" t="n"/>
      <c r="Z148" s="26" t="n"/>
      <c r="AA148" s="28" t="n"/>
      <c r="AB148" s="28" t="n"/>
      <c r="AC148" s="30" t="n">
        <v>-2</v>
      </c>
      <c r="AD148" s="24" t="inlineStr">
        <is>
          <t>2026-08-14T20:40:46.699914Z</t>
        </is>
      </c>
      <c r="AE148" s="31" t="inlineStr">
        <is>
          <t>Poisson-DC rates 2.79 (home) / 0.96 (away) from EWMA attack/defense strengths. Executable ask 0.3900 (atc-clbf-cov-asm-2026-08-14-cov).</t>
        </is>
      </c>
      <c r="AF148" s="31" t="inlineStr">
        <is>
          <t>Research-only soccer score model; draw-aware, but not yet locked-holdout qualified.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AS Monaco</t>
        </is>
      </c>
      <c r="AQ148" s="24" t="inlineStr">
        <is>
          <t>AS Monaco</t>
        </is>
      </c>
      <c r="AR148" s="24" t="inlineStr">
        <is>
          <t>AS Monaco</t>
        </is>
      </c>
      <c r="AS148" s="24" t="inlineStr">
        <is>
          <t>Coventry City</t>
        </is>
      </c>
      <c r="AT148" s="24" t="inlineStr">
        <is>
          <t>Coventry City</t>
        </is>
      </c>
      <c r="AU148" s="24" t="inlineStr">
        <is>
          <t>Coventry City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c95ec2023134439ab985cb4cdcc58243749b9deb564fca7a2d587c15c9875427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c95ec2023134439ab985cb4cdcc58243749b9deb564fca7a2d587c15c9875427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c95ec2023134439ab985cb4cdcc58243749b9deb564fca7a2d587c15c9875427</t>
        </is>
      </c>
      <c r="BH148" s="24" t="inlineStr">
        <is>
          <t>2026-08-14T17:02:58.819415Z</t>
        </is>
      </c>
      <c r="BI148" s="24" t="inlineStr">
        <is>
          <t>["same_event","same_team_same_day","same_league_same_day"]</t>
        </is>
      </c>
      <c r="BJ148" s="25" t="n"/>
      <c r="BK148" s="26" t="n">
        <v>156</v>
      </c>
      <c r="BL148" s="27" t="n">
        <v>2.56</v>
      </c>
      <c r="BM148" s="28" t="n">
        <v>0.390625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0.390625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844c3966c0804e35</t>
        </is>
      </c>
      <c r="B149" s="24" t="inlineStr">
        <is>
          <t>2026-08-14T18:43:48.387341Z</t>
        </is>
      </c>
      <c r="C149" s="24" t="inlineStr">
        <is>
          <t>2026-08-14T18:45Z</t>
        </is>
      </c>
      <c r="D149" s="24" t="inlineStr">
        <is>
          <t>401908816</t>
        </is>
      </c>
      <c r="E149" s="24" t="inlineStr">
        <is>
          <t>SOCCER</t>
        </is>
      </c>
      <c r="F149" s="24" t="inlineStr">
        <is>
          <t>Athletic Club</t>
        </is>
      </c>
      <c r="G149" s="24" t="inlineStr">
        <is>
          <t>Atalanta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0.5504559999999999</v>
      </c>
      <c r="P149" s="28" t="n">
        <v>0.04</v>
      </c>
      <c r="Q149" s="28" t="n">
        <v>0.089627</v>
      </c>
      <c r="R149" s="26" t="n">
        <v>71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/>
      <c r="AA149" s="28" t="n"/>
      <c r="AB149" s="28" t="n"/>
      <c r="AC149" s="30" t="n">
        <v>1.17</v>
      </c>
      <c r="AD149" s="24" t="inlineStr">
        <is>
          <t>2026-08-14T20:40:47.602760Z</t>
        </is>
      </c>
      <c r="AE149" s="31" t="inlineStr">
        <is>
          <t>Poisson-DC rates 1.81 (home) / 1.01 (away) from EWMA attack/defense strengths. Executable ask 0.4600 (atc-clbf-ata-ath-2026-08-14-ata).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Athletic Club</t>
        </is>
      </c>
      <c r="AQ149" s="24" t="inlineStr">
        <is>
          <t>Athletic Club</t>
        </is>
      </c>
      <c r="AR149" s="24" t="inlineStr">
        <is>
          <t>Athletic Club</t>
        </is>
      </c>
      <c r="AS149" s="24" t="inlineStr">
        <is>
          <t>Atalanta</t>
        </is>
      </c>
      <c r="AT149" s="24" t="inlineStr">
        <is>
          <t>Atalanta</t>
        </is>
      </c>
      <c r="AU149" s="24" t="inlineStr">
        <is>
          <t>Atalanta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c95ec2023134439ab985cb4cdcc58243749b9deb564fca7a2d587c15c9875427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c95ec2023134439ab985cb4cdcc58243749b9deb564fca7a2d587c15c9875427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c95ec2023134439ab985cb4cdcc58243749b9deb564fca7a2d587c15c9875427</t>
        </is>
      </c>
      <c r="BH149" s="24" t="inlineStr">
        <is>
          <t>2026-08-14T18:42:28.870395Z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9066cec3843641ff</t>
        </is>
      </c>
      <c r="B150" s="24" t="inlineStr">
        <is>
          <t>2026-08-15T11:34:59.791167Z</t>
        </is>
      </c>
      <c r="C150" s="24" t="inlineStr">
        <is>
          <t>2026-08-15T13:00Z</t>
        </is>
      </c>
      <c r="D150" s="24" t="inlineStr">
        <is>
          <t>401906397</t>
        </is>
      </c>
      <c r="E150" s="24" t="inlineStr">
        <is>
          <t>SOCCER</t>
        </is>
      </c>
      <c r="F150" s="24" t="inlineStr">
        <is>
          <t>Albion FC</t>
        </is>
      </c>
      <c r="G150" s="24" t="inlineStr">
        <is>
          <t>Cerro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257</v>
      </c>
      <c r="M150" s="27" t="n">
        <v>3.57</v>
      </c>
      <c r="N150" s="28" t="n">
        <v>0.280112</v>
      </c>
      <c r="O150" s="28" t="n">
        <v>0.456135</v>
      </c>
      <c r="P150" s="28" t="n">
        <v>0.2</v>
      </c>
      <c r="Q150" s="28" t="n">
        <v>0.176023</v>
      </c>
      <c r="R150" s="26" t="n">
        <v>18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2</v>
      </c>
      <c r="Y150" s="25" t="n"/>
      <c r="Z150" s="26" t="n"/>
      <c r="AA150" s="28" t="n"/>
      <c r="AB150" s="28" t="n"/>
      <c r="AC150" s="30" t="n">
        <v>2.57</v>
      </c>
      <c r="AD150" s="24" t="inlineStr">
        <is>
          <t>2026-08-15T17:45:34.475967Z</t>
        </is>
      </c>
      <c r="AE150" s="31" t="inlineStr">
        <is>
          <t>Poisson-DC rates 1.64 (home) / 1.24 (away) from EWMA attack/defense strengths. Executable ask 0.2800 (atc-uru1-cer-alb-2026-08-15-cer).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PAPER_CALL_MODEL_UNVALIDATED</t>
        </is>
      </c>
      <c r="AP150" s="24" t="inlineStr">
        <is>
          <t>Albion FC</t>
        </is>
      </c>
      <c r="AQ150" s="24" t="inlineStr">
        <is>
          <t>Albion FC</t>
        </is>
      </c>
      <c r="AR150" s="24" t="inlineStr">
        <is>
          <t>Albion FC</t>
        </is>
      </c>
      <c r="AS150" s="24" t="inlineStr">
        <is>
          <t>Cerro</t>
        </is>
      </c>
      <c r="AT150" s="24" t="inlineStr">
        <is>
          <t>Cerro</t>
        </is>
      </c>
      <c r="AU150" s="24" t="inlineStr">
        <is>
          <t>Cerro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c95ec2023134439ab985cb4cdcc58243749b9deb564fca7a2d587c15c9875427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c95ec2023134439ab985cb4cdcc58243749b9deb564fca7a2d587c15c9875427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c95ec2023134439ab985cb4cdcc58243749b9deb564fca7a2d587c15c9875427</t>
        </is>
      </c>
      <c r="BH150" s="24" t="inlineStr">
        <is>
          <t>2026-08-15T11:32:58.982872Z</t>
        </is>
      </c>
      <c r="BI150" s="24" t="inlineStr">
        <is>
          <t>["same_event","same_team_same_day","same_league_same_day"]</t>
        </is>
      </c>
      <c r="BJ150" s="25" t="n"/>
      <c r="BK150" s="26" t="n">
        <v>257</v>
      </c>
      <c r="BL150" s="27" t="n">
        <v>3.57</v>
      </c>
      <c r="BM150" s="28" t="n">
        <v>0.280112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0.280112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7fd3f76358f4414a</t>
        </is>
      </c>
      <c r="B151" s="24" t="inlineStr">
        <is>
          <t>2026-08-15T11:34:59.791167Z</t>
        </is>
      </c>
      <c r="C151" s="24" t="inlineStr">
        <is>
          <t>2026-08-15T13:00Z</t>
        </is>
      </c>
      <c r="D151" s="24" t="inlineStr">
        <is>
          <t>401900324</t>
        </is>
      </c>
      <c r="E151" s="24" t="inlineStr">
        <is>
          <t>SOCCER</t>
        </is>
      </c>
      <c r="F151" s="24" t="inlineStr">
        <is>
          <t>Real Sociedad</t>
        </is>
      </c>
      <c r="G151" s="24" t="inlineStr">
        <is>
          <t>Chelsea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-178</v>
      </c>
      <c r="M151" s="27" t="n">
        <v>1.561798</v>
      </c>
      <c r="N151" s="28" t="n">
        <v>0.640288</v>
      </c>
      <c r="O151" s="28" t="n">
        <v>0.391947</v>
      </c>
      <c r="P151" s="28" t="n">
        <v>0.04</v>
      </c>
      <c r="Q151" s="28" t="n">
        <v>-0.248341</v>
      </c>
      <c r="R151" s="26" t="n">
        <v>0</v>
      </c>
      <c r="S151" s="29" t="n">
        <v>1.5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3</v>
      </c>
      <c r="Y151" s="25" t="n"/>
      <c r="Z151" s="26" t="n"/>
      <c r="AA151" s="28" t="n"/>
      <c r="AB151" s="28" t="n"/>
      <c r="AC151" s="30" t="n">
        <v>0.8427</v>
      </c>
      <c r="AD151" s="24" t="inlineStr">
        <is>
          <t>2026-08-15T17:45:37.185717Z</t>
        </is>
      </c>
      <c r="AE151" s="31" t="inlineStr">
        <is>
          <t>Poisson-DC rates 1.77 (home) / 1.71 (away) from EWMA attack/defense strengths. Executable ask 0.6400 (atc-clbf-cfc-rso-2026-08-15-cfc).</t>
        </is>
      </c>
      <c r="AF151" s="31" t="inlineStr">
        <is>
          <t>Research-only soccer score model; draw-aware, but not yet locked-holdout qualified.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Real Sociedad</t>
        </is>
      </c>
      <c r="AQ151" s="24" t="inlineStr">
        <is>
          <t>Real Sociedad</t>
        </is>
      </c>
      <c r="AR151" s="24" t="inlineStr">
        <is>
          <t>Real Sociedad</t>
        </is>
      </c>
      <c r="AS151" s="24" t="inlineStr">
        <is>
          <t>Chelsea</t>
        </is>
      </c>
      <c r="AT151" s="24" t="inlineStr">
        <is>
          <t>Chelsea</t>
        </is>
      </c>
      <c r="AU151" s="24" t="inlineStr">
        <is>
          <t>Chelsea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c95ec2023134439ab985cb4cdcc58243749b9deb564fca7a2d587c15c9875427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c95ec2023134439ab985cb4cdcc58243749b9deb564fca7a2d587c15c9875427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c95ec2023134439ab985cb4cdcc58243749b9deb564fca7a2d587c15c9875427</t>
        </is>
      </c>
      <c r="BH151" s="24" t="inlineStr">
        <is>
          <t>2026-08-15T11:33:00.148566Z</t>
        </is>
      </c>
      <c r="BI151" s="24" t="inlineStr">
        <is>
          <t>["same_event","same_team_same_day","same_league_same_day"]</t>
        </is>
      </c>
      <c r="BJ151" s="25" t="n"/>
      <c r="BK151" s="26" t="n">
        <v>-178</v>
      </c>
      <c r="BL151" s="27" t="n">
        <v>1.561798</v>
      </c>
      <c r="BM151" s="28" t="n">
        <v>0.640288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0.640288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5322fa2a31e84e2c</t>
        </is>
      </c>
      <c r="B152" s="24" t="inlineStr">
        <is>
          <t>2026-08-15T11:34:59.791167Z</t>
        </is>
      </c>
      <c r="C152" s="24" t="inlineStr">
        <is>
          <t>2026-08-15T13:30Z</t>
        </is>
      </c>
      <c r="D152" s="24" t="inlineStr">
        <is>
          <t>401873745</t>
        </is>
      </c>
      <c r="E152" s="24" t="inlineStr">
        <is>
          <t>SOCCER</t>
        </is>
      </c>
      <c r="F152" s="24" t="inlineStr">
        <is>
          <t>RB Leipzig</t>
        </is>
      </c>
      <c r="G152" s="24" t="inlineStr">
        <is>
          <t>Bayern Munich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-270</v>
      </c>
      <c r="M152" s="27" t="n">
        <v>1.37037</v>
      </c>
      <c r="N152" s="28" t="n">
        <v>0.72973</v>
      </c>
      <c r="O152" s="28" t="n">
        <v>0.764265</v>
      </c>
      <c r="P152" s="28" t="n">
        <v>0.04</v>
      </c>
      <c r="Q152" s="28" t="n">
        <v>0.034535</v>
      </c>
      <c r="R152" s="26" t="n">
        <v>43</v>
      </c>
      <c r="S152" s="29" t="n">
        <v>2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3</v>
      </c>
      <c r="Y152" s="25" t="n"/>
      <c r="Z152" s="26" t="n"/>
      <c r="AA152" s="28" t="n"/>
      <c r="AB152" s="28" t="n"/>
      <c r="AC152" s="30" t="n">
        <v>0.7407</v>
      </c>
      <c r="AD152" s="24" t="inlineStr">
        <is>
          <t>2026-08-15T17:45:38.301533Z</t>
        </is>
      </c>
      <c r="AE152" s="31" t="inlineStr">
        <is>
          <t>Poisson-DC rates 3.86 (home) / 1.66 (away) from EWMA attack/defense strengths. Executable ask 0.7300 (atc-clbf-bmu-rbl-2026-08-15-bmu).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RB Leipzig</t>
        </is>
      </c>
      <c r="AQ152" s="24" t="inlineStr">
        <is>
          <t>RB Leipzig</t>
        </is>
      </c>
      <c r="AR152" s="24" t="inlineStr">
        <is>
          <t>RB Leipzig</t>
        </is>
      </c>
      <c r="AS152" s="24" t="inlineStr">
        <is>
          <t>Bayern Munich</t>
        </is>
      </c>
      <c r="AT152" s="24" t="inlineStr">
        <is>
          <t>Bayern Munich</t>
        </is>
      </c>
      <c r="AU152" s="24" t="inlineStr">
        <is>
          <t>Bayern Munich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c95ec2023134439ab985cb4cdcc58243749b9deb564fca7a2d587c15c9875427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c95ec2023134439ab985cb4cdcc58243749b9deb564fca7a2d587c15c9875427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c95ec2023134439ab985cb4cdcc58243749b9deb564fca7a2d587c15c9875427</t>
        </is>
      </c>
      <c r="BH152" s="24" t="inlineStr">
        <is>
          <t>2026-08-15T11:33:00.255507Z</t>
        </is>
      </c>
      <c r="BI152" s="24" t="inlineStr">
        <is>
          <t>["same_event","same_team_same_day","same_league_same_day"]</t>
        </is>
      </c>
      <c r="BJ152" s="25" t="n"/>
      <c r="BK152" s="26" t="n">
        <v>-270</v>
      </c>
      <c r="BL152" s="27" t="n">
        <v>1.37037</v>
      </c>
      <c r="BM152" s="28" t="n">
        <v>0.72973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0.72973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f6b00152e460466d</t>
        </is>
      </c>
      <c r="B153" s="24" t="inlineStr">
        <is>
          <t>2026-08-15T11:34:59.791167Z</t>
        </is>
      </c>
      <c r="C153" s="24" t="inlineStr">
        <is>
          <t>2026-08-15T14:00Z</t>
        </is>
      </c>
      <c r="D153" s="24" t="inlineStr">
        <is>
          <t>401899728</t>
        </is>
      </c>
      <c r="E153" s="24" t="inlineStr">
        <is>
          <t>SOCCER</t>
        </is>
      </c>
      <c r="F153" s="24" t="inlineStr">
        <is>
          <t>Eintracht Frankfurt</t>
        </is>
      </c>
      <c r="G153" s="24" t="inlineStr">
        <is>
          <t>Brentford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108</v>
      </c>
      <c r="M153" s="27" t="n">
        <v>2.08</v>
      </c>
      <c r="N153" s="28" t="n">
        <v>0.480769</v>
      </c>
      <c r="O153" s="28" t="n">
        <v>0.544821</v>
      </c>
      <c r="P153" s="28" t="n">
        <v>0.04</v>
      </c>
      <c r="Q153" s="28" t="n">
        <v>0.064052</v>
      </c>
      <c r="R153" s="26" t="n">
        <v>58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7</v>
      </c>
      <c r="Y153" s="25" t="n"/>
      <c r="Z153" s="26" t="n"/>
      <c r="AA153" s="28" t="n"/>
      <c r="AB153" s="28" t="n"/>
      <c r="AC153" s="30" t="n">
        <v>1.08</v>
      </c>
      <c r="AD153" s="24" t="inlineStr">
        <is>
          <t>2026-08-15T17:45:39.457644Z</t>
        </is>
      </c>
      <c r="AE153" s="31" t="inlineStr">
        <is>
          <t>Poisson-DC rates 2.03 (home) / 1.25 (away) from EWMA attack/defense strengths. Executable ask 0.4800 (atc-clbf-bfre-sge-2026-08-15-bfre).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Eintracht Frankfurt</t>
        </is>
      </c>
      <c r="AQ153" s="24" t="inlineStr">
        <is>
          <t>Eintracht Frankfurt</t>
        </is>
      </c>
      <c r="AR153" s="24" t="inlineStr">
        <is>
          <t>Eintracht Frankfurt</t>
        </is>
      </c>
      <c r="AS153" s="24" t="inlineStr">
        <is>
          <t>Brentford</t>
        </is>
      </c>
      <c r="AT153" s="24" t="inlineStr">
        <is>
          <t>Brentford</t>
        </is>
      </c>
      <c r="AU153" s="24" t="inlineStr">
        <is>
          <t>Brentford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c95ec2023134439ab985cb4cdcc58243749b9deb564fca7a2d587c15c9875427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c95ec2023134439ab985cb4cdcc58243749b9deb564fca7a2d587c15c9875427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c95ec2023134439ab985cb4cdcc58243749b9deb564fca7a2d587c15c9875427</t>
        </is>
      </c>
      <c r="BH153" s="24" t="inlineStr">
        <is>
          <t>2026-08-15T11:33:00.751574Z</t>
        </is>
      </c>
      <c r="BI153" s="24" t="inlineStr">
        <is>
          <t>["same_event","same_team_same_day","same_league_same_day"]</t>
        </is>
      </c>
      <c r="BJ153" s="25" t="n"/>
      <c r="BK153" s="26" t="n">
        <v>108</v>
      </c>
      <c r="BL153" s="27" t="n">
        <v>2.08</v>
      </c>
      <c r="BM153" s="28" t="n">
        <v>0.480769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0.480769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f1e4249414e64a1c</t>
        </is>
      </c>
      <c r="B154" s="24" t="inlineStr">
        <is>
          <t>2026-08-15T11:34:59.791167Z</t>
        </is>
      </c>
      <c r="C154" s="24" t="inlineStr">
        <is>
          <t>2026-08-15T14:00Z</t>
        </is>
      </c>
      <c r="D154" s="24" t="inlineStr">
        <is>
          <t>401906452</t>
        </is>
      </c>
      <c r="E154" s="24" t="inlineStr">
        <is>
          <t>SOCCER</t>
        </is>
      </c>
      <c r="F154" s="24" t="inlineStr">
        <is>
          <t>Bologna</t>
        </is>
      </c>
      <c r="G154" s="24" t="inlineStr">
        <is>
          <t>Brighton &amp; Hove Albion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-144</v>
      </c>
      <c r="M154" s="27" t="n">
        <v>1.694444</v>
      </c>
      <c r="N154" s="28" t="n">
        <v>0.590164</v>
      </c>
      <c r="O154" s="28" t="n">
        <v>0.471239</v>
      </c>
      <c r="P154" s="28" t="n">
        <v>0.04</v>
      </c>
      <c r="Q154" s="28" t="n">
        <v>-0.118925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/>
      <c r="AA154" s="28" t="n"/>
      <c r="AB154" s="28" t="n"/>
      <c r="AC154" s="30" t="n">
        <v>0.6944</v>
      </c>
      <c r="AD154" s="24" t="inlineStr">
        <is>
          <t>2026-08-15T17:45:40.563544Z</t>
        </is>
      </c>
      <c r="AE154" s="31" t="inlineStr">
        <is>
          <t>Poisson-DC rates 1.43 (home) / 0.95 (away) from EWMA attack/defense strengths. Executable ask 0.5900 (atc-clbf-bha-bfc-2026-08-15-bha).</t>
        </is>
      </c>
      <c r="AF154" s="31" t="inlineStr">
        <is>
          <t>Research-only soccer score model; draw-aware, but not yet locked-holdout qualified.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Bologna</t>
        </is>
      </c>
      <c r="AQ154" s="24" t="inlineStr">
        <is>
          <t>Bologna</t>
        </is>
      </c>
      <c r="AR154" s="24" t="inlineStr">
        <is>
          <t>Bologna</t>
        </is>
      </c>
      <c r="AS154" s="24" t="inlineStr">
        <is>
          <t>Brighton &amp; Hove Albion</t>
        </is>
      </c>
      <c r="AT154" s="24" t="inlineStr">
        <is>
          <t>Brighton &amp; Hove Albion</t>
        </is>
      </c>
      <c r="AU154" s="24" t="inlineStr">
        <is>
          <t>Brighton &amp; Hove Albion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c95ec2023134439ab985cb4cdcc58243749b9deb564fca7a2d587c15c9875427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c95ec2023134439ab985cb4cdcc58243749b9deb564fca7a2d587c15c9875427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c95ec2023134439ab985cb4cdcc58243749b9deb564fca7a2d587c15c9875427</t>
        </is>
      </c>
      <c r="BH154" s="24" t="inlineStr">
        <is>
          <t>2026-08-15T11:33:00.955144Z</t>
        </is>
      </c>
      <c r="BI154" s="24" t="inlineStr">
        <is>
          <t>["same_event","same_team_same_day","same_league_same_day"]</t>
        </is>
      </c>
      <c r="BJ154" s="25" t="n"/>
      <c r="BK154" s="26" t="n">
        <v>-144</v>
      </c>
      <c r="BL154" s="27" t="n">
        <v>1.694444</v>
      </c>
      <c r="BM154" s="28" t="n">
        <v>0.590164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0.590164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8ddcc8ec19064789</t>
        </is>
      </c>
      <c r="B155" s="24" t="inlineStr">
        <is>
          <t>2026-08-15T11:34:59.791167Z</t>
        </is>
      </c>
      <c r="C155" s="24" t="inlineStr">
        <is>
          <t>2026-08-15T14:00Z</t>
        </is>
      </c>
      <c r="D155" s="24" t="inlineStr">
        <is>
          <t>401905958</t>
        </is>
      </c>
      <c r="E155" s="24" t="inlineStr">
        <is>
          <t>SOCCER</t>
        </is>
      </c>
      <c r="F155" s="24" t="inlineStr">
        <is>
          <t>Lille</t>
        </is>
      </c>
      <c r="G155" s="24" t="inlineStr">
        <is>
          <t>Everton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233</v>
      </c>
      <c r="M155" s="27" t="n">
        <v>3.33</v>
      </c>
      <c r="N155" s="28" t="n">
        <v>0.3003</v>
      </c>
      <c r="O155" s="28" t="n">
        <v>0.393547</v>
      </c>
      <c r="P155" s="28" t="n">
        <v>0.04</v>
      </c>
      <c r="Q155" s="28" t="n">
        <v>0.093247</v>
      </c>
      <c r="R155" s="26" t="n">
        <v>73</v>
      </c>
      <c r="S155" s="29" t="n">
        <v>1.5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1</v>
      </c>
      <c r="Y155" s="25" t="n"/>
      <c r="Z155" s="26" t="n"/>
      <c r="AA155" s="28" t="n"/>
      <c r="AB155" s="28" t="n"/>
      <c r="AC155" s="30" t="n">
        <v>-1.5</v>
      </c>
      <c r="AD155" s="24" t="inlineStr">
        <is>
          <t>2026-08-15T17:45:41.712365Z</t>
        </is>
      </c>
      <c r="AE155" s="31" t="inlineStr">
        <is>
          <t>Poisson-DC rates 1.02 (home) / 1.22 (away) from EWMA attack/defense strengths. Executable ask 0.3000 (atc-clbf-efv-lil-2026-08-15-lil).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Lille</t>
        </is>
      </c>
      <c r="AQ155" s="24" t="inlineStr">
        <is>
          <t>Lille</t>
        </is>
      </c>
      <c r="AR155" s="24" t="inlineStr">
        <is>
          <t>Lille</t>
        </is>
      </c>
      <c r="AS155" s="24" t="inlineStr">
        <is>
          <t>Everton</t>
        </is>
      </c>
      <c r="AT155" s="24" t="inlineStr">
        <is>
          <t>Everton</t>
        </is>
      </c>
      <c r="AU155" s="24" t="inlineStr">
        <is>
          <t>Everton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c95ec2023134439ab985cb4cdcc58243749b9deb564fca7a2d587c15c9875427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c95ec2023134439ab985cb4cdcc58243749b9deb564fca7a2d587c15c9875427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c95ec2023134439ab985cb4cdcc58243749b9deb564fca7a2d587c15c9875427</t>
        </is>
      </c>
      <c r="BH155" s="24" t="inlineStr">
        <is>
          <t>2026-08-15T11:33:00.578274Z</t>
        </is>
      </c>
      <c r="BI155" s="24" t="inlineStr">
        <is>
          <t>["same_event","same_team_same_day","same_league_same_day"]</t>
        </is>
      </c>
      <c r="BJ155" s="25" t="n"/>
      <c r="BK155" s="26" t="n">
        <v>233</v>
      </c>
      <c r="BL155" s="27" t="n">
        <v>3.33</v>
      </c>
      <c r="BM155" s="28" t="n">
        <v>0.3003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0.3003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3ee9f09d1f894b8a</t>
        </is>
      </c>
      <c r="B156" s="24" t="inlineStr">
        <is>
          <t>2026-08-15T11:34:59.791167Z</t>
        </is>
      </c>
      <c r="C156" s="24" t="inlineStr">
        <is>
          <t>2026-08-15T14:00Z</t>
        </is>
      </c>
      <c r="D156" s="24" t="inlineStr">
        <is>
          <t>401906392</t>
        </is>
      </c>
      <c r="E156" s="24" t="inlineStr">
        <is>
          <t>SOCCER</t>
        </is>
      </c>
      <c r="F156" s="24" t="inlineStr">
        <is>
          <t>Nice</t>
        </is>
      </c>
      <c r="G156" s="24" t="inlineStr">
        <is>
          <t>Hull City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144</v>
      </c>
      <c r="M156" s="27" t="n">
        <v>2.44</v>
      </c>
      <c r="N156" s="28" t="n">
        <v>0.409836</v>
      </c>
      <c r="O156" s="28" t="n">
        <v>0.591242</v>
      </c>
      <c r="P156" s="28" t="n">
        <v>0.04</v>
      </c>
      <c r="Q156" s="28" t="n">
        <v>0.181406</v>
      </c>
      <c r="R156" s="26" t="n">
        <v>100</v>
      </c>
      <c r="S156" s="29" t="n">
        <v>1.25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0</v>
      </c>
      <c r="Y156" s="25" t="n"/>
      <c r="Z156" s="26" t="n"/>
      <c r="AA156" s="28" t="n"/>
      <c r="AB156" s="28" t="n"/>
      <c r="AC156" s="30" t="n">
        <v>-1.25</v>
      </c>
      <c r="AD156" s="24" t="inlineStr">
        <is>
          <t>2026-08-15T17:45:42.813444Z</t>
        </is>
      </c>
      <c r="AE156" s="31" t="inlineStr">
        <is>
          <t>Poisson-DC rates 1.68 (home) / 0.73 (away) from EWMA attack/defense strengths. Executable ask 0.4100 (atc-clbf-hul-nic-2026-08-15-hul).</t>
        </is>
      </c>
      <c r="AF156" s="31" t="inlineStr">
        <is>
          <t>Research-only soccer score model; draw-aware, but not yet locked-holdout qualified.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3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Nice</t>
        </is>
      </c>
      <c r="AQ156" s="24" t="inlineStr">
        <is>
          <t>Nice</t>
        </is>
      </c>
      <c r="AR156" s="24" t="inlineStr">
        <is>
          <t>Nice</t>
        </is>
      </c>
      <c r="AS156" s="24" t="inlineStr">
        <is>
          <t>Hull City</t>
        </is>
      </c>
      <c r="AT156" s="24" t="inlineStr">
        <is>
          <t>Hull City</t>
        </is>
      </c>
      <c r="AU156" s="24" t="inlineStr">
        <is>
          <t>Hull City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c95ec2023134439ab985cb4cdcc58243749b9deb564fca7a2d587c15c9875427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c95ec2023134439ab985cb4cdcc58243749b9deb564fca7a2d587c15c9875427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c95ec2023134439ab985cb4cdcc58243749b9deb564fca7a2d587c15c9875427</t>
        </is>
      </c>
      <c r="BH156" s="24" t="inlineStr">
        <is>
          <t>2026-08-15T11:33:00.776029Z</t>
        </is>
      </c>
      <c r="BI156" s="24" t="inlineStr">
        <is>
          <t>["same_event","same_team_same_day","same_league_same_day"]</t>
        </is>
      </c>
      <c r="BJ156" s="25" t="n"/>
      <c r="BK156" s="26" t="n">
        <v>144</v>
      </c>
      <c r="BL156" s="27" t="n">
        <v>2.44</v>
      </c>
      <c r="BM156" s="28" t="n">
        <v>0.409836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0.409836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4d74550fc4964a63</t>
        </is>
      </c>
      <c r="B157" s="24" t="inlineStr">
        <is>
          <t>2026-08-15T11:34:59.791167Z</t>
        </is>
      </c>
      <c r="C157" s="24" t="inlineStr">
        <is>
          <t>2026-08-15T14:00Z</t>
        </is>
      </c>
      <c r="D157" s="24" t="inlineStr">
        <is>
          <t>401905961</t>
        </is>
      </c>
      <c r="E157" s="24" t="inlineStr">
        <is>
          <t>SOCCER</t>
        </is>
      </c>
      <c r="F157" s="24" t="inlineStr">
        <is>
          <t>Bayer Leverkusen</t>
        </is>
      </c>
      <c r="G157" s="24" t="inlineStr">
        <is>
          <t>Newcastle United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0.38261</v>
      </c>
      <c r="P157" s="28" t="n">
        <v>0.04</v>
      </c>
      <c r="Q157" s="28" t="n">
        <v>-0.06784</v>
      </c>
      <c r="R157" s="26" t="n">
        <v>0</v>
      </c>
      <c r="S157" s="29" t="n">
        <v>1.5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loss</t>
        </is>
      </c>
      <c r="W157" s="26" t="n">
        <v>2</v>
      </c>
      <c r="X157" s="26" t="n">
        <v>1</v>
      </c>
      <c r="Y157" s="25" t="n"/>
      <c r="Z157" s="26" t="n"/>
      <c r="AA157" s="28" t="n"/>
      <c r="AB157" s="28" t="n"/>
      <c r="AC157" s="30" t="n">
        <v>-1.5</v>
      </c>
      <c r="AD157" s="24" t="inlineStr">
        <is>
          <t>2026-08-15T17:45:43.972080Z</t>
        </is>
      </c>
      <c r="AE157" s="31" t="inlineStr">
        <is>
          <t>Poisson-DC rates 1.79 (home) / 1.78 (away) from EWMA attack/defense strengths. Executable ask 0.4500 (atc-clbf-new-lev-2026-08-15-new).</t>
        </is>
      </c>
      <c r="AF157" s="31" t="inlineStr">
        <is>
          <t>Research-only soccer score model; draw-aware, but not yet locked-holdout qualified.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Bayer Leverkusen</t>
        </is>
      </c>
      <c r="AQ157" s="24" t="inlineStr">
        <is>
          <t>Bayer Leverkusen</t>
        </is>
      </c>
      <c r="AR157" s="24" t="inlineStr">
        <is>
          <t>Bayer Leverkusen</t>
        </is>
      </c>
      <c r="AS157" s="24" t="inlineStr">
        <is>
          <t>Newcastle United</t>
        </is>
      </c>
      <c r="AT157" s="24" t="inlineStr">
        <is>
          <t>Newcastle United</t>
        </is>
      </c>
      <c r="AU157" s="24" t="inlineStr">
        <is>
          <t>Newcastle United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c95ec2023134439ab985cb4cdcc58243749b9deb564fca7a2d587c15c9875427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c95ec2023134439ab985cb4cdcc58243749b9deb564fca7a2d587c15c9875427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c95ec2023134439ab985cb4cdcc58243749b9deb564fca7a2d587c15c9875427</t>
        </is>
      </c>
      <c r="BH157" s="24" t="inlineStr">
        <is>
          <t>2026-08-15T11:33:00.640765Z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65eb7e50378e4994</t>
        </is>
      </c>
      <c r="B158" s="24" t="inlineStr">
        <is>
          <t>2026-08-15T11:34:59.791167Z</t>
        </is>
      </c>
      <c r="C158" s="24" t="inlineStr">
        <is>
          <t>2026-08-15T14:00Z</t>
        </is>
      </c>
      <c r="D158" s="24" t="inlineStr">
        <is>
          <t>401886534</t>
        </is>
      </c>
      <c r="E158" s="24" t="inlineStr">
        <is>
          <t>SOCCER</t>
        </is>
      </c>
      <c r="F158" s="24" t="inlineStr">
        <is>
          <t>TSG Hoffenheim</t>
        </is>
      </c>
      <c r="G158" s="24" t="inlineStr">
        <is>
          <t>Tottenham Hotspur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0.411015</v>
      </c>
      <c r="P158" s="28" t="n">
        <v>0.04</v>
      </c>
      <c r="Q158" s="28" t="n">
        <v>-0.108216</v>
      </c>
      <c r="R158" s="26" t="n">
        <v>0</v>
      </c>
      <c r="S158" s="29" t="n">
        <v>1.25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0</v>
      </c>
      <c r="X158" s="26" t="n">
        <v>3</v>
      </c>
      <c r="Y158" s="25" t="n"/>
      <c r="Z158" s="26" t="n"/>
      <c r="AA158" s="28" t="n"/>
      <c r="AB158" s="28" t="n"/>
      <c r="AC158" s="30" t="n">
        <v>1.1574</v>
      </c>
      <c r="AD158" s="24" t="inlineStr">
        <is>
          <t>2026-08-15T17:45:45.073679Z</t>
        </is>
      </c>
      <c r="AE158" s="31" t="inlineStr">
        <is>
          <t>Poisson-DC rates 1.80 (home) / 1.65 (away) from EWMA attack/defense strengths. Executable ask 0.5200 (atc-clbf-tot-tsg-2026-08-15-tot).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TSG Hoffenheim</t>
        </is>
      </c>
      <c r="AQ158" s="24" t="inlineStr">
        <is>
          <t>TSG Hoffenheim</t>
        </is>
      </c>
      <c r="AR158" s="24" t="inlineStr">
        <is>
          <t>TSG Hoffenheim</t>
        </is>
      </c>
      <c r="AS158" s="24" t="inlineStr">
        <is>
          <t>Tottenham Hotspur</t>
        </is>
      </c>
      <c r="AT158" s="24" t="inlineStr">
        <is>
          <t>Tottenham Hotspur</t>
        </is>
      </c>
      <c r="AU158" s="24" t="inlineStr">
        <is>
          <t>Tottenham Hotspur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c95ec2023134439ab985cb4cdcc58243749b9deb564fca7a2d587c15c9875427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c95ec2023134439ab985cb4cdcc58243749b9deb564fca7a2d587c15c9875427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c95ec2023134439ab985cb4cdcc58243749b9deb564fca7a2d587c15c9875427</t>
        </is>
      </c>
      <c r="BH158" s="24" t="inlineStr">
        <is>
          <t>2026-08-15T11:33:00.587792Z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94360a9688274a16</t>
        </is>
      </c>
      <c r="B159" s="24" t="inlineStr">
        <is>
          <t>2026-08-15T14:43:02.334718Z</t>
        </is>
      </c>
      <c r="C159" s="24" t="inlineStr">
        <is>
          <t>2026-08-15T17:30Z</t>
        </is>
      </c>
      <c r="D159" s="24" t="inlineStr">
        <is>
          <t>401841494</t>
        </is>
      </c>
      <c r="E159" s="24" t="inlineStr">
        <is>
          <t>SOCCER</t>
        </is>
      </c>
      <c r="F159" s="24" t="inlineStr">
        <is>
          <t>Tigre</t>
        </is>
      </c>
      <c r="G159" s="24" t="inlineStr">
        <is>
          <t>Aldosivi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223</v>
      </c>
      <c r="M159" s="27" t="n">
        <v>3.23</v>
      </c>
      <c r="N159" s="28" t="n">
        <v>0.309598</v>
      </c>
      <c r="O159" s="28" t="n">
        <v>0.456135</v>
      </c>
      <c r="P159" s="28" t="n">
        <v>0.2</v>
      </c>
      <c r="Q159" s="28" t="n">
        <v>0.146537</v>
      </c>
      <c r="R159" s="26" t="n">
        <v>3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0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2026-08-15T21:03:01.726385Z</t>
        </is>
      </c>
      <c r="AE159" s="31" t="inlineStr">
        <is>
          <t>Poisson-DC rates 1.64 (home) / 1.24 (away) from EWMA attack/defense strengths. Executable ask 0.3100 (atc-lpa-ald-tig-2026-08-15-ald).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Tigre</t>
        </is>
      </c>
      <c r="AQ159" s="24" t="inlineStr">
        <is>
          <t>Tigre</t>
        </is>
      </c>
      <c r="AR159" s="24" t="inlineStr">
        <is>
          <t>Tigre</t>
        </is>
      </c>
      <c r="AS159" s="24" t="inlineStr">
        <is>
          <t>Aldosivi</t>
        </is>
      </c>
      <c r="AT159" s="24" t="inlineStr">
        <is>
          <t>Aldosivi</t>
        </is>
      </c>
      <c r="AU159" s="24" t="inlineStr">
        <is>
          <t>Aldosivi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c95ec2023134439ab985cb4cdcc58243749b9deb564fca7a2d587c15c9875427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c95ec2023134439ab985cb4cdcc58243749b9deb564fca7a2d587c15c9875427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c95ec2023134439ab985cb4cdcc58243749b9deb564fca7a2d587c15c9875427</t>
        </is>
      </c>
      <c r="BH159" s="24" t="inlineStr">
        <is>
          <t>2026-08-15T14:41:09.083150Z</t>
        </is>
      </c>
      <c r="BI159" s="24" t="inlineStr">
        <is>
          <t>["same_event","same_team_same_day","same_league_same_day"]</t>
        </is>
      </c>
      <c r="BJ159" s="25" t="n"/>
      <c r="BK159" s="26" t="n">
        <v>223</v>
      </c>
      <c r="BL159" s="27" t="n">
        <v>3.23</v>
      </c>
      <c r="BM159" s="28" t="n">
        <v>0.309598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0.309598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523ff967d69f4523</t>
        </is>
      </c>
      <c r="B160" s="24" t="inlineStr">
        <is>
          <t>2026-08-15T14:43:02.334718Z</t>
        </is>
      </c>
      <c r="C160" s="24" t="inlineStr">
        <is>
          <t>2026-08-15T16:00Z</t>
        </is>
      </c>
      <c r="D160" s="24" t="inlineStr">
        <is>
          <t>401906398</t>
        </is>
      </c>
      <c r="E160" s="24" t="inlineStr">
        <is>
          <t>SOCCER</t>
        </is>
      </c>
      <c r="F160" s="24" t="inlineStr">
        <is>
          <t>Montevideo City Torque</t>
        </is>
      </c>
      <c r="G160" s="24" t="inlineStr">
        <is>
          <t>Juventud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127</v>
      </c>
      <c r="M160" s="27" t="n">
        <v>2.27</v>
      </c>
      <c r="N160" s="28" t="n">
        <v>0.440529</v>
      </c>
      <c r="O160" s="28" t="n">
        <v>0.456135</v>
      </c>
      <c r="P160" s="28" t="n">
        <v>0.2</v>
      </c>
      <c r="Q160" s="28" t="n">
        <v>0.015606</v>
      </c>
      <c r="R160" s="26" t="n">
        <v>0</v>
      </c>
      <c r="S160" s="29" t="n">
        <v>1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2026-08-15T21:03:03.915061Z</t>
        </is>
      </c>
      <c r="AE160" s="31" t="inlineStr">
        <is>
          <t>Poisson-DC rates 1.64 (home) / 1.24 (away) from EWMA attack/defense strengths. Executable ask 0.4400 (atc-uru1-juv-tor-2026-08-15-juv).</t>
        </is>
      </c>
      <c r="AF160" s="31" t="inlineStr">
        <is>
          <t>Research-only soccer score model; draw-aware, but not yet locked-holdout qualified.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PAPER_CALL_MODEL_UNVALIDATED</t>
        </is>
      </c>
      <c r="AP160" s="24" t="inlineStr">
        <is>
          <t>Montevideo City Torque</t>
        </is>
      </c>
      <c r="AQ160" s="24" t="inlineStr">
        <is>
          <t>Montevideo City Torque</t>
        </is>
      </c>
      <c r="AR160" s="24" t="inlineStr">
        <is>
          <t>Montevideo City Torque</t>
        </is>
      </c>
      <c r="AS160" s="24" t="inlineStr">
        <is>
          <t>Juventud</t>
        </is>
      </c>
      <c r="AT160" s="24" t="inlineStr">
        <is>
          <t>Juventud</t>
        </is>
      </c>
      <c r="AU160" s="24" t="inlineStr">
        <is>
          <t>Juventud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c95ec2023134439ab985cb4cdcc58243749b9deb564fca7a2d587c15c9875427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c95ec2023134439ab985cb4cdcc58243749b9deb564fca7a2d587c15c9875427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c95ec2023134439ab985cb4cdcc58243749b9deb564fca7a2d587c15c9875427</t>
        </is>
      </c>
      <c r="BH160" s="24" t="inlineStr">
        <is>
          <t>2026-08-15T14:41:11.298202Z</t>
        </is>
      </c>
      <c r="BI160" s="24" t="inlineStr">
        <is>
          <t>["same_event","same_team_same_day","same_league_same_day"]</t>
        </is>
      </c>
      <c r="BJ160" s="25" t="n"/>
      <c r="BK160" s="26" t="n">
        <v>127</v>
      </c>
      <c r="BL160" s="27" t="n">
        <v>2.27</v>
      </c>
      <c r="BM160" s="28" t="n">
        <v>0.440529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0.440529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888e4273e8934103</t>
        </is>
      </c>
      <c r="B161" s="24" t="inlineStr">
        <is>
          <t>2026-08-15T14:43:02.334718Z</t>
        </is>
      </c>
      <c r="C161" s="24" t="inlineStr">
        <is>
          <t>2026-08-15T14:45Z</t>
        </is>
      </c>
      <c r="D161" s="24" t="inlineStr">
        <is>
          <t>401886562</t>
        </is>
      </c>
      <c r="E161" s="24" t="inlineStr">
        <is>
          <t>SOCCER</t>
        </is>
      </c>
      <c r="F161" s="24" t="inlineStr">
        <is>
          <t>AC Milan</t>
        </is>
      </c>
      <c r="G161" s="24" t="inlineStr">
        <is>
          <t>Manchester United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0.517707</v>
      </c>
      <c r="P161" s="28" t="n">
        <v>0.04</v>
      </c>
      <c r="Q161" s="28" t="n">
        <v>-0.111923</v>
      </c>
      <c r="R161" s="26" t="n">
        <v>0</v>
      </c>
      <c r="S161" s="29" t="n">
        <v>1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loss</t>
        </is>
      </c>
      <c r="W161" s="26" t="n">
        <v>4</v>
      </c>
      <c r="X161" s="26" t="n">
        <v>2</v>
      </c>
      <c r="Y161" s="25" t="n"/>
      <c r="Z161" s="26" t="n"/>
      <c r="AA161" s="28" t="n"/>
      <c r="AB161" s="28" t="n"/>
      <c r="AC161" s="30" t="n">
        <v>-1</v>
      </c>
      <c r="AD161" s="24" t="inlineStr">
        <is>
          <t>2026-08-15T17:45:47.729790Z</t>
        </is>
      </c>
      <c r="AE161" s="31" t="inlineStr">
        <is>
          <t>Poisson-DC rates 1.58 (home) / 0.91 (away) from EWMA attack/defense strengths. Executable ask 0.6300 (atc-clbf-mun-acm-2026-08-15-mun).</t>
        </is>
      </c>
      <c r="AF161" s="31" t="inlineStr">
        <is>
          <t>Research-only soccer score model; draw-aware, but not yet locked-holdout qualified.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AC Milan</t>
        </is>
      </c>
      <c r="AQ161" s="24" t="inlineStr">
        <is>
          <t>AC Milan</t>
        </is>
      </c>
      <c r="AR161" s="24" t="inlineStr">
        <is>
          <t>AC Milan</t>
        </is>
      </c>
      <c r="AS161" s="24" t="inlineStr">
        <is>
          <t>Manchester United</t>
        </is>
      </c>
      <c r="AT161" s="24" t="inlineStr">
        <is>
          <t>Manchester United</t>
        </is>
      </c>
      <c r="AU161" s="24" t="inlineStr">
        <is>
          <t>Manchester United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c95ec2023134439ab985cb4cdcc58243749b9deb564fca7a2d587c15c9875427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c95ec2023134439ab985cb4cdcc58243749b9deb564fca7a2d587c15c9875427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c95ec2023134439ab985cb4cdcc58243749b9deb564fca7a2d587c15c9875427</t>
        </is>
      </c>
      <c r="BH161" s="24" t="inlineStr">
        <is>
          <t>2026-08-15T14:41:13.084644Z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9260defeae3b4b18</t>
        </is>
      </c>
      <c r="B162" s="24" t="inlineStr">
        <is>
          <t>2026-08-15T14:43:02.334718Z</t>
        </is>
      </c>
      <c r="C162" s="24" t="inlineStr">
        <is>
          <t>2026-08-15T15:00Z</t>
        </is>
      </c>
      <c r="D162" s="24" t="inlineStr">
        <is>
          <t>401906280</t>
        </is>
      </c>
      <c r="E162" s="24" t="inlineStr">
        <is>
          <t>SOCCER</t>
        </is>
      </c>
      <c r="F162" s="24" t="inlineStr">
        <is>
          <t>VfB Stuttgart</t>
        </is>
      </c>
      <c r="G162" s="24" t="inlineStr">
        <is>
          <t>Fulham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186</v>
      </c>
      <c r="M162" s="27" t="n">
        <v>2.86</v>
      </c>
      <c r="N162" s="28" t="n">
        <v>0.34965</v>
      </c>
      <c r="O162" s="28" t="n">
        <v>0.417645</v>
      </c>
      <c r="P162" s="28" t="n">
        <v>0.04</v>
      </c>
      <c r="Q162" s="28" t="n">
        <v>0.067995</v>
      </c>
      <c r="R162" s="26" t="n">
        <v>60</v>
      </c>
      <c r="S162" s="29" t="n">
        <v>1.25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/>
      <c r="AA162" s="28" t="n"/>
      <c r="AB162" s="28" t="n"/>
      <c r="AC162" s="30" t="n">
        <v>-1.25</v>
      </c>
      <c r="AD162" s="24" t="inlineStr">
        <is>
          <t>2026-08-15T17:45:48.837567Z</t>
        </is>
      </c>
      <c r="AE162" s="31" t="inlineStr">
        <is>
          <t>Poisson-DC rates 1.41 (home) / 1.63 (away) from EWMA attack/defense strengths. Executable ask 0.3500 (atc-clbf-ful-vsf-2026-08-15-vsf).</t>
        </is>
      </c>
      <c r="AF162" s="31" t="inlineStr">
        <is>
          <t>Research-only soccer score model; draw-aware, but not yet locked-holdout qualified.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VfB Stuttgart</t>
        </is>
      </c>
      <c r="AQ162" s="24" t="inlineStr">
        <is>
          <t>VfB Stuttgart</t>
        </is>
      </c>
      <c r="AR162" s="24" t="inlineStr">
        <is>
          <t>VfB Stuttgart</t>
        </is>
      </c>
      <c r="AS162" s="24" t="inlineStr">
        <is>
          <t>Fulham</t>
        </is>
      </c>
      <c r="AT162" s="24" t="inlineStr">
        <is>
          <t>Fulham</t>
        </is>
      </c>
      <c r="AU162" s="24" t="inlineStr">
        <is>
          <t>Fulham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c95ec2023134439ab985cb4cdcc58243749b9deb564fca7a2d587c15c9875427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c95ec2023134439ab985cb4cdcc58243749b9deb564fca7a2d587c15c9875427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c95ec2023134439ab985cb4cdcc58243749b9deb564fca7a2d587c15c9875427</t>
        </is>
      </c>
      <c r="BH162" s="24" t="inlineStr">
        <is>
          <t>2026-08-15T14:41:13.391149Z</t>
        </is>
      </c>
      <c r="BI162" s="24" t="inlineStr">
        <is>
          <t>["same_event","same_team_same_day","same_league_same_day"]</t>
        </is>
      </c>
      <c r="BJ162" s="25" t="n"/>
      <c r="BK162" s="26" t="n">
        <v>186</v>
      </c>
      <c r="BL162" s="27" t="n">
        <v>2.86</v>
      </c>
      <c r="BM162" s="28" t="n">
        <v>0.34965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0.34965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d8fc0fc02cb34a17</t>
        </is>
      </c>
      <c r="B163" s="24" t="inlineStr">
        <is>
          <t>2026-08-15T14:43:02.334718Z</t>
        </is>
      </c>
      <c r="C163" s="24" t="inlineStr">
        <is>
          <t>2026-08-15T15:30Z</t>
        </is>
      </c>
      <c r="D163" s="24" t="inlineStr">
        <is>
          <t>401886561</t>
        </is>
      </c>
      <c r="E163" s="24" t="inlineStr">
        <is>
          <t>SOCCER</t>
        </is>
      </c>
      <c r="F163" s="24" t="inlineStr">
        <is>
          <t>AS Roma</t>
        </is>
      </c>
      <c r="G163" s="24" t="inlineStr">
        <is>
          <t>Borussia Dortmund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-104</v>
      </c>
      <c r="M163" s="27" t="n">
        <v>1.961538</v>
      </c>
      <c r="N163" s="28" t="n">
        <v>0.509804</v>
      </c>
      <c r="O163" s="28" t="n">
        <v>0.407675</v>
      </c>
      <c r="P163" s="28" t="n">
        <v>0.04</v>
      </c>
      <c r="Q163" s="28" t="n">
        <v>-0.102129</v>
      </c>
      <c r="R163" s="26" t="n">
        <v>0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</v>
      </c>
      <c r="X163" s="26" t="n">
        <v>2</v>
      </c>
      <c r="Y163" s="25" t="n"/>
      <c r="Z163" s="26" t="n"/>
      <c r="AA163" s="28" t="n"/>
      <c r="AB163" s="28" t="n"/>
      <c r="AC163" s="30" t="n">
        <v>-1.25</v>
      </c>
      <c r="AD163" s="24" t="inlineStr">
        <is>
          <t>2026-08-15T17:45:49.987256Z</t>
        </is>
      </c>
      <c r="AE163" s="31" t="inlineStr">
        <is>
          <t>Poisson-DC rates 1.53 (home) / 1.33 (away) from EWMA attack/defense strengths. Executable ask 0.5100 (atc-clbf-bvb-ars-2026-08-15-bvb).</t>
        </is>
      </c>
      <c r="AF163" s="31" t="inlineStr">
        <is>
          <t>Research-only soccer score model; draw-aware, but not yet locked-holdout qualified.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AS Roma</t>
        </is>
      </c>
      <c r="AQ163" s="24" t="inlineStr">
        <is>
          <t>AS Roma</t>
        </is>
      </c>
      <c r="AR163" s="24" t="inlineStr">
        <is>
          <t>AS Roma</t>
        </is>
      </c>
      <c r="AS163" s="24" t="inlineStr">
        <is>
          <t>Borussia Dortmund</t>
        </is>
      </c>
      <c r="AT163" s="24" t="inlineStr">
        <is>
          <t>Borussia Dortmund</t>
        </is>
      </c>
      <c r="AU163" s="24" t="inlineStr">
        <is>
          <t>Borussia Dortmund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c95ec2023134439ab985cb4cdcc58243749b9deb564fca7a2d587c15c9875427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c95ec2023134439ab985cb4cdcc58243749b9deb564fca7a2d587c15c9875427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c95ec2023134439ab985cb4cdcc58243749b9deb564fca7a2d587c15c9875427</t>
        </is>
      </c>
      <c r="BH163" s="24" t="inlineStr">
        <is>
          <t>2026-08-15T14:41:13.463200Z</t>
        </is>
      </c>
      <c r="BI163" s="24" t="inlineStr">
        <is>
          <t>["same_event","same_team_same_day","same_league_same_day"]</t>
        </is>
      </c>
      <c r="BJ163" s="25" t="n"/>
      <c r="BK163" s="26" t="n">
        <v>-104</v>
      </c>
      <c r="BL163" s="27" t="n">
        <v>1.961538</v>
      </c>
      <c r="BM163" s="28" t="n">
        <v>0.509804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0.509804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d105f7395745431f</t>
        </is>
      </c>
      <c r="B164" s="24" t="inlineStr">
        <is>
          <t>2026-08-15T17:49:57.522927Z</t>
        </is>
      </c>
      <c r="C164" s="24" t="inlineStr">
        <is>
          <t>2026-08-15T19:30Z</t>
        </is>
      </c>
      <c r="D164" s="24" t="inlineStr">
        <is>
          <t>401882918</t>
        </is>
      </c>
      <c r="E164" s="24" t="inlineStr">
        <is>
          <t>SOCCER</t>
        </is>
      </c>
      <c r="F164" s="24" t="inlineStr">
        <is>
          <t>Rayo Vallecano</t>
        </is>
      </c>
      <c r="G164" s="24" t="inlineStr">
        <is>
          <t>Sevilla</t>
        </is>
      </c>
      <c r="H164" s="24" t="inlineStr">
        <is>
          <t>total</t>
        </is>
      </c>
      <c r="I164" s="24" t="inlineStr">
        <is>
          <t>under</t>
        </is>
      </c>
      <c r="J164" s="25" t="n">
        <v>2.5</v>
      </c>
      <c r="K164" s="24" t="inlineStr">
        <is>
          <t>polymarket_us</t>
        </is>
      </c>
      <c r="L164" s="26" t="n">
        <v>-156</v>
      </c>
      <c r="M164" s="27" t="n">
        <v>1.641026</v>
      </c>
      <c r="N164" s="28" t="n">
        <v>0.609375</v>
      </c>
      <c r="O164" s="28" t="n">
        <v>0.636508</v>
      </c>
      <c r="P164" s="28" t="n">
        <v>0.04</v>
      </c>
      <c r="Q164" s="28" t="n">
        <v>0.027133</v>
      </c>
      <c r="R164" s="26" t="n">
        <v>40</v>
      </c>
      <c r="S164" s="29" t="n">
        <v>1.75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loss</t>
        </is>
      </c>
      <c r="W164" s="26" t="n">
        <v>1</v>
      </c>
      <c r="X164" s="26" t="n">
        <v>2</v>
      </c>
      <c r="Y164" s="25" t="n"/>
      <c r="Z164" s="26" t="n"/>
      <c r="AA164" s="28" t="n"/>
      <c r="AB164" s="28" t="n"/>
      <c r="AC164" s="30" t="n">
        <v>-1.75</v>
      </c>
      <c r="AD164" s="24" t="inlineStr">
        <is>
          <t>2026-08-16T00:08:45.315940Z</t>
        </is>
      </c>
      <c r="AE164" s="31" t="inlineStr">
        <is>
          <t>Poisson-DC rates 1.00 (home) / 1.15 (away) from EWMA attack/defense strengths. Executable ask 0.6100 (tsc-lal-sev-ray-2026-08-15-2pt5).</t>
        </is>
      </c>
      <c r="AF164" s="31" t="inlineStr">
        <is>
          <t>Research-only soccer score model; draw-aware, but not yet locked-holdout qualified.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Rayo Vallecano</t>
        </is>
      </c>
      <c r="AQ164" s="24" t="inlineStr">
        <is>
          <t>Rayo Vallecano</t>
        </is>
      </c>
      <c r="AR164" s="24" t="inlineStr">
        <is>
          <t>Rayo Vallecano</t>
        </is>
      </c>
      <c r="AS164" s="24" t="inlineStr">
        <is>
          <t>Sevilla</t>
        </is>
      </c>
      <c r="AT164" s="24" t="inlineStr">
        <is>
          <t>Sevilla</t>
        </is>
      </c>
      <c r="AU164" s="24" t="inlineStr">
        <is>
          <t>Sevilla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c95ec2023134439ab985cb4cdcc58243749b9deb564fca7a2d587c15c9875427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c95ec2023134439ab985cb4cdcc58243749b9deb564fca7a2d587c15c9875427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c95ec2023134439ab985cb4cdcc58243749b9deb564fca7a2d587c15c9875427</t>
        </is>
      </c>
      <c r="BH164" s="24" t="inlineStr">
        <is>
          <t>2026-08-15T17:48:10.807089Z</t>
        </is>
      </c>
      <c r="BI164" s="24" t="inlineStr">
        <is>
          <t>["same_event","same_team_same_day","same_league_same_day"]</t>
        </is>
      </c>
      <c r="BJ164" s="25" t="n">
        <v>2.5</v>
      </c>
      <c r="BK164" s="26" t="n">
        <v>-156</v>
      </c>
      <c r="BL164" s="27" t="n">
        <v>1.641026</v>
      </c>
      <c r="BM164" s="28" t="n">
        <v>0.609375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0.609375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27f7f269394b444b</t>
        </is>
      </c>
      <c r="B165" s="24" t="inlineStr">
        <is>
          <t>2026-08-15T17:49:57.522927Z</t>
        </is>
      </c>
      <c r="C165" s="24" t="inlineStr">
        <is>
          <t>2026-08-15T19:30Z</t>
        </is>
      </c>
      <c r="D165" s="24" t="inlineStr">
        <is>
          <t>401882918</t>
        </is>
      </c>
      <c r="E165" s="24" t="inlineStr">
        <is>
          <t>SOCCER</t>
        </is>
      </c>
      <c r="F165" s="24" t="inlineStr">
        <is>
          <t>Rayo Vallecano</t>
        </is>
      </c>
      <c r="G165" s="24" t="inlineStr">
        <is>
          <t>Sevilla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233</v>
      </c>
      <c r="M165" s="27" t="n">
        <v>3.33</v>
      </c>
      <c r="N165" s="28" t="n">
        <v>0.3003</v>
      </c>
      <c r="O165" s="28" t="n">
        <v>0.378157</v>
      </c>
      <c r="P165" s="28" t="n">
        <v>0.04</v>
      </c>
      <c r="Q165" s="28" t="n">
        <v>0.077857</v>
      </c>
      <c r="R165" s="26" t="n">
        <v>65</v>
      </c>
      <c r="S165" s="29" t="n">
        <v>1.5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2</v>
      </c>
      <c r="Y165" s="25" t="n"/>
      <c r="Z165" s="26" t="n"/>
      <c r="AA165" s="28" t="n"/>
      <c r="AB165" s="28" t="n"/>
      <c r="AC165" s="30" t="n">
        <v>-1.5</v>
      </c>
      <c r="AD165" s="24" t="inlineStr">
        <is>
          <t>2026-08-16T00:08:46.403396Z</t>
        </is>
      </c>
      <c r="AE165" s="31" t="inlineStr">
        <is>
          <t>Poisson-DC rates 1.00 (home) / 1.15 (away) from EWMA attack/defense strengths. Executable ask 0.3000 (atc-lal-sev-ray-2026-08-15-ray).</t>
        </is>
      </c>
      <c r="AF165" s="31" t="inlineStr">
        <is>
          <t>Research-only soccer score model; draw-aware, but not yet locked-holdout qualified.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Rayo Vallecano</t>
        </is>
      </c>
      <c r="AQ165" s="24" t="inlineStr">
        <is>
          <t>Rayo Vallecano</t>
        </is>
      </c>
      <c r="AR165" s="24" t="inlineStr">
        <is>
          <t>Rayo Vallecano</t>
        </is>
      </c>
      <c r="AS165" s="24" t="inlineStr">
        <is>
          <t>Sevilla</t>
        </is>
      </c>
      <c r="AT165" s="24" t="inlineStr">
        <is>
          <t>Sevilla</t>
        </is>
      </c>
      <c r="AU165" s="24" t="inlineStr">
        <is>
          <t>Sevilla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c95ec2023134439ab985cb4cdcc58243749b9deb564fca7a2d587c15c9875427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c95ec2023134439ab985cb4cdcc58243749b9deb564fca7a2d587c15c9875427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c95ec2023134439ab985cb4cdcc58243749b9deb564fca7a2d587c15c9875427</t>
        </is>
      </c>
      <c r="BH165" s="24" t="inlineStr">
        <is>
          <t>2026-08-15T17:48:10.817329Z</t>
        </is>
      </c>
      <c r="BI165" s="24" t="inlineStr">
        <is>
          <t>["same_event","same_team_same_day","same_league_same_day"]</t>
        </is>
      </c>
      <c r="BJ165" s="25" t="n"/>
      <c r="BK165" s="26" t="n">
        <v>233</v>
      </c>
      <c r="BL165" s="27" t="n">
        <v>3.33</v>
      </c>
      <c r="BM165" s="28" t="n">
        <v>0.3003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0.3003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ca5a1f9a5de141c5</t>
        </is>
      </c>
      <c r="B166" s="24" t="inlineStr">
        <is>
          <t>2026-08-15T17:49:57.522927Z</t>
        </is>
      </c>
      <c r="C166" s="24" t="inlineStr">
        <is>
          <t>2026-08-15T19:30Z</t>
        </is>
      </c>
      <c r="D166" s="24" t="inlineStr">
        <is>
          <t>401841192</t>
        </is>
      </c>
      <c r="E166" s="24" t="inlineStr">
        <is>
          <t>SOCCER</t>
        </is>
      </c>
      <c r="F166" s="24" t="inlineStr">
        <is>
          <t>Palmeiras</t>
        </is>
      </c>
      <c r="G166" s="24" t="inlineStr">
        <is>
          <t>Fluminense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212</v>
      </c>
      <c r="M166" s="27" t="n">
        <v>3.12</v>
      </c>
      <c r="N166" s="28" t="n">
        <v>0.320513</v>
      </c>
      <c r="O166" s="28" t="n">
        <v>0.456135</v>
      </c>
      <c r="P166" s="28" t="n">
        <v>0.2</v>
      </c>
      <c r="Q166" s="28" t="n">
        <v>0.135622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2</v>
      </c>
      <c r="X166" s="26" t="n">
        <v>3</v>
      </c>
      <c r="Y166" s="25" t="n"/>
      <c r="Z166" s="26" t="n"/>
      <c r="AA166" s="28" t="n"/>
      <c r="AB166" s="28" t="n"/>
      <c r="AC166" s="30" t="n">
        <v>2.12</v>
      </c>
      <c r="AD166" s="24" t="inlineStr">
        <is>
          <t>2026-08-16T00:08:48.952946Z</t>
        </is>
      </c>
      <c r="AE166" s="31" t="inlineStr">
        <is>
          <t>Poisson-DC rates 1.64 (home) / 1.24 (away) from EWMA attack/defense strengths. Executable ask 0.3200 (atc-bra-flu-pal-2026-08-15-flu).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PAPER_CALL_MODEL_UNVALIDATED</t>
        </is>
      </c>
      <c r="AP166" s="24" t="inlineStr">
        <is>
          <t>Palmeiras</t>
        </is>
      </c>
      <c r="AQ166" s="24" t="inlineStr">
        <is>
          <t>Palmeiras</t>
        </is>
      </c>
      <c r="AR166" s="24" t="inlineStr">
        <is>
          <t>Palmeiras</t>
        </is>
      </c>
      <c r="AS166" s="24" t="inlineStr">
        <is>
          <t>Fluminense</t>
        </is>
      </c>
      <c r="AT166" s="24" t="inlineStr">
        <is>
          <t>Fluminense</t>
        </is>
      </c>
      <c r="AU166" s="24" t="inlineStr">
        <is>
          <t>Fluminense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c95ec2023134439ab985cb4cdcc58243749b9deb564fca7a2d587c15c9875427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c95ec2023134439ab985cb4cdcc58243749b9deb564fca7a2d587c15c9875427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c95ec2023134439ab985cb4cdcc58243749b9deb564fca7a2d587c15c9875427</t>
        </is>
      </c>
      <c r="BH166" s="24" t="inlineStr">
        <is>
          <t>2026-08-15T17:48:20.519150Z</t>
        </is>
      </c>
      <c r="BI166" s="24" t="inlineStr">
        <is>
          <t>["same_event","same_team_same_day","same_league_same_day"]</t>
        </is>
      </c>
      <c r="BJ166" s="25" t="n"/>
      <c r="BK166" s="26" t="n">
        <v>212</v>
      </c>
      <c r="BL166" s="27" t="n">
        <v>3.12</v>
      </c>
      <c r="BM166" s="28" t="n">
        <v>0.320513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0.320513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87dd1e2bb4ce46e6</t>
        </is>
      </c>
      <c r="B167" s="24" t="inlineStr">
        <is>
          <t>2026-08-15T17:49:57.522927Z</t>
        </is>
      </c>
      <c r="C167" s="24" t="inlineStr">
        <is>
          <t>2026-08-15T19:00Z</t>
        </is>
      </c>
      <c r="D167" s="24" t="inlineStr">
        <is>
          <t>401860278</t>
        </is>
      </c>
      <c r="E167" s="24" t="inlineStr">
        <is>
          <t>SOCCER</t>
        </is>
      </c>
      <c r="F167" s="24" t="inlineStr">
        <is>
          <t>Cuiabá</t>
        </is>
      </c>
      <c r="G167" s="24" t="inlineStr">
        <is>
          <t>Ceará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144</v>
      </c>
      <c r="M167" s="27" t="n">
        <v>2.44</v>
      </c>
      <c r="N167" s="28" t="n">
        <v>0.409836</v>
      </c>
      <c r="O167" s="28" t="n">
        <v>0.456135</v>
      </c>
      <c r="P167" s="28" t="n">
        <v>0.2</v>
      </c>
      <c r="Q167" s="28" t="n">
        <v>0.046299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2026-08-16T00:08:50.401885Z</t>
        </is>
      </c>
      <c r="AE167" s="31" t="inlineStr">
        <is>
          <t>Poisson-DC rates 1.64 (home) / 1.24 (away) from EWMA attack/defense strengths. Executable ask 0.4100 (atc-brb-csc-cui-2026-08-15-csc).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Cuiabá</t>
        </is>
      </c>
      <c r="AQ167" s="24" t="inlineStr">
        <is>
          <t>Cuiabá</t>
        </is>
      </c>
      <c r="AR167" s="24" t="inlineStr">
        <is>
          <t>Cuiabá</t>
        </is>
      </c>
      <c r="AS167" s="24" t="inlineStr">
        <is>
          <t>Ceará</t>
        </is>
      </c>
      <c r="AT167" s="24" t="inlineStr">
        <is>
          <t>Ceará</t>
        </is>
      </c>
      <c r="AU167" s="24" t="inlineStr">
        <is>
          <t>Ceará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c95ec2023134439ab985cb4cdcc58243749b9deb564fca7a2d587c15c9875427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c95ec2023134439ab985cb4cdcc58243749b9deb564fca7a2d587c15c9875427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c95ec2023134439ab985cb4cdcc58243749b9deb564fca7a2d587c15c9875427</t>
        </is>
      </c>
      <c r="BH167" s="24" t="inlineStr">
        <is>
          <t>2026-08-15T17:48:20.950701Z</t>
        </is>
      </c>
      <c r="BI167" s="24" t="inlineStr">
        <is>
          <t>["same_event","same_team_same_day","same_league_same_day"]</t>
        </is>
      </c>
      <c r="BJ167" s="25" t="n"/>
      <c r="BK167" s="26" t="n">
        <v>144</v>
      </c>
      <c r="BL167" s="27" t="n">
        <v>2.44</v>
      </c>
      <c r="BM167" s="28" t="n">
        <v>0.409836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0.409836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6947dcc59f724f09</t>
        </is>
      </c>
      <c r="B168" s="24" t="inlineStr">
        <is>
          <t>2026-08-15T17:49:57.522927Z</t>
        </is>
      </c>
      <c r="C168" s="24" t="inlineStr">
        <is>
          <t>2026-08-15T19:45Z</t>
        </is>
      </c>
      <c r="D168" s="24" t="inlineStr">
        <is>
          <t>401841499</t>
        </is>
      </c>
      <c r="E168" s="24" t="inlineStr">
        <is>
          <t>SOCCER</t>
        </is>
      </c>
      <c r="F168" s="24" t="inlineStr">
        <is>
          <t>Gimnasia La Plata</t>
        </is>
      </c>
      <c r="G168" s="24" t="inlineStr">
        <is>
          <t>Estudiantes de La Plata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117</v>
      </c>
      <c r="M168" s="27" t="n">
        <v>2.17</v>
      </c>
      <c r="N168" s="28" t="n">
        <v>0.460829</v>
      </c>
      <c r="O168" s="28" t="n">
        <v>0.451659</v>
      </c>
      <c r="P168" s="28" t="n">
        <v>0.2</v>
      </c>
      <c r="Q168" s="28" t="n">
        <v>-0.009169999999999999</v>
      </c>
      <c r="R168" s="26" t="n">
        <v>0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4</v>
      </c>
      <c r="Y168" s="25" t="n"/>
      <c r="Z168" s="26" t="n"/>
      <c r="AA168" s="28" t="n"/>
      <c r="AB168" s="28" t="n"/>
      <c r="AC168" s="30" t="n">
        <v>1.17</v>
      </c>
      <c r="AD168" s="24" t="inlineStr">
        <is>
          <t>2026-08-16T00:08:52.003874Z</t>
        </is>
      </c>
      <c r="AE168" s="31" t="inlineStr">
        <is>
          <t>Poisson-DC rates 1.59 (home) / 1.20 (away) from EWMA attack/defense strengths. Executable ask 0.4600 (atc-lpa-est-gim-2026-08-15-est).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PAPER_CALL_MODEL_UNVALIDATED</t>
        </is>
      </c>
      <c r="AP168" s="24" t="inlineStr">
        <is>
          <t>Gimnasia La Plata</t>
        </is>
      </c>
      <c r="AQ168" s="24" t="inlineStr">
        <is>
          <t>Gimnasia La Plata</t>
        </is>
      </c>
      <c r="AR168" s="24" t="inlineStr">
        <is>
          <t>Gimnasia La Plata</t>
        </is>
      </c>
      <c r="AS168" s="24" t="inlineStr">
        <is>
          <t>Estudiantes de La Plata</t>
        </is>
      </c>
      <c r="AT168" s="24" t="inlineStr">
        <is>
          <t>Estudiantes de La Plata</t>
        </is>
      </c>
      <c r="AU168" s="24" t="inlineStr">
        <is>
          <t>Estudiantes de La Plata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c95ec2023134439ab985cb4cdcc58243749b9deb564fca7a2d587c15c9875427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c95ec2023134439ab985cb4cdcc58243749b9deb564fca7a2d587c15c9875427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c95ec2023134439ab985cb4cdcc58243749b9deb564fca7a2d587c15c9875427</t>
        </is>
      </c>
      <c r="BH168" s="24" t="inlineStr">
        <is>
          <t>2026-08-15T17:48:21.553099Z</t>
        </is>
      </c>
      <c r="BI168" s="24" t="inlineStr">
        <is>
          <t>["same_event","same_team_same_day","same_league_same_day"]</t>
        </is>
      </c>
      <c r="BJ168" s="25" t="n"/>
      <c r="BK168" s="26" t="n">
        <v>117</v>
      </c>
      <c r="BL168" s="27" t="n">
        <v>2.17</v>
      </c>
      <c r="BM168" s="28" t="n">
        <v>0.460829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0.460829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247642853f55437b</t>
        </is>
      </c>
      <c r="B169" s="24" t="inlineStr">
        <is>
          <t>2026-08-15T17:49:57.522927Z</t>
        </is>
      </c>
      <c r="C169" s="24" t="inlineStr">
        <is>
          <t>2026-08-15T18:00Z</t>
        </is>
      </c>
      <c r="D169" s="24" t="inlineStr">
        <is>
          <t>401844055</t>
        </is>
      </c>
      <c r="E169" s="24" t="inlineStr">
        <is>
          <t>SOCCER</t>
        </is>
      </c>
      <c r="F169" s="24" t="inlineStr">
        <is>
          <t>Atlanta</t>
        </is>
      </c>
      <c r="G169" s="24" t="inlineStr">
        <is>
          <t>Ferro Carril Oeste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100</v>
      </c>
      <c r="M169" s="27" t="n">
        <v>2</v>
      </c>
      <c r="N169" s="28" t="n">
        <v>0.5</v>
      </c>
      <c r="O169" s="28" t="n">
        <v>0.456135</v>
      </c>
      <c r="P169" s="28" t="n">
        <v>0.2</v>
      </c>
      <c r="Q169" s="28" t="n">
        <v>-0.043865</v>
      </c>
      <c r="R169" s="26" t="n">
        <v>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3</v>
      </c>
      <c r="Y169" s="25" t="n"/>
      <c r="Z169" s="26" t="n"/>
      <c r="AA169" s="28" t="n"/>
      <c r="AB169" s="28" t="n"/>
      <c r="AC169" s="30" t="n">
        <v>1</v>
      </c>
      <c r="AD169" s="24" t="inlineStr">
        <is>
          <t>2026-08-16T00:08:53.469338Z</t>
        </is>
      </c>
      <c r="AE169" s="31" t="inlineStr">
        <is>
          <t>Poisson-DC rates 1.64 (home) / 1.24 (away) from EWMA attack/defense strengths. Executable ask 0.5000 (atc-arg2-fco-atl-2026-08-15-fco).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PAPER_CALL_MODEL_UNVALIDATED</t>
        </is>
      </c>
      <c r="AP169" s="24" t="inlineStr">
        <is>
          <t>Atlanta</t>
        </is>
      </c>
      <c r="AQ169" s="24" t="inlineStr">
        <is>
          <t>Atlanta</t>
        </is>
      </c>
      <c r="AR169" s="24" t="inlineStr">
        <is>
          <t>Atlanta</t>
        </is>
      </c>
      <c r="AS169" s="24" t="inlineStr">
        <is>
          <t>Ferro Carril Oeste</t>
        </is>
      </c>
      <c r="AT169" s="24" t="inlineStr">
        <is>
          <t>Ferro Carril Oeste</t>
        </is>
      </c>
      <c r="AU169" s="24" t="inlineStr">
        <is>
          <t>Ferro Carril Oeste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c95ec2023134439ab985cb4cdcc58243749b9deb564fca7a2d587c15c9875427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c95ec2023134439ab985cb4cdcc58243749b9deb564fca7a2d587c15c9875427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c95ec2023134439ab985cb4cdcc58243749b9deb564fca7a2d587c15c9875427</t>
        </is>
      </c>
      <c r="BH169" s="24" t="inlineStr">
        <is>
          <t>2026-08-15T17:48:21.867466Z</t>
        </is>
      </c>
      <c r="BI169" s="24" t="inlineStr">
        <is>
          <t>["same_event","same_team_same_day","same_league_same_day"]</t>
        </is>
      </c>
      <c r="BJ169" s="25" t="n"/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e8c89e9c37ad4017</t>
        </is>
      </c>
      <c r="B170" s="24" t="inlineStr">
        <is>
          <t>2026-08-15T17:49:57.522927Z</t>
        </is>
      </c>
      <c r="C170" s="24" t="inlineStr">
        <is>
          <t>2026-08-15T18:00Z</t>
        </is>
      </c>
      <c r="D170" s="24" t="inlineStr">
        <is>
          <t>401844062</t>
        </is>
      </c>
      <c r="E170" s="24" t="inlineStr">
        <is>
          <t>SOCCER</t>
        </is>
      </c>
      <c r="F170" s="24" t="inlineStr">
        <is>
          <t>Colegiales</t>
        </is>
      </c>
      <c r="G170" s="24" t="inlineStr">
        <is>
          <t>San Miguel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150</v>
      </c>
      <c r="M170" s="27" t="n">
        <v>2.5</v>
      </c>
      <c r="N170" s="28" t="n">
        <v>0.4</v>
      </c>
      <c r="O170" s="28" t="n">
        <v>0.456135</v>
      </c>
      <c r="P170" s="28" t="n">
        <v>0.2</v>
      </c>
      <c r="Q170" s="28" t="n">
        <v>0.056135</v>
      </c>
      <c r="R170" s="26" t="n">
        <v>0</v>
      </c>
      <c r="S170" s="29" t="n">
        <v>1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2</v>
      </c>
      <c r="Y170" s="25" t="n"/>
      <c r="Z170" s="26" t="n"/>
      <c r="AA170" s="28" t="n"/>
      <c r="AB170" s="28" t="n"/>
      <c r="AC170" s="30" t="n">
        <v>1.5</v>
      </c>
      <c r="AD170" s="24" t="inlineStr">
        <is>
          <t>2026-08-16T00:08:54.616797Z</t>
        </is>
      </c>
      <c r="AE170" s="31" t="inlineStr">
        <is>
          <t>Poisson-DC rates 1.64 (home) / 1.24 (away) from EWMA attack/defense strengths. Executable ask 0.4000 (atc-arg2-casm-cac-2026-08-15-casm).</t>
        </is>
      </c>
      <c r="AF170" s="31" t="inlineStr">
        <is>
          <t>Research-only soccer score model; draw-aware, but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Colegiales</t>
        </is>
      </c>
      <c r="AQ170" s="24" t="inlineStr">
        <is>
          <t>Colegiales</t>
        </is>
      </c>
      <c r="AR170" s="24" t="inlineStr">
        <is>
          <t>Colegiales</t>
        </is>
      </c>
      <c r="AS170" s="24" t="inlineStr">
        <is>
          <t>San Miguel</t>
        </is>
      </c>
      <c r="AT170" s="24" t="inlineStr">
        <is>
          <t>San Miguel</t>
        </is>
      </c>
      <c r="AU170" s="24" t="inlineStr">
        <is>
          <t>San Miguel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c95ec2023134439ab985cb4cdcc58243749b9deb564fca7a2d587c15c9875427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c95ec2023134439ab985cb4cdcc58243749b9deb564fca7a2d587c15c9875427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c95ec2023134439ab985cb4cdcc58243749b9deb564fca7a2d587c15c9875427</t>
        </is>
      </c>
      <c r="BH170" s="24" t="inlineStr">
        <is>
          <t>2026-08-15T17:48:22.006923Z</t>
        </is>
      </c>
      <c r="BI170" s="24" t="inlineStr">
        <is>
          <t>["same_event","same_team_same_day","same_league_same_day"]</t>
        </is>
      </c>
      <c r="BJ170" s="25" t="n"/>
      <c r="BK170" s="26" t="n">
        <v>150</v>
      </c>
      <c r="BL170" s="27" t="n">
        <v>2.5</v>
      </c>
      <c r="BM170" s="28" t="n">
        <v>0.4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961d874177244d64</t>
        </is>
      </c>
      <c r="B171" s="24" t="inlineStr">
        <is>
          <t>2026-08-15T17:49:57.522927Z</t>
        </is>
      </c>
      <c r="C171" s="24" t="inlineStr">
        <is>
          <t>2026-08-15T19:30Z</t>
        </is>
      </c>
      <c r="D171" s="24" t="inlineStr">
        <is>
          <t>401906396</t>
        </is>
      </c>
      <c r="E171" s="24" t="inlineStr">
        <is>
          <t>SOCCER</t>
        </is>
      </c>
      <c r="F171" s="24" t="inlineStr">
        <is>
          <t>Nacional</t>
        </is>
      </c>
      <c r="G171" s="24" t="inlineStr">
        <is>
          <t>Racing (Montevideo)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223</v>
      </c>
      <c r="M171" s="27" t="n">
        <v>3.23</v>
      </c>
      <c r="N171" s="28" t="n">
        <v>0.309598</v>
      </c>
      <c r="O171" s="28" t="n">
        <v>0.456135</v>
      </c>
      <c r="P171" s="28" t="n">
        <v>0.2</v>
      </c>
      <c r="Q171" s="28" t="n">
        <v>0.146537</v>
      </c>
      <c r="R171" s="26" t="n">
        <v>3</v>
      </c>
      <c r="S171" s="29" t="n">
        <v>1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2</v>
      </c>
      <c r="Y171" s="25" t="n"/>
      <c r="Z171" s="26" t="n"/>
      <c r="AA171" s="28" t="n"/>
      <c r="AB171" s="28" t="n"/>
      <c r="AC171" s="30" t="n">
        <v>2.23</v>
      </c>
      <c r="AD171" s="24" t="inlineStr">
        <is>
          <t>2026-08-16T00:08:56.652435Z</t>
        </is>
      </c>
      <c r="AE171" s="31" t="inlineStr">
        <is>
          <t>Poisson-DC rates 1.64 (home) / 1.24 (away) from EWMA attack/defense strengths. Executable ask 0.3100 (atc-uru1-rcm-nac-2026-08-15-rcm).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PAPER_CALL_MODEL_UNVALIDATED</t>
        </is>
      </c>
      <c r="AP171" s="24" t="inlineStr">
        <is>
          <t>Nacional</t>
        </is>
      </c>
      <c r="AQ171" s="24" t="inlineStr">
        <is>
          <t>Nacional</t>
        </is>
      </c>
      <c r="AR171" s="24" t="inlineStr">
        <is>
          <t>Nacional</t>
        </is>
      </c>
      <c r="AS171" s="24" t="inlineStr">
        <is>
          <t>Racing (Montevideo)</t>
        </is>
      </c>
      <c r="AT171" s="24" t="inlineStr">
        <is>
          <t>Racing (Montevideo)</t>
        </is>
      </c>
      <c r="AU171" s="24" t="inlineStr">
        <is>
          <t>Racing (Montevideo)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c95ec2023134439ab985cb4cdcc58243749b9deb564fca7a2d587c15c9875427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c95ec2023134439ab985cb4cdcc58243749b9deb564fca7a2d587c15c9875427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c95ec2023134439ab985cb4cdcc58243749b9deb564fca7a2d587c15c9875427</t>
        </is>
      </c>
      <c r="BH171" s="24" t="inlineStr">
        <is>
          <t>2026-08-15T17:48:23.425810Z</t>
        </is>
      </c>
      <c r="BI171" s="24" t="inlineStr">
        <is>
          <t>["same_event","same_team_same_day","same_league_same_day"]</t>
        </is>
      </c>
      <c r="BJ171" s="25" t="n"/>
      <c r="BK171" s="26" t="n">
        <v>223</v>
      </c>
      <c r="BL171" s="27" t="n">
        <v>3.23</v>
      </c>
      <c r="BM171" s="28" t="n">
        <v>0.309598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0.309598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d657a6500a084753</t>
        </is>
      </c>
      <c r="B172" s="24" t="inlineStr">
        <is>
          <t>2026-08-15T17:49:57.522927Z</t>
        </is>
      </c>
      <c r="C172" s="24" t="inlineStr">
        <is>
          <t>2026-08-15T19:00Z</t>
        </is>
      </c>
      <c r="D172" s="24" t="inlineStr">
        <is>
          <t>401859720</t>
        </is>
      </c>
      <c r="E172" s="24" t="inlineStr">
        <is>
          <t>SOCCER</t>
        </is>
      </c>
      <c r="F172" s="24" t="inlineStr">
        <is>
          <t>Leones</t>
        </is>
      </c>
      <c r="G172" s="24" t="inlineStr">
        <is>
          <t>Manta F.C.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170</v>
      </c>
      <c r="M172" s="27" t="n">
        <v>2.7</v>
      </c>
      <c r="N172" s="28" t="n">
        <v>0.37037</v>
      </c>
      <c r="O172" s="28" t="n">
        <v>0.418807</v>
      </c>
      <c r="P172" s="28" t="n">
        <v>0.2</v>
      </c>
      <c r="Q172" s="28" t="n">
        <v>0.048437</v>
      </c>
      <c r="R172" s="26" t="n">
        <v>0</v>
      </c>
      <c r="S172" s="29" t="n">
        <v>1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2</v>
      </c>
      <c r="X172" s="26" t="n">
        <v>0</v>
      </c>
      <c r="Y172" s="25" t="n"/>
      <c r="Z172" s="26" t="n"/>
      <c r="AA172" s="28" t="n"/>
      <c r="AB172" s="28" t="n"/>
      <c r="AC172" s="30" t="n">
        <v>-1</v>
      </c>
      <c r="AD172" s="24" t="inlineStr">
        <is>
          <t>2026-08-15T21:03:08.967370Z</t>
        </is>
      </c>
      <c r="AE172" s="31" t="inlineStr">
        <is>
          <t>Poisson-DC rates 1.46 (home) / 1.20 (away) from EWMA attack/defense strengths. Executable ask 0.3700 (atc-ecu1-man-leo-2026-08-15-man).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PAPER_CALL_MODEL_UNVALIDATED</t>
        </is>
      </c>
      <c r="AP172" s="24" t="inlineStr">
        <is>
          <t>Leones</t>
        </is>
      </c>
      <c r="AQ172" s="24" t="inlineStr">
        <is>
          <t>Leones</t>
        </is>
      </c>
      <c r="AR172" s="24" t="inlineStr">
        <is>
          <t>Leones</t>
        </is>
      </c>
      <c r="AS172" s="24" t="inlineStr">
        <is>
          <t>Manta F.C.</t>
        </is>
      </c>
      <c r="AT172" s="24" t="inlineStr">
        <is>
          <t>Manta F.C.</t>
        </is>
      </c>
      <c r="AU172" s="24" t="inlineStr">
        <is>
          <t>Manta F.C.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c95ec2023134439ab985cb4cdcc58243749b9deb564fca7a2d587c15c9875427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c95ec2023134439ab985cb4cdcc58243749b9deb564fca7a2d587c15c9875427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c95ec2023134439ab985cb4cdcc58243749b9deb564fca7a2d587c15c9875427</t>
        </is>
      </c>
      <c r="BH172" s="24" t="inlineStr">
        <is>
          <t>2026-08-15T17:48:23.733393Z</t>
        </is>
      </c>
      <c r="BI172" s="24" t="inlineStr">
        <is>
          <t>["same_event","same_team_same_day","same_league_same_day"]</t>
        </is>
      </c>
      <c r="BJ172" s="25" t="n"/>
      <c r="BK172" s="26" t="n">
        <v>170</v>
      </c>
      <c r="BL172" s="27" t="n">
        <v>2.7</v>
      </c>
      <c r="BM172" s="28" t="n">
        <v>0.37037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0.37037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7f88a1f047e042fd</t>
        </is>
      </c>
      <c r="B173" s="24" t="inlineStr">
        <is>
          <t>2026-08-15T17:49:57.522927Z</t>
        </is>
      </c>
      <c r="C173" s="24" t="inlineStr">
        <is>
          <t>2026-08-15T20:30Z</t>
        </is>
      </c>
      <c r="D173" s="24" t="inlineStr">
        <is>
          <t>401886230</t>
        </is>
      </c>
      <c r="E173" s="24" t="inlineStr">
        <is>
          <t>SOCCER</t>
        </is>
      </c>
      <c r="F173" s="24" t="inlineStr">
        <is>
          <t>Melgar</t>
        </is>
      </c>
      <c r="G173" s="24" t="inlineStr">
        <is>
          <t>Los Chankas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212</v>
      </c>
      <c r="M173" s="27" t="n">
        <v>3.12</v>
      </c>
      <c r="N173" s="28" t="n">
        <v>0.320513</v>
      </c>
      <c r="O173" s="28" t="n">
        <v>0.456135</v>
      </c>
      <c r="P173" s="28" t="n">
        <v>0.2</v>
      </c>
      <c r="Q173" s="28" t="n">
        <v>0.135622</v>
      </c>
      <c r="R173" s="26" t="n">
        <v>0</v>
      </c>
      <c r="S173" s="29" t="n">
        <v>1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3</v>
      </c>
      <c r="X173" s="26" t="n">
        <v>0</v>
      </c>
      <c r="Y173" s="25" t="n"/>
      <c r="Z173" s="26" t="n"/>
      <c r="AA173" s="28" t="n"/>
      <c r="AB173" s="28" t="n"/>
      <c r="AC173" s="30" t="n">
        <v>-1</v>
      </c>
      <c r="AD173" s="24" t="inlineStr">
        <is>
          <t>2026-08-16T00:08:58.692058Z</t>
        </is>
      </c>
      <c r="AE173" s="31" t="inlineStr">
        <is>
          <t>Poisson-DC rates 1.64 (home) / 1.24 (away) from EWMA attack/defense strengths. Executable ask 0.3200 (atc-pl1-cha-mel-2026-08-15-cha).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Melgar</t>
        </is>
      </c>
      <c r="AQ173" s="24" t="inlineStr">
        <is>
          <t>Melgar</t>
        </is>
      </c>
      <c r="AR173" s="24" t="inlineStr">
        <is>
          <t>Melgar</t>
        </is>
      </c>
      <c r="AS173" s="24" t="inlineStr">
        <is>
          <t>Los Chankas</t>
        </is>
      </c>
      <c r="AT173" s="24" t="inlineStr">
        <is>
          <t>Los Chankas</t>
        </is>
      </c>
      <c r="AU173" s="24" t="inlineStr">
        <is>
          <t>Los Chankas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c95ec2023134439ab985cb4cdcc58243749b9deb564fca7a2d587c15c9875427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c95ec2023134439ab985cb4cdcc58243749b9deb564fca7a2d587c15c9875427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c95ec2023134439ab985cb4cdcc58243749b9deb564fca7a2d587c15c9875427</t>
        </is>
      </c>
      <c r="BH173" s="24" t="inlineStr">
        <is>
          <t>2026-08-15T17:48:24.050734Z</t>
        </is>
      </c>
      <c r="BI173" s="24" t="inlineStr">
        <is>
          <t>["same_event","same_team_same_day","same_league_same_day"]</t>
        </is>
      </c>
      <c r="BJ173" s="25" t="n"/>
      <c r="BK173" s="26" t="n">
        <v>212</v>
      </c>
      <c r="BL173" s="27" t="n">
        <v>3.12</v>
      </c>
      <c r="BM173" s="28" t="n">
        <v>0.320513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0.320513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b4527fc3528e436b</t>
        </is>
      </c>
      <c r="B174" s="24" t="inlineStr">
        <is>
          <t>2026-08-15T21:06:13.445365Z</t>
        </is>
      </c>
      <c r="C174" s="24" t="inlineStr">
        <is>
          <t>2026-08-15T23:30Z</t>
        </is>
      </c>
      <c r="D174" s="24" t="inlineStr">
        <is>
          <t>761710</t>
        </is>
      </c>
      <c r="E174" s="24" t="inlineStr">
        <is>
          <t>SOCCER</t>
        </is>
      </c>
      <c r="F174" s="24" t="inlineStr">
        <is>
          <t>Columbus Crew</t>
        </is>
      </c>
      <c r="G174" s="24" t="inlineStr">
        <is>
          <t>Charlotte FC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-133</v>
      </c>
      <c r="M174" s="27" t="n">
        <v>1.75188</v>
      </c>
      <c r="N174" s="28" t="n">
        <v>0.570815</v>
      </c>
      <c r="O174" s="28" t="n">
        <v>0.595311</v>
      </c>
      <c r="P174" s="28" t="n">
        <v>0.04</v>
      </c>
      <c r="Q174" s="28" t="n">
        <v>0.024496</v>
      </c>
      <c r="R174" s="26" t="n">
        <v>38</v>
      </c>
      <c r="S174" s="29" t="n">
        <v>1.25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3</v>
      </c>
      <c r="Y174" s="25" t="n"/>
      <c r="Z174" s="26" t="n"/>
      <c r="AA174" s="28" t="n"/>
      <c r="AB174" s="28" t="n"/>
      <c r="AC174" s="30" t="n">
        <v>0.9399</v>
      </c>
      <c r="AD174" s="24" t="inlineStr">
        <is>
          <t>2026-08-16T03:14:27.879480Z</t>
        </is>
      </c>
      <c r="AE174" s="31" t="inlineStr">
        <is>
          <t>Poisson-DC rates 1.79 (home) / 1.29 (away) from EWMA attack/defense strengths. Executable ask 0.5700 (tsc-mls-clt-clb-2026-08-15-2pt5).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Columbus Crew</t>
        </is>
      </c>
      <c r="AQ174" s="24" t="inlineStr">
        <is>
          <t>Columbus Crew</t>
        </is>
      </c>
      <c r="AR174" s="24" t="inlineStr">
        <is>
          <t>Columbus Crew</t>
        </is>
      </c>
      <c r="AS174" s="24" t="inlineStr">
        <is>
          <t>Charlotte FC</t>
        </is>
      </c>
      <c r="AT174" s="24" t="inlineStr">
        <is>
          <t>Charlotte FC</t>
        </is>
      </c>
      <c r="AU174" s="24" t="inlineStr">
        <is>
          <t>Charlotte FC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c95ec2023134439ab985cb4cdcc58243749b9deb564fca7a2d587c15c9875427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c95ec2023134439ab985cb4cdcc58243749b9deb564fca7a2d587c15c9875427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c95ec2023134439ab985cb4cdcc58243749b9deb564fca7a2d587c15c9875427</t>
        </is>
      </c>
      <c r="BH174" s="24" t="inlineStr">
        <is>
          <t>2026-08-15T21:04:56.303539Z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-133</v>
      </c>
      <c r="BL174" s="27" t="n">
        <v>1.75188</v>
      </c>
      <c r="BM174" s="28" t="n">
        <v>0.570815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0.570815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2b621d06ab9943d6</t>
        </is>
      </c>
      <c r="B175" s="24" t="inlineStr">
        <is>
          <t>2026-08-15T21:06:13.445365Z</t>
        </is>
      </c>
      <c r="C175" s="24" t="inlineStr">
        <is>
          <t>2026-08-15T23:30Z</t>
        </is>
      </c>
      <c r="D175" s="24" t="inlineStr">
        <is>
          <t>761713</t>
        </is>
      </c>
      <c r="E175" s="24" t="inlineStr">
        <is>
          <t>SOCCER</t>
        </is>
      </c>
      <c r="F175" s="24" t="inlineStr">
        <is>
          <t>FC Cincinnati</t>
        </is>
      </c>
      <c r="G175" s="24" t="inlineStr">
        <is>
          <t>Orlando City SC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-300</v>
      </c>
      <c r="M175" s="27" t="n">
        <v>1.333333</v>
      </c>
      <c r="N175" s="28" t="n">
        <v>0.75</v>
      </c>
      <c r="O175" s="28" t="n">
        <v>0.937877</v>
      </c>
      <c r="P175" s="28" t="n">
        <v>0.04</v>
      </c>
      <c r="Q175" s="28" t="n">
        <v>0.187877</v>
      </c>
      <c r="R175" s="26" t="n">
        <v>100</v>
      </c>
      <c r="S175" s="29" t="n">
        <v>2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1</v>
      </c>
      <c r="Y175" s="25" t="n"/>
      <c r="Z175" s="26" t="n"/>
      <c r="AA175" s="28" t="n"/>
      <c r="AB175" s="28" t="n"/>
      <c r="AC175" s="30" t="n">
        <v>-2</v>
      </c>
      <c r="AD175" s="24" t="inlineStr">
        <is>
          <t>2026-08-16T03:14:28.989016Z</t>
        </is>
      </c>
      <c r="AE175" s="31" t="inlineStr">
        <is>
          <t>Poisson-DC rates 2.82 (home) / 3.18 (away) from EWMA attack/defense strengths. Executable ask 0.7500 (tsc-mls-orl-fcc-2026-08-15-2pt5).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FC Cincinnati</t>
        </is>
      </c>
      <c r="AQ175" s="24" t="inlineStr">
        <is>
          <t>FC Cincinnati</t>
        </is>
      </c>
      <c r="AR175" s="24" t="inlineStr">
        <is>
          <t>FC Cincinnati</t>
        </is>
      </c>
      <c r="AS175" s="24" t="inlineStr">
        <is>
          <t>Orlando City SC</t>
        </is>
      </c>
      <c r="AT175" s="24" t="inlineStr">
        <is>
          <t>Orlando City SC</t>
        </is>
      </c>
      <c r="AU175" s="24" t="inlineStr">
        <is>
          <t>Orlando City SC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c95ec2023134439ab985cb4cdcc58243749b9deb564fca7a2d587c15c9875427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c95ec2023134439ab985cb4cdcc58243749b9deb564fca7a2d587c15c9875427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c95ec2023134439ab985cb4cdcc58243749b9deb564fca7a2d587c15c9875427</t>
        </is>
      </c>
      <c r="BH175" s="24" t="inlineStr">
        <is>
          <t>2026-08-15T21:04:56.769437Z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-300</v>
      </c>
      <c r="BL175" s="27" t="n">
        <v>1.333333</v>
      </c>
      <c r="BM175" s="28" t="n">
        <v>0.75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0.75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8cb5e364123340cb</t>
        </is>
      </c>
      <c r="B176" s="24" t="inlineStr">
        <is>
          <t>2026-08-15T21:06:13.445365Z</t>
        </is>
      </c>
      <c r="C176" s="24" t="inlineStr">
        <is>
          <t>2026-08-15T23:30Z</t>
        </is>
      </c>
      <c r="D176" s="24" t="inlineStr">
        <is>
          <t>761714</t>
        </is>
      </c>
      <c r="E176" s="24" t="inlineStr">
        <is>
          <t>SOCCER</t>
        </is>
      </c>
      <c r="F176" s="24" t="inlineStr">
        <is>
          <t>New England Revolution</t>
        </is>
      </c>
      <c r="G176" s="24" t="inlineStr">
        <is>
          <t>Toronto FC</t>
        </is>
      </c>
      <c r="H176" s="24" t="inlineStr">
        <is>
          <t>total</t>
        </is>
      </c>
      <c r="I176" s="24" t="inlineStr">
        <is>
          <t>over</t>
        </is>
      </c>
      <c r="J176" s="25" t="n">
        <v>2.5</v>
      </c>
      <c r="K176" s="24" t="inlineStr">
        <is>
          <t>polymarket_us</t>
        </is>
      </c>
      <c r="L176" s="26" t="n">
        <v>-144</v>
      </c>
      <c r="M176" s="27" t="n">
        <v>1.694444</v>
      </c>
      <c r="N176" s="28" t="n">
        <v>0.590164</v>
      </c>
      <c r="O176" s="28" t="n">
        <v>0.573706</v>
      </c>
      <c r="P176" s="28" t="n">
        <v>0.04</v>
      </c>
      <c r="Q176" s="28" t="n">
        <v>-0.016458</v>
      </c>
      <c r="R176" s="26" t="n">
        <v>18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0.8681</v>
      </c>
      <c r="AD176" s="24" t="inlineStr">
        <is>
          <t>2026-08-16T03:14:29.927017Z</t>
        </is>
      </c>
      <c r="AE176" s="31" t="inlineStr">
        <is>
          <t>Poisson-DC rates 1.53 (home) / 1.45 (away) from EWMA attack/defense strengths. Executable ask 0.5900 (tsc-mls-tor-ner-2026-08-15-2pt5).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New England Revolution</t>
        </is>
      </c>
      <c r="AQ176" s="24" t="inlineStr">
        <is>
          <t>New England Revolution</t>
        </is>
      </c>
      <c r="AR176" s="24" t="inlineStr">
        <is>
          <t>New England Revolution</t>
        </is>
      </c>
      <c r="AS176" s="24" t="inlineStr">
        <is>
          <t>Toronto FC</t>
        </is>
      </c>
      <c r="AT176" s="24" t="inlineStr">
        <is>
          <t>Toronto FC</t>
        </is>
      </c>
      <c r="AU176" s="24" t="inlineStr">
        <is>
          <t>Toronto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c95ec2023134439ab985cb4cdcc58243749b9deb564fca7a2d587c15c9875427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c95ec2023134439ab985cb4cdcc58243749b9deb564fca7a2d587c15c9875427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c95ec2023134439ab985cb4cdcc58243749b9deb564fca7a2d587c15c9875427</t>
        </is>
      </c>
      <c r="BH176" s="24" t="inlineStr">
        <is>
          <t>2026-08-15T21:04:57.757142Z</t>
        </is>
      </c>
      <c r="BI176" s="24" t="inlineStr">
        <is>
          <t>["same_event","same_team_same_day","same_league_same_day"]</t>
        </is>
      </c>
      <c r="BJ176" s="25" t="n">
        <v>2.5</v>
      </c>
      <c r="BK176" s="26" t="n">
        <v>-144</v>
      </c>
      <c r="BL176" s="27" t="n">
        <v>1.694444</v>
      </c>
      <c r="BM176" s="28" t="n">
        <v>0.590164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0.590164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59170a5b284f4c7a</t>
        </is>
      </c>
      <c r="B177" s="24" t="inlineStr">
        <is>
          <t>2026-08-15T21:06:13.445365Z</t>
        </is>
      </c>
      <c r="C177" s="24" t="inlineStr">
        <is>
          <t>2026-08-15T23:30Z</t>
        </is>
      </c>
      <c r="D177" s="24" t="inlineStr">
        <is>
          <t>761710</t>
        </is>
      </c>
      <c r="E177" s="24" t="inlineStr">
        <is>
          <t>SOCCER</t>
        </is>
      </c>
      <c r="F177" s="24" t="inlineStr">
        <is>
          <t>Columbus Crew</t>
        </is>
      </c>
      <c r="G177" s="24" t="inlineStr">
        <is>
          <t>Charlotte FC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133</v>
      </c>
      <c r="M177" s="27" t="n">
        <v>2.33</v>
      </c>
      <c r="N177" s="28" t="n">
        <v>0.429185</v>
      </c>
      <c r="O177" s="28" t="n">
        <v>0.481614</v>
      </c>
      <c r="P177" s="28" t="n">
        <v>0.04</v>
      </c>
      <c r="Q177" s="28" t="n">
        <v>0.052429</v>
      </c>
      <c r="R177" s="26" t="n">
        <v>52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3</v>
      </c>
      <c r="Y177" s="25" t="n"/>
      <c r="Z177" s="26" t="n"/>
      <c r="AA177" s="28" t="n"/>
      <c r="AB177" s="28" t="n"/>
      <c r="AC177" s="30" t="n">
        <v>1.33</v>
      </c>
      <c r="AD177" s="24" t="inlineStr">
        <is>
          <t>2026-08-16T03:14:31.100763Z</t>
        </is>
      </c>
      <c r="AE177" s="31" t="inlineStr">
        <is>
          <t>Poisson-DC rates 1.79 (home) / 1.29 (away) from EWMA attack/defense strengths. Executable ask 0.4300 (atc-mls-clt-clb-2026-08-15-clt).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Columbus Crew</t>
        </is>
      </c>
      <c r="AQ177" s="24" t="inlineStr">
        <is>
          <t>Columbus Crew</t>
        </is>
      </c>
      <c r="AR177" s="24" t="inlineStr">
        <is>
          <t>Columbus Crew</t>
        </is>
      </c>
      <c r="AS177" s="24" t="inlineStr">
        <is>
          <t>Charlotte FC</t>
        </is>
      </c>
      <c r="AT177" s="24" t="inlineStr">
        <is>
          <t>Charlotte FC</t>
        </is>
      </c>
      <c r="AU177" s="24" t="inlineStr">
        <is>
          <t>Charlotte FC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c95ec2023134439ab985cb4cdcc58243749b9deb564fca7a2d587c15c9875427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c95ec2023134439ab985cb4cdcc58243749b9deb564fca7a2d587c15c9875427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c95ec2023134439ab985cb4cdcc58243749b9deb564fca7a2d587c15c9875427</t>
        </is>
      </c>
      <c r="BH177" s="24" t="inlineStr">
        <is>
          <t>2026-08-15T21:04:55.671932Z</t>
        </is>
      </c>
      <c r="BI177" s="24" t="inlineStr">
        <is>
          <t>["same_event","same_team_same_day","same_league_same_day"]</t>
        </is>
      </c>
      <c r="BJ177" s="25" t="n"/>
      <c r="BK177" s="26" t="n">
        <v>133</v>
      </c>
      <c r="BL177" s="27" t="n">
        <v>2.33</v>
      </c>
      <c r="BM177" s="28" t="n">
        <v>0.429185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0.429185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79defc0d564b4bf7</t>
        </is>
      </c>
      <c r="B178" s="24" t="inlineStr">
        <is>
          <t>2026-08-15T21:06:13.445365Z</t>
        </is>
      </c>
      <c r="C178" s="24" t="inlineStr">
        <is>
          <t>2026-08-15T23:30Z</t>
        </is>
      </c>
      <c r="D178" s="24" t="inlineStr">
        <is>
          <t>761713</t>
        </is>
      </c>
      <c r="E178" s="24" t="inlineStr">
        <is>
          <t>SOCCER</t>
        </is>
      </c>
      <c r="F178" s="24" t="inlineStr">
        <is>
          <t>FC Cincinnati</t>
        </is>
      </c>
      <c r="G178" s="24" t="inlineStr">
        <is>
          <t>Orlando City SC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178</v>
      </c>
      <c r="M178" s="27" t="n">
        <v>2.78</v>
      </c>
      <c r="N178" s="28" t="n">
        <v>0.359712</v>
      </c>
      <c r="O178" s="28" t="n">
        <v>0.47254</v>
      </c>
      <c r="P178" s="28" t="n">
        <v>0.04</v>
      </c>
      <c r="Q178" s="28" t="n">
        <v>0.112828</v>
      </c>
      <c r="R178" s="26" t="n">
        <v>82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loss</t>
        </is>
      </c>
      <c r="W178" s="26" t="n">
        <v>1</v>
      </c>
      <c r="X178" s="26" t="n">
        <v>1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2026-08-16T03:14:32.227083Z</t>
        </is>
      </c>
      <c r="AE178" s="31" t="inlineStr">
        <is>
          <t>Poisson-DC rates 2.82 (home) / 3.18 (away) from EWMA attack/defense strengths. Executable ask 0.3600 (atc-mls-orl-fcc-2026-08-15-fcc).</t>
        </is>
      </c>
      <c r="AF178" s="31" t="inlineStr">
        <is>
          <t>Research-only soccer score model; draw-aware, but not yet locked-holdout qualified.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FC Cincinnati</t>
        </is>
      </c>
      <c r="AQ178" s="24" t="inlineStr">
        <is>
          <t>FC Cincinnati</t>
        </is>
      </c>
      <c r="AR178" s="24" t="inlineStr">
        <is>
          <t>FC Cincinnati</t>
        </is>
      </c>
      <c r="AS178" s="24" t="inlineStr">
        <is>
          <t>Orlando City SC</t>
        </is>
      </c>
      <c r="AT178" s="24" t="inlineStr">
        <is>
          <t>Orlando City SC</t>
        </is>
      </c>
      <c r="AU178" s="24" t="inlineStr">
        <is>
          <t>Orlando City SC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c95ec2023134439ab985cb4cdcc58243749b9deb564fca7a2d587c15c9875427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c95ec2023134439ab985cb4cdcc58243749b9deb564fca7a2d587c15c9875427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c95ec2023134439ab985cb4cdcc58243749b9deb564fca7a2d587c15c9875427</t>
        </is>
      </c>
      <c r="BH178" s="24" t="inlineStr">
        <is>
          <t>2026-08-15T21:04:56.554681Z</t>
        </is>
      </c>
      <c r="BI178" s="24" t="inlineStr">
        <is>
          <t>["same_event","same_team_same_day","same_league_same_day"]</t>
        </is>
      </c>
      <c r="BJ178" s="25" t="n"/>
      <c r="BK178" s="26" t="n">
        <v>178</v>
      </c>
      <c r="BL178" s="27" t="n">
        <v>2.78</v>
      </c>
      <c r="BM178" s="28" t="n">
        <v>0.359712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0.359712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b2fb41fba3324fe2</t>
        </is>
      </c>
      <c r="B179" s="24" t="inlineStr">
        <is>
          <t>2026-08-15T21:06:13.445365Z</t>
        </is>
      </c>
      <c r="C179" s="24" t="inlineStr">
        <is>
          <t>2026-08-15T23:30Z</t>
        </is>
      </c>
      <c r="D179" s="24" t="inlineStr">
        <is>
          <t>761714</t>
        </is>
      </c>
      <c r="E179" s="24" t="inlineStr">
        <is>
          <t>SOCCER</t>
        </is>
      </c>
      <c r="F179" s="24" t="inlineStr">
        <is>
          <t>New England Revolution</t>
        </is>
      </c>
      <c r="G179" s="24" t="inlineStr">
        <is>
          <t>Toronto FC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108</v>
      </c>
      <c r="M179" s="27" t="n">
        <v>2.08</v>
      </c>
      <c r="N179" s="28" t="n">
        <v>0.480769</v>
      </c>
      <c r="O179" s="28" t="n">
        <v>0.385284</v>
      </c>
      <c r="P179" s="28" t="n">
        <v>0.04</v>
      </c>
      <c r="Q179" s="28" t="n">
        <v>-0.095485</v>
      </c>
      <c r="R179" s="26" t="n">
        <v>0</v>
      </c>
      <c r="S179" s="29" t="n">
        <v>1.5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1.62</v>
      </c>
      <c r="AD179" s="24" t="inlineStr">
        <is>
          <t>2026-08-16T03:14:33.406086Z</t>
        </is>
      </c>
      <c r="AE179" s="31" t="inlineStr">
        <is>
          <t>Poisson-DC rates 1.53 (home) / 1.45 (away) from EWMA attack/defense strengths. Executable ask 0.4800 (atc-mls-tor-ner-2026-08-15-tor).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New England Revolution</t>
        </is>
      </c>
      <c r="AQ179" s="24" t="inlineStr">
        <is>
          <t>New England Revolution</t>
        </is>
      </c>
      <c r="AR179" s="24" t="inlineStr">
        <is>
          <t>New England Revolution</t>
        </is>
      </c>
      <c r="AS179" s="24" t="inlineStr">
        <is>
          <t>Toronto FC</t>
        </is>
      </c>
      <c r="AT179" s="24" t="inlineStr">
        <is>
          <t>Toronto FC</t>
        </is>
      </c>
      <c r="AU179" s="24" t="inlineStr">
        <is>
          <t>Toronto FC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c95ec2023134439ab985cb4cdcc58243749b9deb564fca7a2d587c15c9875427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c95ec2023134439ab985cb4cdcc58243749b9deb564fca7a2d587c15c9875427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c95ec2023134439ab985cb4cdcc58243749b9deb564fca7a2d587c15c9875427</t>
        </is>
      </c>
      <c r="BH179" s="24" t="inlineStr">
        <is>
          <t>2026-08-15T21:04:57.286923Z</t>
        </is>
      </c>
      <c r="BI179" s="24" t="inlineStr">
        <is>
          <t>["same_event","same_team_same_day","same_league_same_day"]</t>
        </is>
      </c>
      <c r="BJ179" s="25" t="n"/>
      <c r="BK179" s="26" t="n">
        <v>108</v>
      </c>
      <c r="BL179" s="27" t="n">
        <v>2.08</v>
      </c>
      <c r="BM179" s="28" t="n">
        <v>0.480769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0.480769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6e56d1a20f9442b0</t>
        </is>
      </c>
      <c r="B180" s="24" t="inlineStr">
        <is>
          <t>2026-08-15T21:06:13.445365Z</t>
        </is>
      </c>
      <c r="C180" s="24" t="inlineStr">
        <is>
          <t>2026-08-16T00:00Z</t>
        </is>
      </c>
      <c r="D180" s="24" t="inlineStr">
        <is>
          <t>401841189</t>
        </is>
      </c>
      <c r="E180" s="24" t="inlineStr">
        <is>
          <t>SOCCER</t>
        </is>
      </c>
      <c r="F180" s="24" t="inlineStr">
        <is>
          <t>Coritiba</t>
        </is>
      </c>
      <c r="G180" s="24" t="inlineStr">
        <is>
          <t>São Paulo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-122</v>
      </c>
      <c r="M180" s="27" t="n">
        <v>1.819672</v>
      </c>
      <c r="N180" s="28" t="n">
        <v>0.54955</v>
      </c>
      <c r="O180" s="28" t="n">
        <v>0.456135</v>
      </c>
      <c r="P180" s="28" t="n">
        <v>0.2</v>
      </c>
      <c r="Q180" s="28" t="n">
        <v>-0.093415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1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2026-08-16T03:14:37.436042Z</t>
        </is>
      </c>
      <c r="AE180" s="31" t="inlineStr">
        <is>
          <t>Poisson-DC rates 1.64 (home) / 1.24 (away) from EWMA attack/defense strengths. Executable ask 0.5500 (atc-bra-sao-cor-2026-08-15-sao).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Coritiba</t>
        </is>
      </c>
      <c r="AQ180" s="24" t="inlineStr">
        <is>
          <t>Coritiba</t>
        </is>
      </c>
      <c r="AR180" s="24" t="inlineStr">
        <is>
          <t>Coritiba</t>
        </is>
      </c>
      <c r="AS180" s="24" t="inlineStr">
        <is>
          <t>São Paulo</t>
        </is>
      </c>
      <c r="AT180" s="24" t="inlineStr">
        <is>
          <t>São Paulo</t>
        </is>
      </c>
      <c r="AU180" s="24" t="inlineStr">
        <is>
          <t>São Paulo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c95ec2023134439ab985cb4cdcc58243749b9deb564fca7a2d587c15c9875427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c95ec2023134439ab985cb4cdcc58243749b9deb564fca7a2d587c15c9875427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c95ec2023134439ab985cb4cdcc58243749b9deb564fca7a2d587c15c9875427</t>
        </is>
      </c>
      <c r="BH180" s="24" t="inlineStr">
        <is>
          <t>2026-08-15T21:05:03.333885Z</t>
        </is>
      </c>
      <c r="BI180" s="24" t="inlineStr">
        <is>
          <t>["same_event","same_team_same_day","same_league_same_day"]</t>
        </is>
      </c>
      <c r="BJ180" s="25" t="n"/>
      <c r="BK180" s="26" t="n">
        <v>-122</v>
      </c>
      <c r="BL180" s="27" t="n">
        <v>1.819672</v>
      </c>
      <c r="BM180" s="28" t="n">
        <v>0.54955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0.54955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acb63a1d7211414f</t>
        </is>
      </c>
      <c r="B181" s="24" t="inlineStr">
        <is>
          <t>2026-08-15T21:06:13.445365Z</t>
        </is>
      </c>
      <c r="C181" s="24" t="inlineStr">
        <is>
          <t>2026-08-15T21:30Z</t>
        </is>
      </c>
      <c r="D181" s="24" t="inlineStr">
        <is>
          <t>401860276</t>
        </is>
      </c>
      <c r="E181" s="24" t="inlineStr">
        <is>
          <t>SOCCER</t>
        </is>
      </c>
      <c r="F181" s="24" t="inlineStr">
        <is>
          <t>Fortaleza</t>
        </is>
      </c>
      <c r="G181" s="24" t="inlineStr">
        <is>
          <t>Juventude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133</v>
      </c>
      <c r="M181" s="27" t="n">
        <v>2.33</v>
      </c>
      <c r="N181" s="28" t="n">
        <v>0.429185</v>
      </c>
      <c r="O181" s="28" t="n">
        <v>0.456135</v>
      </c>
      <c r="P181" s="28" t="n">
        <v>0.2</v>
      </c>
      <c r="Q181" s="28" t="n">
        <v>0.02695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0</v>
      </c>
      <c r="Y181" s="25" t="n"/>
      <c r="Z181" s="26" t="n"/>
      <c r="AA181" s="28" t="n"/>
      <c r="AB181" s="28" t="n"/>
      <c r="AC181" s="30" t="n">
        <v>-1</v>
      </c>
      <c r="AD181" s="24" t="inlineStr">
        <is>
          <t>2026-08-16T00:09:00.620135Z</t>
        </is>
      </c>
      <c r="AE181" s="31" t="inlineStr">
        <is>
          <t>Poisson-DC rates 1.64 (home) / 1.24 (away) from EWMA attack/defense strengths. Executable ask 0.4300 (atc-brb-juv-fec-2026-08-15-juv).</t>
        </is>
      </c>
      <c r="AF181" s="31" t="inlineStr">
        <is>
          <t>Research-only soccer score model; draw-aware, but not yet locked-holdout qualified.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PAPER_CALL_MODEL_UNVALIDATED</t>
        </is>
      </c>
      <c r="AP181" s="24" t="inlineStr">
        <is>
          <t>Fortaleza</t>
        </is>
      </c>
      <c r="AQ181" s="24" t="inlineStr">
        <is>
          <t>Fortaleza</t>
        </is>
      </c>
      <c r="AR181" s="24" t="inlineStr">
        <is>
          <t>Fortaleza</t>
        </is>
      </c>
      <c r="AS181" s="24" t="inlineStr">
        <is>
          <t>Juventude</t>
        </is>
      </c>
      <c r="AT181" s="24" t="inlineStr">
        <is>
          <t>Juventude</t>
        </is>
      </c>
      <c r="AU181" s="24" t="inlineStr">
        <is>
          <t>Juventude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c95ec2023134439ab985cb4cdcc58243749b9deb564fca7a2d587c15c9875427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c95ec2023134439ab985cb4cdcc58243749b9deb564fca7a2d587c15c9875427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c95ec2023134439ab985cb4cdcc58243749b9deb564fca7a2d587c15c9875427</t>
        </is>
      </c>
      <c r="BH181" s="24" t="inlineStr">
        <is>
          <t>2026-08-15T21:05:03.542908Z</t>
        </is>
      </c>
      <c r="BI181" s="24" t="inlineStr">
        <is>
          <t>["same_event","same_team_same_day","same_league_same_day"]</t>
        </is>
      </c>
      <c r="BJ181" s="25" t="n"/>
      <c r="BK181" s="26" t="n">
        <v>133</v>
      </c>
      <c r="BL181" s="27" t="n">
        <v>2.33</v>
      </c>
      <c r="BM181" s="28" t="n">
        <v>0.429185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0.429185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12b725893f6f46b8</t>
        </is>
      </c>
      <c r="B182" s="24" t="inlineStr">
        <is>
          <t>2026-08-15T21:06:13.445365Z</t>
        </is>
      </c>
      <c r="C182" s="24" t="inlineStr">
        <is>
          <t>2026-08-15T22:00Z</t>
        </is>
      </c>
      <c r="D182" s="24" t="inlineStr">
        <is>
          <t>401844059</t>
        </is>
      </c>
      <c r="E182" s="24" t="inlineStr">
        <is>
          <t>SOCCER</t>
        </is>
      </c>
      <c r="F182" s="24" t="inlineStr">
        <is>
          <t>San Telmo</t>
        </is>
      </c>
      <c r="G182" s="24" t="inlineStr">
        <is>
          <t>Quilmes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-156</v>
      </c>
      <c r="M182" s="27" t="n">
        <v>1.641026</v>
      </c>
      <c r="N182" s="28" t="n">
        <v>0.609375</v>
      </c>
      <c r="O182" s="28" t="n">
        <v>0.440521</v>
      </c>
      <c r="P182" s="28" t="n">
        <v>0.2</v>
      </c>
      <c r="Q182" s="28" t="n">
        <v>-0.168854</v>
      </c>
      <c r="R182" s="26" t="n">
        <v>0</v>
      </c>
      <c r="S182" s="29" t="n">
        <v>1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3</v>
      </c>
      <c r="Y182" s="25" t="n"/>
      <c r="Z182" s="26" t="n"/>
      <c r="AA182" s="28" t="n"/>
      <c r="AB182" s="28" t="n"/>
      <c r="AC182" s="30" t="n">
        <v>0.641</v>
      </c>
      <c r="AD182" s="24" t="inlineStr">
        <is>
          <t>2026-08-16T03:14:39.629363Z</t>
        </is>
      </c>
      <c r="AE182" s="31" t="inlineStr">
        <is>
          <t>Poisson-DC rates 1.46 (home) / 1.10 (away) from EWMA attack/defense strengths. Executable ask 0.6100 (atc-arg2-qui-ste-2026-08-15-qui).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PAPER_CALL_MODEL_UNVALIDATED</t>
        </is>
      </c>
      <c r="AP182" s="24" t="inlineStr">
        <is>
          <t>San Telmo</t>
        </is>
      </c>
      <c r="AQ182" s="24" t="inlineStr">
        <is>
          <t>San Telmo</t>
        </is>
      </c>
      <c r="AR182" s="24" t="inlineStr">
        <is>
          <t>San Telmo</t>
        </is>
      </c>
      <c r="AS182" s="24" t="inlineStr">
        <is>
          <t>Quilmes</t>
        </is>
      </c>
      <c r="AT182" s="24" t="inlineStr">
        <is>
          <t>Quilmes</t>
        </is>
      </c>
      <c r="AU182" s="24" t="inlineStr">
        <is>
          <t>Quilmes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c95ec2023134439ab985cb4cdcc58243749b9deb564fca7a2d587c15c9875427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c95ec2023134439ab985cb4cdcc58243749b9deb564fca7a2d587c15c9875427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c95ec2023134439ab985cb4cdcc58243749b9deb564fca7a2d587c15c9875427</t>
        </is>
      </c>
      <c r="BH182" s="24" t="inlineStr">
        <is>
          <t>2026-08-15T21:05:04.130738Z</t>
        </is>
      </c>
      <c r="BI182" s="24" t="inlineStr">
        <is>
          <t>["same_event","same_team_same_day","same_league_same_day"]</t>
        </is>
      </c>
      <c r="BJ182" s="25" t="n"/>
      <c r="BK182" s="26" t="n">
        <v>-156</v>
      </c>
      <c r="BL182" s="27" t="n">
        <v>1.641026</v>
      </c>
      <c r="BM182" s="28" t="n">
        <v>0.609375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0.609375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bc421d149d064e0f</t>
        </is>
      </c>
      <c r="B183" s="24" t="inlineStr">
        <is>
          <t>2026-08-15T21:06:13.445365Z</t>
        </is>
      </c>
      <c r="C183" s="24" t="inlineStr">
        <is>
          <t>2026-08-16T00:00Z</t>
        </is>
      </c>
      <c r="D183" s="24" t="inlineStr">
        <is>
          <t>401850627</t>
        </is>
      </c>
      <c r="E183" s="24" t="inlineStr">
        <is>
          <t>SOCCER</t>
        </is>
      </c>
      <c r="F183" s="24" t="inlineStr">
        <is>
          <t>Audax Italiano</t>
        </is>
      </c>
      <c r="G183" s="24" t="inlineStr">
        <is>
          <t>Everton CD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0.500109</v>
      </c>
      <c r="P183" s="28" t="n">
        <v>0.19</v>
      </c>
      <c r="Q183" s="28" t="n">
        <v>-0.039062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loss</t>
        </is>
      </c>
      <c r="W183" s="26" t="n">
        <v>1</v>
      </c>
      <c r="X183" s="26" t="n">
        <v>1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2026-08-16T03:14:41.347098Z</t>
        </is>
      </c>
      <c r="AE183" s="31" t="inlineStr">
        <is>
          <t>Poisson-DC rates 1.66 (home) / 1.07 (away) from EWMA attack/defense strengths. Executable ask 0.5400 (atc-pdc-eve-aud-2026-08-15-eve).</t>
        </is>
      </c>
      <c r="AF183" s="31" t="inlineStr">
        <is>
          <t>Research-only soccer score model; draw-aware, but not yet locked-holdout qualified.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Audax Italiano</t>
        </is>
      </c>
      <c r="AQ183" s="24" t="inlineStr">
        <is>
          <t>Audax Italiano</t>
        </is>
      </c>
      <c r="AR183" s="24" t="inlineStr">
        <is>
          <t>Audax Italiano</t>
        </is>
      </c>
      <c r="AS183" s="24" t="inlineStr">
        <is>
          <t>Everton CD</t>
        </is>
      </c>
      <c r="AT183" s="24" t="inlineStr">
        <is>
          <t>Everton CD</t>
        </is>
      </c>
      <c r="AU183" s="24" t="inlineStr">
        <is>
          <t>Everton CD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c95ec2023134439ab985cb4cdcc58243749b9deb564fca7a2d587c15c9875427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c95ec2023134439ab985cb4cdcc58243749b9deb564fca7a2d587c15c9875427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c95ec2023134439ab985cb4cdcc58243749b9deb564fca7a2d587c15c9875427</t>
        </is>
      </c>
      <c r="BH183" s="24" t="inlineStr">
        <is>
          <t>2026-08-15T21:05:04.841019Z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2b070eb571d94e0f</t>
        </is>
      </c>
      <c r="B184" s="24" t="inlineStr">
        <is>
          <t>2026-08-15T21:06:13.445365Z</t>
        </is>
      </c>
      <c r="C184" s="24" t="inlineStr">
        <is>
          <t>2026-08-15T22:30Z</t>
        </is>
      </c>
      <c r="D184" s="24" t="inlineStr">
        <is>
          <t>401906393</t>
        </is>
      </c>
      <c r="E184" s="24" t="inlineStr">
        <is>
          <t>SOCCER</t>
        </is>
      </c>
      <c r="F184" s="24" t="inlineStr">
        <is>
          <t>Cerro Largo</t>
        </is>
      </c>
      <c r="G184" s="24" t="inlineStr">
        <is>
          <t>Montevideo Wanderers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117</v>
      </c>
      <c r="M184" s="27" t="n">
        <v>2.17</v>
      </c>
      <c r="N184" s="28" t="n">
        <v>0.460829</v>
      </c>
      <c r="O184" s="28" t="n">
        <v>0.440521</v>
      </c>
      <c r="P184" s="28" t="n">
        <v>0.2</v>
      </c>
      <c r="Q184" s="28" t="n">
        <v>-0.020308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1</v>
      </c>
      <c r="Y184" s="25" t="n"/>
      <c r="Z184" s="26" t="n"/>
      <c r="AA184" s="28" t="n"/>
      <c r="AB184" s="28" t="n"/>
      <c r="AC184" s="30" t="n">
        <v>-1</v>
      </c>
      <c r="AD184" s="24" t="inlineStr">
        <is>
          <t>2026-08-16T03:14:42.828848Z</t>
        </is>
      </c>
      <c r="AE184" s="31" t="inlineStr">
        <is>
          <t>Poisson-DC rates 1.46 (home) / 1.10 (away) from EWMA attack/defense strengths. Executable ask 0.4600 (atc-uru1-wan-cla-2026-08-17-wan).</t>
        </is>
      </c>
      <c r="AF184" s="31" t="inlineStr">
        <is>
          <t>Research-only soccer score model; draw-aware, but not yet locked-holdout qualified.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PAPER_CALL_MODEL_UNVALIDATED</t>
        </is>
      </c>
      <c r="AP184" s="24" t="inlineStr">
        <is>
          <t>Cerro Largo</t>
        </is>
      </c>
      <c r="AQ184" s="24" t="inlineStr">
        <is>
          <t>Cerro Largo</t>
        </is>
      </c>
      <c r="AR184" s="24" t="inlineStr">
        <is>
          <t>Cerro Largo</t>
        </is>
      </c>
      <c r="AS184" s="24" t="inlineStr">
        <is>
          <t>Montevideo Wanderers</t>
        </is>
      </c>
      <c r="AT184" s="24" t="inlineStr">
        <is>
          <t>Montevideo Wanderers</t>
        </is>
      </c>
      <c r="AU184" s="24" t="inlineStr">
        <is>
          <t>Montevideo Wanderers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c95ec2023134439ab985cb4cdcc58243749b9deb564fca7a2d587c15c9875427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c95ec2023134439ab985cb4cdcc58243749b9deb564fca7a2d587c15c9875427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c95ec2023134439ab985cb4cdcc58243749b9deb564fca7a2d587c15c9875427</t>
        </is>
      </c>
      <c r="BH184" s="24" t="inlineStr">
        <is>
          <t>2026-08-15T21:05:05.034024Z</t>
        </is>
      </c>
      <c r="BI184" s="24" t="inlineStr">
        <is>
          <t>["same_event","same_team_same_day","same_league_same_day"]</t>
        </is>
      </c>
      <c r="BJ184" s="25" t="n"/>
      <c r="BK184" s="26" t="n">
        <v>117</v>
      </c>
      <c r="BL184" s="27" t="n">
        <v>2.17</v>
      </c>
      <c r="BM184" s="28" t="n">
        <v>0.460829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0.460829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5da5c2c189e54f31</t>
        </is>
      </c>
      <c r="B185" s="24" t="inlineStr">
        <is>
          <t>2026-08-15T21:06:13.445365Z</t>
        </is>
      </c>
      <c r="C185" s="24" t="inlineStr">
        <is>
          <t>2026-08-16T00:00Z</t>
        </is>
      </c>
      <c r="D185" s="24" t="inlineStr">
        <is>
          <t>401859659</t>
        </is>
      </c>
      <c r="E185" s="24" t="inlineStr">
        <is>
          <t>SOCCER</t>
        </is>
      </c>
      <c r="F185" s="24" t="inlineStr">
        <is>
          <t>Barcelona SC</t>
        </is>
      </c>
      <c r="G185" s="24" t="inlineStr">
        <is>
          <t>Mushuc Runa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300</v>
      </c>
      <c r="M185" s="27" t="n">
        <v>4</v>
      </c>
      <c r="N185" s="28" t="n">
        <v>0.25</v>
      </c>
      <c r="O185" s="28" t="n">
        <v>0.444128</v>
      </c>
      <c r="P185" s="28" t="n">
        <v>0.2</v>
      </c>
      <c r="Q185" s="28" t="n">
        <v>0.194128</v>
      </c>
      <c r="R185" s="26" t="n">
        <v>27</v>
      </c>
      <c r="S185" s="29" t="n">
        <v>1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0</v>
      </c>
      <c r="Y185" s="25" t="n"/>
      <c r="Z185" s="26" t="n"/>
      <c r="AA185" s="28" t="n"/>
      <c r="AB185" s="28" t="n"/>
      <c r="AC185" s="30" t="n">
        <v>-1</v>
      </c>
      <c r="AD185" s="24" t="inlineStr">
        <is>
          <t>2026-08-16T03:14:44.250404Z</t>
        </is>
      </c>
      <c r="AE185" s="31" t="inlineStr">
        <is>
          <t>Poisson-DC rates 1.42 (home) / 1.75 (away) from EWMA attack/defense strengths. Executable ask 0.2500 (atc-ecu1-mur-bsc-2026-08-15-bsc).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PAPER_CALL_MODEL_UNVALIDATED</t>
        </is>
      </c>
      <c r="AP185" s="24" t="inlineStr">
        <is>
          <t>Barcelona SC</t>
        </is>
      </c>
      <c r="AQ185" s="24" t="inlineStr">
        <is>
          <t>Barcelona SC</t>
        </is>
      </c>
      <c r="AR185" s="24" t="inlineStr">
        <is>
          <t>Barcelona SC</t>
        </is>
      </c>
      <c r="AS185" s="24" t="inlineStr">
        <is>
          <t>Mushuc Runa</t>
        </is>
      </c>
      <c r="AT185" s="24" t="inlineStr">
        <is>
          <t>Mushuc Runa</t>
        </is>
      </c>
      <c r="AU185" s="24" t="inlineStr">
        <is>
          <t>Mushuc Runa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c95ec2023134439ab985cb4cdcc58243749b9deb564fca7a2d587c15c9875427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c95ec2023134439ab985cb4cdcc58243749b9deb564fca7a2d587c15c9875427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c95ec2023134439ab985cb4cdcc58243749b9deb564fca7a2d587c15c9875427</t>
        </is>
      </c>
      <c r="BH185" s="24" t="inlineStr">
        <is>
          <t>2026-08-15T21:05:05.175246Z</t>
        </is>
      </c>
      <c r="BI185" s="24" t="inlineStr">
        <is>
          <t>["same_event","same_team_same_day","same_league_same_day"]</t>
        </is>
      </c>
      <c r="BJ185" s="25" t="n"/>
      <c r="BK185" s="26" t="n">
        <v>300</v>
      </c>
      <c r="BL185" s="27" t="n">
        <v>4</v>
      </c>
      <c r="BM185" s="28" t="n">
        <v>0.25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0.25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7297e8354c0e429f</t>
        </is>
      </c>
      <c r="B186" s="24" t="inlineStr">
        <is>
          <t>2026-08-16T00:11:24.547402Z</t>
        </is>
      </c>
      <c r="C186" s="24" t="inlineStr">
        <is>
          <t>2026-08-16T00:30Z</t>
        </is>
      </c>
      <c r="D186" s="24" t="inlineStr">
        <is>
          <t>761715</t>
        </is>
      </c>
      <c r="E186" s="24" t="inlineStr">
        <is>
          <t>SOCCER</t>
        </is>
      </c>
      <c r="F186" s="24" t="inlineStr">
        <is>
          <t>LA Galaxy</t>
        </is>
      </c>
      <c r="G186" s="24" t="inlineStr">
        <is>
          <t>Houston Dynamo FC</t>
        </is>
      </c>
      <c r="H186" s="24" t="inlineStr">
        <is>
          <t>total</t>
        </is>
      </c>
      <c r="I186" s="24" t="inlineStr">
        <is>
          <t>over</t>
        </is>
      </c>
      <c r="J186" s="25" t="n">
        <v>2.5</v>
      </c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0.590998</v>
      </c>
      <c r="P186" s="28" t="n">
        <v>0.04</v>
      </c>
      <c r="Q186" s="28" t="n">
        <v>0.000834</v>
      </c>
      <c r="R186" s="26" t="n">
        <v>26</v>
      </c>
      <c r="S186" s="29" t="n">
        <v>1.25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1</v>
      </c>
      <c r="Y186" s="25" t="n"/>
      <c r="Z186" s="26" t="n"/>
      <c r="AA186" s="28" t="n"/>
      <c r="AB186" s="28" t="n"/>
      <c r="AC186" s="30" t="n">
        <v>-1.25</v>
      </c>
      <c r="AD186" s="24" t="inlineStr">
        <is>
          <t>2026-08-16T03:14:45.418177Z</t>
        </is>
      </c>
      <c r="AE186" s="31" t="inlineStr">
        <is>
          <t>Poisson-DC rates 1.69 (home) / 1.37 (away) from EWMA attack/defense strengths. Executable ask 0.5900 (tsc-mls-hou-lag-2026-08-15-2pt5).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LA Galaxy</t>
        </is>
      </c>
      <c r="AQ186" s="24" t="inlineStr">
        <is>
          <t>LA Galaxy</t>
        </is>
      </c>
      <c r="AR186" s="24" t="inlineStr">
        <is>
          <t>LA Galaxy</t>
        </is>
      </c>
      <c r="AS186" s="24" t="inlineStr">
        <is>
          <t>Houston Dynamo FC</t>
        </is>
      </c>
      <c r="AT186" s="24" t="inlineStr">
        <is>
          <t>Houston Dynamo FC</t>
        </is>
      </c>
      <c r="AU186" s="24" t="inlineStr">
        <is>
          <t>Houston Dynamo FC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c95ec2023134439ab985cb4cdcc58243749b9deb564fca7a2d587c15c9875427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c95ec2023134439ab985cb4cdcc58243749b9deb564fca7a2d587c15c9875427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c95ec2023134439ab985cb4cdcc58243749b9deb564fca7a2d587c15c9875427</t>
        </is>
      </c>
      <c r="BH186" s="24" t="inlineStr">
        <is>
          <t>2026-08-16T00:10:39.527003Z</t>
        </is>
      </c>
      <c r="BI186" s="24" t="inlineStr">
        <is>
          <t>["same_event","same_team_same_day","same_league_same_day"]</t>
        </is>
      </c>
      <c r="BJ186" s="25" t="n">
        <v>2.5</v>
      </c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c6cb3454b8224155</t>
        </is>
      </c>
      <c r="B187" s="24" t="inlineStr">
        <is>
          <t>2026-08-16T00:11:24.547402Z</t>
        </is>
      </c>
      <c r="C187" s="24" t="inlineStr">
        <is>
          <t>2026-08-16T00:30Z</t>
        </is>
      </c>
      <c r="D187" s="24" t="inlineStr">
        <is>
          <t>761716</t>
        </is>
      </c>
      <c r="E187" s="24" t="inlineStr">
        <is>
          <t>SOCCER</t>
        </is>
      </c>
      <c r="F187" s="24" t="inlineStr">
        <is>
          <t>Inter Miami CF</t>
        </is>
      </c>
      <c r="G187" s="24" t="inlineStr">
        <is>
          <t>Nashville SC</t>
        </is>
      </c>
      <c r="H187" s="24" t="inlineStr">
        <is>
          <t>total</t>
        </is>
      </c>
      <c r="I187" s="24" t="inlineStr">
        <is>
          <t>over</t>
        </is>
      </c>
      <c r="J187" s="25" t="n">
        <v>2.5</v>
      </c>
      <c r="K187" s="24" t="inlineStr">
        <is>
          <t>polymarket_us</t>
        </is>
      </c>
      <c r="L187" s="26" t="n">
        <v>-194</v>
      </c>
      <c r="M187" s="27" t="n">
        <v>1.515464</v>
      </c>
      <c r="N187" s="28" t="n">
        <v>0.659864</v>
      </c>
      <c r="O187" s="28" t="n">
        <v>0.827981</v>
      </c>
      <c r="P187" s="28" t="n">
        <v>0.04</v>
      </c>
      <c r="Q187" s="28" t="n">
        <v>0.168117</v>
      </c>
      <c r="R187" s="26" t="n">
        <v>100</v>
      </c>
      <c r="S187" s="29" t="n">
        <v>2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4</v>
      </c>
      <c r="Y187" s="25" t="n"/>
      <c r="Z187" s="26" t="n"/>
      <c r="AA187" s="28" t="n"/>
      <c r="AB187" s="28" t="n"/>
      <c r="AC187" s="30" t="n">
        <v>1.0309</v>
      </c>
      <c r="AD187" s="24" t="inlineStr">
        <is>
          <t>2026-08-16T03:14:46.582189Z</t>
        </is>
      </c>
      <c r="AE187" s="31" t="inlineStr">
        <is>
          <t>Poisson-DC rates 2.56 (home) / 1.95 (away) from EWMA attack/defense strengths. Executable ask 0.6600 (tsc-mls-nas-mia-2026-08-15-2pt5).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Inter Miami CF</t>
        </is>
      </c>
      <c r="AQ187" s="24" t="inlineStr">
        <is>
          <t>Inter Miami CF</t>
        </is>
      </c>
      <c r="AR187" s="24" t="inlineStr">
        <is>
          <t>Inter Miami CF</t>
        </is>
      </c>
      <c r="AS187" s="24" t="inlineStr">
        <is>
          <t>Nashville SC</t>
        </is>
      </c>
      <c r="AT187" s="24" t="inlineStr">
        <is>
          <t>Nashville SC</t>
        </is>
      </c>
      <c r="AU187" s="24" t="inlineStr">
        <is>
          <t>Nashville SC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c95ec2023134439ab985cb4cdcc58243749b9deb564fca7a2d587c15c9875427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c95ec2023134439ab985cb4cdcc58243749b9deb564fca7a2d587c15c9875427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c95ec2023134439ab985cb4cdcc58243749b9deb564fca7a2d587c15c9875427</t>
        </is>
      </c>
      <c r="BH187" s="24" t="inlineStr">
        <is>
          <t>2026-08-16T00:10:40.053553Z</t>
        </is>
      </c>
      <c r="BI187" s="24" t="inlineStr">
        <is>
          <t>["same_event","same_team_same_day","same_league_same_day"]</t>
        </is>
      </c>
      <c r="BJ187" s="25" t="n">
        <v>2.5</v>
      </c>
      <c r="BK187" s="26" t="n">
        <v>-194</v>
      </c>
      <c r="BL187" s="27" t="n">
        <v>1.515464</v>
      </c>
      <c r="BM187" s="28" t="n">
        <v>0.659864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0.659864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aea43ea3f4634975</t>
        </is>
      </c>
      <c r="B188" s="24" t="inlineStr">
        <is>
          <t>2026-08-16T00:11:24.547402Z</t>
        </is>
      </c>
      <c r="C188" s="24" t="inlineStr">
        <is>
          <t>2026-08-16T01:30Z</t>
        </is>
      </c>
      <c r="D188" s="24" t="inlineStr">
        <is>
          <t>761718</t>
        </is>
      </c>
      <c r="E188" s="24" t="inlineStr">
        <is>
          <t>SOCCER</t>
        </is>
      </c>
      <c r="F188" s="24" t="inlineStr">
        <is>
          <t>Sporting Kansas City</t>
        </is>
      </c>
      <c r="G188" s="24" t="inlineStr">
        <is>
          <t>Colorado Rapids</t>
        </is>
      </c>
      <c r="H188" s="24" t="inlineStr">
        <is>
          <t>total</t>
        </is>
      </c>
      <c r="I188" s="24" t="inlineStr">
        <is>
          <t>over</t>
        </is>
      </c>
      <c r="J188" s="25" t="n">
        <v>2.5</v>
      </c>
      <c r="K188" s="24" t="inlineStr">
        <is>
          <t>polymarket_us</t>
        </is>
      </c>
      <c r="L188" s="26" t="n">
        <v>-194</v>
      </c>
      <c r="M188" s="27" t="n">
        <v>1.515464</v>
      </c>
      <c r="N188" s="28" t="n">
        <v>0.659864</v>
      </c>
      <c r="O188" s="28" t="n">
        <v>0.751454</v>
      </c>
      <c r="P188" s="28" t="n">
        <v>0.04</v>
      </c>
      <c r="Q188" s="28" t="n">
        <v>0.09159</v>
      </c>
      <c r="R188" s="26" t="n">
        <v>72</v>
      </c>
      <c r="S188" s="29" t="n">
        <v>2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2</v>
      </c>
      <c r="Y188" s="25" t="n"/>
      <c r="Z188" s="26" t="n"/>
      <c r="AA188" s="28" t="n"/>
      <c r="AB188" s="28" t="n"/>
      <c r="AC188" s="30" t="n">
        <v>-2</v>
      </c>
      <c r="AD188" s="24" t="inlineStr">
        <is>
          <t>2026-08-16T06:19:57.364449Z</t>
        </is>
      </c>
      <c r="AE188" s="31" t="inlineStr">
        <is>
          <t>Poisson-DC rates 2.74 (home) / 1.19 (away) from EWMA attack/defense strengths. Executable ask 0.6600 (tsc-mls-col-skc-2026-08-15-2pt5).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Sporting Kansas City</t>
        </is>
      </c>
      <c r="AQ188" s="24" t="inlineStr">
        <is>
          <t>Sporting Kansas City</t>
        </is>
      </c>
      <c r="AR188" s="24" t="inlineStr">
        <is>
          <t>Sporting Kansas City</t>
        </is>
      </c>
      <c r="AS188" s="24" t="inlineStr">
        <is>
          <t>Colorado Rapids</t>
        </is>
      </c>
      <c r="AT188" s="24" t="inlineStr">
        <is>
          <t>Colorado Rapids</t>
        </is>
      </c>
      <c r="AU188" s="24" t="inlineStr">
        <is>
          <t>Colorado Rapids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c95ec2023134439ab985cb4cdcc58243749b9deb564fca7a2d587c15c9875427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c95ec2023134439ab985cb4cdcc58243749b9deb564fca7a2d587c15c9875427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c95ec2023134439ab985cb4cdcc58243749b9deb564fca7a2d587c15c9875427</t>
        </is>
      </c>
      <c r="BH188" s="24" t="inlineStr">
        <is>
          <t>2026-08-16T00:10:40.692517Z</t>
        </is>
      </c>
      <c r="BI188" s="24" t="inlineStr">
        <is>
          <t>["same_event","same_team_same_day","same_league_same_day"]</t>
        </is>
      </c>
      <c r="BJ188" s="25" t="n">
        <v>2.5</v>
      </c>
      <c r="BK188" s="26" t="n">
        <v>-194</v>
      </c>
      <c r="BL188" s="27" t="n">
        <v>1.515464</v>
      </c>
      <c r="BM188" s="28" t="n">
        <v>0.659864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0.659864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7fe3f19adb644bf3</t>
        </is>
      </c>
      <c r="B189" s="24" t="inlineStr">
        <is>
          <t>2026-08-16T00:11:24.547402Z</t>
        </is>
      </c>
      <c r="C189" s="24" t="inlineStr">
        <is>
          <t>2026-08-16T01:30Z</t>
        </is>
      </c>
      <c r="D189" s="24" t="inlineStr">
        <is>
          <t>761719</t>
        </is>
      </c>
      <c r="E189" s="24" t="inlineStr">
        <is>
          <t>SOCCER</t>
        </is>
      </c>
      <c r="F189" s="24" t="inlineStr">
        <is>
          <t>Minnesota United FC</t>
        </is>
      </c>
      <c r="G189" s="24" t="inlineStr">
        <is>
          <t>Real Salt Lake</t>
        </is>
      </c>
      <c r="H189" s="24" t="inlineStr">
        <is>
          <t>total</t>
        </is>
      </c>
      <c r="I189" s="24" t="inlineStr">
        <is>
          <t>over</t>
        </is>
      </c>
      <c r="J189" s="25" t="n">
        <v>2.5</v>
      </c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0.569122</v>
      </c>
      <c r="P189" s="28" t="n">
        <v>0.04</v>
      </c>
      <c r="Q189" s="28" t="n">
        <v>-0.040253</v>
      </c>
      <c r="R189" s="26" t="n">
        <v>6</v>
      </c>
      <c r="S189" s="29" t="n">
        <v>1.25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1</v>
      </c>
      <c r="Y189" s="25" t="n"/>
      <c r="Z189" s="26" t="n"/>
      <c r="AA189" s="28" t="n"/>
      <c r="AB189" s="28" t="n"/>
      <c r="AC189" s="30" t="n">
        <v>-1.25</v>
      </c>
      <c r="AD189" s="24" t="inlineStr">
        <is>
          <t>2026-08-16T06:19:58.287418Z</t>
        </is>
      </c>
      <c r="AE189" s="31" t="inlineStr">
        <is>
          <t>Poisson-DC rates 1.81 (home) / 1.16 (away) from EWMA attack/defense strengths. Executable ask 0.6100 (tsc-mls-rsl-min-2026-08-15-2pt5).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Minnesota United FC</t>
        </is>
      </c>
      <c r="AQ189" s="24" t="inlineStr">
        <is>
          <t>Minnesota United FC</t>
        </is>
      </c>
      <c r="AR189" s="24" t="inlineStr">
        <is>
          <t>Minnesota United FC</t>
        </is>
      </c>
      <c r="AS189" s="24" t="inlineStr">
        <is>
          <t>Real Salt Lake</t>
        </is>
      </c>
      <c r="AT189" s="24" t="inlineStr">
        <is>
          <t>Real Salt Lake</t>
        </is>
      </c>
      <c r="AU189" s="24" t="inlineStr">
        <is>
          <t>Real Salt Lake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c95ec2023134439ab985cb4cdcc58243749b9deb564fca7a2d587c15c9875427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c95ec2023134439ab985cb4cdcc58243749b9deb564fca7a2d587c15c9875427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c95ec2023134439ab985cb4cdcc58243749b9deb564fca7a2d587c15c9875427</t>
        </is>
      </c>
      <c r="BH189" s="24" t="inlineStr">
        <is>
          <t>2026-08-16T00:10:41.915516Z</t>
        </is>
      </c>
      <c r="BI189" s="24" t="inlineStr">
        <is>
          <t>["same_event","same_team_same_day","same_league_same_day"]</t>
        </is>
      </c>
      <c r="BJ189" s="25" t="n">
        <v>2.5</v>
      </c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8ab0b0c7aa0d426c</t>
        </is>
      </c>
      <c r="B190" s="24" t="inlineStr">
        <is>
          <t>2026-08-16T00:11:24.547402Z</t>
        </is>
      </c>
      <c r="C190" s="24" t="inlineStr">
        <is>
          <t>2026-08-16T02:30Z</t>
        </is>
      </c>
      <c r="D190" s="24" t="inlineStr">
        <is>
          <t>761721</t>
        </is>
      </c>
      <c r="E190" s="24" t="inlineStr">
        <is>
          <t>SOCCER</t>
        </is>
      </c>
      <c r="F190" s="24" t="inlineStr">
        <is>
          <t>St. Louis CITY SC</t>
        </is>
      </c>
      <c r="G190" s="24" t="inlineStr">
        <is>
          <t>San Jose Earthquakes</t>
        </is>
      </c>
      <c r="H190" s="24" t="inlineStr">
        <is>
          <t>total</t>
        </is>
      </c>
      <c r="I190" s="24" t="inlineStr">
        <is>
          <t>over</t>
        </is>
      </c>
      <c r="J190" s="25" t="n">
        <v>2.5</v>
      </c>
      <c r="K190" s="24" t="inlineStr">
        <is>
          <t>polymarket_us</t>
        </is>
      </c>
      <c r="L190" s="26" t="n">
        <v>-194</v>
      </c>
      <c r="M190" s="27" t="n">
        <v>1.515464</v>
      </c>
      <c r="N190" s="28" t="n">
        <v>0.659864</v>
      </c>
      <c r="O190" s="28" t="n">
        <v>0.738164</v>
      </c>
      <c r="P190" s="28" t="n">
        <v>0.04</v>
      </c>
      <c r="Q190" s="28" t="n">
        <v>0.07829999999999999</v>
      </c>
      <c r="R190" s="26" t="n">
        <v>65</v>
      </c>
      <c r="S190" s="29" t="n">
        <v>2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win</t>
        </is>
      </c>
      <c r="W190" s="26" t="n">
        <v>3</v>
      </c>
      <c r="X190" s="26" t="n">
        <v>1</v>
      </c>
      <c r="Y190" s="25" t="n"/>
      <c r="Z190" s="26" t="n"/>
      <c r="AA190" s="28" t="n"/>
      <c r="AB190" s="28" t="n"/>
      <c r="AC190" s="30" t="n">
        <v>1.0309</v>
      </c>
      <c r="AD190" s="24" t="inlineStr">
        <is>
          <t>2026-08-16T06:19:59.375562Z</t>
        </is>
      </c>
      <c r="AE190" s="31" t="inlineStr">
        <is>
          <t>Poisson-DC rates 2.49 (home) / 1.35 (away) from EWMA attack/defense strengths. Executable ask 0.6600 (tsc-mls-sje-stl-2026-08-15-2pt5).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St. Louis CITY SC</t>
        </is>
      </c>
      <c r="AQ190" s="24" t="inlineStr">
        <is>
          <t>St. Louis CITY SC</t>
        </is>
      </c>
      <c r="AR190" s="24" t="inlineStr">
        <is>
          <t>St. Louis CITY SC</t>
        </is>
      </c>
      <c r="AS190" s="24" t="inlineStr">
        <is>
          <t>San Jose Earthquakes</t>
        </is>
      </c>
      <c r="AT190" s="24" t="inlineStr">
        <is>
          <t>San Jose Earthquakes</t>
        </is>
      </c>
      <c r="AU190" s="24" t="inlineStr">
        <is>
          <t>San Jose Earthquakes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c95ec2023134439ab985cb4cdcc58243749b9deb564fca7a2d587c15c9875427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c95ec2023134439ab985cb4cdcc58243749b9deb564fca7a2d587c15c9875427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c95ec2023134439ab985cb4cdcc58243749b9deb564fca7a2d587c15c9875427</t>
        </is>
      </c>
      <c r="BH190" s="24" t="inlineStr">
        <is>
          <t>2026-08-16T00:10:43.219280Z</t>
        </is>
      </c>
      <c r="BI190" s="24" t="inlineStr">
        <is>
          <t>["same_event","same_team_same_day","same_league_same_day"]</t>
        </is>
      </c>
      <c r="BJ190" s="25" t="n">
        <v>2.5</v>
      </c>
      <c r="BK190" s="26" t="n">
        <v>-194</v>
      </c>
      <c r="BL190" s="27" t="n">
        <v>1.515464</v>
      </c>
      <c r="BM190" s="28" t="n">
        <v>0.659864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0.659864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e67f2a05a0374fd4</t>
        </is>
      </c>
      <c r="B191" s="24" t="inlineStr">
        <is>
          <t>2026-08-16T00:11:24.547402Z</t>
        </is>
      </c>
      <c r="C191" s="24" t="inlineStr">
        <is>
          <t>2026-08-16T00:30Z</t>
        </is>
      </c>
      <c r="D191" s="24" t="inlineStr">
        <is>
          <t>761715</t>
        </is>
      </c>
      <c r="E191" s="24" t="inlineStr">
        <is>
          <t>SOCCER</t>
        </is>
      </c>
      <c r="F191" s="24" t="inlineStr">
        <is>
          <t>LA Galaxy</t>
        </is>
      </c>
      <c r="G191" s="24" t="inlineStr">
        <is>
          <t>Houston Dynamo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-138</v>
      </c>
      <c r="M191" s="27" t="n">
        <v>1.724638</v>
      </c>
      <c r="N191" s="28" t="n">
        <v>0.579832</v>
      </c>
      <c r="O191" s="28" t="n">
        <v>0.440151</v>
      </c>
      <c r="P191" s="28" t="n">
        <v>0.04</v>
      </c>
      <c r="Q191" s="28" t="n">
        <v>-0.139681</v>
      </c>
      <c r="R191" s="26" t="n">
        <v>0</v>
      </c>
      <c r="S191" s="29" t="n">
        <v>1.25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/>
      <c r="AA191" s="28" t="n"/>
      <c r="AB191" s="28" t="n"/>
      <c r="AC191" s="30" t="n">
        <v>0.9058</v>
      </c>
      <c r="AD191" s="24" t="inlineStr">
        <is>
          <t>2026-08-16T03:14:47.553382Z</t>
        </is>
      </c>
      <c r="AE191" s="31" t="inlineStr">
        <is>
          <t>Poisson-DC rates 1.69 (home) / 1.37 (away) from EWMA attack/defense strengths. Executable ask 0.5800 (atc-mls-hou-lag-2026-08-15-hou).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3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LA Galaxy</t>
        </is>
      </c>
      <c r="AQ191" s="24" t="inlineStr">
        <is>
          <t>LA Galaxy</t>
        </is>
      </c>
      <c r="AR191" s="24" t="inlineStr">
        <is>
          <t>LA Galaxy</t>
        </is>
      </c>
      <c r="AS191" s="24" t="inlineStr">
        <is>
          <t>Houston Dynamo FC</t>
        </is>
      </c>
      <c r="AT191" s="24" t="inlineStr">
        <is>
          <t>Houston Dynamo FC</t>
        </is>
      </c>
      <c r="AU191" s="24" t="inlineStr">
        <is>
          <t>Houston Dynamo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c95ec2023134439ab985cb4cdcc58243749b9deb564fca7a2d587c15c9875427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c95ec2023134439ab985cb4cdcc58243749b9deb564fca7a2d587c15c9875427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c95ec2023134439ab985cb4cdcc58243749b9deb564fca7a2d587c15c9875427</t>
        </is>
      </c>
      <c r="BH191" s="24" t="inlineStr">
        <is>
          <t>2026-08-16T00:10:38.634771Z</t>
        </is>
      </c>
      <c r="BI191" s="24" t="inlineStr">
        <is>
          <t>["same_event","same_team_same_day","same_league_same_day"]</t>
        </is>
      </c>
      <c r="BJ191" s="25" t="n"/>
      <c r="BK191" s="26" t="n">
        <v>-138</v>
      </c>
      <c r="BL191" s="27" t="n">
        <v>1.724638</v>
      </c>
      <c r="BM191" s="28" t="n">
        <v>0.579832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0.579832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4ed030d4a0d54421</t>
        </is>
      </c>
      <c r="B192" s="24" t="inlineStr">
        <is>
          <t>2026-08-16T00:11:24.547402Z</t>
        </is>
      </c>
      <c r="C192" s="24" t="inlineStr">
        <is>
          <t>2026-08-16T00:30Z</t>
        </is>
      </c>
      <c r="D192" s="24" t="inlineStr">
        <is>
          <t>761716</t>
        </is>
      </c>
      <c r="E192" s="24" t="inlineStr">
        <is>
          <t>SOCCER</t>
        </is>
      </c>
      <c r="F192" s="24" t="inlineStr">
        <is>
          <t>Inter Miami CF</t>
        </is>
      </c>
      <c r="G192" s="24" t="inlineStr">
        <is>
          <t>Nashville SC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156</v>
      </c>
      <c r="M192" s="27" t="n">
        <v>2.56</v>
      </c>
      <c r="N192" s="28" t="n">
        <v>0.390625</v>
      </c>
      <c r="O192" s="28" t="n">
        <v>0.511231</v>
      </c>
      <c r="P192" s="28" t="n">
        <v>0.04</v>
      </c>
      <c r="Q192" s="28" t="n">
        <v>0.120606</v>
      </c>
      <c r="R192" s="26" t="n">
        <v>86</v>
      </c>
      <c r="S192" s="29" t="n">
        <v>1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1</v>
      </c>
      <c r="X192" s="26" t="n">
        <v>4</v>
      </c>
      <c r="Y192" s="25" t="n"/>
      <c r="Z192" s="26" t="n"/>
      <c r="AA192" s="28" t="n"/>
      <c r="AB192" s="28" t="n"/>
      <c r="AC192" s="30" t="n">
        <v>1.56</v>
      </c>
      <c r="AD192" s="24" t="inlineStr">
        <is>
          <t>2026-08-16T03:14:48.681542Z</t>
        </is>
      </c>
      <c r="AE192" s="31" t="inlineStr">
        <is>
          <t>Poisson-DC rates 2.56 (home) / 1.95 (away) from EWMA attack/defense strengths. Executable ask 0.3900 (atc-mls-nas-mia-2026-08-15-nas).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Inter Miami CF</t>
        </is>
      </c>
      <c r="AQ192" s="24" t="inlineStr">
        <is>
          <t>Inter Miami CF</t>
        </is>
      </c>
      <c r="AR192" s="24" t="inlineStr">
        <is>
          <t>Inter Miami CF</t>
        </is>
      </c>
      <c r="AS192" s="24" t="inlineStr">
        <is>
          <t>Nashville SC</t>
        </is>
      </c>
      <c r="AT192" s="24" t="inlineStr">
        <is>
          <t>Nashville SC</t>
        </is>
      </c>
      <c r="AU192" s="24" t="inlineStr">
        <is>
          <t>Nashville SC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c95ec2023134439ab985cb4cdcc58243749b9deb564fca7a2d587c15c9875427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c95ec2023134439ab985cb4cdcc58243749b9deb564fca7a2d587c15c9875427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c95ec2023134439ab985cb4cdcc58243749b9deb564fca7a2d587c15c9875427</t>
        </is>
      </c>
      <c r="BH192" s="24" t="inlineStr">
        <is>
          <t>2026-08-16T00:10:39.538039Z</t>
        </is>
      </c>
      <c r="BI192" s="24" t="inlineStr">
        <is>
          <t>["same_event","same_team_same_day","same_league_same_day"]</t>
        </is>
      </c>
      <c r="BJ192" s="25" t="n"/>
      <c r="BK192" s="26" t="n">
        <v>156</v>
      </c>
      <c r="BL192" s="27" t="n">
        <v>2.56</v>
      </c>
      <c r="BM192" s="28" t="n">
        <v>0.390625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0.390625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6bddcf09321b4f49</t>
        </is>
      </c>
      <c r="B193" s="24" t="inlineStr">
        <is>
          <t>2026-08-16T00:11:24.547402Z</t>
        </is>
      </c>
      <c r="C193" s="24" t="inlineStr">
        <is>
          <t>2026-08-16T01:30Z</t>
        </is>
      </c>
      <c r="D193" s="24" t="inlineStr">
        <is>
          <t>761718</t>
        </is>
      </c>
      <c r="E193" s="24" t="inlineStr">
        <is>
          <t>SOCCER</t>
        </is>
      </c>
      <c r="F193" s="24" t="inlineStr">
        <is>
          <t>Sporting Kansas City</t>
        </is>
      </c>
      <c r="G193" s="24" t="inlineStr">
        <is>
          <t>Colorado Rapids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-203</v>
      </c>
      <c r="M193" s="27" t="n">
        <v>1.492611</v>
      </c>
      <c r="N193" s="28" t="n">
        <v>0.669967</v>
      </c>
      <c r="O193" s="28" t="n">
        <v>0.691453</v>
      </c>
      <c r="P193" s="28" t="n">
        <v>0.04</v>
      </c>
      <c r="Q193" s="28" t="n">
        <v>0.021486</v>
      </c>
      <c r="R193" s="26" t="n">
        <v>37</v>
      </c>
      <c r="S193" s="29" t="n">
        <v>2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2</v>
      </c>
      <c r="Y193" s="25" t="n"/>
      <c r="Z193" s="26" t="n"/>
      <c r="AA193" s="28" t="n"/>
      <c r="AB193" s="28" t="n"/>
      <c r="AC193" s="30" t="n">
        <v>0.9852</v>
      </c>
      <c r="AD193" s="24" t="inlineStr">
        <is>
          <t>2026-08-16T06:20:00.360369Z</t>
        </is>
      </c>
      <c r="AE193" s="31" t="inlineStr">
        <is>
          <t>Poisson-DC rates 2.74 (home) / 1.19 (away) from EWMA attack/defense strengths. Executable ask 0.6700 (atc-mls-col-skc-2026-08-15-col).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Sporting Kansas City</t>
        </is>
      </c>
      <c r="AQ193" s="24" t="inlineStr">
        <is>
          <t>Sporting Kansas City</t>
        </is>
      </c>
      <c r="AR193" s="24" t="inlineStr">
        <is>
          <t>Sporting Kansas City</t>
        </is>
      </c>
      <c r="AS193" s="24" t="inlineStr">
        <is>
          <t>Colorado Rapids</t>
        </is>
      </c>
      <c r="AT193" s="24" t="inlineStr">
        <is>
          <t>Colorado Rapids</t>
        </is>
      </c>
      <c r="AU193" s="24" t="inlineStr">
        <is>
          <t>Colorado Rapids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c95ec2023134439ab985cb4cdcc58243749b9deb564fca7a2d587c15c9875427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c95ec2023134439ab985cb4cdcc58243749b9deb564fca7a2d587c15c9875427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c95ec2023134439ab985cb4cdcc58243749b9deb564fca7a2d587c15c9875427</t>
        </is>
      </c>
      <c r="BH193" s="24" t="inlineStr">
        <is>
          <t>2026-08-16T00:10:40.294055Z</t>
        </is>
      </c>
      <c r="BI193" s="24" t="inlineStr">
        <is>
          <t>["same_event","same_team_same_day","same_league_same_day"]</t>
        </is>
      </c>
      <c r="BJ193" s="25" t="n"/>
      <c r="BK193" s="26" t="n">
        <v>-203</v>
      </c>
      <c r="BL193" s="27" t="n">
        <v>1.492611</v>
      </c>
      <c r="BM193" s="28" t="n">
        <v>0.669967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0.669967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105cda3cd1b341a0</t>
        </is>
      </c>
      <c r="B194" s="24" t="inlineStr">
        <is>
          <t>2026-08-16T00:11:24.547402Z</t>
        </is>
      </c>
      <c r="C194" s="24" t="inlineStr">
        <is>
          <t>2026-08-16T01:30Z</t>
        </is>
      </c>
      <c r="D194" s="24" t="inlineStr">
        <is>
          <t>761719</t>
        </is>
      </c>
      <c r="E194" s="24" t="inlineStr">
        <is>
          <t>SOCCER</t>
        </is>
      </c>
      <c r="F194" s="24" t="inlineStr">
        <is>
          <t>Minnesota United FC</t>
        </is>
      </c>
      <c r="G194" s="24" t="inlineStr">
        <is>
          <t>Real Salt Lake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0.514998</v>
      </c>
      <c r="P194" s="28" t="n">
        <v>0.04</v>
      </c>
      <c r="Q194" s="28" t="n">
        <v>-0.015518</v>
      </c>
      <c r="R194" s="26" t="n">
        <v>18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1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2026-08-16T06:20:01.439656Z</t>
        </is>
      </c>
      <c r="AE194" s="31" t="inlineStr">
        <is>
          <t>Poisson-DC rates 1.81 (home) / 1.16 (away) from EWMA attack/defense strengths. Executable ask 0.5300 (atc-mls-rsl-min-2026-08-15-rsl).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3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Minnesota United FC</t>
        </is>
      </c>
      <c r="AQ194" s="24" t="inlineStr">
        <is>
          <t>Minnesota United FC</t>
        </is>
      </c>
      <c r="AR194" s="24" t="inlineStr">
        <is>
          <t>Minnesota United FC</t>
        </is>
      </c>
      <c r="AS194" s="24" t="inlineStr">
        <is>
          <t>Real Salt Lake</t>
        </is>
      </c>
      <c r="AT194" s="24" t="inlineStr">
        <is>
          <t>Real Salt Lake</t>
        </is>
      </c>
      <c r="AU194" s="24" t="inlineStr">
        <is>
          <t>Real Salt Lake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c95ec2023134439ab985cb4cdcc58243749b9deb564fca7a2d587c15c9875427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c95ec2023134439ab985cb4cdcc58243749b9deb564fca7a2d587c15c9875427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c95ec2023134439ab985cb4cdcc58243749b9deb564fca7a2d587c15c9875427</t>
        </is>
      </c>
      <c r="BH194" s="24" t="inlineStr">
        <is>
          <t>2026-08-16T00:10:41.202714Z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d7adcf50154c43df</t>
        </is>
      </c>
      <c r="B195" s="24" t="inlineStr">
        <is>
          <t>2026-08-16T00:11:24.547402Z</t>
        </is>
      </c>
      <c r="C195" s="24" t="inlineStr">
        <is>
          <t>2026-08-16T02:30Z</t>
        </is>
      </c>
      <c r="D195" s="24" t="inlineStr">
        <is>
          <t>761721</t>
        </is>
      </c>
      <c r="E195" s="24" t="inlineStr">
        <is>
          <t>SOCCER</t>
        </is>
      </c>
      <c r="F195" s="24" t="inlineStr">
        <is>
          <t>St. Louis CITY SC</t>
        </is>
      </c>
      <c r="G195" s="24" t="inlineStr">
        <is>
          <t>San Jose Earthquakes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117</v>
      </c>
      <c r="M195" s="27" t="n">
        <v>2.17</v>
      </c>
      <c r="N195" s="28" t="n">
        <v>0.460829</v>
      </c>
      <c r="O195" s="28" t="n">
        <v>0.616657</v>
      </c>
      <c r="P195" s="28" t="n">
        <v>0.04</v>
      </c>
      <c r="Q195" s="28" t="n">
        <v>0.155828</v>
      </c>
      <c r="R195" s="26" t="n">
        <v>100</v>
      </c>
      <c r="S195" s="29" t="n">
        <v>1.5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3</v>
      </c>
      <c r="X195" s="26" t="n">
        <v>1</v>
      </c>
      <c r="Y195" s="25" t="n"/>
      <c r="Z195" s="26" t="n"/>
      <c r="AA195" s="28" t="n"/>
      <c r="AB195" s="28" t="n"/>
      <c r="AC195" s="30" t="n">
        <v>-1.5</v>
      </c>
      <c r="AD195" s="24" t="inlineStr">
        <is>
          <t>2026-08-16T06:20:02.592743Z</t>
        </is>
      </c>
      <c r="AE195" s="31" t="inlineStr">
        <is>
          <t>Poisson-DC rates 2.49 (home) / 1.35 (away) from EWMA attack/defense strengths. Executable ask 0.4600 (atc-mls-sje-stl-2026-08-15-sje).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St. Louis CITY SC</t>
        </is>
      </c>
      <c r="AQ195" s="24" t="inlineStr">
        <is>
          <t>St. Louis CITY SC</t>
        </is>
      </c>
      <c r="AR195" s="24" t="inlineStr">
        <is>
          <t>St. Louis CITY SC</t>
        </is>
      </c>
      <c r="AS195" s="24" t="inlineStr">
        <is>
          <t>San Jose Earthquakes</t>
        </is>
      </c>
      <c r="AT195" s="24" t="inlineStr">
        <is>
          <t>San Jose Earthquakes</t>
        </is>
      </c>
      <c r="AU195" s="24" t="inlineStr">
        <is>
          <t>San Jose Earthquakes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c95ec2023134439ab985cb4cdcc58243749b9deb564fca7a2d587c15c9875427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c95ec2023134439ab985cb4cdcc58243749b9deb564fca7a2d587c15c9875427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c95ec2023134439ab985cb4cdcc58243749b9deb564fca7a2d587c15c9875427</t>
        </is>
      </c>
      <c r="BH195" s="24" t="inlineStr">
        <is>
          <t>2026-08-16T00:10:42.859400Z</t>
        </is>
      </c>
      <c r="BI195" s="24" t="inlineStr">
        <is>
          <t>["same_event","same_team_same_day","same_league_same_day"]</t>
        </is>
      </c>
      <c r="BJ195" s="25" t="n"/>
      <c r="BK195" s="26" t="n">
        <v>117</v>
      </c>
      <c r="BL195" s="27" t="n">
        <v>2.17</v>
      </c>
      <c r="BM195" s="28" t="n">
        <v>0.460829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0.460829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ee516f3aa4824c28</t>
        </is>
      </c>
      <c r="B196" s="24" t="inlineStr">
        <is>
          <t>2026-08-16T00:11:24.547402Z</t>
        </is>
      </c>
      <c r="C196" s="24" t="inlineStr">
        <is>
          <t>2026-08-16T00:15Z</t>
        </is>
      </c>
      <c r="D196" s="24" t="inlineStr">
        <is>
          <t>401841505</t>
        </is>
      </c>
      <c r="E196" s="24" t="inlineStr">
        <is>
          <t>SOCCER</t>
        </is>
      </c>
      <c r="F196" s="24" t="inlineStr">
        <is>
          <t>Boca Juniors</t>
        </is>
      </c>
      <c r="G196" s="24" t="inlineStr">
        <is>
          <t>Platense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456</v>
      </c>
      <c r="M196" s="27" t="n">
        <v>5.56</v>
      </c>
      <c r="N196" s="28" t="n">
        <v>0.179856</v>
      </c>
      <c r="O196" s="28" t="n">
        <v>0.398039</v>
      </c>
      <c r="P196" s="28" t="n">
        <v>0.2</v>
      </c>
      <c r="Q196" s="28" t="n">
        <v>0.218183</v>
      </c>
      <c r="R196" s="26" t="n">
        <v>39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1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2026-08-16T03:14:49.869807Z</t>
        </is>
      </c>
      <c r="AE196" s="31" t="inlineStr">
        <is>
          <t>Poisson-DC rates 1.46 (home) / 1.30 (away) from EWMA attack/defense strengths. Executable ask 0.1800 (atc-lpa-pla-boc-2026-08-15-pla).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Boca Juniors</t>
        </is>
      </c>
      <c r="AQ196" s="24" t="inlineStr">
        <is>
          <t>Boca Juniors</t>
        </is>
      </c>
      <c r="AR196" s="24" t="inlineStr">
        <is>
          <t>Boca Juniors</t>
        </is>
      </c>
      <c r="AS196" s="24" t="inlineStr">
        <is>
          <t>Platense</t>
        </is>
      </c>
      <c r="AT196" s="24" t="inlineStr">
        <is>
          <t>Platense</t>
        </is>
      </c>
      <c r="AU196" s="24" t="inlineStr">
        <is>
          <t>Platense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c95ec2023134439ab985cb4cdcc58243749b9deb564fca7a2d587c15c9875427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c95ec2023134439ab985cb4cdcc58243749b9deb564fca7a2d587c15c9875427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c95ec2023134439ab985cb4cdcc58243749b9deb564fca7a2d587c15c9875427</t>
        </is>
      </c>
      <c r="BH196" s="24" t="inlineStr">
        <is>
          <t>2026-08-16T00:10:43.913640Z</t>
        </is>
      </c>
      <c r="BI196" s="24" t="inlineStr">
        <is>
          <t>["same_event","same_team_same_day","same_league_same_day"]</t>
        </is>
      </c>
      <c r="BJ196" s="25" t="n"/>
      <c r="BK196" s="26" t="n">
        <v>456</v>
      </c>
      <c r="BL196" s="27" t="n">
        <v>5.56</v>
      </c>
      <c r="BM196" s="28" t="n">
        <v>0.179856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0.179856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3104f54205fe41f1</t>
        </is>
      </c>
      <c r="B197" s="24" t="inlineStr">
        <is>
          <t>2026-08-16T09:36:58.626339Z</t>
        </is>
      </c>
      <c r="C197" s="24" t="inlineStr">
        <is>
          <t>2026-08-16T14:00Z</t>
        </is>
      </c>
      <c r="D197" s="24" t="inlineStr">
        <is>
          <t>401841194</t>
        </is>
      </c>
      <c r="E197" s="24" t="inlineStr">
        <is>
          <t>SOCCER</t>
        </is>
      </c>
      <c r="F197" s="24" t="inlineStr">
        <is>
          <t>Bahia</t>
        </is>
      </c>
      <c r="G197" s="24" t="inlineStr">
        <is>
          <t>Chapecoense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300</v>
      </c>
      <c r="M197" s="27" t="n">
        <v>4</v>
      </c>
      <c r="N197" s="28" t="n">
        <v>0.25</v>
      </c>
      <c r="O197" s="28" t="n">
        <v>0.451659</v>
      </c>
      <c r="P197" s="28" t="n">
        <v>0.2</v>
      </c>
      <c r="Q197" s="28" t="n">
        <v>0.201659</v>
      </c>
      <c r="R197" s="26" t="n">
        <v>31</v>
      </c>
      <c r="S197" s="29" t="n">
        <v>1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3</v>
      </c>
      <c r="X197" s="26" t="n">
        <v>3</v>
      </c>
      <c r="Y197" s="25" t="n"/>
      <c r="Z197" s="26" t="n"/>
      <c r="AA197" s="28" t="n"/>
      <c r="AB197" s="28" t="n"/>
      <c r="AC197" s="30" t="n">
        <v>-1</v>
      </c>
      <c r="AD197" s="24" t="inlineStr">
        <is>
          <t>2026-08-16T17:39:22.260077Z</t>
        </is>
      </c>
      <c r="AE197" s="31" t="inlineStr">
        <is>
          <t>Poisson-DC rates 1.59 (home) / 1.20 (away) from EWMA attack/defense strengths. Executable ask 0.2500 (atc-bra-cha-bah-2026-08-16-cha).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Bahia</t>
        </is>
      </c>
      <c r="AQ197" s="24" t="inlineStr">
        <is>
          <t>Bahia</t>
        </is>
      </c>
      <c r="AR197" s="24" t="inlineStr">
        <is>
          <t>Bahia</t>
        </is>
      </c>
      <c r="AS197" s="24" t="inlineStr">
        <is>
          <t>Chapecoense</t>
        </is>
      </c>
      <c r="AT197" s="24" t="inlineStr">
        <is>
          <t>Chapecoense</t>
        </is>
      </c>
      <c r="AU197" s="24" t="inlineStr">
        <is>
          <t>Chapecoense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c95ec2023134439ab985cb4cdcc58243749b9deb564fca7a2d587c15c9875427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c95ec2023134439ab985cb4cdcc58243749b9deb564fca7a2d587c15c9875427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c95ec2023134439ab985cb4cdcc58243749b9deb564fca7a2d587c15c9875427</t>
        </is>
      </c>
      <c r="BH197" s="24" t="inlineStr">
        <is>
          <t>2026-08-16T09:31:02.497131Z</t>
        </is>
      </c>
      <c r="BI197" s="24" t="inlineStr">
        <is>
          <t>["same_event","same_team_same_day","same_league_same_day"]</t>
        </is>
      </c>
      <c r="BJ197" s="25" t="n"/>
      <c r="BK197" s="26" t="n">
        <v>300</v>
      </c>
      <c r="BL197" s="27" t="n">
        <v>4</v>
      </c>
      <c r="BM197" s="28" t="n">
        <v>0.25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0.25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fa86a366378c4c6a</t>
        </is>
      </c>
      <c r="B198" s="24" t="inlineStr">
        <is>
          <t>2026-08-16T09:36:58.626339Z</t>
        </is>
      </c>
      <c r="C198" s="24" t="inlineStr">
        <is>
          <t>2026-08-16T14:00Z</t>
        </is>
      </c>
      <c r="D198" s="24" t="inlineStr">
        <is>
          <t>401906395</t>
        </is>
      </c>
      <c r="E198" s="24" t="inlineStr">
        <is>
          <t>SOCCER</t>
        </is>
      </c>
      <c r="F198" s="24" t="inlineStr">
        <is>
          <t>Deportivo Maldonado</t>
        </is>
      </c>
      <c r="G198" s="24" t="inlineStr">
        <is>
          <t>Progreso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300</v>
      </c>
      <c r="M198" s="27" t="n">
        <v>4</v>
      </c>
      <c r="N198" s="28" t="n">
        <v>0.25</v>
      </c>
      <c r="O198" s="28" t="n">
        <v>0.473399</v>
      </c>
      <c r="P198" s="28" t="n">
        <v>0.19</v>
      </c>
      <c r="Q198" s="28" t="n">
        <v>0.223399</v>
      </c>
      <c r="R198" s="26" t="n">
        <v>48</v>
      </c>
      <c r="S198" s="29" t="n">
        <v>1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2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2026-08-16T17:39:27.201233Z</t>
        </is>
      </c>
      <c r="AE198" s="31" t="inlineStr">
        <is>
          <t>Poisson-DC rates 1.39 (home) / 0.88 (away) from EWMA attack/defense strengths. Executable ask 0.2500 (atc-uru1-pro-mal-2026-08-16-pro).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PAPER_CALL_MODEL_UNVALIDATED</t>
        </is>
      </c>
      <c r="AP198" s="24" t="inlineStr">
        <is>
          <t>Deportivo Maldonado</t>
        </is>
      </c>
      <c r="AQ198" s="24" t="inlineStr">
        <is>
          <t>Deportivo Maldonado</t>
        </is>
      </c>
      <c r="AR198" s="24" t="inlineStr">
        <is>
          <t>Deportivo Maldonado</t>
        </is>
      </c>
      <c r="AS198" s="24" t="inlineStr">
        <is>
          <t>Progreso</t>
        </is>
      </c>
      <c r="AT198" s="24" t="inlineStr">
        <is>
          <t>Progreso</t>
        </is>
      </c>
      <c r="AU198" s="24" t="inlineStr">
        <is>
          <t>Progreso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c95ec2023134439ab985cb4cdcc58243749b9deb564fca7a2d587c15c9875427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c95ec2023134439ab985cb4cdcc58243749b9deb564fca7a2d587c15c9875427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c95ec2023134439ab985cb4cdcc58243749b9deb564fca7a2d587c15c9875427</t>
        </is>
      </c>
      <c r="BH198" s="24" t="inlineStr">
        <is>
          <t>2026-08-16T09:31:04.901008Z</t>
        </is>
      </c>
      <c r="BI198" s="24" t="inlineStr">
        <is>
          <t>["same_event","same_team_same_day","same_league_same_day"]</t>
        </is>
      </c>
      <c r="BJ198" s="25" t="n"/>
      <c r="BK198" s="26" t="n">
        <v>300</v>
      </c>
      <c r="BL198" s="27" t="n">
        <v>4</v>
      </c>
      <c r="BM198" s="28" t="n">
        <v>0.25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0.25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e70a322483734a51</t>
        </is>
      </c>
      <c r="B199" s="24" t="inlineStr">
        <is>
          <t>2026-08-16T09:36:58.626339Z</t>
        </is>
      </c>
      <c r="C199" s="24" t="inlineStr">
        <is>
          <t>2026-08-16T13:00Z</t>
        </is>
      </c>
      <c r="D199" s="24" t="inlineStr">
        <is>
          <t>401906461</t>
        </is>
      </c>
      <c r="E199" s="24" t="inlineStr">
        <is>
          <t>SOCCER</t>
        </is>
      </c>
      <c r="F199" s="24" t="inlineStr">
        <is>
          <t>Brest</t>
        </is>
      </c>
      <c r="G199" s="24" t="inlineStr">
        <is>
          <t>Nottingham Forest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-138</v>
      </c>
      <c r="M199" s="27" t="n">
        <v>1.724638</v>
      </c>
      <c r="N199" s="28" t="n">
        <v>0.579832</v>
      </c>
      <c r="O199" s="28" t="n">
        <v>0.648549</v>
      </c>
      <c r="P199" s="28" t="n">
        <v>0.04</v>
      </c>
      <c r="Q199" s="28" t="n">
        <v>0.068717</v>
      </c>
      <c r="R199" s="26" t="n">
        <v>60</v>
      </c>
      <c r="S199" s="29" t="n">
        <v>1.75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2</v>
      </c>
      <c r="Y199" s="25" t="n"/>
      <c r="Z199" s="26" t="n"/>
      <c r="AA199" s="28" t="n"/>
      <c r="AB199" s="28" t="n"/>
      <c r="AC199" s="30" t="n">
        <v>1.2681</v>
      </c>
      <c r="AD199" s="24" t="inlineStr">
        <is>
          <t>2026-08-16T17:39:31.319569Z</t>
        </is>
      </c>
      <c r="AE199" s="31" t="inlineStr">
        <is>
          <t>Poisson-DC rates 2.15 (home) / 0.91 (away) from EWMA attack/defense strengths. Executable ask 0.5800 (atc-clbf-nfo-stb-2026-08-16-nfo).</t>
        </is>
      </c>
      <c r="AF199" s="31" t="inlineStr">
        <is>
          <t>Research-only soccer score model; draw-aware, but not yet locked-holdout qualified.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Brest</t>
        </is>
      </c>
      <c r="AQ199" s="24" t="inlineStr">
        <is>
          <t>Brest</t>
        </is>
      </c>
      <c r="AR199" s="24" t="inlineStr">
        <is>
          <t>Brest</t>
        </is>
      </c>
      <c r="AS199" s="24" t="inlineStr">
        <is>
          <t>Nottingham Forest</t>
        </is>
      </c>
      <c r="AT199" s="24" t="inlineStr">
        <is>
          <t>Nottingham Forest</t>
        </is>
      </c>
      <c r="AU199" s="24" t="inlineStr">
        <is>
          <t>Nottingham Forest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c95ec2023134439ab985cb4cdcc58243749b9deb564fca7a2d587c15c9875427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c95ec2023134439ab985cb4cdcc58243749b9deb564fca7a2d587c15c9875427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c95ec2023134439ab985cb4cdcc58243749b9deb564fca7a2d587c15c9875427</t>
        </is>
      </c>
      <c r="BH199" s="24" t="inlineStr">
        <is>
          <t>2026-08-16T09:31:05.871419Z</t>
        </is>
      </c>
      <c r="BI199" s="24" t="inlineStr">
        <is>
          <t>["same_event","same_team_same_day","same_league_same_day"]</t>
        </is>
      </c>
      <c r="BJ199" s="25" t="n"/>
      <c r="BK199" s="26" t="n">
        <v>-138</v>
      </c>
      <c r="BL199" s="27" t="n">
        <v>1.724638</v>
      </c>
      <c r="BM199" s="28" t="n">
        <v>0.579832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0.579832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e088ab7a46064966</t>
        </is>
      </c>
      <c r="B200" s="24" t="inlineStr">
        <is>
          <t>2026-08-16T09:36:58.626339Z</t>
        </is>
      </c>
      <c r="C200" s="24" t="inlineStr">
        <is>
          <t>2026-08-16T14:30Z</t>
        </is>
      </c>
      <c r="D200" s="24" t="inlineStr">
        <is>
          <t>401906710</t>
        </is>
      </c>
      <c r="E200" s="24" t="inlineStr">
        <is>
          <t>SOCCER</t>
        </is>
      </c>
      <c r="F200" s="24" t="inlineStr">
        <is>
          <t>Barcelona</t>
        </is>
      </c>
      <c r="G200" s="24" t="inlineStr">
        <is>
          <t>FC Basel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-355</v>
      </c>
      <c r="M200" s="27" t="n">
        <v>1.28169</v>
      </c>
      <c r="N200" s="28" t="n">
        <v>0.78022</v>
      </c>
      <c r="O200" s="28" t="n">
        <v>0.500277</v>
      </c>
      <c r="P200" s="28" t="n">
        <v>0.19</v>
      </c>
      <c r="Q200" s="28" t="n">
        <v>-0.279943</v>
      </c>
      <c r="R200" s="26" t="n">
        <v>0</v>
      </c>
      <c r="S200" s="29" t="n">
        <v>1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win</t>
        </is>
      </c>
      <c r="W200" s="26" t="n">
        <v>5</v>
      </c>
      <c r="X200" s="26" t="n">
        <v>2</v>
      </c>
      <c r="Y200" s="25" t="n"/>
      <c r="Z200" s="26" t="n"/>
      <c r="AA200" s="28" t="n"/>
      <c r="AB200" s="28" t="n"/>
      <c r="AC200" s="30" t="n">
        <v>0.2817</v>
      </c>
      <c r="AD200" s="24" t="inlineStr">
        <is>
          <t>2026-08-16T17:39:33.069293Z</t>
        </is>
      </c>
      <c r="AE200" s="31" t="inlineStr">
        <is>
          <t>Poisson-DC rates 1.10 (home) / 1.69 (away) from EWMA attack/defense strengths. Executable ask 0.7800 (atc-clbf-fbc-bar-2026-08-16-bar).</t>
        </is>
      </c>
      <c r="AF200" s="31" t="inlineStr">
        <is>
          <t>Research-only soccer score model; draw-aware, but not yet locked-holdout qualified.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Barcelona</t>
        </is>
      </c>
      <c r="AQ200" s="24" t="inlineStr">
        <is>
          <t>Barcelona</t>
        </is>
      </c>
      <c r="AR200" s="24" t="inlineStr">
        <is>
          <t>Barcelona</t>
        </is>
      </c>
      <c r="AS200" s="24" t="inlineStr">
        <is>
          <t>FC Basel</t>
        </is>
      </c>
      <c r="AT200" s="24" t="inlineStr">
        <is>
          <t>FC Basel</t>
        </is>
      </c>
      <c r="AU200" s="24" t="inlineStr">
        <is>
          <t>FC Basel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c95ec2023134439ab985cb4cdcc58243749b9deb564fca7a2d587c15c9875427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c95ec2023134439ab985cb4cdcc58243749b9deb564fca7a2d587c15c9875427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c95ec2023134439ab985cb4cdcc58243749b9deb564fca7a2d587c15c9875427</t>
        </is>
      </c>
      <c r="BH200" s="24" t="inlineStr">
        <is>
          <t>2026-08-16T09:31:06.196557Z</t>
        </is>
      </c>
      <c r="BI200" s="24" t="inlineStr">
        <is>
          <t>["same_event","same_team_same_day","same_league_same_day"]</t>
        </is>
      </c>
      <c r="BJ200" s="25" t="n"/>
      <c r="BK200" s="26" t="n">
        <v>-355</v>
      </c>
      <c r="BL200" s="27" t="n">
        <v>1.28169</v>
      </c>
      <c r="BM200" s="28" t="n">
        <v>0.78022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0.78022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c5618f319dae4055</t>
        </is>
      </c>
      <c r="B201" s="24" t="inlineStr">
        <is>
          <t>2026-08-16T14:36:25.192384Z</t>
        </is>
      </c>
      <c r="C201" s="24" t="inlineStr">
        <is>
          <t>2026-08-16T17:00Z</t>
        </is>
      </c>
      <c r="D201" s="24" t="inlineStr">
        <is>
          <t>401882922</t>
        </is>
      </c>
      <c r="E201" s="24" t="inlineStr">
        <is>
          <t>SOCCER</t>
        </is>
      </c>
      <c r="F201" s="24" t="inlineStr">
        <is>
          <t>Levante</t>
        </is>
      </c>
      <c r="G201" s="24" t="inlineStr">
        <is>
          <t>Espanyol</t>
        </is>
      </c>
      <c r="H201" s="24" t="inlineStr">
        <is>
          <t>total</t>
        </is>
      </c>
      <c r="I201" s="24" t="inlineStr">
        <is>
          <t>under</t>
        </is>
      </c>
      <c r="J201" s="25" t="n">
        <v>2.5</v>
      </c>
      <c r="K201" s="24" t="inlineStr">
        <is>
          <t>polymarket_us</t>
        </is>
      </c>
      <c r="L201" s="26" t="n">
        <v>-138</v>
      </c>
      <c r="M201" s="27" t="n">
        <v>1.724638</v>
      </c>
      <c r="N201" s="28" t="n">
        <v>0.579832</v>
      </c>
      <c r="O201" s="28" t="n">
        <v>0.529934</v>
      </c>
      <c r="P201" s="28" t="n">
        <v>0.04</v>
      </c>
      <c r="Q201" s="28" t="n">
        <v>-0.049898</v>
      </c>
      <c r="R201" s="26" t="n">
        <v>1</v>
      </c>
      <c r="S201" s="29" t="n">
        <v>1</v>
      </c>
      <c r="T201" s="24" t="inlineStr">
        <is>
          <t>soccer-poisson-dc-v1</t>
        </is>
      </c>
      <c r="U201" s="24" t="inlineStr">
        <is>
          <t>settled</t>
        </is>
      </c>
      <c r="V201" s="24" t="inlineStr">
        <is>
          <t>loss</t>
        </is>
      </c>
      <c r="W201" s="26" t="n">
        <v>0</v>
      </c>
      <c r="X201" s="26" t="n">
        <v>3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2026-08-17T05:25:21.372669Z</t>
        </is>
      </c>
      <c r="AE201" s="31" t="inlineStr">
        <is>
          <t>Poisson-DC rates 1.33 (home) / 1.23 (away) from EWMA attack/defense strengths. Executable ask 0.5800 (tsc-lal-esp-lev-2026-08-16-2pt5).</t>
        </is>
      </c>
      <c r="AF201" s="31" t="inlineStr">
        <is>
          <t>Research-only soccer score model; draw-aware, but not yet locked-holdout qualified.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Levante</t>
        </is>
      </c>
      <c r="AQ201" s="24" t="inlineStr">
        <is>
          <t>Levante</t>
        </is>
      </c>
      <c r="AR201" s="24" t="inlineStr">
        <is>
          <t>Levante</t>
        </is>
      </c>
      <c r="AS201" s="24" t="inlineStr">
        <is>
          <t>Espanyol</t>
        </is>
      </c>
      <c r="AT201" s="24" t="inlineStr">
        <is>
          <t>Espanyol</t>
        </is>
      </c>
      <c r="AU201" s="24" t="inlineStr">
        <is>
          <t>Espanyol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c95ec2023134439ab985cb4cdcc58243749b9deb564fca7a2d587c15c9875427</t>
        </is>
      </c>
      <c r="BB201" s="24" t="inlineStr">
        <is>
          <t>poisson_dixon_coles</t>
        </is>
      </c>
      <c r="BC201" s="24" t="inlineStr">
        <is>
          <t>soccer-poisson-dc-v1</t>
        </is>
      </c>
      <c r="BD201" s="24" t="inlineStr">
        <is>
          <t>c95ec2023134439ab985cb4cdcc58243749b9deb564fca7a2d587c15c9875427</t>
        </is>
      </c>
      <c r="BE201" s="24" t="inlineStr">
        <is>
          <t>soccer-poisson-dc-v1</t>
        </is>
      </c>
      <c r="BF201" s="24" t="inlineStr">
        <is>
          <t>1</t>
        </is>
      </c>
      <c r="BG201" s="24" t="inlineStr">
        <is>
          <t>c95ec2023134439ab985cb4cdcc58243749b9deb564fca7a2d587c15c9875427</t>
        </is>
      </c>
      <c r="BH201" s="24" t="inlineStr">
        <is>
          <t>2026-08-16T14:33:03.799559Z</t>
        </is>
      </c>
      <c r="BI201" s="24" t="inlineStr">
        <is>
          <t>["same_event","same_team_same_day","same_league_same_day"]</t>
        </is>
      </c>
      <c r="BJ201" s="25" t="n">
        <v>2.5</v>
      </c>
      <c r="BK201" s="26" t="n">
        <v>-138</v>
      </c>
      <c r="BL201" s="27" t="n">
        <v>1.724638</v>
      </c>
      <c r="BM201" s="28" t="n">
        <v>0.579832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0.579832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0bc980962f464a53</t>
        </is>
      </c>
      <c r="B202" s="24" t="inlineStr">
        <is>
          <t>2026-08-16T14:36:25.192384Z</t>
        </is>
      </c>
      <c r="C202" s="24" t="inlineStr">
        <is>
          <t>2026-08-16T17:00Z</t>
        </is>
      </c>
      <c r="D202" s="24" t="inlineStr">
        <is>
          <t>401882922</t>
        </is>
      </c>
      <c r="E202" s="24" t="inlineStr">
        <is>
          <t>SOCCER</t>
        </is>
      </c>
      <c r="F202" s="24" t="inlineStr">
        <is>
          <t>Levante</t>
        </is>
      </c>
      <c r="G202" s="24" t="inlineStr">
        <is>
          <t>Espanyol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0.377245</v>
      </c>
      <c r="P202" s="28" t="n">
        <v>0.04</v>
      </c>
      <c r="Q202" s="28" t="n">
        <v>-0.08358400000000001</v>
      </c>
      <c r="R202" s="26" t="n">
        <v>0</v>
      </c>
      <c r="S202" s="29" t="n">
        <v>1.5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3</v>
      </c>
      <c r="Y202" s="25" t="n"/>
      <c r="Z202" s="26" t="n"/>
      <c r="AA202" s="28" t="n"/>
      <c r="AB202" s="28" t="n"/>
      <c r="AC202" s="30" t="n">
        <v>1.755</v>
      </c>
      <c r="AD202" s="24" t="inlineStr">
        <is>
          <t>2026-08-17T05:25:24.081760Z</t>
        </is>
      </c>
      <c r="AE202" s="31" t="inlineStr">
        <is>
          <t>Poisson-DC rates 1.33 (home) / 1.23 (away) from EWMA attack/defense strengths. Executable ask 0.4600 (atc-lal-esp-lev-2026-08-16-esp).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Levante</t>
        </is>
      </c>
      <c r="AQ202" s="24" t="inlineStr">
        <is>
          <t>Levante</t>
        </is>
      </c>
      <c r="AR202" s="24" t="inlineStr">
        <is>
          <t>Levante</t>
        </is>
      </c>
      <c r="AS202" s="24" t="inlineStr">
        <is>
          <t>Espanyol</t>
        </is>
      </c>
      <c r="AT202" s="24" t="inlineStr">
        <is>
          <t>Espanyol</t>
        </is>
      </c>
      <c r="AU202" s="24" t="inlineStr">
        <is>
          <t>Espanyol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c95ec2023134439ab985cb4cdcc58243749b9deb564fca7a2d587c15c9875427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c95ec2023134439ab985cb4cdcc58243749b9deb564fca7a2d587c15c9875427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c95ec2023134439ab985cb4cdcc58243749b9deb564fca7a2d587c15c9875427</t>
        </is>
      </c>
      <c r="BH202" s="24" t="inlineStr">
        <is>
          <t>2026-08-16T14:33:03.723849Z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eb88316181ff438c</t>
        </is>
      </c>
      <c r="B203" s="24" t="inlineStr">
        <is>
          <t>2026-08-16T14:36:25.192384Z</t>
        </is>
      </c>
      <c r="C203" s="24" t="inlineStr">
        <is>
          <t>2026-08-16T15:00Z</t>
        </is>
      </c>
      <c r="D203" s="24" t="inlineStr">
        <is>
          <t>401905967</t>
        </is>
      </c>
      <c r="E203" s="24" t="inlineStr">
        <is>
          <t>SOCCER</t>
        </is>
      </c>
      <c r="F203" s="24" t="inlineStr">
        <is>
          <t>Strasbourg</t>
        </is>
      </c>
      <c r="G203" s="24" t="inlineStr">
        <is>
          <t>Newcastle United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-104</v>
      </c>
      <c r="M203" s="27" t="n">
        <v>1.961538</v>
      </c>
      <c r="N203" s="28" t="n">
        <v>0.509804</v>
      </c>
      <c r="O203" s="28" t="n">
        <v>0.418027</v>
      </c>
      <c r="P203" s="28" t="n">
        <v>0.04</v>
      </c>
      <c r="Q203" s="28" t="n">
        <v>-0.091777</v>
      </c>
      <c r="R203" s="26" t="n">
        <v>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1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2026-08-16T17:39:47.510288Z</t>
        </is>
      </c>
      <c r="AE203" s="31" t="inlineStr">
        <is>
          <t>Poisson-DC rates 1.94 (home) / 1.77 (away) from EWMA attack/defense strengths. Executable ask 0.5100 (atc-clbf-new-rcs-2026-08-16-new).</t>
        </is>
      </c>
      <c r="AF203" s="31" t="inlineStr">
        <is>
          <t>Research-only soccer score model; draw-aware, but not yet locked-holdout qualified.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Strasbourg</t>
        </is>
      </c>
      <c r="AQ203" s="24" t="inlineStr">
        <is>
          <t>Strasbourg</t>
        </is>
      </c>
      <c r="AR203" s="24" t="inlineStr">
        <is>
          <t>Strasbourg</t>
        </is>
      </c>
      <c r="AS203" s="24" t="inlineStr">
        <is>
          <t>Newcastle United</t>
        </is>
      </c>
      <c r="AT203" s="24" t="inlineStr">
        <is>
          <t>Newcastle United</t>
        </is>
      </c>
      <c r="AU203" s="24" t="inlineStr">
        <is>
          <t>Newcastle United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c95ec2023134439ab985cb4cdcc58243749b9deb564fca7a2d587c15c9875427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c95ec2023134439ab985cb4cdcc58243749b9deb564fca7a2d587c15c9875427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c95ec2023134439ab985cb4cdcc58243749b9deb564fca7a2d587c15c9875427</t>
        </is>
      </c>
      <c r="BH203" s="24" t="inlineStr">
        <is>
          <t>2026-08-16T14:33:11.182095Z</t>
        </is>
      </c>
      <c r="BI203" s="24" t="inlineStr">
        <is>
          <t>["same_event","same_team_same_day","same_league_same_day"]</t>
        </is>
      </c>
      <c r="BJ203" s="25" t="n"/>
      <c r="BK203" s="26" t="n">
        <v>-104</v>
      </c>
      <c r="BL203" s="27" t="n">
        <v>1.961538</v>
      </c>
      <c r="BM203" s="28" t="n">
        <v>0.509804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0.509804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d3465c8debd744d7</t>
        </is>
      </c>
      <c r="B204" s="24" t="inlineStr">
        <is>
          <t>2026-08-16T14:36:25.192384Z</t>
        </is>
      </c>
      <c r="C204" s="24" t="inlineStr">
        <is>
          <t>2026-08-16T15:00Z</t>
        </is>
      </c>
      <c r="D204" s="24" t="inlineStr">
        <is>
          <t>401902578</t>
        </is>
      </c>
      <c r="E204" s="24" t="inlineStr">
        <is>
          <t>SOCCER</t>
        </is>
      </c>
      <c r="F204" s="24" t="inlineStr">
        <is>
          <t>Real Madrid</t>
        </is>
      </c>
      <c r="G204" s="24" t="inlineStr">
        <is>
          <t>Schalke 04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-335</v>
      </c>
      <c r="M204" s="27" t="n">
        <v>1.298507</v>
      </c>
      <c r="N204" s="28" t="n">
        <v>0.770115</v>
      </c>
      <c r="O204" s="28" t="n">
        <v>0.444718</v>
      </c>
      <c r="P204" s="28" t="n">
        <v>0.2</v>
      </c>
      <c r="Q204" s="28" t="n">
        <v>-0.325397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3</v>
      </c>
      <c r="X204" s="26" t="n">
        <v>0</v>
      </c>
      <c r="Y204" s="25" t="n"/>
      <c r="Z204" s="26" t="n"/>
      <c r="AA204" s="28" t="n"/>
      <c r="AB204" s="28" t="n"/>
      <c r="AC204" s="30" t="n">
        <v>0.2985</v>
      </c>
      <c r="AD204" s="24" t="inlineStr">
        <is>
          <t>2026-08-16T17:39:48.935696Z</t>
        </is>
      </c>
      <c r="AE204" s="31" t="inlineStr">
        <is>
          <t>Poisson-DC rates 1.35 (home) / 1.69 (away) from EWMA attack/defense strengths. Executable ask 0.7700 (atc-clbf-sch-rme-2026-08-16-rme).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Real Madrid</t>
        </is>
      </c>
      <c r="AQ204" s="24" t="inlineStr">
        <is>
          <t>Real Madrid</t>
        </is>
      </c>
      <c r="AR204" s="24" t="inlineStr">
        <is>
          <t>Real Madrid</t>
        </is>
      </c>
      <c r="AS204" s="24" t="inlineStr">
        <is>
          <t>Schalke 04</t>
        </is>
      </c>
      <c r="AT204" s="24" t="inlineStr">
        <is>
          <t>Schalke 04</t>
        </is>
      </c>
      <c r="AU204" s="24" t="inlineStr">
        <is>
          <t>Schalke 04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c95ec2023134439ab985cb4cdcc58243749b9deb564fca7a2d587c15c9875427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c95ec2023134439ab985cb4cdcc58243749b9deb564fca7a2d587c15c9875427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c95ec2023134439ab985cb4cdcc58243749b9deb564fca7a2d587c15c9875427</t>
        </is>
      </c>
      <c r="BH204" s="24" t="inlineStr">
        <is>
          <t>2026-08-16T14:33:11.144589Z</t>
        </is>
      </c>
      <c r="BI204" s="24" t="inlineStr">
        <is>
          <t>["same_event","same_team_same_day","same_league_same_day"]</t>
        </is>
      </c>
      <c r="BJ204" s="25" t="n"/>
      <c r="BK204" s="26" t="n">
        <v>-335</v>
      </c>
      <c r="BL204" s="27" t="n">
        <v>1.298507</v>
      </c>
      <c r="BM204" s="28" t="n">
        <v>0.770115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0.770115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fe6b23e692e94f68</t>
        </is>
      </c>
      <c r="B205" s="24" t="inlineStr">
        <is>
          <t>2026-08-16T17:44:48.506019Z</t>
        </is>
      </c>
      <c r="C205" s="24" t="inlineStr">
        <is>
          <t>2026-08-16T22:00Z</t>
        </is>
      </c>
      <c r="D205" s="24" t="inlineStr">
        <is>
          <t>761723</t>
        </is>
      </c>
      <c r="E205" s="24" t="inlineStr">
        <is>
          <t>SOCCER</t>
        </is>
      </c>
      <c r="F205" s="24" t="inlineStr">
        <is>
          <t>Portland Timbers</t>
        </is>
      </c>
      <c r="G205" s="24" t="inlineStr">
        <is>
          <t>Chicago Fire FC</t>
        </is>
      </c>
      <c r="H205" s="24" t="inlineStr">
        <is>
          <t>total</t>
        </is>
      </c>
      <c r="I205" s="24" t="inlineStr">
        <is>
          <t>over</t>
        </is>
      </c>
      <c r="J205" s="25" t="n">
        <v>2.5</v>
      </c>
      <c r="K205" s="24" t="inlineStr">
        <is>
          <t>polymarket_us</t>
        </is>
      </c>
      <c r="L205" s="26" t="n">
        <v>-270</v>
      </c>
      <c r="M205" s="27" t="n">
        <v>1.37037</v>
      </c>
      <c r="N205" s="28" t="n">
        <v>0.72973</v>
      </c>
      <c r="O205" s="28" t="n">
        <v>0.788031</v>
      </c>
      <c r="P205" s="28" t="n">
        <v>0.04</v>
      </c>
      <c r="Q205" s="28" t="n">
        <v>0.058301</v>
      </c>
      <c r="R205" s="26" t="n">
        <v>55</v>
      </c>
      <c r="S205" s="29" t="n">
        <v>2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2</v>
      </c>
      <c r="Y205" s="25" t="n"/>
      <c r="Z205" s="26" t="n"/>
      <c r="AA205" s="28" t="n"/>
      <c r="AB205" s="28" t="n"/>
      <c r="AC205" s="30" t="n">
        <v>0.7407</v>
      </c>
      <c r="AD205" s="24" t="inlineStr">
        <is>
          <t>2026-08-17T05:26:48.574290Z</t>
        </is>
      </c>
      <c r="AE205" s="31" t="inlineStr">
        <is>
          <t>Poisson-DC rates 2.77 (home) / 1.41 (away) from EWMA attack/defense strengths. Executable ask 0.7300 (tsc-mls-chi-por-2026-08-16-2pt5).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Portland Timbers</t>
        </is>
      </c>
      <c r="AQ205" s="24" t="inlineStr">
        <is>
          <t>Portland Timbers</t>
        </is>
      </c>
      <c r="AR205" s="24" t="inlineStr">
        <is>
          <t>Portland Timbers</t>
        </is>
      </c>
      <c r="AS205" s="24" t="inlineStr">
        <is>
          <t>Chicago Fire FC</t>
        </is>
      </c>
      <c r="AT205" s="24" t="inlineStr">
        <is>
          <t>Chicago Fire FC</t>
        </is>
      </c>
      <c r="AU205" s="24" t="inlineStr">
        <is>
          <t>Chicago Fire FC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c95ec2023134439ab985cb4cdcc58243749b9deb564fca7a2d587c15c9875427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c95ec2023134439ab985cb4cdcc58243749b9deb564fca7a2d587c15c9875427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c95ec2023134439ab985cb4cdcc58243749b9deb564fca7a2d587c15c9875427</t>
        </is>
      </c>
      <c r="BH205" s="24" t="inlineStr">
        <is>
          <t>2026-08-16T17:42:36.640583Z</t>
        </is>
      </c>
      <c r="BI205" s="24" t="inlineStr">
        <is>
          <t>["same_event","same_team_same_day","same_league_same_day"]</t>
        </is>
      </c>
      <c r="BJ205" s="25" t="n">
        <v>2.5</v>
      </c>
      <c r="BK205" s="26" t="n">
        <v>-270</v>
      </c>
      <c r="BL205" s="27" t="n">
        <v>1.37037</v>
      </c>
      <c r="BM205" s="28" t="n">
        <v>0.72973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0.72973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bae6a9c93a294593</t>
        </is>
      </c>
      <c r="B206" s="24" t="inlineStr">
        <is>
          <t>2026-08-16T17:44:48.506019Z</t>
        </is>
      </c>
      <c r="C206" s="24" t="inlineStr">
        <is>
          <t>2026-08-16T22:00Z</t>
        </is>
      </c>
      <c r="D206" s="24" t="inlineStr">
        <is>
          <t>761722</t>
        </is>
      </c>
      <c r="E206" s="24" t="inlineStr">
        <is>
          <t>SOCCER</t>
        </is>
      </c>
      <c r="F206" s="24" t="inlineStr">
        <is>
          <t>Philadelphia Union</t>
        </is>
      </c>
      <c r="G206" s="24" t="inlineStr">
        <is>
          <t>New York City FC</t>
        </is>
      </c>
      <c r="H206" s="24" t="inlineStr">
        <is>
          <t>total</t>
        </is>
      </c>
      <c r="I206" s="24" t="inlineStr">
        <is>
          <t>over</t>
        </is>
      </c>
      <c r="J206" s="25" t="n">
        <v>2.5</v>
      </c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0.657556</v>
      </c>
      <c r="P206" s="28" t="n">
        <v>0.04</v>
      </c>
      <c r="Q206" s="28" t="n">
        <v>0.06739199999999999</v>
      </c>
      <c r="R206" s="26" t="n">
        <v>60</v>
      </c>
      <c r="S206" s="29" t="n">
        <v>1.75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win</t>
        </is>
      </c>
      <c r="W206" s="26" t="n">
        <v>3</v>
      </c>
      <c r="X206" s="26" t="n">
        <v>2</v>
      </c>
      <c r="Y206" s="25" t="n"/>
      <c r="Z206" s="26" t="n"/>
      <c r="AA206" s="28" t="n"/>
      <c r="AB206" s="28" t="n"/>
      <c r="AC206" s="30" t="n">
        <v>1.2153</v>
      </c>
      <c r="AD206" s="24" t="inlineStr">
        <is>
          <t>2026-08-17T05:26:51.028085Z</t>
        </is>
      </c>
      <c r="AE206" s="31" t="inlineStr">
        <is>
          <t>Poisson-DC rates 2.13 (home) / 1.25 (away) from EWMA attack/defense strengths. Executable ask 0.5900 (tsc-mls-nyc-phi-2026-08-16-2pt5).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Philadelphia Union</t>
        </is>
      </c>
      <c r="AQ206" s="24" t="inlineStr">
        <is>
          <t>Philadelphia Union</t>
        </is>
      </c>
      <c r="AR206" s="24" t="inlineStr">
        <is>
          <t>Philadelphia Union</t>
        </is>
      </c>
      <c r="AS206" s="24" t="inlineStr">
        <is>
          <t>New York City FC</t>
        </is>
      </c>
      <c r="AT206" s="24" t="inlineStr">
        <is>
          <t>New York City FC</t>
        </is>
      </c>
      <c r="AU206" s="24" t="inlineStr">
        <is>
          <t>New York City FC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c95ec2023134439ab985cb4cdcc58243749b9deb564fca7a2d587c15c9875427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c95ec2023134439ab985cb4cdcc58243749b9deb564fca7a2d587c15c9875427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c95ec2023134439ab985cb4cdcc58243749b9deb564fca7a2d587c15c9875427</t>
        </is>
      </c>
      <c r="BH206" s="24" t="inlineStr">
        <is>
          <t>2026-08-16T17:42:37.754761Z</t>
        </is>
      </c>
      <c r="BI206" s="24" t="inlineStr">
        <is>
          <t>["same_event","same_team_same_day","same_league_same_day"]</t>
        </is>
      </c>
      <c r="BJ206" s="25" t="n">
        <v>2.5</v>
      </c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0.590164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e9b3b95b97cd4ec0</t>
        </is>
      </c>
      <c r="B207" s="24" t="inlineStr">
        <is>
          <t>2026-08-16T17:44:48.506019Z</t>
        </is>
      </c>
      <c r="C207" s="24" t="inlineStr">
        <is>
          <t>2026-08-17T00:30Z</t>
        </is>
      </c>
      <c r="D207" s="24" t="inlineStr">
        <is>
          <t>761717</t>
        </is>
      </c>
      <c r="E207" s="24" t="inlineStr">
        <is>
          <t>SOCCER</t>
        </is>
      </c>
      <c r="F207" s="24" t="inlineStr">
        <is>
          <t>FC Dallas</t>
        </is>
      </c>
      <c r="G207" s="24" t="inlineStr">
        <is>
          <t>Austin FC</t>
        </is>
      </c>
      <c r="H207" s="24" t="inlineStr">
        <is>
          <t>total</t>
        </is>
      </c>
      <c r="I207" s="24" t="inlineStr">
        <is>
          <t>over</t>
        </is>
      </c>
      <c r="J207" s="25" t="n">
        <v>2.5</v>
      </c>
      <c r="K207" s="24" t="inlineStr">
        <is>
          <t>polymarket_us</t>
        </is>
      </c>
      <c r="L207" s="26" t="n">
        <v>-138</v>
      </c>
      <c r="M207" s="27" t="n">
        <v>1.724638</v>
      </c>
      <c r="N207" s="28" t="n">
        <v>0.579832</v>
      </c>
      <c r="O207" s="28" t="n">
        <v>0.71039</v>
      </c>
      <c r="P207" s="28" t="n">
        <v>0.04</v>
      </c>
      <c r="Q207" s="28" t="n">
        <v>0.130558</v>
      </c>
      <c r="R207" s="26" t="n">
        <v>91</v>
      </c>
      <c r="S207" s="29" t="n">
        <v>2</v>
      </c>
      <c r="T207" s="24" t="inlineStr">
        <is>
          <t>soccer-poisson-dc-v1</t>
        </is>
      </c>
      <c r="U207" s="24" t="inlineStr">
        <is>
          <t>settled</t>
        </is>
      </c>
      <c r="V207" s="24" t="inlineStr">
        <is>
          <t>win</t>
        </is>
      </c>
      <c r="W207" s="26" t="n">
        <v>2</v>
      </c>
      <c r="X207" s="26" t="n">
        <v>1</v>
      </c>
      <c r="Y207" s="25" t="n"/>
      <c r="Z207" s="26" t="n"/>
      <c r="AA207" s="28" t="n"/>
      <c r="AB207" s="28" t="n"/>
      <c r="AC207" s="30" t="n">
        <v>1.4493</v>
      </c>
      <c r="AD207" s="24" t="inlineStr">
        <is>
          <t>2026-08-17T05:26:53.920245Z</t>
        </is>
      </c>
      <c r="AE207" s="31" t="inlineStr">
        <is>
          <t>Poisson-DC rates 1.49 (home) / 2.18 (away) from EWMA attack/defense strengths. Executable ask 0.5800 (tsc-mls-aus-dal-2026-08-16-2pt5).</t>
        </is>
      </c>
      <c r="AF207" s="31" t="inlineStr">
        <is>
          <t>Research-only soccer score model; draw-aware, but not yet locked-holdout qualified.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FC Dallas</t>
        </is>
      </c>
      <c r="AQ207" s="24" t="inlineStr">
        <is>
          <t>FC Dallas</t>
        </is>
      </c>
      <c r="AR207" s="24" t="inlineStr">
        <is>
          <t>FC Dallas</t>
        </is>
      </c>
      <c r="AS207" s="24" t="inlineStr">
        <is>
          <t>Austin FC</t>
        </is>
      </c>
      <c r="AT207" s="24" t="inlineStr">
        <is>
          <t>Austin FC</t>
        </is>
      </c>
      <c r="AU207" s="24" t="inlineStr">
        <is>
          <t>Austin FC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c95ec2023134439ab985cb4cdcc58243749b9deb564fca7a2d587c15c9875427</t>
        </is>
      </c>
      <c r="BB207" s="24" t="inlineStr">
        <is>
          <t>poisson_dixon_coles</t>
        </is>
      </c>
      <c r="BC207" s="24" t="inlineStr">
        <is>
          <t>soccer-poisson-dc-v1</t>
        </is>
      </c>
      <c r="BD207" s="24" t="inlineStr">
        <is>
          <t>c95ec2023134439ab985cb4cdcc58243749b9deb564fca7a2d587c15c9875427</t>
        </is>
      </c>
      <c r="BE207" s="24" t="inlineStr">
        <is>
          <t>soccer-poisson-dc-v1</t>
        </is>
      </c>
      <c r="BF207" s="24" t="inlineStr">
        <is>
          <t>1</t>
        </is>
      </c>
      <c r="BG207" s="24" t="inlineStr">
        <is>
          <t>c95ec2023134439ab985cb4cdcc58243749b9deb564fca7a2d587c15c9875427</t>
        </is>
      </c>
      <c r="BH207" s="24" t="inlineStr">
        <is>
          <t>2026-08-16T17:42:38.784890Z</t>
        </is>
      </c>
      <c r="BI207" s="24" t="inlineStr">
        <is>
          <t>["same_event","same_team_same_day","same_league_same_day"]</t>
        </is>
      </c>
      <c r="BJ207" s="25" t="n">
        <v>2.5</v>
      </c>
      <c r="BK207" s="26" t="n">
        <v>-138</v>
      </c>
      <c r="BL207" s="27" t="n">
        <v>1.724638</v>
      </c>
      <c r="BM207" s="28" t="n">
        <v>0.579832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0.579832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b549945fe7ca4050</t>
        </is>
      </c>
      <c r="B208" s="24" t="inlineStr">
        <is>
          <t>2026-08-16T17:44:48.506019Z</t>
        </is>
      </c>
      <c r="C208" s="24" t="inlineStr">
        <is>
          <t>2026-08-17T02:30Z</t>
        </is>
      </c>
      <c r="D208" s="24" t="inlineStr">
        <is>
          <t>761724</t>
        </is>
      </c>
      <c r="E208" s="24" t="inlineStr">
        <is>
          <t>SOCCER</t>
        </is>
      </c>
      <c r="F208" s="24" t="inlineStr">
        <is>
          <t>Vancouver Whitecaps</t>
        </is>
      </c>
      <c r="G208" s="24" t="inlineStr">
        <is>
          <t>Seattle Sounders FC</t>
        </is>
      </c>
      <c r="H208" s="24" t="inlineStr">
        <is>
          <t>total</t>
        </is>
      </c>
      <c r="I208" s="24" t="inlineStr">
        <is>
          <t>over</t>
        </is>
      </c>
      <c r="J208" s="25" t="n">
        <v>2.5</v>
      </c>
      <c r="K208" s="24" t="inlineStr">
        <is>
          <t>polymarket_us</t>
        </is>
      </c>
      <c r="L208" s="26" t="n">
        <v>-156</v>
      </c>
      <c r="M208" s="27" t="n">
        <v>1.641026</v>
      </c>
      <c r="N208" s="28" t="n">
        <v>0.609375</v>
      </c>
      <c r="O208" s="28" t="n">
        <v>0.6165350000000001</v>
      </c>
      <c r="P208" s="28" t="n">
        <v>0.04</v>
      </c>
      <c r="Q208" s="28" t="n">
        <v>0.00716</v>
      </c>
      <c r="R208" s="26" t="n">
        <v>30</v>
      </c>
      <c r="S208" s="29" t="n">
        <v>1.5</v>
      </c>
      <c r="T208" s="24" t="inlineStr">
        <is>
          <t>soccer-poisson-dc-v1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0</v>
      </c>
      <c r="Y208" s="25" t="n"/>
      <c r="Z208" s="26" t="n"/>
      <c r="AA208" s="28" t="n"/>
      <c r="AB208" s="28" t="n"/>
      <c r="AC208" s="30" t="n">
        <v>-1.5</v>
      </c>
      <c r="AD208" s="24" t="inlineStr">
        <is>
          <t>2026-08-17T05:26:56.607740Z</t>
        </is>
      </c>
      <c r="AE208" s="31" t="inlineStr">
        <is>
          <t>Poisson-DC rates 1.34 (home) / 1.85 (away) from EWMA attack/defense strengths. Executable ask 0.6100 (tsc-mls-sea-vwh-2026-08-16-2pt5).</t>
        </is>
      </c>
      <c r="AF208" s="31" t="inlineStr">
        <is>
          <t>Research-only soccer score model; draw-aware, but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3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Vancouver Whitecaps</t>
        </is>
      </c>
      <c r="AQ208" s="24" t="inlineStr">
        <is>
          <t>Vancouver Whitecaps</t>
        </is>
      </c>
      <c r="AR208" s="24" t="inlineStr">
        <is>
          <t>Vancouver Whitecaps</t>
        </is>
      </c>
      <c r="AS208" s="24" t="inlineStr">
        <is>
          <t>Seattle Sounders FC</t>
        </is>
      </c>
      <c r="AT208" s="24" t="inlineStr">
        <is>
          <t>Seattle Sounders FC</t>
        </is>
      </c>
      <c r="AU208" s="24" t="inlineStr">
        <is>
          <t>Seattle Sounders FC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c95ec2023134439ab985cb4cdcc58243749b9deb564fca7a2d587c15c9875427</t>
        </is>
      </c>
      <c r="BB208" s="24" t="inlineStr">
        <is>
          <t>poisson_dixon_coles</t>
        </is>
      </c>
      <c r="BC208" s="24" t="inlineStr">
        <is>
          <t>soccer-poisson-dc-v1</t>
        </is>
      </c>
      <c r="BD208" s="24" t="inlineStr">
        <is>
          <t>c95ec2023134439ab985cb4cdcc58243749b9deb564fca7a2d587c15c9875427</t>
        </is>
      </c>
      <c r="BE208" s="24" t="inlineStr">
        <is>
          <t>soccer-poisson-dc-v1</t>
        </is>
      </c>
      <c r="BF208" s="24" t="inlineStr">
        <is>
          <t>1</t>
        </is>
      </c>
      <c r="BG208" s="24" t="inlineStr">
        <is>
          <t>c95ec2023134439ab985cb4cdcc58243749b9deb564fca7a2d587c15c9875427</t>
        </is>
      </c>
      <c r="BH208" s="24" t="inlineStr">
        <is>
          <t>2026-08-16T17:42:39.763698Z</t>
        </is>
      </c>
      <c r="BI208" s="24" t="inlineStr">
        <is>
          <t>["same_event","same_team_same_day","same_league_same_day"]</t>
        </is>
      </c>
      <c r="BJ208" s="25" t="n">
        <v>2.5</v>
      </c>
      <c r="BK208" s="26" t="n">
        <v>-156</v>
      </c>
      <c r="BL208" s="27" t="n">
        <v>1.641026</v>
      </c>
      <c r="BM208" s="28" t="n">
        <v>0.609375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0.609375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7282c7cd2cbc41cd</t>
        </is>
      </c>
      <c r="B209" s="24" t="inlineStr">
        <is>
          <t>2026-08-16T17:44:48.506019Z</t>
        </is>
      </c>
      <c r="C209" s="24" t="inlineStr">
        <is>
          <t>2026-08-16T22:00Z</t>
        </is>
      </c>
      <c r="D209" s="24" t="inlineStr">
        <is>
          <t>761723</t>
        </is>
      </c>
      <c r="E209" s="24" t="inlineStr">
        <is>
          <t>SOCCER</t>
        </is>
      </c>
      <c r="F209" s="24" t="inlineStr">
        <is>
          <t>Portland Timbers</t>
        </is>
      </c>
      <c r="G209" s="24" t="inlineStr">
        <is>
          <t>Chicago Fire FC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-178</v>
      </c>
      <c r="M209" s="27" t="n">
        <v>1.561798</v>
      </c>
      <c r="N209" s="28" t="n">
        <v>0.640288</v>
      </c>
      <c r="O209" s="28" t="n">
        <v>0.6541400000000001</v>
      </c>
      <c r="P209" s="28" t="n">
        <v>0.04</v>
      </c>
      <c r="Q209" s="28" t="n">
        <v>0.013852</v>
      </c>
      <c r="R209" s="26" t="n">
        <v>33</v>
      </c>
      <c r="S209" s="29" t="n">
        <v>1.75</v>
      </c>
      <c r="T209" s="24" t="inlineStr">
        <is>
          <t>soccer-poisson-dc-v1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2</v>
      </c>
      <c r="Y209" s="25" t="n"/>
      <c r="Z209" s="26" t="n"/>
      <c r="AA209" s="28" t="n"/>
      <c r="AB209" s="28" t="n"/>
      <c r="AC209" s="30" t="n">
        <v>0.9831</v>
      </c>
      <c r="AD209" s="24" t="inlineStr">
        <is>
          <t>2026-08-17T05:26:59.207118Z</t>
        </is>
      </c>
      <c r="AE209" s="31" t="inlineStr">
        <is>
          <t>Poisson-DC rates 2.77 (home) / 1.41 (away) from EWMA attack/defense strengths. Executable ask 0.6400 (atc-mls-chi-por-2026-08-16-chi).</t>
        </is>
      </c>
      <c r="AF209" s="31" t="inlineStr">
        <is>
          <t>Research-only soccer score model; draw-aware, but not yet locked-holdout qualified.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Portland Timbers</t>
        </is>
      </c>
      <c r="AQ209" s="24" t="inlineStr">
        <is>
          <t>Portland Timbers</t>
        </is>
      </c>
      <c r="AR209" s="24" t="inlineStr">
        <is>
          <t>Portland Timbers</t>
        </is>
      </c>
      <c r="AS209" s="24" t="inlineStr">
        <is>
          <t>Chicago Fire FC</t>
        </is>
      </c>
      <c r="AT209" s="24" t="inlineStr">
        <is>
          <t>Chicago Fire FC</t>
        </is>
      </c>
      <c r="AU209" s="24" t="inlineStr">
        <is>
          <t>Chicago Fire FC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c95ec2023134439ab985cb4cdcc58243749b9deb564fca7a2d587c15c9875427</t>
        </is>
      </c>
      <c r="BB209" s="24" t="inlineStr">
        <is>
          <t>poisson_dixon_coles</t>
        </is>
      </c>
      <c r="BC209" s="24" t="inlineStr">
        <is>
          <t>soccer-poisson-dc-v1</t>
        </is>
      </c>
      <c r="BD209" s="24" t="inlineStr">
        <is>
          <t>c95ec2023134439ab985cb4cdcc58243749b9deb564fca7a2d587c15c9875427</t>
        </is>
      </c>
      <c r="BE209" s="24" t="inlineStr">
        <is>
          <t>soccer-poisson-dc-v1</t>
        </is>
      </c>
      <c r="BF209" s="24" t="inlineStr">
        <is>
          <t>1</t>
        </is>
      </c>
      <c r="BG209" s="24" t="inlineStr">
        <is>
          <t>c95ec2023134439ab985cb4cdcc58243749b9deb564fca7a2d587c15c9875427</t>
        </is>
      </c>
      <c r="BH209" s="24" t="inlineStr">
        <is>
          <t>2026-08-16T17:42:36.636396Z</t>
        </is>
      </c>
      <c r="BI209" s="24" t="inlineStr">
        <is>
          <t>["same_event","same_team_same_day","same_league_same_day"]</t>
        </is>
      </c>
      <c r="BJ209" s="25" t="n"/>
      <c r="BK209" s="26" t="n">
        <v>-178</v>
      </c>
      <c r="BL209" s="27" t="n">
        <v>1.561798</v>
      </c>
      <c r="BM209" s="28" t="n">
        <v>0.640288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0.640288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673b5457e2714312</t>
        </is>
      </c>
      <c r="B210" s="24" t="inlineStr">
        <is>
          <t>2026-08-16T17:44:48.506019Z</t>
        </is>
      </c>
      <c r="C210" s="24" t="inlineStr">
        <is>
          <t>2026-08-16T22:00Z</t>
        </is>
      </c>
      <c r="D210" s="24" t="inlineStr">
        <is>
          <t>761722</t>
        </is>
      </c>
      <c r="E210" s="24" t="inlineStr">
        <is>
          <t>SOCCER</t>
        </is>
      </c>
      <c r="F210" s="24" t="inlineStr">
        <is>
          <t>Philadelphia Union</t>
        </is>
      </c>
      <c r="G210" s="24" t="inlineStr">
        <is>
          <t>New York City FC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163</v>
      </c>
      <c r="M210" s="27" t="n">
        <v>2.63</v>
      </c>
      <c r="N210" s="28" t="n">
        <v>0.380228</v>
      </c>
      <c r="O210" s="28" t="n">
        <v>0.566459</v>
      </c>
      <c r="P210" s="28" t="n">
        <v>0.04</v>
      </c>
      <c r="Q210" s="28" t="n">
        <v>0.186231</v>
      </c>
      <c r="R210" s="26" t="n">
        <v>100</v>
      </c>
      <c r="S210" s="29" t="n">
        <v>1.25</v>
      </c>
      <c r="T210" s="24" t="inlineStr">
        <is>
          <t>soccer-poisson-dc-v1</t>
        </is>
      </c>
      <c r="U210" s="24" t="inlineStr">
        <is>
          <t>settled</t>
        </is>
      </c>
      <c r="V210" s="24" t="inlineStr">
        <is>
          <t>loss</t>
        </is>
      </c>
      <c r="W210" s="26" t="n">
        <v>3</v>
      </c>
      <c r="X210" s="26" t="n">
        <v>2</v>
      </c>
      <c r="Y210" s="25" t="n"/>
      <c r="Z210" s="26" t="n"/>
      <c r="AA210" s="28" t="n"/>
      <c r="AB210" s="28" t="n"/>
      <c r="AC210" s="30" t="n">
        <v>-1.25</v>
      </c>
      <c r="AD210" s="24" t="inlineStr">
        <is>
          <t>2026-08-17T05:27:02.089468Z</t>
        </is>
      </c>
      <c r="AE210" s="31" t="inlineStr">
        <is>
          <t>Poisson-DC rates 2.13 (home) / 1.25 (away) from EWMA attack/defense strengths. Executable ask 0.3800 (atc-mls-nyc-phi-2026-08-16-nyc).</t>
        </is>
      </c>
      <c r="AF210" s="31" t="inlineStr">
        <is>
          <t>Research-only soccer score model; draw-aware, but not yet locked-holdout qualified.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Philadelphia Union</t>
        </is>
      </c>
      <c r="AQ210" s="24" t="inlineStr">
        <is>
          <t>Philadelphia Union</t>
        </is>
      </c>
      <c r="AR210" s="24" t="inlineStr">
        <is>
          <t>Philadelphia Union</t>
        </is>
      </c>
      <c r="AS210" s="24" t="inlineStr">
        <is>
          <t>New York City FC</t>
        </is>
      </c>
      <c r="AT210" s="24" t="inlineStr">
        <is>
          <t>New York City FC</t>
        </is>
      </c>
      <c r="AU210" s="24" t="inlineStr">
        <is>
          <t>New York City FC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c95ec2023134439ab985cb4cdcc58243749b9deb564fca7a2d587c15c9875427</t>
        </is>
      </c>
      <c r="BB210" s="24" t="inlineStr">
        <is>
          <t>poisson_dixon_coles</t>
        </is>
      </c>
      <c r="BC210" s="24" t="inlineStr">
        <is>
          <t>soccer-poisson-dc-v1</t>
        </is>
      </c>
      <c r="BD210" s="24" t="inlineStr">
        <is>
          <t>c95ec2023134439ab985cb4cdcc58243749b9deb564fca7a2d587c15c9875427</t>
        </is>
      </c>
      <c r="BE210" s="24" t="inlineStr">
        <is>
          <t>soccer-poisson-dc-v1</t>
        </is>
      </c>
      <c r="BF210" s="24" t="inlineStr">
        <is>
          <t>1</t>
        </is>
      </c>
      <c r="BG210" s="24" t="inlineStr">
        <is>
          <t>c95ec2023134439ab985cb4cdcc58243749b9deb564fca7a2d587c15c9875427</t>
        </is>
      </c>
      <c r="BH210" s="24" t="inlineStr">
        <is>
          <t>2026-08-16T17:42:37.443166Z</t>
        </is>
      </c>
      <c r="BI210" s="24" t="inlineStr">
        <is>
          <t>["same_event","same_team_same_day","same_league_same_day"]</t>
        </is>
      </c>
      <c r="BJ210" s="25" t="n"/>
      <c r="BK210" s="26" t="n">
        <v>163</v>
      </c>
      <c r="BL210" s="27" t="n">
        <v>2.63</v>
      </c>
      <c r="BM210" s="28" t="n">
        <v>0.380228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0.380228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370e16b3c97a4915</t>
        </is>
      </c>
      <c r="B211" s="24" t="inlineStr">
        <is>
          <t>2026-08-16T17:44:48.506019Z</t>
        </is>
      </c>
      <c r="C211" s="24" t="inlineStr">
        <is>
          <t>2026-08-17T00:30Z</t>
        </is>
      </c>
      <c r="D211" s="24" t="inlineStr">
        <is>
          <t>761717</t>
        </is>
      </c>
      <c r="E211" s="24" t="inlineStr">
        <is>
          <t>SOCCER</t>
        </is>
      </c>
      <c r="F211" s="24" t="inlineStr">
        <is>
          <t>FC Dallas</t>
        </is>
      </c>
      <c r="G211" s="24" t="inlineStr">
        <is>
          <t>Austin FC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138</v>
      </c>
      <c r="M211" s="27" t="n">
        <v>2.38</v>
      </c>
      <c r="N211" s="28" t="n">
        <v>0.420168</v>
      </c>
      <c r="O211" s="28" t="n">
        <v>0.525833</v>
      </c>
      <c r="P211" s="28" t="n">
        <v>0.04</v>
      </c>
      <c r="Q211" s="28" t="n">
        <v>0.105665</v>
      </c>
      <c r="R211" s="26" t="n">
        <v>79</v>
      </c>
      <c r="S211" s="29" t="n">
        <v>1</v>
      </c>
      <c r="T211" s="24" t="inlineStr">
        <is>
          <t>soccer-poisson-dc-v1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1</v>
      </c>
      <c r="Y211" s="25" t="n"/>
      <c r="Z211" s="26" t="n"/>
      <c r="AA211" s="28" t="n"/>
      <c r="AB211" s="28" t="n"/>
      <c r="AC211" s="30" t="n">
        <v>1.38</v>
      </c>
      <c r="AD211" s="24" t="inlineStr">
        <is>
          <t>2026-08-17T05:27:04.810577Z</t>
        </is>
      </c>
      <c r="AE211" s="31" t="inlineStr">
        <is>
          <t>Poisson-DC rates 1.49 (home) / 2.18 (away) from EWMA attack/defense strengths. Executable ask 0.4200 (atc-mls-aus-dal-2026-08-16-dal).</t>
        </is>
      </c>
      <c r="AF211" s="31" t="inlineStr">
        <is>
          <t>Research-only soccer score model; draw-aware, but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FC Dallas</t>
        </is>
      </c>
      <c r="AQ211" s="24" t="inlineStr">
        <is>
          <t>FC Dallas</t>
        </is>
      </c>
      <c r="AR211" s="24" t="inlineStr">
        <is>
          <t>FC Dallas</t>
        </is>
      </c>
      <c r="AS211" s="24" t="inlineStr">
        <is>
          <t>Austin FC</t>
        </is>
      </c>
      <c r="AT211" s="24" t="inlineStr">
        <is>
          <t>Austin FC</t>
        </is>
      </c>
      <c r="AU211" s="24" t="inlineStr">
        <is>
          <t>Austin FC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c95ec2023134439ab985cb4cdcc58243749b9deb564fca7a2d587c15c9875427</t>
        </is>
      </c>
      <c r="BB211" s="24" t="inlineStr">
        <is>
          <t>poisson_dixon_coles</t>
        </is>
      </c>
      <c r="BC211" s="24" t="inlineStr">
        <is>
          <t>soccer-poisson-dc-v1</t>
        </is>
      </c>
      <c r="BD211" s="24" t="inlineStr">
        <is>
          <t>c95ec2023134439ab985cb4cdcc58243749b9deb564fca7a2d587c15c9875427</t>
        </is>
      </c>
      <c r="BE211" s="24" t="inlineStr">
        <is>
          <t>soccer-poisson-dc-v1</t>
        </is>
      </c>
      <c r="BF211" s="24" t="inlineStr">
        <is>
          <t>1</t>
        </is>
      </c>
      <c r="BG211" s="24" t="inlineStr">
        <is>
          <t>c95ec2023134439ab985cb4cdcc58243749b9deb564fca7a2d587c15c9875427</t>
        </is>
      </c>
      <c r="BH211" s="24" t="inlineStr">
        <is>
          <t>2026-08-16T17:42:38.264328Z</t>
        </is>
      </c>
      <c r="BI211" s="24" t="inlineStr">
        <is>
          <t>["same_event","same_team_same_day","same_league_same_day"]</t>
        </is>
      </c>
      <c r="BJ211" s="25" t="n"/>
      <c r="BK211" s="26" t="n">
        <v>138</v>
      </c>
      <c r="BL211" s="27" t="n">
        <v>2.38</v>
      </c>
      <c r="BM211" s="28" t="n">
        <v>0.420168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0.420168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6d7e63c2a7544cf6</t>
        </is>
      </c>
      <c r="B212" s="24" t="inlineStr">
        <is>
          <t>2026-08-16T17:44:48.506019Z</t>
        </is>
      </c>
      <c r="C212" s="24" t="inlineStr">
        <is>
          <t>2026-08-17T02:30Z</t>
        </is>
      </c>
      <c r="D212" s="24" t="inlineStr">
        <is>
          <t>761724</t>
        </is>
      </c>
      <c r="E212" s="24" t="inlineStr">
        <is>
          <t>SOCCER</t>
        </is>
      </c>
      <c r="F212" s="24" t="inlineStr">
        <is>
          <t>Vancouver Whitecaps</t>
        </is>
      </c>
      <c r="G212" s="24" t="inlineStr">
        <is>
          <t>Seattle Sounders FC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0.484235</v>
      </c>
      <c r="P212" s="28" t="n">
        <v>0.04</v>
      </c>
      <c r="Q212" s="28" t="n">
        <v>-0.005961</v>
      </c>
      <c r="R212" s="26" t="n">
        <v>23</v>
      </c>
      <c r="S212" s="29" t="n">
        <v>1</v>
      </c>
      <c r="T212" s="24" t="inlineStr">
        <is>
          <t>soccer-poisson-dc-v1</t>
        </is>
      </c>
      <c r="U212" s="24" t="inlineStr">
        <is>
          <t>settled</t>
        </is>
      </c>
      <c r="V212" s="24" t="inlineStr">
        <is>
          <t>win</t>
        </is>
      </c>
      <c r="W212" s="26" t="n">
        <v>2</v>
      </c>
      <c r="X212" s="26" t="n">
        <v>0</v>
      </c>
      <c r="Y212" s="25" t="n"/>
      <c r="Z212" s="26" t="n"/>
      <c r="AA212" s="28" t="n"/>
      <c r="AB212" s="28" t="n"/>
      <c r="AC212" s="30" t="n">
        <v>1.04</v>
      </c>
      <c r="AD212" s="24" t="inlineStr">
        <is>
          <t>2026-08-17T05:27:07.341920Z</t>
        </is>
      </c>
      <c r="AE212" s="31" t="inlineStr">
        <is>
          <t>Poisson-DC rates 1.34 (home) / 1.85 (away) from EWMA attack/defense strengths. Executable ask 0.4900 (atc-mls-sea-vwh-2026-08-16-vwh).</t>
        </is>
      </c>
      <c r="AF212" s="31" t="inlineStr">
        <is>
          <t>Research-only soccer score model; draw-aware, but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Vancouver Whitecaps</t>
        </is>
      </c>
      <c r="AQ212" s="24" t="inlineStr">
        <is>
          <t>Vancouver Whitecaps</t>
        </is>
      </c>
      <c r="AR212" s="24" t="inlineStr">
        <is>
          <t>Vancouver Whitecaps</t>
        </is>
      </c>
      <c r="AS212" s="24" t="inlineStr">
        <is>
          <t>Seattle Sounders FC</t>
        </is>
      </c>
      <c r="AT212" s="24" t="inlineStr">
        <is>
          <t>Seattle Sounders FC</t>
        </is>
      </c>
      <c r="AU212" s="24" t="inlineStr">
        <is>
          <t>Seattle Sounders FC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c95ec2023134439ab985cb4cdcc58243749b9deb564fca7a2d587c15c9875427</t>
        </is>
      </c>
      <c r="BB212" s="24" t="inlineStr">
        <is>
          <t>poisson_dixon_coles</t>
        </is>
      </c>
      <c r="BC212" s="24" t="inlineStr">
        <is>
          <t>soccer-poisson-dc-v1</t>
        </is>
      </c>
      <c r="BD212" s="24" t="inlineStr">
        <is>
          <t>c95ec2023134439ab985cb4cdcc58243749b9deb564fca7a2d587c15c9875427</t>
        </is>
      </c>
      <c r="BE212" s="24" t="inlineStr">
        <is>
          <t>soccer-poisson-dc-v1</t>
        </is>
      </c>
      <c r="BF212" s="24" t="inlineStr">
        <is>
          <t>1</t>
        </is>
      </c>
      <c r="BG212" s="24" t="inlineStr">
        <is>
          <t>c95ec2023134439ab985cb4cdcc58243749b9deb564fca7a2d587c15c9875427</t>
        </is>
      </c>
      <c r="BH212" s="24" t="inlineStr">
        <is>
          <t>2026-08-16T17:42:39.032997Z</t>
        </is>
      </c>
      <c r="BI212" s="24" t="inlineStr">
        <is>
          <t>["same_event","same_team_same_day","same_league_same_day"]</t>
        </is>
      </c>
      <c r="BJ212" s="25" t="n"/>
      <c r="BK212" s="26" t="n">
        <v>104</v>
      </c>
      <c r="BL212" s="27" t="n">
        <v>2.04</v>
      </c>
      <c r="BM212" s="28" t="n">
        <v>0.490196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0.490196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3ff10f94346349bb</t>
        </is>
      </c>
      <c r="B213" s="24" t="inlineStr">
        <is>
          <t>2026-08-16T17:44:48.506019Z</t>
        </is>
      </c>
      <c r="C213" s="24" t="inlineStr">
        <is>
          <t>2026-08-16T19:00Z</t>
        </is>
      </c>
      <c r="D213" s="24" t="inlineStr">
        <is>
          <t>401841188</t>
        </is>
      </c>
      <c r="E213" s="24" t="inlineStr">
        <is>
          <t>SOCCER</t>
        </is>
      </c>
      <c r="F213" s="24" t="inlineStr">
        <is>
          <t>Santos</t>
        </is>
      </c>
      <c r="G213" s="24" t="inlineStr">
        <is>
          <t>Vasco da Gama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100</v>
      </c>
      <c r="M213" s="27" t="n">
        <v>2</v>
      </c>
      <c r="N213" s="28" t="n">
        <v>0.5</v>
      </c>
      <c r="O213" s="28" t="n">
        <v>0.456135</v>
      </c>
      <c r="P213" s="28" t="n">
        <v>0.2</v>
      </c>
      <c r="Q213" s="28" t="n">
        <v>-0.043865</v>
      </c>
      <c r="R213" s="26" t="n">
        <v>0</v>
      </c>
      <c r="S213" s="29" t="n">
        <v>1</v>
      </c>
      <c r="T213" s="24" t="inlineStr">
        <is>
          <t>soccer-poisson-dc-v1</t>
        </is>
      </c>
      <c r="U213" s="24" t="inlineStr">
        <is>
          <t>settled</t>
        </is>
      </c>
      <c r="V213" s="24" t="inlineStr">
        <is>
          <t>loss</t>
        </is>
      </c>
      <c r="W213" s="26" t="n">
        <v>3</v>
      </c>
      <c r="X213" s="26" t="n">
        <v>0</v>
      </c>
      <c r="Y213" s="25" t="n"/>
      <c r="Z213" s="26" t="n"/>
      <c r="AA213" s="28" t="n"/>
      <c r="AB213" s="28" t="n"/>
      <c r="AC213" s="30" t="n">
        <v>-1</v>
      </c>
      <c r="AD213" s="24" t="inlineStr">
        <is>
          <t>2026-08-17T05:27:13.086654Z</t>
        </is>
      </c>
      <c r="AE213" s="31" t="inlineStr">
        <is>
          <t>Poisson-DC rates 1.64 (home) / 1.24 (away) from EWMA attack/defense strengths. Executable ask 0.5000 (atc-bra-vas-san-2026-08-16-vas).</t>
        </is>
      </c>
      <c r="AF213" s="31" t="inlineStr">
        <is>
          <t>Research-only soccer score model; draw-aware, but not yet locked-holdout qualified.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Santos</t>
        </is>
      </c>
      <c r="AQ213" s="24" t="inlineStr">
        <is>
          <t>Santos</t>
        </is>
      </c>
      <c r="AR213" s="24" t="inlineStr">
        <is>
          <t>Santos</t>
        </is>
      </c>
      <c r="AS213" s="24" t="inlineStr">
        <is>
          <t>Vasco da Gama</t>
        </is>
      </c>
      <c r="AT213" s="24" t="inlineStr">
        <is>
          <t>Vasco da Gama</t>
        </is>
      </c>
      <c r="AU213" s="24" t="inlineStr">
        <is>
          <t>Vasco da Gama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c95ec2023134439ab985cb4cdcc58243749b9deb564fca7a2d587c15c9875427</t>
        </is>
      </c>
      <c r="BB213" s="24" t="inlineStr">
        <is>
          <t>poisson_dixon_coles</t>
        </is>
      </c>
      <c r="BC213" s="24" t="inlineStr">
        <is>
          <t>soccer-poisson-dc-v1</t>
        </is>
      </c>
      <c r="BD213" s="24" t="inlineStr">
        <is>
          <t>c95ec2023134439ab985cb4cdcc58243749b9deb564fca7a2d587c15c9875427</t>
        </is>
      </c>
      <c r="BE213" s="24" t="inlineStr">
        <is>
          <t>soccer-poisson-dc-v1</t>
        </is>
      </c>
      <c r="BF213" s="24" t="inlineStr">
        <is>
          <t>1</t>
        </is>
      </c>
      <c r="BG213" s="24" t="inlineStr">
        <is>
          <t>c95ec2023134439ab985cb4cdcc58243749b9deb564fca7a2d587c15c9875427</t>
        </is>
      </c>
      <c r="BH213" s="24" t="inlineStr">
        <is>
          <t>2026-08-16T17:42:39.949879Z</t>
        </is>
      </c>
      <c r="BI213" s="24" t="inlineStr">
        <is>
          <t>["same_event","same_team_same_day","same_league_same_day"]</t>
        </is>
      </c>
      <c r="BJ213" s="25" t="n"/>
      <c r="BK213" s="26" t="n">
        <v>100</v>
      </c>
      <c r="BL213" s="27" t="n">
        <v>2</v>
      </c>
      <c r="BM213" s="28" t="n">
        <v>0.5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414b94e1c12248f0</t>
        </is>
      </c>
      <c r="B214" s="24" t="inlineStr">
        <is>
          <t>2026-08-16T17:44:48.506019Z</t>
        </is>
      </c>
      <c r="C214" s="24" t="inlineStr">
        <is>
          <t>2026-08-16T21:30Z</t>
        </is>
      </c>
      <c r="D214" s="24" t="inlineStr">
        <is>
          <t>401841190</t>
        </is>
      </c>
      <c r="E214" s="24" t="inlineStr">
        <is>
          <t>SOCCER</t>
        </is>
      </c>
      <c r="F214" s="24" t="inlineStr">
        <is>
          <t>Flamengo</t>
        </is>
      </c>
      <c r="G214" s="24" t="inlineStr">
        <is>
          <t>Mirassol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335</v>
      </c>
      <c r="M214" s="27" t="n">
        <v>4.35</v>
      </c>
      <c r="N214" s="28" t="n">
        <v>0.229885</v>
      </c>
      <c r="O214" s="28" t="n">
        <v>0.440521</v>
      </c>
      <c r="P214" s="28" t="n">
        <v>0.2</v>
      </c>
      <c r="Q214" s="28" t="n">
        <v>0.210636</v>
      </c>
      <c r="R214" s="26" t="n">
        <v>35</v>
      </c>
      <c r="S214" s="29" t="n">
        <v>1</v>
      </c>
      <c r="T214" s="24" t="inlineStr">
        <is>
          <t>soccer-poisson-dc-v1</t>
        </is>
      </c>
      <c r="U214" s="24" t="inlineStr">
        <is>
          <t>settled</t>
        </is>
      </c>
      <c r="V214" s="24" t="inlineStr">
        <is>
          <t>loss</t>
        </is>
      </c>
      <c r="W214" s="26" t="n">
        <v>5</v>
      </c>
      <c r="X214" s="26" t="n">
        <v>1</v>
      </c>
      <c r="Y214" s="25" t="n"/>
      <c r="Z214" s="26" t="n"/>
      <c r="AA214" s="28" t="n"/>
      <c r="AB214" s="28" t="n"/>
      <c r="AC214" s="30" t="n">
        <v>-1</v>
      </c>
      <c r="AD214" s="24" t="inlineStr">
        <is>
          <t>2026-08-17T05:27:15.720238Z</t>
        </is>
      </c>
      <c r="AE214" s="31" t="inlineStr">
        <is>
          <t>Poisson-DC rates 1.46 (home) / 1.10 (away) from EWMA attack/defense strengths. Executable ask 0.2300 (atc-bra-mir-fla-2026-08-16-mir).</t>
        </is>
      </c>
      <c r="AF214" s="31" t="inlineStr">
        <is>
          <t>Research-only soccer score model; draw-aware, but not yet locked-holdout qualified.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PAPER_CALL_MODEL_UNVALIDATED</t>
        </is>
      </c>
      <c r="AP214" s="24" t="inlineStr">
        <is>
          <t>Flamengo</t>
        </is>
      </c>
      <c r="AQ214" s="24" t="inlineStr">
        <is>
          <t>Flamengo</t>
        </is>
      </c>
      <c r="AR214" s="24" t="inlineStr">
        <is>
          <t>Flamengo</t>
        </is>
      </c>
      <c r="AS214" s="24" t="inlineStr">
        <is>
          <t>Mirassol</t>
        </is>
      </c>
      <c r="AT214" s="24" t="inlineStr">
        <is>
          <t>Mirassol</t>
        </is>
      </c>
      <c r="AU214" s="24" t="inlineStr">
        <is>
          <t>Mirassol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c95ec2023134439ab985cb4cdcc58243749b9deb564fca7a2d587c15c9875427</t>
        </is>
      </c>
      <c r="BB214" s="24" t="inlineStr">
        <is>
          <t>poisson_dixon_coles</t>
        </is>
      </c>
      <c r="BC214" s="24" t="inlineStr">
        <is>
          <t>soccer-poisson-dc-v1</t>
        </is>
      </c>
      <c r="BD214" s="24" t="inlineStr">
        <is>
          <t>c95ec2023134439ab985cb4cdcc58243749b9deb564fca7a2d587c15c9875427</t>
        </is>
      </c>
      <c r="BE214" s="24" t="inlineStr">
        <is>
          <t>soccer-poisson-dc-v1</t>
        </is>
      </c>
      <c r="BF214" s="24" t="inlineStr">
        <is>
          <t>1</t>
        </is>
      </c>
      <c r="BG214" s="24" t="inlineStr">
        <is>
          <t>c95ec2023134439ab985cb4cdcc58243749b9deb564fca7a2d587c15c9875427</t>
        </is>
      </c>
      <c r="BH214" s="24" t="inlineStr">
        <is>
          <t>2026-08-16T17:42:40.164696Z</t>
        </is>
      </c>
      <c r="BI214" s="24" t="inlineStr">
        <is>
          <t>["same_event","same_team_same_day","same_league_same_day"]</t>
        </is>
      </c>
      <c r="BJ214" s="25" t="n"/>
      <c r="BK214" s="26" t="n">
        <v>335</v>
      </c>
      <c r="BL214" s="27" t="n">
        <v>4.35</v>
      </c>
      <c r="BM214" s="28" t="n">
        <v>0.229885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0.229885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b121737ac15e4cde</t>
        </is>
      </c>
      <c r="B215" s="24" t="inlineStr">
        <is>
          <t>2026-08-16T17:44:48.506019Z</t>
        </is>
      </c>
      <c r="C215" s="24" t="inlineStr">
        <is>
          <t>2026-08-16T22:30Z</t>
        </is>
      </c>
      <c r="D215" s="24" t="inlineStr">
        <is>
          <t>401841193</t>
        </is>
      </c>
      <c r="E215" s="24" t="inlineStr">
        <is>
          <t>SOCCER</t>
        </is>
      </c>
      <c r="F215" s="24" t="inlineStr">
        <is>
          <t>Cruzeiro</t>
        </is>
      </c>
      <c r="G215" s="24" t="inlineStr">
        <is>
          <t>Corinthians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138</v>
      </c>
      <c r="M215" s="27" t="n">
        <v>2.38</v>
      </c>
      <c r="N215" s="28" t="n">
        <v>0.420168</v>
      </c>
      <c r="O215" s="28" t="n">
        <v>0.456135</v>
      </c>
      <c r="P215" s="28" t="n">
        <v>0.2</v>
      </c>
      <c r="Q215" s="28" t="n">
        <v>0.035967</v>
      </c>
      <c r="R215" s="26" t="n">
        <v>0</v>
      </c>
      <c r="S215" s="29" t="n">
        <v>1</v>
      </c>
      <c r="T215" s="24" t="inlineStr">
        <is>
          <t>soccer-poisson-dc-v1</t>
        </is>
      </c>
      <c r="U215" s="24" t="inlineStr">
        <is>
          <t>settled</t>
        </is>
      </c>
      <c r="V215" s="24" t="inlineStr">
        <is>
          <t>loss</t>
        </is>
      </c>
      <c r="W215" s="26" t="n">
        <v>2</v>
      </c>
      <c r="X215" s="26" t="n">
        <v>1</v>
      </c>
      <c r="Y215" s="25" t="n"/>
      <c r="Z215" s="26" t="n"/>
      <c r="AA215" s="28" t="n"/>
      <c r="AB215" s="28" t="n"/>
      <c r="AC215" s="30" t="n">
        <v>-1</v>
      </c>
      <c r="AD215" s="24" t="inlineStr">
        <is>
          <t>2026-08-17T05:27:18.522550Z</t>
        </is>
      </c>
      <c r="AE215" s="31" t="inlineStr">
        <is>
          <t>Poisson-DC rates 1.64 (home) / 1.24 (away) from EWMA attack/defense strengths. Executable ask 0.4200 (atc-bra-scp-cru-2026-08-16-scp).</t>
        </is>
      </c>
      <c r="AF215" s="31" t="inlineStr">
        <is>
          <t>Research-only soccer score model; draw-aware, but not yet locked-holdout qualified.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PAPER_CALL_MODEL_UNVALIDATED</t>
        </is>
      </c>
      <c r="AP215" s="24" t="inlineStr">
        <is>
          <t>Cruzeiro</t>
        </is>
      </c>
      <c r="AQ215" s="24" t="inlineStr">
        <is>
          <t>Cruzeiro</t>
        </is>
      </c>
      <c r="AR215" s="24" t="inlineStr">
        <is>
          <t>Cruzeiro</t>
        </is>
      </c>
      <c r="AS215" s="24" t="inlineStr">
        <is>
          <t>Corinthians</t>
        </is>
      </c>
      <c r="AT215" s="24" t="inlineStr">
        <is>
          <t>Corinthians</t>
        </is>
      </c>
      <c r="AU215" s="24" t="inlineStr">
        <is>
          <t>Corinthians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c95ec2023134439ab985cb4cdcc58243749b9deb564fca7a2d587c15c9875427</t>
        </is>
      </c>
      <c r="BB215" s="24" t="inlineStr">
        <is>
          <t>poisson_dixon_coles</t>
        </is>
      </c>
      <c r="BC215" s="24" t="inlineStr">
        <is>
          <t>soccer-poisson-dc-v1</t>
        </is>
      </c>
      <c r="BD215" s="24" t="inlineStr">
        <is>
          <t>c95ec2023134439ab985cb4cdcc58243749b9deb564fca7a2d587c15c9875427</t>
        </is>
      </c>
      <c r="BE215" s="24" t="inlineStr">
        <is>
          <t>soccer-poisson-dc-v1</t>
        </is>
      </c>
      <c r="BF215" s="24" t="inlineStr">
        <is>
          <t>1</t>
        </is>
      </c>
      <c r="BG215" s="24" t="inlineStr">
        <is>
          <t>c95ec2023134439ab985cb4cdcc58243749b9deb564fca7a2d587c15c9875427</t>
        </is>
      </c>
      <c r="BH215" s="24" t="inlineStr">
        <is>
          <t>2026-08-16T17:42:40.242449Z</t>
        </is>
      </c>
      <c r="BI215" s="24" t="inlineStr">
        <is>
          <t>["same_event","same_team_same_day","same_league_same_day"]</t>
        </is>
      </c>
      <c r="BJ215" s="25" t="n"/>
      <c r="BK215" s="26" t="n">
        <v>138</v>
      </c>
      <c r="BL215" s="27" t="n">
        <v>2.38</v>
      </c>
      <c r="BM215" s="28" t="n">
        <v>0.420168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0.420168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b58ec88552504f4e</t>
        </is>
      </c>
      <c r="B216" s="24" t="inlineStr">
        <is>
          <t>2026-08-16T17:44:48.506019Z</t>
        </is>
      </c>
      <c r="C216" s="24" t="inlineStr">
        <is>
          <t>2026-08-16T21:00Z</t>
        </is>
      </c>
      <c r="D216" s="24" t="inlineStr">
        <is>
          <t>401841503</t>
        </is>
      </c>
      <c r="E216" s="24" t="inlineStr">
        <is>
          <t>SOCCER</t>
        </is>
      </c>
      <c r="F216" s="24" t="inlineStr">
        <is>
          <t>Argentinos Juniors</t>
        </is>
      </c>
      <c r="G216" s="24" t="inlineStr">
        <is>
          <t>River Plate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100</v>
      </c>
      <c r="M216" s="27" t="n">
        <v>2</v>
      </c>
      <c r="N216" s="28" t="n">
        <v>0.5</v>
      </c>
      <c r="O216" s="28" t="n">
        <v>0.5359159999999999</v>
      </c>
      <c r="P216" s="28" t="n">
        <v>0.2</v>
      </c>
      <c r="Q216" s="28" t="n">
        <v>0.035916</v>
      </c>
      <c r="R216" s="26" t="n">
        <v>0</v>
      </c>
      <c r="S216" s="29" t="n">
        <v>1</v>
      </c>
      <c r="T216" s="24" t="inlineStr">
        <is>
          <t>soccer-poisson-dc-v1</t>
        </is>
      </c>
      <c r="U216" s="24" t="inlineStr">
        <is>
          <t>settled</t>
        </is>
      </c>
      <c r="V216" s="24" t="inlineStr">
        <is>
          <t>win</t>
        </is>
      </c>
      <c r="W216" s="26" t="n">
        <v>0</v>
      </c>
      <c r="X216" s="26" t="n">
        <v>2</v>
      </c>
      <c r="Y216" s="25" t="n"/>
      <c r="Z216" s="26" t="n"/>
      <c r="AA216" s="28" t="n"/>
      <c r="AB216" s="28" t="n"/>
      <c r="AC216" s="30" t="n">
        <v>1</v>
      </c>
      <c r="AD216" s="24" t="inlineStr">
        <is>
          <t>2026-08-17T05:27:22.925326Z</t>
        </is>
      </c>
      <c r="AE216" s="31" t="inlineStr">
        <is>
          <t>Poisson-DC rates 1.84 (home) / 1.10 (away) from EWMA attack/defense strengths. Executable ask 0.5000 (atc-lpa-riv-aaj-2026-08-16-riv).</t>
        </is>
      </c>
      <c r="AF216" s="31" t="inlineStr">
        <is>
          <t>Research-only soccer score model; draw-aware, but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Argentinos Juniors</t>
        </is>
      </c>
      <c r="AQ216" s="24" t="inlineStr">
        <is>
          <t>Argentinos Juniors</t>
        </is>
      </c>
      <c r="AR216" s="24" t="inlineStr">
        <is>
          <t>Argentinos Juniors</t>
        </is>
      </c>
      <c r="AS216" s="24" t="inlineStr">
        <is>
          <t>River Plate</t>
        </is>
      </c>
      <c r="AT216" s="24" t="inlineStr">
        <is>
          <t>River Plate</t>
        </is>
      </c>
      <c r="AU216" s="24" t="inlineStr">
        <is>
          <t>River Plate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c95ec2023134439ab985cb4cdcc58243749b9deb564fca7a2d587c15c9875427</t>
        </is>
      </c>
      <c r="BB216" s="24" t="inlineStr">
        <is>
          <t>poisson_dixon_coles</t>
        </is>
      </c>
      <c r="BC216" s="24" t="inlineStr">
        <is>
          <t>soccer-poisson-dc-v1</t>
        </is>
      </c>
      <c r="BD216" s="24" t="inlineStr">
        <is>
          <t>c95ec2023134439ab985cb4cdcc58243749b9deb564fca7a2d587c15c9875427</t>
        </is>
      </c>
      <c r="BE216" s="24" t="inlineStr">
        <is>
          <t>soccer-poisson-dc-v1</t>
        </is>
      </c>
      <c r="BF216" s="24" t="inlineStr">
        <is>
          <t>1</t>
        </is>
      </c>
      <c r="BG216" s="24" t="inlineStr">
        <is>
          <t>c95ec2023134439ab985cb4cdcc58243749b9deb564fca7a2d587c15c9875427</t>
        </is>
      </c>
      <c r="BH216" s="24" t="inlineStr">
        <is>
          <t>2026-08-16T17:42:40.606461Z</t>
        </is>
      </c>
      <c r="BI216" s="24" t="inlineStr">
        <is>
          <t>["same_event","same_team_same_day","same_league_same_day"]</t>
        </is>
      </c>
      <c r="BJ216" s="25" t="n"/>
      <c r="BK216" s="26" t="n">
        <v>100</v>
      </c>
      <c r="BL216" s="27" t="n">
        <v>2</v>
      </c>
      <c r="BM216" s="28" t="n">
        <v>0.5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f7cf08e206504010</t>
        </is>
      </c>
      <c r="B217" s="24" t="inlineStr">
        <is>
          <t>2026-08-16T17:44:48.506019Z</t>
        </is>
      </c>
      <c r="C217" s="24" t="inlineStr">
        <is>
          <t>2026-08-16T23:15Z</t>
        </is>
      </c>
      <c r="D217" s="24" t="inlineStr">
        <is>
          <t>401841508</t>
        </is>
      </c>
      <c r="E217" s="24" t="inlineStr">
        <is>
          <t>SOCCER</t>
        </is>
      </c>
      <c r="F217" s="24" t="inlineStr">
        <is>
          <t>Rosario Central</t>
        </is>
      </c>
      <c r="G217" s="24" t="inlineStr">
        <is>
          <t>Barracas Central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170</v>
      </c>
      <c r="M217" s="27" t="n">
        <v>2.7</v>
      </c>
      <c r="N217" s="28" t="n">
        <v>0.37037</v>
      </c>
      <c r="O217" s="28" t="n">
        <v>0.378182</v>
      </c>
      <c r="P217" s="28" t="n">
        <v>0.2</v>
      </c>
      <c r="Q217" s="28" t="n">
        <v>0.007812</v>
      </c>
      <c r="R217" s="26" t="n">
        <v>0</v>
      </c>
      <c r="S217" s="29" t="n">
        <v>1</v>
      </c>
      <c r="T217" s="24" t="inlineStr">
        <is>
          <t>soccer-poisson-dc-v1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2026-08-17T05:27:25.585826Z</t>
        </is>
      </c>
      <c r="AE217" s="31" t="inlineStr">
        <is>
          <t>Poisson-DC rates 1.46 (home) / 1.39 (away) from EWMA attack/defense strengths. Executable ask 0.3700 (atc-lpa-bar-ros-2026-08-16-bar).</t>
        </is>
      </c>
      <c r="AF217" s="31" t="inlineStr">
        <is>
          <t>Research-only soccer score model; draw-aware, but not yet locked-holdout qualified.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3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Rosario Central</t>
        </is>
      </c>
      <c r="AQ217" s="24" t="inlineStr">
        <is>
          <t>Rosario Central</t>
        </is>
      </c>
      <c r="AR217" s="24" t="inlineStr">
        <is>
          <t>Rosario Central</t>
        </is>
      </c>
      <c r="AS217" s="24" t="inlineStr">
        <is>
          <t>Barracas Central</t>
        </is>
      </c>
      <c r="AT217" s="24" t="inlineStr">
        <is>
          <t>Barracas Central</t>
        </is>
      </c>
      <c r="AU217" s="24" t="inlineStr">
        <is>
          <t>Barracas Central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c95ec2023134439ab985cb4cdcc58243749b9deb564fca7a2d587c15c9875427</t>
        </is>
      </c>
      <c r="BB217" s="24" t="inlineStr">
        <is>
          <t>poisson_dixon_coles</t>
        </is>
      </c>
      <c r="BC217" s="24" t="inlineStr">
        <is>
          <t>soccer-poisson-dc-v1</t>
        </is>
      </c>
      <c r="BD217" s="24" t="inlineStr">
        <is>
          <t>c95ec2023134439ab985cb4cdcc58243749b9deb564fca7a2d587c15c9875427</t>
        </is>
      </c>
      <c r="BE217" s="24" t="inlineStr">
        <is>
          <t>soccer-poisson-dc-v1</t>
        </is>
      </c>
      <c r="BF217" s="24" t="inlineStr">
        <is>
          <t>1</t>
        </is>
      </c>
      <c r="BG217" s="24" t="inlineStr">
        <is>
          <t>c95ec2023134439ab985cb4cdcc58243749b9deb564fca7a2d587c15c9875427</t>
        </is>
      </c>
      <c r="BH217" s="24" t="inlineStr">
        <is>
          <t>2026-08-16T17:42:40.736148Z</t>
        </is>
      </c>
      <c r="BI217" s="24" t="inlineStr">
        <is>
          <t>["same_event","same_team_same_day","same_league_same_day"]</t>
        </is>
      </c>
      <c r="BJ217" s="25" t="n"/>
      <c r="BK217" s="26" t="n">
        <v>170</v>
      </c>
      <c r="BL217" s="27" t="n">
        <v>2.7</v>
      </c>
      <c r="BM217" s="28" t="n">
        <v>0.37037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0.37037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a20f89347cd84e1c</t>
        </is>
      </c>
      <c r="B218" s="24" t="inlineStr">
        <is>
          <t>2026-08-16T17:44:48.506019Z</t>
        </is>
      </c>
      <c r="C218" s="24" t="inlineStr">
        <is>
          <t>2026-08-16T19:00Z</t>
        </is>
      </c>
      <c r="D218" s="24" t="inlineStr">
        <is>
          <t>401844056</t>
        </is>
      </c>
      <c r="E218" s="24" t="inlineStr">
        <is>
          <t>SOCCER</t>
        </is>
      </c>
      <c r="F218" s="24" t="inlineStr">
        <is>
          <t>Chaco For Ever</t>
        </is>
      </c>
      <c r="G218" s="24" t="inlineStr">
        <is>
          <t>Gimnasia y Esgrima (Jujuy)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100</v>
      </c>
      <c r="M218" s="27" t="n">
        <v>2</v>
      </c>
      <c r="N218" s="28" t="n">
        <v>0.5</v>
      </c>
      <c r="O218" s="28" t="n">
        <v>0.456135</v>
      </c>
      <c r="P218" s="28" t="n">
        <v>0.2</v>
      </c>
      <c r="Q218" s="28" t="n">
        <v>-0.043865</v>
      </c>
      <c r="R218" s="26" t="n">
        <v>0</v>
      </c>
      <c r="S218" s="29" t="n">
        <v>1</v>
      </c>
      <c r="T218" s="24" t="inlineStr">
        <is>
          <t>soccer-poisson-dc-v1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</v>
      </c>
      <c r="AD218" s="24" t="inlineStr">
        <is>
          <t>2026-08-17T05:27:29.894052Z</t>
        </is>
      </c>
      <c r="AE218" s="31" t="inlineStr">
        <is>
          <t>Poisson-DC rates 1.64 (home) / 1.24 (away) from EWMA attack/defense strengths. Executable ask 0.5000 (atc-arg2-ge-cfe-2026-08-15-ge).</t>
        </is>
      </c>
      <c r="AF218" s="31" t="inlineStr">
        <is>
          <t>Research-only soccer score model; draw-aware, but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PAPER_CALL_MODEL_UNVALIDATED</t>
        </is>
      </c>
      <c r="AP218" s="24" t="inlineStr">
        <is>
          <t>Chaco For Ever</t>
        </is>
      </c>
      <c r="AQ218" s="24" t="inlineStr">
        <is>
          <t>Chaco For Ever</t>
        </is>
      </c>
      <c r="AR218" s="24" t="inlineStr">
        <is>
          <t>Chaco For Ever</t>
        </is>
      </c>
      <c r="AS218" s="24" t="inlineStr">
        <is>
          <t>Gimnasia y Esgrima (Jujuy)</t>
        </is>
      </c>
      <c r="AT218" s="24" t="inlineStr">
        <is>
          <t>Gimnasia y Esgrima (Jujuy)</t>
        </is>
      </c>
      <c r="AU218" s="24" t="inlineStr">
        <is>
          <t>Gimnasia y Esgrima (Jujuy)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c95ec2023134439ab985cb4cdcc58243749b9deb564fca7a2d587c15c9875427</t>
        </is>
      </c>
      <c r="BB218" s="24" t="inlineStr">
        <is>
          <t>poisson_dixon_coles</t>
        </is>
      </c>
      <c r="BC218" s="24" t="inlineStr">
        <is>
          <t>soccer-poisson-dc-v1</t>
        </is>
      </c>
      <c r="BD218" s="24" t="inlineStr">
        <is>
          <t>c95ec2023134439ab985cb4cdcc58243749b9deb564fca7a2d587c15c9875427</t>
        </is>
      </c>
      <c r="BE218" s="24" t="inlineStr">
        <is>
          <t>soccer-poisson-dc-v1</t>
        </is>
      </c>
      <c r="BF218" s="24" t="inlineStr">
        <is>
          <t>1</t>
        </is>
      </c>
      <c r="BG218" s="24" t="inlineStr">
        <is>
          <t>c95ec2023134439ab985cb4cdcc58243749b9deb564fca7a2d587c15c9875427</t>
        </is>
      </c>
      <c r="BH218" s="24" t="inlineStr">
        <is>
          <t>2026-08-16T17:42:40.983195Z</t>
        </is>
      </c>
      <c r="BI218" s="24" t="inlineStr">
        <is>
          <t>["same_event","same_team_same_day","same_league_same_day"]</t>
        </is>
      </c>
      <c r="BJ218" s="25" t="n"/>
      <c r="BK218" s="26" t="n">
        <v>100</v>
      </c>
      <c r="BL218" s="27" t="n">
        <v>2</v>
      </c>
      <c r="BM218" s="28" t="n">
        <v>0.5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e0c312a436614344</t>
        </is>
      </c>
      <c r="B219" s="24" t="inlineStr">
        <is>
          <t>2026-08-16T17:44:48.506019Z</t>
        </is>
      </c>
      <c r="C219" s="24" t="inlineStr">
        <is>
          <t>2026-08-16T20:00Z</t>
        </is>
      </c>
      <c r="D219" s="24" t="inlineStr">
        <is>
          <t>401844050</t>
        </is>
      </c>
      <c r="E219" s="24" t="inlineStr">
        <is>
          <t>SOCCER</t>
        </is>
      </c>
      <c r="F219" s="24" t="inlineStr">
        <is>
          <t>Gimnasia y Tiro (Salta)</t>
        </is>
      </c>
      <c r="G219" s="24" t="inlineStr">
        <is>
          <t>Central Norte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203</v>
      </c>
      <c r="M219" s="27" t="n">
        <v>3.03</v>
      </c>
      <c r="N219" s="28" t="n">
        <v>0.330033</v>
      </c>
      <c r="O219" s="28" t="n">
        <v>0.456135</v>
      </c>
      <c r="P219" s="28" t="n">
        <v>0.2</v>
      </c>
      <c r="Q219" s="28" t="n">
        <v>0.126102</v>
      </c>
      <c r="R219" s="26" t="n">
        <v>0</v>
      </c>
      <c r="S219" s="29" t="n">
        <v>1</v>
      </c>
      <c r="T219" s="24" t="inlineStr">
        <is>
          <t>soccer-poisson-dc-v1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0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2026-08-17T05:27:32.419373Z</t>
        </is>
      </c>
      <c r="AE219" s="31" t="inlineStr">
        <is>
          <t>Poisson-DC rates 1.64 (home) / 1.24 (away) from EWMA attack/defense strengths. Executable ask 0.3300 (atc-arg2-ccns-gyt-2026-08-15-ccns).</t>
        </is>
      </c>
      <c r="AF219" s="31" t="inlineStr">
        <is>
          <t>Research-only soccer score model; draw-aware, but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PAPER_CALL_MODEL_UNVALIDATED</t>
        </is>
      </c>
      <c r="AP219" s="24" t="inlineStr">
        <is>
          <t>Gimnasia y Tiro (Salta)</t>
        </is>
      </c>
      <c r="AQ219" s="24" t="inlineStr">
        <is>
          <t>Gimnasia y Tiro (Salta)</t>
        </is>
      </c>
      <c r="AR219" s="24" t="inlineStr">
        <is>
          <t>Gimnasia y Tiro (Salta)</t>
        </is>
      </c>
      <c r="AS219" s="24" t="inlineStr">
        <is>
          <t>Central Norte</t>
        </is>
      </c>
      <c r="AT219" s="24" t="inlineStr">
        <is>
          <t>Central Norte</t>
        </is>
      </c>
      <c r="AU219" s="24" t="inlineStr">
        <is>
          <t>Central Norte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c95ec2023134439ab985cb4cdcc58243749b9deb564fca7a2d587c15c9875427</t>
        </is>
      </c>
      <c r="BB219" s="24" t="inlineStr">
        <is>
          <t>poisson_dixon_coles</t>
        </is>
      </c>
      <c r="BC219" s="24" t="inlineStr">
        <is>
          <t>soccer-poisson-dc-v1</t>
        </is>
      </c>
      <c r="BD219" s="24" t="inlineStr">
        <is>
          <t>c95ec2023134439ab985cb4cdcc58243749b9deb564fca7a2d587c15c9875427</t>
        </is>
      </c>
      <c r="BE219" s="24" t="inlineStr">
        <is>
          <t>soccer-poisson-dc-v1</t>
        </is>
      </c>
      <c r="BF219" s="24" t="inlineStr">
        <is>
          <t>1</t>
        </is>
      </c>
      <c r="BG219" s="24" t="inlineStr">
        <is>
          <t>c95ec2023134439ab985cb4cdcc58243749b9deb564fca7a2d587c15c9875427</t>
        </is>
      </c>
      <c r="BH219" s="24" t="inlineStr">
        <is>
          <t>2026-08-16T17:42:41.143684Z</t>
        </is>
      </c>
      <c r="BI219" s="24" t="inlineStr">
        <is>
          <t>["same_event","same_team_same_day","same_league_same_day"]</t>
        </is>
      </c>
      <c r="BJ219" s="25" t="n"/>
      <c r="BK219" s="26" t="n">
        <v>203</v>
      </c>
      <c r="BL219" s="27" t="n">
        <v>3.03</v>
      </c>
      <c r="BM219" s="28" t="n">
        <v>0.330033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0.330033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031ab5c4450746b2</t>
        </is>
      </c>
      <c r="B220" s="24" t="inlineStr">
        <is>
          <t>2026-08-16T17:44:48.506019Z</t>
        </is>
      </c>
      <c r="C220" s="24" t="inlineStr">
        <is>
          <t>2026-08-16T21:00Z</t>
        </is>
      </c>
      <c r="D220" s="24" t="inlineStr">
        <is>
          <t>401844063</t>
        </is>
      </c>
      <c r="E220" s="24" t="inlineStr">
        <is>
          <t>SOCCER</t>
        </is>
      </c>
      <c r="F220" s="24" t="inlineStr">
        <is>
          <t>Los Andes</t>
        </is>
      </c>
      <c r="G220" s="24" t="inlineStr">
        <is>
          <t>Temperley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144</v>
      </c>
      <c r="M220" s="27" t="n">
        <v>2.44</v>
      </c>
      <c r="N220" s="28" t="n">
        <v>0.409836</v>
      </c>
      <c r="O220" s="28" t="n">
        <v>0.456135</v>
      </c>
      <c r="P220" s="28" t="n">
        <v>0.2</v>
      </c>
      <c r="Q220" s="28" t="n">
        <v>0.046299</v>
      </c>
      <c r="R220" s="26" t="n">
        <v>0</v>
      </c>
      <c r="S220" s="29" t="n">
        <v>1</v>
      </c>
      <c r="T220" s="24" t="inlineStr">
        <is>
          <t>soccer-poisson-dc-v1</t>
        </is>
      </c>
      <c r="U220" s="24" t="inlineStr">
        <is>
          <t>settled</t>
        </is>
      </c>
      <c r="V220" s="24" t="inlineStr">
        <is>
          <t>win</t>
        </is>
      </c>
      <c r="W220" s="26" t="n">
        <v>0</v>
      </c>
      <c r="X220" s="26" t="n">
        <v>3</v>
      </c>
      <c r="Y220" s="25" t="n"/>
      <c r="Z220" s="26" t="n"/>
      <c r="AA220" s="28" t="n"/>
      <c r="AB220" s="28" t="n"/>
      <c r="AC220" s="30" t="n">
        <v>1.44</v>
      </c>
      <c r="AD220" s="24" t="inlineStr">
        <is>
          <t>2026-08-17T05:27:35.068452Z</t>
        </is>
      </c>
      <c r="AE220" s="31" t="inlineStr">
        <is>
          <t>Poisson-DC rates 1.64 (home) / 1.24 (away) from EWMA attack/defense strengths. Executable ask 0.4100 (atc-arg2-cat-ala-2026-08-16-cat).</t>
        </is>
      </c>
      <c r="AF220" s="31" t="inlineStr">
        <is>
          <t>Research-only soccer score model; draw-aware, but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PAPER_CALL_MODEL_UNVALIDATED</t>
        </is>
      </c>
      <c r="AP220" s="24" t="inlineStr">
        <is>
          <t>Los Andes</t>
        </is>
      </c>
      <c r="AQ220" s="24" t="inlineStr">
        <is>
          <t>Los Andes</t>
        </is>
      </c>
      <c r="AR220" s="24" t="inlineStr">
        <is>
          <t>Los Andes</t>
        </is>
      </c>
      <c r="AS220" s="24" t="inlineStr">
        <is>
          <t>Temperley</t>
        </is>
      </c>
      <c r="AT220" s="24" t="inlineStr">
        <is>
          <t>Temperley</t>
        </is>
      </c>
      <c r="AU220" s="24" t="inlineStr">
        <is>
          <t>Temperley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c95ec2023134439ab985cb4cdcc58243749b9deb564fca7a2d587c15c9875427</t>
        </is>
      </c>
      <c r="BB220" s="24" t="inlineStr">
        <is>
          <t>poisson_dixon_coles</t>
        </is>
      </c>
      <c r="BC220" s="24" t="inlineStr">
        <is>
          <t>soccer-poisson-dc-v1</t>
        </is>
      </c>
      <c r="BD220" s="24" t="inlineStr">
        <is>
          <t>c95ec2023134439ab985cb4cdcc58243749b9deb564fca7a2d587c15c9875427</t>
        </is>
      </c>
      <c r="BE220" s="24" t="inlineStr">
        <is>
          <t>soccer-poisson-dc-v1</t>
        </is>
      </c>
      <c r="BF220" s="24" t="inlineStr">
        <is>
          <t>1</t>
        </is>
      </c>
      <c r="BG220" s="24" t="inlineStr">
        <is>
          <t>c95ec2023134439ab985cb4cdcc58243749b9deb564fca7a2d587c15c9875427</t>
        </is>
      </c>
      <c r="BH220" s="24" t="inlineStr">
        <is>
          <t>2026-08-16T17:42:41.410862Z</t>
        </is>
      </c>
      <c r="BI220" s="24" t="inlineStr">
        <is>
          <t>["same_event","same_team_same_day","same_league_same_day"]</t>
        </is>
      </c>
      <c r="BJ220" s="25" t="n"/>
      <c r="BK220" s="26" t="n">
        <v>144</v>
      </c>
      <c r="BL220" s="27" t="n">
        <v>2.44</v>
      </c>
      <c r="BM220" s="28" t="n">
        <v>0.409836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0.409836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73212a82dfcd4b58</t>
        </is>
      </c>
      <c r="B221" s="24" t="inlineStr">
        <is>
          <t>2026-08-16T17:44:48.506019Z</t>
        </is>
      </c>
      <c r="C221" s="24" t="inlineStr">
        <is>
          <t>2026-08-16T21:30Z</t>
        </is>
      </c>
      <c r="D221" s="24" t="inlineStr">
        <is>
          <t>401850621</t>
        </is>
      </c>
      <c r="E221" s="24" t="inlineStr">
        <is>
          <t>SOCCER</t>
        </is>
      </c>
      <c r="F221" s="24" t="inlineStr">
        <is>
          <t>O'Higgins</t>
        </is>
      </c>
      <c r="G221" s="24" t="inlineStr">
        <is>
          <t>Colo Colo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-178</v>
      </c>
      <c r="M221" s="27" t="n">
        <v>1.561798</v>
      </c>
      <c r="N221" s="28" t="n">
        <v>0.640288</v>
      </c>
      <c r="O221" s="28" t="n">
        <v>0.5301439999999999</v>
      </c>
      <c r="P221" s="28" t="n">
        <v>0.19</v>
      </c>
      <c r="Q221" s="28" t="n">
        <v>-0.110144</v>
      </c>
      <c r="R221" s="26" t="n">
        <v>0</v>
      </c>
      <c r="S221" s="29" t="n">
        <v>1</v>
      </c>
      <c r="T221" s="24" t="inlineStr">
        <is>
          <t>soccer-poisson-dc-v1</t>
        </is>
      </c>
      <c r="U221" s="24" t="inlineStr">
        <is>
          <t>settled</t>
        </is>
      </c>
      <c r="V221" s="24" t="inlineStr">
        <is>
          <t>loss</t>
        </is>
      </c>
      <c r="W221" s="26" t="n">
        <v>2</v>
      </c>
      <c r="X221" s="26" t="n">
        <v>2</v>
      </c>
      <c r="Y221" s="25" t="n"/>
      <c r="Z221" s="26" t="n"/>
      <c r="AA221" s="28" t="n"/>
      <c r="AB221" s="28" t="n"/>
      <c r="AC221" s="30" t="n">
        <v>-1</v>
      </c>
      <c r="AD221" s="24" t="inlineStr">
        <is>
          <t>2026-08-17T05:27:41.213438Z</t>
        </is>
      </c>
      <c r="AE221" s="31" t="inlineStr">
        <is>
          <t>Poisson-DC rates 1.78 (home) / 1.07 (away) from EWMA attack/defense strengths. Executable ask 0.6400 (atc-pdc-col-ohi-2026-08-16-col).</t>
        </is>
      </c>
      <c r="AF221" s="31" t="inlineStr">
        <is>
          <t>Research-only soccer score model; draw-aware, but not yet locked-holdout qualified.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O'Higgins</t>
        </is>
      </c>
      <c r="AQ221" s="24" t="inlineStr">
        <is>
          <t>O'Higgins</t>
        </is>
      </c>
      <c r="AR221" s="24" t="inlineStr">
        <is>
          <t>O'Higgins</t>
        </is>
      </c>
      <c r="AS221" s="24" t="inlineStr">
        <is>
          <t>Colo Colo</t>
        </is>
      </c>
      <c r="AT221" s="24" t="inlineStr">
        <is>
          <t>Colo Colo</t>
        </is>
      </c>
      <c r="AU221" s="24" t="inlineStr">
        <is>
          <t>Colo Colo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c95ec2023134439ab985cb4cdcc58243749b9deb564fca7a2d587c15c9875427</t>
        </is>
      </c>
      <c r="BB221" s="24" t="inlineStr">
        <is>
          <t>poisson_dixon_coles</t>
        </is>
      </c>
      <c r="BC221" s="24" t="inlineStr">
        <is>
          <t>soccer-poisson-dc-v1</t>
        </is>
      </c>
      <c r="BD221" s="24" t="inlineStr">
        <is>
          <t>c95ec2023134439ab985cb4cdcc58243749b9deb564fca7a2d587c15c9875427</t>
        </is>
      </c>
      <c r="BE221" s="24" t="inlineStr">
        <is>
          <t>soccer-poisson-dc-v1</t>
        </is>
      </c>
      <c r="BF221" s="24" t="inlineStr">
        <is>
          <t>1</t>
        </is>
      </c>
      <c r="BG221" s="24" t="inlineStr">
        <is>
          <t>c95ec2023134439ab985cb4cdcc58243749b9deb564fca7a2d587c15c9875427</t>
        </is>
      </c>
      <c r="BH221" s="24" t="inlineStr">
        <is>
          <t>2026-08-16T17:42:41.702171Z</t>
        </is>
      </c>
      <c r="BI221" s="24" t="inlineStr">
        <is>
          <t>["same_event","same_team_same_day","same_league_same_day"]</t>
        </is>
      </c>
      <c r="BJ221" s="25" t="n"/>
      <c r="BK221" s="26" t="n">
        <v>-178</v>
      </c>
      <c r="BL221" s="27" t="n">
        <v>1.561798</v>
      </c>
      <c r="BM221" s="28" t="n">
        <v>0.640288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0.640288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7930df62bdbf4eee</t>
        </is>
      </c>
      <c r="B222" s="24" t="inlineStr">
        <is>
          <t>2026-08-16T17:44:48.506019Z</t>
        </is>
      </c>
      <c r="C222" s="24" t="inlineStr">
        <is>
          <t>2026-08-16T18:00Z</t>
        </is>
      </c>
      <c r="D222" s="24" t="inlineStr">
        <is>
          <t>401906277</t>
        </is>
      </c>
      <c r="E222" s="24" t="inlineStr">
        <is>
          <t>SOCCER</t>
        </is>
      </c>
      <c r="F222" s="24" t="inlineStr">
        <is>
          <t>Liverpool</t>
        </is>
      </c>
      <c r="G222" s="24" t="inlineStr">
        <is>
          <t>Defensor Sporting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163</v>
      </c>
      <c r="M222" s="27" t="n">
        <v>2.63</v>
      </c>
      <c r="N222" s="28" t="n">
        <v>0.380228</v>
      </c>
      <c r="O222" s="28" t="n">
        <v>0.425554</v>
      </c>
      <c r="P222" s="28" t="n">
        <v>0.19</v>
      </c>
      <c r="Q222" s="28" t="n">
        <v>0.045326</v>
      </c>
      <c r="R222" s="26" t="n">
        <v>0</v>
      </c>
      <c r="S222" s="29" t="n">
        <v>1</v>
      </c>
      <c r="T222" s="24" t="inlineStr">
        <is>
          <t>soccer-poisson-dc-v1</t>
        </is>
      </c>
      <c r="U222" s="24" t="inlineStr">
        <is>
          <t>settled</t>
        </is>
      </c>
      <c r="V222" s="24" t="inlineStr">
        <is>
          <t>loss</t>
        </is>
      </c>
      <c r="W222" s="26" t="n">
        <v>4</v>
      </c>
      <c r="X222" s="26" t="n">
        <v>0</v>
      </c>
      <c r="Y222" s="25" t="n"/>
      <c r="Z222" s="26" t="n"/>
      <c r="AA222" s="28" t="n"/>
      <c r="AB222" s="28" t="n"/>
      <c r="AC222" s="30" t="n">
        <v>-1</v>
      </c>
      <c r="AD222" s="24" t="inlineStr">
        <is>
          <t>2026-08-17T05:27:44.191457Z</t>
        </is>
      </c>
      <c r="AE222" s="31" t="inlineStr">
        <is>
          <t>Poisson-DC rates 1.57 (home) / 1.30 (away) from EWMA attack/defense strengths. Executable ask 0.3800 (atc-uru1-def-liv-2026-08-16-def).</t>
        </is>
      </c>
      <c r="AF222" s="31" t="inlineStr">
        <is>
          <t>Research-only soccer score model; draw-aware, but not yet locked-holdout qualified.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PAPER_CALL_MODEL_UNVALIDATED</t>
        </is>
      </c>
      <c r="AP222" s="24" t="inlineStr">
        <is>
          <t>Liverpool</t>
        </is>
      </c>
      <c r="AQ222" s="24" t="inlineStr">
        <is>
          <t>Liverpool</t>
        </is>
      </c>
      <c r="AR222" s="24" t="inlineStr">
        <is>
          <t>Liverpool</t>
        </is>
      </c>
      <c r="AS222" s="24" t="inlineStr">
        <is>
          <t>Defensor Sporting</t>
        </is>
      </c>
      <c r="AT222" s="24" t="inlineStr">
        <is>
          <t>Defensor Sporting</t>
        </is>
      </c>
      <c r="AU222" s="24" t="inlineStr">
        <is>
          <t>Defensor Sporting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c95ec2023134439ab985cb4cdcc58243749b9deb564fca7a2d587c15c9875427</t>
        </is>
      </c>
      <c r="BB222" s="24" t="inlineStr">
        <is>
          <t>poisson_dixon_coles</t>
        </is>
      </c>
      <c r="BC222" s="24" t="inlineStr">
        <is>
          <t>soccer-poisson-dc-v1</t>
        </is>
      </c>
      <c r="BD222" s="24" t="inlineStr">
        <is>
          <t>c95ec2023134439ab985cb4cdcc58243749b9deb564fca7a2d587c15c9875427</t>
        </is>
      </c>
      <c r="BE222" s="24" t="inlineStr">
        <is>
          <t>soccer-poisson-dc-v1</t>
        </is>
      </c>
      <c r="BF222" s="24" t="inlineStr">
        <is>
          <t>1</t>
        </is>
      </c>
      <c r="BG222" s="24" t="inlineStr">
        <is>
          <t>c95ec2023134439ab985cb4cdcc58243749b9deb564fca7a2d587c15c9875427</t>
        </is>
      </c>
      <c r="BH222" s="24" t="inlineStr">
        <is>
          <t>2026-08-16T17:42:41.843239Z</t>
        </is>
      </c>
      <c r="BI222" s="24" t="inlineStr">
        <is>
          <t>["same_event","same_team_same_day","same_league_same_day"]</t>
        </is>
      </c>
      <c r="BJ222" s="25" t="n"/>
      <c r="BK222" s="26" t="n">
        <v>163</v>
      </c>
      <c r="BL222" s="27" t="n">
        <v>2.63</v>
      </c>
      <c r="BM222" s="28" t="n">
        <v>0.380228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0.380228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34415d4928454b94</t>
        </is>
      </c>
      <c r="B223" s="24" t="inlineStr">
        <is>
          <t>2026-08-16T17:44:48.506019Z</t>
        </is>
      </c>
      <c r="C223" s="24" t="inlineStr">
        <is>
          <t>2026-08-16T20:30Z</t>
        </is>
      </c>
      <c r="D223" s="24" t="inlineStr">
        <is>
          <t>401886221</t>
        </is>
      </c>
      <c r="E223" s="24" t="inlineStr">
        <is>
          <t>SOCCER</t>
        </is>
      </c>
      <c r="F223" s="24" t="inlineStr">
        <is>
          <t>Universitario</t>
        </is>
      </c>
      <c r="G223" s="24" t="inlineStr">
        <is>
          <t>FC Cajamarca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400</v>
      </c>
      <c r="M223" s="27" t="n">
        <v>5</v>
      </c>
      <c r="N223" s="28" t="n">
        <v>0.2</v>
      </c>
      <c r="O223" s="28" t="n">
        <v>0.430486</v>
      </c>
      <c r="P223" s="28" t="n">
        <v>0.2</v>
      </c>
      <c r="Q223" s="28" t="n">
        <v>0.230486</v>
      </c>
      <c r="R223" s="26" t="n">
        <v>45</v>
      </c>
      <c r="S223" s="29" t="n">
        <v>1</v>
      </c>
      <c r="T223" s="24" t="inlineStr">
        <is>
          <t>soccer-poisson-dc-v1</t>
        </is>
      </c>
      <c r="U223" s="24" t="inlineStr">
        <is>
          <t>settled</t>
        </is>
      </c>
      <c r="V223" s="24" t="inlineStr">
        <is>
          <t>loss</t>
        </is>
      </c>
      <c r="W223" s="26" t="n">
        <v>3</v>
      </c>
      <c r="X223" s="26" t="n">
        <v>2</v>
      </c>
      <c r="Y223" s="25" t="n"/>
      <c r="Z223" s="26" t="n"/>
      <c r="AA223" s="28" t="n"/>
      <c r="AB223" s="28" t="n"/>
      <c r="AC223" s="30" t="n">
        <v>-1</v>
      </c>
      <c r="AD223" s="24" t="inlineStr">
        <is>
          <t>2026-08-17T05:27:47.747867Z</t>
        </is>
      </c>
      <c r="AE223" s="31" t="inlineStr">
        <is>
          <t>Poisson-DC rates 1.59 (home) / 1.30 (away) from EWMA attack/defense strengths. Executable ask 0.2000 (atc-pl1-caj-uni-2026-08-16-caj).</t>
        </is>
      </c>
      <c r="AF223" s="31" t="inlineStr">
        <is>
          <t>Research-only soccer score model; draw-aware, but not yet locked-holdout qualified.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Universitario</t>
        </is>
      </c>
      <c r="AQ223" s="24" t="inlineStr">
        <is>
          <t>Universitario</t>
        </is>
      </c>
      <c r="AR223" s="24" t="inlineStr">
        <is>
          <t>Universitario</t>
        </is>
      </c>
      <c r="AS223" s="24" t="inlineStr">
        <is>
          <t>FC Cajamarca</t>
        </is>
      </c>
      <c r="AT223" s="24" t="inlineStr">
        <is>
          <t>FC Cajamarca</t>
        </is>
      </c>
      <c r="AU223" s="24" t="inlineStr">
        <is>
          <t>FC Cajamarca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c95ec2023134439ab985cb4cdcc58243749b9deb564fca7a2d587c15c9875427</t>
        </is>
      </c>
      <c r="BB223" s="24" t="inlineStr">
        <is>
          <t>poisson_dixon_coles</t>
        </is>
      </c>
      <c r="BC223" s="24" t="inlineStr">
        <is>
          <t>soccer-poisson-dc-v1</t>
        </is>
      </c>
      <c r="BD223" s="24" t="inlineStr">
        <is>
          <t>c95ec2023134439ab985cb4cdcc58243749b9deb564fca7a2d587c15c9875427</t>
        </is>
      </c>
      <c r="BE223" s="24" t="inlineStr">
        <is>
          <t>soccer-poisson-dc-v1</t>
        </is>
      </c>
      <c r="BF223" s="24" t="inlineStr">
        <is>
          <t>1</t>
        </is>
      </c>
      <c r="BG223" s="24" t="inlineStr">
        <is>
          <t>c95ec2023134439ab985cb4cdcc58243749b9deb564fca7a2d587c15c9875427</t>
        </is>
      </c>
      <c r="BH223" s="24" t="inlineStr">
        <is>
          <t>2026-08-16T17:42:42.585089Z</t>
        </is>
      </c>
      <c r="BI223" s="24" t="inlineStr">
        <is>
          <t>["same_event","same_team_same_day","same_league_same_day"]</t>
        </is>
      </c>
      <c r="BJ223" s="25" t="n"/>
      <c r="BK223" s="26" t="n">
        <v>400</v>
      </c>
      <c r="BL223" s="27" t="n">
        <v>5</v>
      </c>
      <c r="BM223" s="28" t="n">
        <v>0.2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0.2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9813589016d84501</t>
        </is>
      </c>
      <c r="B224" s="24" t="inlineStr">
        <is>
          <t>2026-08-17T08:40:09.982096Z</t>
        </is>
      </c>
      <c r="C224" s="24" t="inlineStr">
        <is>
          <t>2026-08-17T19:00Z</t>
        </is>
      </c>
      <c r="D224" s="24" t="inlineStr">
        <is>
          <t>401882923</t>
        </is>
      </c>
      <c r="E224" s="24" t="inlineStr">
        <is>
          <t>SOCCER</t>
        </is>
      </c>
      <c r="F224" s="24" t="inlineStr">
        <is>
          <t>Elche</t>
        </is>
      </c>
      <c r="G224" s="24" t="inlineStr">
        <is>
          <t>Deportivo</t>
        </is>
      </c>
      <c r="H224" s="24" t="inlineStr">
        <is>
          <t>total</t>
        </is>
      </c>
      <c r="I224" s="24" t="inlineStr">
        <is>
          <t>over</t>
        </is>
      </c>
      <c r="J224" s="25" t="n">
        <v>2.5</v>
      </c>
      <c r="K224" s="24" t="inlineStr">
        <is>
          <t>polymarket_us</t>
        </is>
      </c>
      <c r="L224" s="26" t="n">
        <v>138</v>
      </c>
      <c r="M224" s="27" t="n">
        <v>2.38</v>
      </c>
      <c r="N224" s="28" t="n">
        <v>0.420168</v>
      </c>
      <c r="O224" s="28" t="n">
        <v>0.544259</v>
      </c>
      <c r="P224" s="28" t="n">
        <v>0.2</v>
      </c>
      <c r="Q224" s="28" t="n">
        <v>0.124091</v>
      </c>
      <c r="R224" s="26" t="n">
        <v>0</v>
      </c>
      <c r="S224" s="29" t="n">
        <v>1</v>
      </c>
      <c r="T224" s="24" t="inlineStr">
        <is>
          <t>soccer-poisson-dc-v1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1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2026-08-18T15:12:00.322530Z</t>
        </is>
      </c>
      <c r="AE224" s="31" t="inlineStr">
        <is>
          <t>Poisson-DC rates 1.73 (home) / 1.13 (away) from EWMA attack/defense strengths. Executable ask 0.4200 (tsc-lal-dep-elc-2026-08-17-2pt5).</t>
        </is>
      </c>
      <c r="AF224" s="31" t="inlineStr">
        <is>
          <t>Research-only soccer score model; draw-aware, but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Elche</t>
        </is>
      </c>
      <c r="AQ224" s="24" t="inlineStr">
        <is>
          <t>Elche</t>
        </is>
      </c>
      <c r="AR224" s="24" t="inlineStr">
        <is>
          <t>Elche</t>
        </is>
      </c>
      <c r="AS224" s="24" t="inlineStr">
        <is>
          <t>Deportivo</t>
        </is>
      </c>
      <c r="AT224" s="24" t="inlineStr">
        <is>
          <t>Deportivo</t>
        </is>
      </c>
      <c r="AU224" s="24" t="inlineStr">
        <is>
          <t>Deportivo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c95ec2023134439ab985cb4cdcc58243749b9deb564fca7a2d587c15c9875427</t>
        </is>
      </c>
      <c r="BB224" s="24" t="inlineStr">
        <is>
          <t>poisson_dixon_coles</t>
        </is>
      </c>
      <c r="BC224" s="24" t="inlineStr">
        <is>
          <t>soccer-poisson-dc-v1</t>
        </is>
      </c>
      <c r="BD224" s="24" t="inlineStr">
        <is>
          <t>c95ec2023134439ab985cb4cdcc58243749b9deb564fca7a2d587c15c9875427</t>
        </is>
      </c>
      <c r="BE224" s="24" t="inlineStr">
        <is>
          <t>soccer-poisson-dc-v1</t>
        </is>
      </c>
      <c r="BF224" s="24" t="inlineStr">
        <is>
          <t>1</t>
        </is>
      </c>
      <c r="BG224" s="24" t="inlineStr">
        <is>
          <t>c95ec2023134439ab985cb4cdcc58243749b9deb564fca7a2d587c15c9875427</t>
        </is>
      </c>
      <c r="BH224" s="24" t="inlineStr">
        <is>
          <t>2026-08-17T08:38:13.978066Z</t>
        </is>
      </c>
      <c r="BI224" s="24" t="inlineStr">
        <is>
          <t>["same_event","same_team_same_day","same_league_same_day"]</t>
        </is>
      </c>
      <c r="BJ224" s="25" t="n">
        <v>2.5</v>
      </c>
      <c r="BK224" s="26" t="n">
        <v>138</v>
      </c>
      <c r="BL224" s="27" t="n">
        <v>2.38</v>
      </c>
      <c r="BM224" s="28" t="n">
        <v>0.420168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0.420168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609c38f125a34baf</t>
        </is>
      </c>
      <c r="B225" s="24" t="inlineStr">
        <is>
          <t>2026-08-17T08:40:09.982096Z</t>
        </is>
      </c>
      <c r="C225" s="24" t="inlineStr">
        <is>
          <t>2026-08-17T19:00Z</t>
        </is>
      </c>
      <c r="D225" s="24" t="inlineStr">
        <is>
          <t>401882923</t>
        </is>
      </c>
      <c r="E225" s="24" t="inlineStr">
        <is>
          <t>SOCCER</t>
        </is>
      </c>
      <c r="F225" s="24" t="inlineStr">
        <is>
          <t>Elche</t>
        </is>
      </c>
      <c r="G225" s="24" t="inlineStr">
        <is>
          <t>Deportivo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133</v>
      </c>
      <c r="M225" s="27" t="n">
        <v>2.33</v>
      </c>
      <c r="N225" s="28" t="n">
        <v>0.429185</v>
      </c>
      <c r="O225" s="28" t="n">
        <v>0.503007</v>
      </c>
      <c r="P225" s="28" t="n">
        <v>0.2</v>
      </c>
      <c r="Q225" s="28" t="n">
        <v>0.073822</v>
      </c>
      <c r="R225" s="26" t="n">
        <v>0</v>
      </c>
      <c r="S225" s="29" t="n">
        <v>1</v>
      </c>
      <c r="T225" s="24" t="inlineStr">
        <is>
          <t>soccer-poisson-dc-v1</t>
        </is>
      </c>
      <c r="U225" s="24" t="inlineStr">
        <is>
          <t>settled</t>
        </is>
      </c>
      <c r="V225" s="24" t="inlineStr">
        <is>
          <t>loss</t>
        </is>
      </c>
      <c r="W225" s="26" t="n">
        <v>1</v>
      </c>
      <c r="X225" s="26" t="n">
        <v>1</v>
      </c>
      <c r="Y225" s="25" t="n"/>
      <c r="Z225" s="26" t="n"/>
      <c r="AA225" s="28" t="n"/>
      <c r="AB225" s="28" t="n"/>
      <c r="AC225" s="30" t="n">
        <v>-1</v>
      </c>
      <c r="AD225" s="24" t="inlineStr">
        <is>
          <t>2026-08-18T15:12:01.687622Z</t>
        </is>
      </c>
      <c r="AE225" s="31" t="inlineStr">
        <is>
          <t>Poisson-DC rates 1.73 (home) / 1.13 (away) from EWMA attack/defense strengths. Executable ask 0.4300 (atc-lal-dep-elc-2026-08-17-dep).</t>
        </is>
      </c>
      <c r="AF225" s="31" t="inlineStr">
        <is>
          <t>Research-only soccer score model; draw-aware, but not yet locked-holdout qualified.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3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PAPER_CALL_MODEL_UNVALIDATED</t>
        </is>
      </c>
      <c r="AP225" s="24" t="inlineStr">
        <is>
          <t>Elche</t>
        </is>
      </c>
      <c r="AQ225" s="24" t="inlineStr">
        <is>
          <t>Elche</t>
        </is>
      </c>
      <c r="AR225" s="24" t="inlineStr">
        <is>
          <t>Elche</t>
        </is>
      </c>
      <c r="AS225" s="24" t="inlineStr">
        <is>
          <t>Deportivo</t>
        </is>
      </c>
      <c r="AT225" s="24" t="inlineStr">
        <is>
          <t>Deportivo</t>
        </is>
      </c>
      <c r="AU225" s="24" t="inlineStr">
        <is>
          <t>Deportivo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c95ec2023134439ab985cb4cdcc58243749b9deb564fca7a2d587c15c9875427</t>
        </is>
      </c>
      <c r="BB225" s="24" t="inlineStr">
        <is>
          <t>poisson_dixon_coles</t>
        </is>
      </c>
      <c r="BC225" s="24" t="inlineStr">
        <is>
          <t>soccer-poisson-dc-v1</t>
        </is>
      </c>
      <c r="BD225" s="24" t="inlineStr">
        <is>
          <t>c95ec2023134439ab985cb4cdcc58243749b9deb564fca7a2d587c15c9875427</t>
        </is>
      </c>
      <c r="BE225" s="24" t="inlineStr">
        <is>
          <t>soccer-poisson-dc-v1</t>
        </is>
      </c>
      <c r="BF225" s="24" t="inlineStr">
        <is>
          <t>1</t>
        </is>
      </c>
      <c r="BG225" s="24" t="inlineStr">
        <is>
          <t>c95ec2023134439ab985cb4cdcc58243749b9deb564fca7a2d587c15c9875427</t>
        </is>
      </c>
      <c r="BH225" s="24" t="inlineStr">
        <is>
          <t>2026-08-17T08:38:13.870992Z</t>
        </is>
      </c>
      <c r="BI225" s="24" t="inlineStr">
        <is>
          <t>["same_event","same_team_same_day","same_league_same_day"]</t>
        </is>
      </c>
      <c r="BJ225" s="25" t="n"/>
      <c r="BK225" s="26" t="n">
        <v>133</v>
      </c>
      <c r="BL225" s="27" t="n">
        <v>2.33</v>
      </c>
      <c r="BM225" s="28" t="n">
        <v>0.429185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0.429185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319f883fe46e4a42</t>
        </is>
      </c>
      <c r="B226" s="24" t="inlineStr">
        <is>
          <t>2026-08-17T08:40:09.982096Z</t>
        </is>
      </c>
      <c r="C226" s="24" t="inlineStr">
        <is>
          <t>2026-08-17T18:00Z</t>
        </is>
      </c>
      <c r="D226" s="24" t="inlineStr">
        <is>
          <t>401844052</t>
        </is>
      </c>
      <c r="E226" s="24" t="inlineStr">
        <is>
          <t>SOCCER</t>
        </is>
      </c>
      <c r="F226" s="24" t="inlineStr">
        <is>
          <t>Nueva Chicago</t>
        </is>
      </c>
      <c r="G226" s="24" t="inlineStr">
        <is>
          <t>All Boys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144</v>
      </c>
      <c r="M226" s="27" t="n">
        <v>2.44</v>
      </c>
      <c r="N226" s="28" t="n">
        <v>0.409836</v>
      </c>
      <c r="O226" s="28" t="n">
        <v>0.440521</v>
      </c>
      <c r="P226" s="28" t="n">
        <v>0.2</v>
      </c>
      <c r="Q226" s="28" t="n">
        <v>0.030685</v>
      </c>
      <c r="R226" s="26" t="n">
        <v>0</v>
      </c>
      <c r="S226" s="29" t="n">
        <v>1</v>
      </c>
      <c r="T226" s="24" t="inlineStr">
        <is>
          <t>soccer-poisson-dc-v1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/>
      <c r="AA226" s="28" t="n"/>
      <c r="AB226" s="28" t="n"/>
      <c r="AC226" s="30" t="n">
        <v>1.44</v>
      </c>
      <c r="AD226" s="24" t="inlineStr">
        <is>
          <t>2026-08-18T15:12:03.588267Z</t>
        </is>
      </c>
      <c r="AE226" s="31" t="inlineStr">
        <is>
          <t>Poisson-DC rates 1.46 (home) / 1.10 (away) from EWMA attack/defense strengths. Executable ask 0.4100 (atc-arg2-abo-chi-2026-08-15-abo).</t>
        </is>
      </c>
      <c r="AF226" s="31" t="inlineStr">
        <is>
          <t>Research-only soccer score model; draw-aware, but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Nueva Chicago</t>
        </is>
      </c>
      <c r="AQ226" s="24" t="inlineStr">
        <is>
          <t>Nueva Chicago</t>
        </is>
      </c>
      <c r="AR226" s="24" t="inlineStr">
        <is>
          <t>Nueva Chicago</t>
        </is>
      </c>
      <c r="AS226" s="24" t="inlineStr">
        <is>
          <t>All Boys</t>
        </is>
      </c>
      <c r="AT226" s="24" t="inlineStr">
        <is>
          <t>All Boys</t>
        </is>
      </c>
      <c r="AU226" s="24" t="inlineStr">
        <is>
          <t>All Boys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c95ec2023134439ab985cb4cdcc58243749b9deb564fca7a2d587c15c9875427</t>
        </is>
      </c>
      <c r="BB226" s="24" t="inlineStr">
        <is>
          <t>poisson_dixon_coles</t>
        </is>
      </c>
      <c r="BC226" s="24" t="inlineStr">
        <is>
          <t>soccer-poisson-dc-v1</t>
        </is>
      </c>
      <c r="BD226" s="24" t="inlineStr">
        <is>
          <t>c95ec2023134439ab985cb4cdcc58243749b9deb564fca7a2d587c15c9875427</t>
        </is>
      </c>
      <c r="BE226" s="24" t="inlineStr">
        <is>
          <t>soccer-poisson-dc-v1</t>
        </is>
      </c>
      <c r="BF226" s="24" t="inlineStr">
        <is>
          <t>1</t>
        </is>
      </c>
      <c r="BG226" s="24" t="inlineStr">
        <is>
          <t>c95ec2023134439ab985cb4cdcc58243749b9deb564fca7a2d587c15c9875427</t>
        </is>
      </c>
      <c r="BH226" s="24" t="inlineStr">
        <is>
          <t>2026-08-17T08:38:14.758054Z</t>
        </is>
      </c>
      <c r="BI226" s="24" t="inlineStr">
        <is>
          <t>["same_event","same_team_same_day","same_league_same_day"]</t>
        </is>
      </c>
      <c r="BJ226" s="25" t="n"/>
      <c r="BK226" s="26" t="n">
        <v>144</v>
      </c>
      <c r="BL226" s="27" t="n">
        <v>2.44</v>
      </c>
      <c r="BM226" s="28" t="n">
        <v>0.409836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0.409836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0b79148a219246ec</t>
        </is>
      </c>
      <c r="B227" s="24" t="inlineStr">
        <is>
          <t>2026-08-19T19:55:25.278747Z</t>
        </is>
      </c>
      <c r="C227" s="24" t="inlineStr">
        <is>
          <t>2026-08-19T22:30Z</t>
        </is>
      </c>
      <c r="D227" s="24" t="inlineStr">
        <is>
          <t>401860287</t>
        </is>
      </c>
      <c r="E227" s="24" t="inlineStr">
        <is>
          <t>SOCCER</t>
        </is>
      </c>
      <c r="F227" s="24" t="inlineStr">
        <is>
          <t>São Bernardo</t>
        </is>
      </c>
      <c r="G227" s="24" t="inlineStr">
        <is>
          <t>Fortaleza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0.456135</v>
      </c>
      <c r="P227" s="28" t="n">
        <v>0.2</v>
      </c>
      <c r="Q227" s="28" t="n">
        <v>-0.123697</v>
      </c>
      <c r="R227" s="26" t="n">
        <v>0</v>
      </c>
      <c r="S227" s="29" t="n">
        <v>1</v>
      </c>
      <c r="T227" s="24" t="inlineStr">
        <is>
          <t>soccer-poisson-dc-v1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1</v>
      </c>
      <c r="Y227" s="25" t="n"/>
      <c r="Z227" s="26" t="n"/>
      <c r="AA227" s="28" t="n"/>
      <c r="AB227" s="28" t="n"/>
      <c r="AC227" s="30" t="n">
        <v>-1</v>
      </c>
      <c r="AD227" s="24" t="inlineStr">
        <is>
          <t>2026-08-20T02:29:30.529187Z</t>
        </is>
      </c>
      <c r="AE227" s="31" t="inlineStr">
        <is>
          <t>Poisson-DC rates 1.64 (home) / 1.24 (away) from EWMA attack/defense strengths. Executable ask 0.5800 (atc-brb-fec-ber-2026-08-19-fec).</t>
        </is>
      </c>
      <c r="AF227" s="31" t="inlineStr">
        <is>
          <t>Research-only soccer score model; draw-aware, but not yet locked-holdout qualified.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São Bernardo</t>
        </is>
      </c>
      <c r="AQ227" s="24" t="inlineStr">
        <is>
          <t>São Bernardo</t>
        </is>
      </c>
      <c r="AR227" s="24" t="inlineStr">
        <is>
          <t>São Bernardo</t>
        </is>
      </c>
      <c r="AS227" s="24" t="inlineStr">
        <is>
          <t>Fortaleza</t>
        </is>
      </c>
      <c r="AT227" s="24" t="inlineStr">
        <is>
          <t>Fortaleza</t>
        </is>
      </c>
      <c r="AU227" s="24" t="inlineStr">
        <is>
          <t>Fortaleza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c95ec2023134439ab985cb4cdcc58243749b9deb564fca7a2d587c15c9875427</t>
        </is>
      </c>
      <c r="BB227" s="24" t="inlineStr">
        <is>
          <t>poisson_dixon_coles</t>
        </is>
      </c>
      <c r="BC227" s="24" t="inlineStr">
        <is>
          <t>soccer-poisson-dc-v1</t>
        </is>
      </c>
      <c r="BD227" s="24" t="inlineStr">
        <is>
          <t>c95ec2023134439ab985cb4cdcc58243749b9deb564fca7a2d587c15c9875427</t>
        </is>
      </c>
      <c r="BE227" s="24" t="inlineStr">
        <is>
          <t>soccer-poisson-dc-v1</t>
        </is>
      </c>
      <c r="BF227" s="24" t="inlineStr">
        <is>
          <t>1</t>
        </is>
      </c>
      <c r="BG227" s="24" t="inlineStr">
        <is>
          <t>c95ec2023134439ab985cb4cdcc58243749b9deb564fca7a2d587c15c9875427</t>
        </is>
      </c>
      <c r="BH227" s="24" t="inlineStr">
        <is>
          <t>2026-08-19T19:53:55.576747Z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0.579832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9a9eea65d6b1408a</t>
        </is>
      </c>
      <c r="B228" s="24" t="inlineStr">
        <is>
          <t>2026-08-19T23:07:44.167003Z</t>
        </is>
      </c>
      <c r="C228" s="24" t="inlineStr">
        <is>
          <t>2026-08-19T23:30Z</t>
        </is>
      </c>
      <c r="D228" s="24" t="inlineStr">
        <is>
          <t>761725</t>
        </is>
      </c>
      <c r="E228" s="24" t="inlineStr">
        <is>
          <t>SOCCER</t>
        </is>
      </c>
      <c r="F228" s="24" t="inlineStr">
        <is>
          <t>New England Revolution</t>
        </is>
      </c>
      <c r="G228" s="24" t="inlineStr">
        <is>
          <t>D.C. United</t>
        </is>
      </c>
      <c r="H228" s="24" t="inlineStr">
        <is>
          <t>total</t>
        </is>
      </c>
      <c r="I228" s="24" t="inlineStr">
        <is>
          <t>over</t>
        </is>
      </c>
      <c r="J228" s="25" t="n">
        <v>2.5</v>
      </c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0.612259</v>
      </c>
      <c r="P228" s="28" t="n">
        <v>0.04</v>
      </c>
      <c r="Q228" s="28" t="n">
        <v>0.032427</v>
      </c>
      <c r="R228" s="26" t="n">
        <v>42</v>
      </c>
      <c r="S228" s="29" t="n">
        <v>1.5</v>
      </c>
      <c r="T228" s="24" t="inlineStr">
        <is>
          <t>soccer-poisson-dc-v1</t>
        </is>
      </c>
      <c r="U228" s="24" t="inlineStr">
        <is>
          <t>settled</t>
        </is>
      </c>
      <c r="V228" s="24" t="inlineStr">
        <is>
          <t>win</t>
        </is>
      </c>
      <c r="W228" s="26" t="n">
        <v>3</v>
      </c>
      <c r="X228" s="26" t="n">
        <v>0</v>
      </c>
      <c r="Y228" s="25" t="n"/>
      <c r="Z228" s="26" t="n"/>
      <c r="AA228" s="28" t="n"/>
      <c r="AB228" s="28" t="n"/>
      <c r="AC228" s="30" t="n">
        <v>1.087</v>
      </c>
      <c r="AD228" s="24" t="inlineStr">
        <is>
          <t>2026-08-20T02:29:38.907824Z</t>
        </is>
      </c>
      <c r="AE228" s="31" t="inlineStr">
        <is>
          <t>Poisson-DC rates 1.58 (home) / 1.58 (away) from EWMA attack/defense strengths. Executable ask 0.5800 (tsc-mls-dcu-ner-2026-08-19-2pt5).</t>
        </is>
      </c>
      <c r="AF228" s="31" t="inlineStr">
        <is>
          <t>Research-only soccer score model; draw-aware, but not yet locked-holdout qualified.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New England Revolution</t>
        </is>
      </c>
      <c r="AQ228" s="24" t="inlineStr">
        <is>
          <t>New England Revolution</t>
        </is>
      </c>
      <c r="AR228" s="24" t="inlineStr">
        <is>
          <t>New England Revolution</t>
        </is>
      </c>
      <c r="AS228" s="24" t="inlineStr">
        <is>
          <t>D.C. United</t>
        </is>
      </c>
      <c r="AT228" s="24" t="inlineStr">
        <is>
          <t>D.C. United</t>
        </is>
      </c>
      <c r="AU228" s="24" t="inlineStr">
        <is>
          <t>D.C. United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c95ec2023134439ab985cb4cdcc58243749b9deb564fca7a2d587c15c9875427</t>
        </is>
      </c>
      <c r="BB228" s="24" t="inlineStr">
        <is>
          <t>poisson_dixon_coles</t>
        </is>
      </c>
      <c r="BC228" s="24" t="inlineStr">
        <is>
          <t>soccer-poisson-dc-v1</t>
        </is>
      </c>
      <c r="BD228" s="24" t="inlineStr">
        <is>
          <t>c95ec2023134439ab985cb4cdcc58243749b9deb564fca7a2d587c15c9875427</t>
        </is>
      </c>
      <c r="BE228" s="24" t="inlineStr">
        <is>
          <t>soccer-poisson-dc-v1</t>
        </is>
      </c>
      <c r="BF228" s="24" t="inlineStr">
        <is>
          <t>1</t>
        </is>
      </c>
      <c r="BG228" s="24" t="inlineStr">
        <is>
          <t>c95ec2023134439ab985cb4cdcc58243749b9deb564fca7a2d587c15c9875427</t>
        </is>
      </c>
      <c r="BH228" s="24" t="inlineStr">
        <is>
          <t>2026-08-19T23:06:26.798356Z</t>
        </is>
      </c>
      <c r="BI228" s="24" t="inlineStr">
        <is>
          <t>["same_event","same_team_same_day","same_league_same_day"]</t>
        </is>
      </c>
      <c r="BJ228" s="25" t="n">
        <v>2.5</v>
      </c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0.579832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acba6a16dce742fd</t>
        </is>
      </c>
      <c r="B229" s="24" t="inlineStr">
        <is>
          <t>2026-08-19T23:07:44.167003Z</t>
        </is>
      </c>
      <c r="C229" s="24" t="inlineStr">
        <is>
          <t>2026-08-19T23:30Z</t>
        </is>
      </c>
      <c r="D229" s="24" t="inlineStr">
        <is>
          <t>761730</t>
        </is>
      </c>
      <c r="E229" s="24" t="inlineStr">
        <is>
          <t>SOCCER</t>
        </is>
      </c>
      <c r="F229" s="24" t="inlineStr">
        <is>
          <t>New York City FC</t>
        </is>
      </c>
      <c r="G229" s="24" t="inlineStr">
        <is>
          <t>FC Cincinnati</t>
        </is>
      </c>
      <c r="H229" s="24" t="inlineStr">
        <is>
          <t>total</t>
        </is>
      </c>
      <c r="I229" s="24" t="inlineStr">
        <is>
          <t>over</t>
        </is>
      </c>
      <c r="J229" s="25" t="n">
        <v>2.5</v>
      </c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0.80849</v>
      </c>
      <c r="P229" s="28" t="n">
        <v>0.04</v>
      </c>
      <c r="Q229" s="28" t="n">
        <v>0.138523</v>
      </c>
      <c r="R229" s="26" t="n">
        <v>95</v>
      </c>
      <c r="S229" s="29" t="n">
        <v>2</v>
      </c>
      <c r="T229" s="24" t="inlineStr">
        <is>
          <t>soccer-poisson-dc-v1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2</v>
      </c>
      <c r="Y229" s="25" t="n"/>
      <c r="Z229" s="26" t="n"/>
      <c r="AA229" s="28" t="n"/>
      <c r="AB229" s="28" t="n"/>
      <c r="AC229" s="30" t="n">
        <v>0.9852</v>
      </c>
      <c r="AD229" s="24" t="inlineStr">
        <is>
          <t>2026-08-20T02:29:40.455431Z</t>
        </is>
      </c>
      <c r="AE229" s="31" t="inlineStr">
        <is>
          <t>Poisson-DC rates 2.45 (home) / 1.90 (away) from EWMA attack/defense strengths. Executable ask 0.6700 (tsc-mls-fcc-nyc-2026-08-19-2pt5).</t>
        </is>
      </c>
      <c r="AF229" s="31" t="inlineStr">
        <is>
          <t>Research-only soccer score model; draw-aware, but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New York City FC</t>
        </is>
      </c>
      <c r="AQ229" s="24" t="inlineStr">
        <is>
          <t>New York City FC</t>
        </is>
      </c>
      <c r="AR229" s="24" t="inlineStr">
        <is>
          <t>New York City FC</t>
        </is>
      </c>
      <c r="AS229" s="24" t="inlineStr">
        <is>
          <t>FC Cincinnati</t>
        </is>
      </c>
      <c r="AT229" s="24" t="inlineStr">
        <is>
          <t>FC Cincinnati</t>
        </is>
      </c>
      <c r="AU229" s="24" t="inlineStr">
        <is>
          <t>FC Cincinnati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c95ec2023134439ab985cb4cdcc58243749b9deb564fca7a2d587c15c9875427</t>
        </is>
      </c>
      <c r="BB229" s="24" t="inlineStr">
        <is>
          <t>poisson_dixon_coles</t>
        </is>
      </c>
      <c r="BC229" s="24" t="inlineStr">
        <is>
          <t>soccer-poisson-dc-v1</t>
        </is>
      </c>
      <c r="BD229" s="24" t="inlineStr">
        <is>
          <t>c95ec2023134439ab985cb4cdcc58243749b9deb564fca7a2d587c15c9875427</t>
        </is>
      </c>
      <c r="BE229" s="24" t="inlineStr">
        <is>
          <t>soccer-poisson-dc-v1</t>
        </is>
      </c>
      <c r="BF229" s="24" t="inlineStr">
        <is>
          <t>1</t>
        </is>
      </c>
      <c r="BG229" s="24" t="inlineStr">
        <is>
          <t>c95ec2023134439ab985cb4cdcc58243749b9deb564fca7a2d587c15c9875427</t>
        </is>
      </c>
      <c r="BH229" s="24" t="inlineStr">
        <is>
          <t>2026-08-19T23:06:26.994419Z</t>
        </is>
      </c>
      <c r="BI229" s="24" t="inlineStr">
        <is>
          <t>["same_event","same_team_same_day","same_league_same_day"]</t>
        </is>
      </c>
      <c r="BJ229" s="25" t="n">
        <v>2.5</v>
      </c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3701167262904677</t>
        </is>
      </c>
      <c r="B230" s="24" t="inlineStr">
        <is>
          <t>2026-08-19T23:07:44.167003Z</t>
        </is>
      </c>
      <c r="C230" s="24" t="inlineStr">
        <is>
          <t>2026-08-19T23:30Z</t>
        </is>
      </c>
      <c r="D230" s="24" t="inlineStr">
        <is>
          <t>761729</t>
        </is>
      </c>
      <c r="E230" s="24" t="inlineStr">
        <is>
          <t>SOCCER</t>
        </is>
      </c>
      <c r="F230" s="24" t="inlineStr">
        <is>
          <t>Chicago Fire FC</t>
        </is>
      </c>
      <c r="G230" s="24" t="inlineStr">
        <is>
          <t>Orlando City SC</t>
        </is>
      </c>
      <c r="H230" s="24" t="inlineStr">
        <is>
          <t>total</t>
        </is>
      </c>
      <c r="I230" s="24" t="inlineStr">
        <is>
          <t>over</t>
        </is>
      </c>
      <c r="J230" s="25" t="n">
        <v>2.5</v>
      </c>
      <c r="K230" s="24" t="inlineStr">
        <is>
          <t>polymarket_us</t>
        </is>
      </c>
      <c r="L230" s="26" t="n">
        <v>-233</v>
      </c>
      <c r="M230" s="27" t="n">
        <v>1.429185</v>
      </c>
      <c r="N230" s="28" t="n">
        <v>0.6997</v>
      </c>
      <c r="O230" s="28" t="n">
        <v>0.855959</v>
      </c>
      <c r="P230" s="28" t="n">
        <v>0.04</v>
      </c>
      <c r="Q230" s="28" t="n">
        <v>0.156259</v>
      </c>
      <c r="R230" s="26" t="n">
        <v>100</v>
      </c>
      <c r="S230" s="29" t="n">
        <v>2</v>
      </c>
      <c r="T230" s="24" t="inlineStr">
        <is>
          <t>soccer-poisson-dc-v1</t>
        </is>
      </c>
      <c r="U230" s="24" t="inlineStr">
        <is>
          <t>settled</t>
        </is>
      </c>
      <c r="V230" s="24" t="inlineStr">
        <is>
          <t>win</t>
        </is>
      </c>
      <c r="W230" s="26" t="n">
        <v>2</v>
      </c>
      <c r="X230" s="26" t="n">
        <v>1</v>
      </c>
      <c r="Y230" s="25" t="n"/>
      <c r="Z230" s="26" t="n"/>
      <c r="AA230" s="28" t="n"/>
      <c r="AB230" s="28" t="n"/>
      <c r="AC230" s="30" t="n">
        <v>0.8584000000000001</v>
      </c>
      <c r="AD230" s="24" t="inlineStr">
        <is>
          <t>2026-08-20T05:33:49.397456Z</t>
        </is>
      </c>
      <c r="AE230" s="31" t="inlineStr">
        <is>
          <t>Poisson-DC rates 1.92 (home) / 2.86 (away) from EWMA attack/defense strengths. Executable ask 0.7000 (tsc-mls-orl-chi-2026-08-19-2pt5).</t>
        </is>
      </c>
      <c r="AF230" s="31" t="inlineStr">
        <is>
          <t>Research-only soccer score model; draw-aware, but not yet locked-holdout qualified.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Chicago Fire FC</t>
        </is>
      </c>
      <c r="AQ230" s="24" t="inlineStr">
        <is>
          <t>Chicago Fire FC</t>
        </is>
      </c>
      <c r="AR230" s="24" t="inlineStr">
        <is>
          <t>Chicago Fire FC</t>
        </is>
      </c>
      <c r="AS230" s="24" t="inlineStr">
        <is>
          <t>Orlando City SC</t>
        </is>
      </c>
      <c r="AT230" s="24" t="inlineStr">
        <is>
          <t>Orlando City SC</t>
        </is>
      </c>
      <c r="AU230" s="24" t="inlineStr">
        <is>
          <t>Orlando City SC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c95ec2023134439ab985cb4cdcc58243749b9deb564fca7a2d587c15c9875427</t>
        </is>
      </c>
      <c r="BB230" s="24" t="inlineStr">
        <is>
          <t>poisson_dixon_coles</t>
        </is>
      </c>
      <c r="BC230" s="24" t="inlineStr">
        <is>
          <t>soccer-poisson-dc-v1</t>
        </is>
      </c>
      <c r="BD230" s="24" t="inlineStr">
        <is>
          <t>c95ec2023134439ab985cb4cdcc58243749b9deb564fca7a2d587c15c9875427</t>
        </is>
      </c>
      <c r="BE230" s="24" t="inlineStr">
        <is>
          <t>soccer-poisson-dc-v1</t>
        </is>
      </c>
      <c r="BF230" s="24" t="inlineStr">
        <is>
          <t>1</t>
        </is>
      </c>
      <c r="BG230" s="24" t="inlineStr">
        <is>
          <t>c95ec2023134439ab985cb4cdcc58243749b9deb564fca7a2d587c15c9875427</t>
        </is>
      </c>
      <c r="BH230" s="24" t="inlineStr">
        <is>
          <t>2026-08-19T23:06:27.603634Z</t>
        </is>
      </c>
      <c r="BI230" s="24" t="inlineStr">
        <is>
          <t>["same_event","same_team_same_day","same_league_same_day"]</t>
        </is>
      </c>
      <c r="BJ230" s="25" t="n">
        <v>2.5</v>
      </c>
      <c r="BK230" s="26" t="n">
        <v>-233</v>
      </c>
      <c r="BL230" s="27" t="n">
        <v>1.429185</v>
      </c>
      <c r="BM230" s="28" t="n">
        <v>0.6997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0.6997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a167c6f2bd2c4fcc</t>
        </is>
      </c>
      <c r="B231" s="24" t="inlineStr">
        <is>
          <t>2026-08-19T23:07:44.167003Z</t>
        </is>
      </c>
      <c r="C231" s="24" t="inlineStr">
        <is>
          <t>2026-08-19T23:30Z</t>
        </is>
      </c>
      <c r="D231" s="24" t="inlineStr">
        <is>
          <t>761727</t>
        </is>
      </c>
      <c r="E231" s="24" t="inlineStr">
        <is>
          <t>SOCCER</t>
        </is>
      </c>
      <c r="F231" s="24" t="inlineStr">
        <is>
          <t>Inter Miami CF</t>
        </is>
      </c>
      <c r="G231" s="24" t="inlineStr">
        <is>
          <t>Philadelphia Union</t>
        </is>
      </c>
      <c r="H231" s="24" t="inlineStr">
        <is>
          <t>total</t>
        </is>
      </c>
      <c r="I231" s="24" t="inlineStr">
        <is>
          <t>over</t>
        </is>
      </c>
      <c r="J231" s="25" t="n">
        <v>2.5</v>
      </c>
      <c r="K231" s="24" t="inlineStr">
        <is>
          <t>polymarket_us</t>
        </is>
      </c>
      <c r="L231" s="26" t="n">
        <v>-300</v>
      </c>
      <c r="M231" s="27" t="n">
        <v>1.333333</v>
      </c>
      <c r="N231" s="28" t="n">
        <v>0.75</v>
      </c>
      <c r="O231" s="28" t="n">
        <v>0.875929</v>
      </c>
      <c r="P231" s="28" t="n">
        <v>0.04</v>
      </c>
      <c r="Q231" s="28" t="n">
        <v>0.125929</v>
      </c>
      <c r="R231" s="26" t="n">
        <v>89</v>
      </c>
      <c r="S231" s="29" t="n">
        <v>2</v>
      </c>
      <c r="T231" s="24" t="inlineStr">
        <is>
          <t>soccer-poisson-dc-v1</t>
        </is>
      </c>
      <c r="U231" s="24" t="inlineStr">
        <is>
          <t>settled</t>
        </is>
      </c>
      <c r="V231" s="24" t="inlineStr">
        <is>
          <t>win</t>
        </is>
      </c>
      <c r="W231" s="26" t="n">
        <v>2</v>
      </c>
      <c r="X231" s="26" t="n">
        <v>2</v>
      </c>
      <c r="Y231" s="25" t="n"/>
      <c r="Z231" s="26" t="n"/>
      <c r="AA231" s="28" t="n"/>
      <c r="AB231" s="28" t="n"/>
      <c r="AC231" s="30" t="n">
        <v>0.6667</v>
      </c>
      <c r="AD231" s="24" t="inlineStr">
        <is>
          <t>2026-08-20T02:29:41.727754Z</t>
        </is>
      </c>
      <c r="AE231" s="31" t="inlineStr">
        <is>
          <t>Poisson-DC rates 2.02 (home) / 2.99 (away) from EWMA attack/defense strengths. Executable ask 0.7500 (tsc-mls-phi-mia-2026-08-19-2pt5).</t>
        </is>
      </c>
      <c r="AF231" s="31" t="inlineStr">
        <is>
          <t>Research-only soccer score model; draw-aware, but not yet locked-holdout qualified.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Inter Miami CF</t>
        </is>
      </c>
      <c r="AQ231" s="24" t="inlineStr">
        <is>
          <t>Inter Miami CF</t>
        </is>
      </c>
      <c r="AR231" s="24" t="inlineStr">
        <is>
          <t>Inter Miami CF</t>
        </is>
      </c>
      <c r="AS231" s="24" t="inlineStr">
        <is>
          <t>Philadelphia Union</t>
        </is>
      </c>
      <c r="AT231" s="24" t="inlineStr">
        <is>
          <t>Philadelphia Union</t>
        </is>
      </c>
      <c r="AU231" s="24" t="inlineStr">
        <is>
          <t>Philadelphia Union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c95ec2023134439ab985cb4cdcc58243749b9deb564fca7a2d587c15c9875427</t>
        </is>
      </c>
      <c r="BB231" s="24" t="inlineStr">
        <is>
          <t>poisson_dixon_coles</t>
        </is>
      </c>
      <c r="BC231" s="24" t="inlineStr">
        <is>
          <t>soccer-poisson-dc-v1</t>
        </is>
      </c>
      <c r="BD231" s="24" t="inlineStr">
        <is>
          <t>c95ec2023134439ab985cb4cdcc58243749b9deb564fca7a2d587c15c9875427</t>
        </is>
      </c>
      <c r="BE231" s="24" t="inlineStr">
        <is>
          <t>soccer-poisson-dc-v1</t>
        </is>
      </c>
      <c r="BF231" s="24" t="inlineStr">
        <is>
          <t>1</t>
        </is>
      </c>
      <c r="BG231" s="24" t="inlineStr">
        <is>
          <t>c95ec2023134439ab985cb4cdcc58243749b9deb564fca7a2d587c15c9875427</t>
        </is>
      </c>
      <c r="BH231" s="24" t="inlineStr">
        <is>
          <t>2026-08-19T23:06:27.732820Z</t>
        </is>
      </c>
      <c r="BI231" s="24" t="inlineStr">
        <is>
          <t>["same_event","same_team_same_day","same_league_same_day"]</t>
        </is>
      </c>
      <c r="BJ231" s="25" t="n">
        <v>2.5</v>
      </c>
      <c r="BK231" s="26" t="n">
        <v>-300</v>
      </c>
      <c r="BL231" s="27" t="n">
        <v>1.333333</v>
      </c>
      <c r="BM231" s="28" t="n">
        <v>0.75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0.75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c48ebddb6ec6445f</t>
        </is>
      </c>
      <c r="B232" s="24" t="inlineStr">
        <is>
          <t>2026-08-19T23:07:44.167003Z</t>
        </is>
      </c>
      <c r="C232" s="24" t="inlineStr">
        <is>
          <t>2026-08-19T23:30Z</t>
        </is>
      </c>
      <c r="D232" s="24" t="inlineStr">
        <is>
          <t>761731</t>
        </is>
      </c>
      <c r="E232" s="24" t="inlineStr">
        <is>
          <t>SOCCER</t>
        </is>
      </c>
      <c r="F232" s="24" t="inlineStr">
        <is>
          <t>Charlotte FC</t>
        </is>
      </c>
      <c r="G232" s="24" t="inlineStr">
        <is>
          <t>Toronto FC</t>
        </is>
      </c>
      <c r="H232" s="24" t="inlineStr">
        <is>
          <t>total</t>
        </is>
      </c>
      <c r="I232" s="24" t="inlineStr">
        <is>
          <t>over</t>
        </is>
      </c>
      <c r="J232" s="25" t="n">
        <v>2.5</v>
      </c>
      <c r="K232" s="24" t="inlineStr">
        <is>
          <t>polymarket_us</t>
        </is>
      </c>
      <c r="L232" s="26" t="n">
        <v>-150</v>
      </c>
      <c r="M232" s="27" t="n">
        <v>1.666667</v>
      </c>
      <c r="N232" s="28" t="n">
        <v>0.6</v>
      </c>
      <c r="O232" s="28" t="n">
        <v>0.583798</v>
      </c>
      <c r="P232" s="28" t="n">
        <v>0.04</v>
      </c>
      <c r="Q232" s="28" t="n">
        <v>-0.016202</v>
      </c>
      <c r="R232" s="26" t="n">
        <v>18</v>
      </c>
      <c r="S232" s="29" t="n">
        <v>1.25</v>
      </c>
      <c r="T232" s="24" t="inlineStr">
        <is>
          <t>soccer-poisson-dc-v1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3</v>
      </c>
      <c r="Y232" s="25" t="n"/>
      <c r="Z232" s="26" t="n"/>
      <c r="AA232" s="28" t="n"/>
      <c r="AB232" s="28" t="n"/>
      <c r="AC232" s="30" t="n">
        <v>0.8333</v>
      </c>
      <c r="AD232" s="24" t="inlineStr">
        <is>
          <t>2026-08-20T02:29:42.990916Z</t>
        </is>
      </c>
      <c r="AE232" s="31" t="inlineStr">
        <is>
          <t>Poisson-DC rates 1.51 (home) / 1.53 (away) from EWMA attack/defense strengths. Executable ask 0.6000 (tsc-mls-tor-clt-2026-08-19-2pt5).</t>
        </is>
      </c>
      <c r="AF232" s="31" t="inlineStr">
        <is>
          <t>Research-only soccer score model; draw-aware, but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Charlotte FC</t>
        </is>
      </c>
      <c r="AQ232" s="24" t="inlineStr">
        <is>
          <t>Charlotte FC</t>
        </is>
      </c>
      <c r="AR232" s="24" t="inlineStr">
        <is>
          <t>Charlotte FC</t>
        </is>
      </c>
      <c r="AS232" s="24" t="inlineStr">
        <is>
          <t>Toronto FC</t>
        </is>
      </c>
      <c r="AT232" s="24" t="inlineStr">
        <is>
          <t>Toronto FC</t>
        </is>
      </c>
      <c r="AU232" s="24" t="inlineStr">
        <is>
          <t>Toronto FC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c95ec2023134439ab985cb4cdcc58243749b9deb564fca7a2d587c15c9875427</t>
        </is>
      </c>
      <c r="BB232" s="24" t="inlineStr">
        <is>
          <t>poisson_dixon_coles</t>
        </is>
      </c>
      <c r="BC232" s="24" t="inlineStr">
        <is>
          <t>soccer-poisson-dc-v1</t>
        </is>
      </c>
      <c r="BD232" s="24" t="inlineStr">
        <is>
          <t>c95ec2023134439ab985cb4cdcc58243749b9deb564fca7a2d587c15c9875427</t>
        </is>
      </c>
      <c r="BE232" s="24" t="inlineStr">
        <is>
          <t>soccer-poisson-dc-v1</t>
        </is>
      </c>
      <c r="BF232" s="24" t="inlineStr">
        <is>
          <t>1</t>
        </is>
      </c>
      <c r="BG232" s="24" t="inlineStr">
        <is>
          <t>c95ec2023134439ab985cb4cdcc58243749b9deb564fca7a2d587c15c9875427</t>
        </is>
      </c>
      <c r="BH232" s="24" t="inlineStr">
        <is>
          <t>2026-08-19T23:06:27.883127Z</t>
        </is>
      </c>
      <c r="BI232" s="24" t="inlineStr">
        <is>
          <t>["same_event","same_team_same_day","same_league_same_day"]</t>
        </is>
      </c>
      <c r="BJ232" s="25" t="n">
        <v>2.5</v>
      </c>
      <c r="BK232" s="26" t="n">
        <v>-150</v>
      </c>
      <c r="BL232" s="27" t="n">
        <v>1.666667</v>
      </c>
      <c r="BM232" s="28" t="n">
        <v>0.6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e17b2111757d4cba</t>
        </is>
      </c>
      <c r="B233" s="24" t="inlineStr">
        <is>
          <t>2026-08-19T23:07:44.167003Z</t>
        </is>
      </c>
      <c r="C233" s="24" t="inlineStr">
        <is>
          <t>2026-08-20T00:00Z</t>
        </is>
      </c>
      <c r="D233" s="24" t="inlineStr">
        <is>
          <t>761732</t>
        </is>
      </c>
      <c r="E233" s="24" t="inlineStr">
        <is>
          <t>SOCCER</t>
        </is>
      </c>
      <c r="F233" s="24" t="inlineStr">
        <is>
          <t>St. Louis CITY SC</t>
        </is>
      </c>
      <c r="G233" s="24" t="inlineStr">
        <is>
          <t>Sporting Kansas City</t>
        </is>
      </c>
      <c r="H233" s="24" t="inlineStr">
        <is>
          <t>total</t>
        </is>
      </c>
      <c r="I233" s="24" t="inlineStr">
        <is>
          <t>over</t>
        </is>
      </c>
      <c r="J233" s="25" t="n">
        <v>2.5</v>
      </c>
      <c r="K233" s="24" t="inlineStr">
        <is>
          <t>polymarket_us</t>
        </is>
      </c>
      <c r="L233" s="26" t="n">
        <v>-163</v>
      </c>
      <c r="M233" s="27" t="n">
        <v>1.613497</v>
      </c>
      <c r="N233" s="28" t="n">
        <v>0.619772</v>
      </c>
      <c r="O233" s="28" t="n">
        <v>0.703022</v>
      </c>
      <c r="P233" s="28" t="n">
        <v>0.04</v>
      </c>
      <c r="Q233" s="28" t="n">
        <v>0.08325</v>
      </c>
      <c r="R233" s="26" t="n">
        <v>68</v>
      </c>
      <c r="S233" s="29" t="n">
        <v>2</v>
      </c>
      <c r="T233" s="24" t="inlineStr">
        <is>
          <t>soccer-poisson-dc-v1</t>
        </is>
      </c>
      <c r="U233" s="24" t="inlineStr">
        <is>
          <t>settled</t>
        </is>
      </c>
      <c r="V233" s="24" t="inlineStr">
        <is>
          <t>loss</t>
        </is>
      </c>
      <c r="W233" s="26" t="n">
        <v>1</v>
      </c>
      <c r="X233" s="26" t="n">
        <v>1</v>
      </c>
      <c r="Y233" s="25" t="n"/>
      <c r="Z233" s="26" t="n"/>
      <c r="AA233" s="28" t="n"/>
      <c r="AB233" s="28" t="n"/>
      <c r="AC233" s="30" t="n">
        <v>-2</v>
      </c>
      <c r="AD233" s="24" t="inlineStr">
        <is>
          <t>2026-08-20T02:29:44.485148Z</t>
        </is>
      </c>
      <c r="AE233" s="31" t="inlineStr">
        <is>
          <t>Poisson-DC rates 1.49 (home) / 2.14 (away) from EWMA attack/defense strengths. Executable ask 0.6200 (tsc-mls-skc-stl-2026-08-19-2pt5).</t>
        </is>
      </c>
      <c r="AF233" s="31" t="inlineStr">
        <is>
          <t>Research-only soccer score model; draw-aware, but not yet locked-holdout qualified.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PAPER_CALL_LOW_EDGE</t>
        </is>
      </c>
      <c r="AP233" s="24" t="inlineStr">
        <is>
          <t>St. Louis CITY SC</t>
        </is>
      </c>
      <c r="AQ233" s="24" t="inlineStr">
        <is>
          <t>St. Louis CITY SC</t>
        </is>
      </c>
      <c r="AR233" s="24" t="inlineStr">
        <is>
          <t>St. Louis CITY SC</t>
        </is>
      </c>
      <c r="AS233" s="24" t="inlineStr">
        <is>
          <t>Sporting Kansas City</t>
        </is>
      </c>
      <c r="AT233" s="24" t="inlineStr">
        <is>
          <t>Sporting Kansas City</t>
        </is>
      </c>
      <c r="AU233" s="24" t="inlineStr">
        <is>
          <t>Sporting Kansas City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c95ec2023134439ab985cb4cdcc58243749b9deb564fca7a2d587c15c9875427</t>
        </is>
      </c>
      <c r="BB233" s="24" t="inlineStr">
        <is>
          <t>poisson_dixon_coles</t>
        </is>
      </c>
      <c r="BC233" s="24" t="inlineStr">
        <is>
          <t>soccer-poisson-dc-v1</t>
        </is>
      </c>
      <c r="BD233" s="24" t="inlineStr">
        <is>
          <t>c95ec2023134439ab985cb4cdcc58243749b9deb564fca7a2d587c15c9875427</t>
        </is>
      </c>
      <c r="BE233" s="24" t="inlineStr">
        <is>
          <t>soccer-poisson-dc-v1</t>
        </is>
      </c>
      <c r="BF233" s="24" t="inlineStr">
        <is>
          <t>1</t>
        </is>
      </c>
      <c r="BG233" s="24" t="inlineStr">
        <is>
          <t>c95ec2023134439ab985cb4cdcc58243749b9deb564fca7a2d587c15c9875427</t>
        </is>
      </c>
      <c r="BH233" s="24" t="inlineStr">
        <is>
          <t>2026-08-19T23:06:28.045776Z</t>
        </is>
      </c>
      <c r="BI233" s="24" t="inlineStr">
        <is>
          <t>["same_event","same_team_same_day","same_league_same_day"]</t>
        </is>
      </c>
      <c r="BJ233" s="25" t="n">
        <v>2.5</v>
      </c>
      <c r="BK233" s="26" t="n">
        <v>-163</v>
      </c>
      <c r="BL233" s="27" t="n">
        <v>1.613497</v>
      </c>
      <c r="BM233" s="28" t="n">
        <v>0.619772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0.619772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4f009eee7d154b58</t>
        </is>
      </c>
      <c r="B234" s="24" t="inlineStr">
        <is>
          <t>2026-08-19T23:07:44.167003Z</t>
        </is>
      </c>
      <c r="C234" s="24" t="inlineStr">
        <is>
          <t>2026-08-20T00:30Z</t>
        </is>
      </c>
      <c r="D234" s="24" t="inlineStr">
        <is>
          <t>761733</t>
        </is>
      </c>
      <c r="E234" s="24" t="inlineStr">
        <is>
          <t>SOCCER</t>
        </is>
      </c>
      <c r="F234" s="24" t="inlineStr">
        <is>
          <t>Atlanta United FC</t>
        </is>
      </c>
      <c r="G234" s="24" t="inlineStr">
        <is>
          <t>Minnesota United FC</t>
        </is>
      </c>
      <c r="H234" s="24" t="inlineStr">
        <is>
          <t>total</t>
        </is>
      </c>
      <c r="I234" s="24" t="inlineStr">
        <is>
          <t>under</t>
        </is>
      </c>
      <c r="J234" s="25" t="n">
        <v>2.5</v>
      </c>
      <c r="K234" s="24" t="inlineStr">
        <is>
          <t>polymarket_us</t>
        </is>
      </c>
      <c r="L234" s="26" t="n">
        <v>150</v>
      </c>
      <c r="M234" s="27" t="n">
        <v>2.5</v>
      </c>
      <c r="N234" s="28" t="n">
        <v>0.4</v>
      </c>
      <c r="O234" s="28" t="n">
        <v>0.513244</v>
      </c>
      <c r="P234" s="28" t="n">
        <v>0.04</v>
      </c>
      <c r="Q234" s="28" t="n">
        <v>0.113244</v>
      </c>
      <c r="R234" s="26" t="n">
        <v>83</v>
      </c>
      <c r="S234" s="29" t="n">
        <v>1</v>
      </c>
      <c r="T234" s="24" t="inlineStr">
        <is>
          <t>soccer-poisson-dc-v1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1</v>
      </c>
      <c r="Y234" s="25" t="n"/>
      <c r="Z234" s="26" t="n"/>
      <c r="AA234" s="28" t="n"/>
      <c r="AB234" s="28" t="n"/>
      <c r="AC234" s="30" t="n">
        <v>-1</v>
      </c>
      <c r="AD234" s="24" t="inlineStr">
        <is>
          <t>2026-08-20T05:33:50.666123Z</t>
        </is>
      </c>
      <c r="AE234" s="31" t="inlineStr">
        <is>
          <t>Poisson-DC rates 1.75 (home) / 0.87 (away) from EWMA attack/defense strengths. Executable ask 0.4000 (tsc-mls-min-atl-2026-08-19-2pt5).</t>
        </is>
      </c>
      <c r="AF234" s="31" t="inlineStr">
        <is>
          <t>Research-only soccer score model; draw-aware, but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3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Atlanta United FC</t>
        </is>
      </c>
      <c r="AQ234" s="24" t="inlineStr">
        <is>
          <t>Atlanta United FC</t>
        </is>
      </c>
      <c r="AR234" s="24" t="inlineStr">
        <is>
          <t>Atlanta United FC</t>
        </is>
      </c>
      <c r="AS234" s="24" t="inlineStr">
        <is>
          <t>Minnesota United FC</t>
        </is>
      </c>
      <c r="AT234" s="24" t="inlineStr">
        <is>
          <t>Minnesota United FC</t>
        </is>
      </c>
      <c r="AU234" s="24" t="inlineStr">
        <is>
          <t>Minnesota United FC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c95ec2023134439ab985cb4cdcc58243749b9deb564fca7a2d587c15c9875427</t>
        </is>
      </c>
      <c r="BB234" s="24" t="inlineStr">
        <is>
          <t>poisson_dixon_coles</t>
        </is>
      </c>
      <c r="BC234" s="24" t="inlineStr">
        <is>
          <t>soccer-poisson-dc-v1</t>
        </is>
      </c>
      <c r="BD234" s="24" t="inlineStr">
        <is>
          <t>c95ec2023134439ab985cb4cdcc58243749b9deb564fca7a2d587c15c9875427</t>
        </is>
      </c>
      <c r="BE234" s="24" t="inlineStr">
        <is>
          <t>soccer-poisson-dc-v1</t>
        </is>
      </c>
      <c r="BF234" s="24" t="inlineStr">
        <is>
          <t>1</t>
        </is>
      </c>
      <c r="BG234" s="24" t="inlineStr">
        <is>
          <t>c95ec2023134439ab985cb4cdcc58243749b9deb564fca7a2d587c15c9875427</t>
        </is>
      </c>
      <c r="BH234" s="24" t="inlineStr">
        <is>
          <t>2026-08-19T23:06:28.261961Z</t>
        </is>
      </c>
      <c r="BI234" s="24" t="inlineStr">
        <is>
          <t>["same_event","same_team_same_day","same_league_same_day"]</t>
        </is>
      </c>
      <c r="BJ234" s="25" t="n">
        <v>2.5</v>
      </c>
      <c r="BK234" s="26" t="n">
        <v>150</v>
      </c>
      <c r="BL234" s="27" t="n">
        <v>2.5</v>
      </c>
      <c r="BM234" s="28" t="n">
        <v>0.4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a647e5ab3dbc4a14</t>
        </is>
      </c>
      <c r="B235" s="24" t="inlineStr">
        <is>
          <t>2026-08-19T23:07:44.167003Z</t>
        </is>
      </c>
      <c r="C235" s="24" t="inlineStr">
        <is>
          <t>2026-08-20T01:30Z</t>
        </is>
      </c>
      <c r="D235" s="24" t="inlineStr">
        <is>
          <t>761735</t>
        </is>
      </c>
      <c r="E235" s="24" t="inlineStr">
        <is>
          <t>SOCCER</t>
        </is>
      </c>
      <c r="F235" s="24" t="inlineStr">
        <is>
          <t>FC Dallas</t>
        </is>
      </c>
      <c r="G235" s="24" t="inlineStr">
        <is>
          <t>Real Salt Lake</t>
        </is>
      </c>
      <c r="H235" s="24" t="inlineStr">
        <is>
          <t>total</t>
        </is>
      </c>
      <c r="I235" s="24" t="inlineStr">
        <is>
          <t>over</t>
        </is>
      </c>
      <c r="J235" s="25" t="n">
        <v>2.5</v>
      </c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0.679383</v>
      </c>
      <c r="P235" s="28" t="n">
        <v>0.04</v>
      </c>
      <c r="Q235" s="28" t="n">
        <v>0.039095</v>
      </c>
      <c r="R235" s="26" t="n">
        <v>46</v>
      </c>
      <c r="S235" s="29" t="n">
        <v>2</v>
      </c>
      <c r="T235" s="24" t="inlineStr">
        <is>
          <t>soccer-poisson-dc-v1</t>
        </is>
      </c>
      <c r="U235" s="24" t="inlineStr">
        <is>
          <t>settled</t>
        </is>
      </c>
      <c r="V235" s="24" t="inlineStr">
        <is>
          <t>win</t>
        </is>
      </c>
      <c r="W235" s="26" t="n">
        <v>4</v>
      </c>
      <c r="X235" s="26" t="n">
        <v>3</v>
      </c>
      <c r="Y235" s="25" t="n"/>
      <c r="Z235" s="26" t="n"/>
      <c r="AA235" s="28" t="n"/>
      <c r="AB235" s="28" t="n"/>
      <c r="AC235" s="30" t="n">
        <v>1.1236</v>
      </c>
      <c r="AD235" s="24" t="inlineStr">
        <is>
          <t>2026-08-20T05:33:52.181941Z</t>
        </is>
      </c>
      <c r="AE235" s="31" t="inlineStr">
        <is>
          <t>Poisson-DC rates 1.92 (home) / 1.58 (away) from EWMA attack/defense strengths. Executable ask 0.6400 (tsc-mls-rsl-dal-2026-08-19-2pt5).</t>
        </is>
      </c>
      <c r="AF235" s="31" t="inlineStr">
        <is>
          <t>Research-only soccer score model; draw-aware, but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FC Dallas</t>
        </is>
      </c>
      <c r="AQ235" s="24" t="inlineStr">
        <is>
          <t>FC Dallas</t>
        </is>
      </c>
      <c r="AR235" s="24" t="inlineStr">
        <is>
          <t>FC Dallas</t>
        </is>
      </c>
      <c r="AS235" s="24" t="inlineStr">
        <is>
          <t>Real Salt Lake</t>
        </is>
      </c>
      <c r="AT235" s="24" t="inlineStr">
        <is>
          <t>Real Salt Lake</t>
        </is>
      </c>
      <c r="AU235" s="24" t="inlineStr">
        <is>
          <t>Real Salt Lake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c95ec2023134439ab985cb4cdcc58243749b9deb564fca7a2d587c15c9875427</t>
        </is>
      </c>
      <c r="BB235" s="24" t="inlineStr">
        <is>
          <t>poisson_dixon_coles</t>
        </is>
      </c>
      <c r="BC235" s="24" t="inlineStr">
        <is>
          <t>soccer-poisson-dc-v1</t>
        </is>
      </c>
      <c r="BD235" s="24" t="inlineStr">
        <is>
          <t>c95ec2023134439ab985cb4cdcc58243749b9deb564fca7a2d587c15c9875427</t>
        </is>
      </c>
      <c r="BE235" s="24" t="inlineStr">
        <is>
          <t>soccer-poisson-dc-v1</t>
        </is>
      </c>
      <c r="BF235" s="24" t="inlineStr">
        <is>
          <t>1</t>
        </is>
      </c>
      <c r="BG235" s="24" t="inlineStr">
        <is>
          <t>c95ec2023134439ab985cb4cdcc58243749b9deb564fca7a2d587c15c9875427</t>
        </is>
      </c>
      <c r="BH235" s="24" t="inlineStr">
        <is>
          <t>2026-08-19T23:06:28.587717Z</t>
        </is>
      </c>
      <c r="BI235" s="24" t="inlineStr">
        <is>
          <t>["same_event","same_team_same_day","same_league_same_day"]</t>
        </is>
      </c>
      <c r="BJ235" s="25" t="n">
        <v>2.5</v>
      </c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0.640288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4a54d8ce55cc4cad</t>
        </is>
      </c>
      <c r="B236" s="24" t="inlineStr">
        <is>
          <t>2026-08-19T23:07:44.167003Z</t>
        </is>
      </c>
      <c r="C236" s="24" t="inlineStr">
        <is>
          <t>2026-08-20T01:30Z</t>
        </is>
      </c>
      <c r="D236" s="24" t="inlineStr">
        <is>
          <t>761736</t>
        </is>
      </c>
      <c r="E236" s="24" t="inlineStr">
        <is>
          <t>SOCCER</t>
        </is>
      </c>
      <c r="F236" s="24" t="inlineStr">
        <is>
          <t>Austin FC</t>
        </is>
      </c>
      <c r="G236" s="24" t="inlineStr">
        <is>
          <t>Seattle Sounders FC</t>
        </is>
      </c>
      <c r="H236" s="24" t="inlineStr">
        <is>
          <t>total</t>
        </is>
      </c>
      <c r="I236" s="24" t="inlineStr">
        <is>
          <t>over</t>
        </is>
      </c>
      <c r="J236" s="25" t="n">
        <v>2.5</v>
      </c>
      <c r="K236" s="24" t="inlineStr">
        <is>
          <t>polymarket_us</t>
        </is>
      </c>
      <c r="L236" s="26" t="n">
        <v>-133</v>
      </c>
      <c r="M236" s="27" t="n">
        <v>1.75188</v>
      </c>
      <c r="N236" s="28" t="n">
        <v>0.570815</v>
      </c>
      <c r="O236" s="28" t="n">
        <v>0.658798</v>
      </c>
      <c r="P236" s="28" t="n">
        <v>0.04</v>
      </c>
      <c r="Q236" s="28" t="n">
        <v>0.08798300000000001</v>
      </c>
      <c r="R236" s="26" t="n">
        <v>70</v>
      </c>
      <c r="S236" s="29" t="n">
        <v>1.75</v>
      </c>
      <c r="T236" s="24" t="inlineStr">
        <is>
          <t>soccer-poisson-dc-v1</t>
        </is>
      </c>
      <c r="U236" s="24" t="inlineStr">
        <is>
          <t>settled</t>
        </is>
      </c>
      <c r="V236" s="24" t="inlineStr">
        <is>
          <t>win</t>
        </is>
      </c>
      <c r="W236" s="26" t="n">
        <v>2</v>
      </c>
      <c r="X236" s="26" t="n">
        <v>1</v>
      </c>
      <c r="Y236" s="25" t="n"/>
      <c r="Z236" s="26" t="n"/>
      <c r="AA236" s="28" t="n"/>
      <c r="AB236" s="28" t="n"/>
      <c r="AC236" s="30" t="n">
        <v>1.3158</v>
      </c>
      <c r="AD236" s="24" t="inlineStr">
        <is>
          <t>2026-08-20T05:33:53.693278Z</t>
        </is>
      </c>
      <c r="AE236" s="31" t="inlineStr">
        <is>
          <t>Poisson-DC rates 2.34 (home) / 1.06 (away) from EWMA attack/defense strengths. Executable ask 0.5700 (tsc-mls-sea-aus-2026-08-19-2pt5).</t>
        </is>
      </c>
      <c r="AF236" s="31" t="inlineStr">
        <is>
          <t>Research-only soccer score model; draw-aware, but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Austin FC</t>
        </is>
      </c>
      <c r="AQ236" s="24" t="inlineStr">
        <is>
          <t>Austin FC</t>
        </is>
      </c>
      <c r="AR236" s="24" t="inlineStr">
        <is>
          <t>Austin FC</t>
        </is>
      </c>
      <c r="AS236" s="24" t="inlineStr">
        <is>
          <t>Seattle Sounders FC</t>
        </is>
      </c>
      <c r="AT236" s="24" t="inlineStr">
        <is>
          <t>Seattle Sounders FC</t>
        </is>
      </c>
      <c r="AU236" s="24" t="inlineStr">
        <is>
          <t>Seattle Sounders FC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c95ec2023134439ab985cb4cdcc58243749b9deb564fca7a2d587c15c9875427</t>
        </is>
      </c>
      <c r="BB236" s="24" t="inlineStr">
        <is>
          <t>poisson_dixon_coles</t>
        </is>
      </c>
      <c r="BC236" s="24" t="inlineStr">
        <is>
          <t>soccer-poisson-dc-v1</t>
        </is>
      </c>
      <c r="BD236" s="24" t="inlineStr">
        <is>
          <t>c95ec2023134439ab985cb4cdcc58243749b9deb564fca7a2d587c15c9875427</t>
        </is>
      </c>
      <c r="BE236" s="24" t="inlineStr">
        <is>
          <t>soccer-poisson-dc-v1</t>
        </is>
      </c>
      <c r="BF236" s="24" t="inlineStr">
        <is>
          <t>1</t>
        </is>
      </c>
      <c r="BG236" s="24" t="inlineStr">
        <is>
          <t>c95ec2023134439ab985cb4cdcc58243749b9deb564fca7a2d587c15c9875427</t>
        </is>
      </c>
      <c r="BH236" s="24" t="inlineStr">
        <is>
          <t>2026-08-19T23:06:28.747291Z</t>
        </is>
      </c>
      <c r="BI236" s="24" t="inlineStr">
        <is>
          <t>["same_event","same_team_same_day","same_league_same_day"]</t>
        </is>
      </c>
      <c r="BJ236" s="25" t="n">
        <v>2.5</v>
      </c>
      <c r="BK236" s="26" t="n">
        <v>-133</v>
      </c>
      <c r="BL236" s="27" t="n">
        <v>1.75188</v>
      </c>
      <c r="BM236" s="28" t="n">
        <v>0.570815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0.570815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def88475ceb64824</t>
        </is>
      </c>
      <c r="B237" s="24" t="inlineStr">
        <is>
          <t>2026-08-19T23:07:44.167003Z</t>
        </is>
      </c>
      <c r="C237" s="24" t="inlineStr">
        <is>
          <t>2026-08-20T02:30Z</t>
        </is>
      </c>
      <c r="D237" s="24" t="inlineStr">
        <is>
          <t>761738</t>
        </is>
      </c>
      <c r="E237" s="24" t="inlineStr">
        <is>
          <t>SOCCER</t>
        </is>
      </c>
      <c r="F237" s="24" t="inlineStr">
        <is>
          <t>San Jose Earthquakes</t>
        </is>
      </c>
      <c r="G237" s="24" t="inlineStr">
        <is>
          <t>LA Galaxy</t>
        </is>
      </c>
      <c r="H237" s="24" t="inlineStr">
        <is>
          <t>total</t>
        </is>
      </c>
      <c r="I237" s="24" t="inlineStr">
        <is>
          <t>over</t>
        </is>
      </c>
      <c r="J237" s="25" t="n">
        <v>2.5</v>
      </c>
      <c r="K237" s="24" t="inlineStr">
        <is>
          <t>polymarket_us</t>
        </is>
      </c>
      <c r="L237" s="26" t="n">
        <v>-203</v>
      </c>
      <c r="M237" s="27" t="n">
        <v>1.492611</v>
      </c>
      <c r="N237" s="28" t="n">
        <v>0.669967</v>
      </c>
      <c r="O237" s="28" t="n">
        <v>0.713758</v>
      </c>
      <c r="P237" s="28" t="n">
        <v>0.04</v>
      </c>
      <c r="Q237" s="28" t="n">
        <v>0.043791</v>
      </c>
      <c r="R237" s="26" t="n">
        <v>48</v>
      </c>
      <c r="S237" s="29" t="n">
        <v>2</v>
      </c>
      <c r="T237" s="24" t="inlineStr">
        <is>
          <t>soccer-poisson-dc-v1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-2</v>
      </c>
      <c r="AD237" s="24" t="inlineStr">
        <is>
          <t>2026-08-20T05:33:55.185898Z</t>
        </is>
      </c>
      <c r="AE237" s="31" t="inlineStr">
        <is>
          <t>Poisson-DC rates 1.74 (home) / 1.95 (away) from EWMA attack/defense strengths. Executable ask 0.6700 (tsc-mls-lag-sje-2026-08-19-2pt5).</t>
        </is>
      </c>
      <c r="AF237" s="31" t="inlineStr">
        <is>
          <t>Research-only soccer score model; draw-aware, but not yet locked-holdout qualified.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3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San Jose Earthquakes</t>
        </is>
      </c>
      <c r="AQ237" s="24" t="inlineStr">
        <is>
          <t>San Jose Earthquakes</t>
        </is>
      </c>
      <c r="AR237" s="24" t="inlineStr">
        <is>
          <t>San Jose Earthquakes</t>
        </is>
      </c>
      <c r="AS237" s="24" t="inlineStr">
        <is>
          <t>LA Galaxy</t>
        </is>
      </c>
      <c r="AT237" s="24" t="inlineStr">
        <is>
          <t>LA Galaxy</t>
        </is>
      </c>
      <c r="AU237" s="24" t="inlineStr">
        <is>
          <t>LA Galaxy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c95ec2023134439ab985cb4cdcc58243749b9deb564fca7a2d587c15c9875427</t>
        </is>
      </c>
      <c r="BB237" s="24" t="inlineStr">
        <is>
          <t>poisson_dixon_coles</t>
        </is>
      </c>
      <c r="BC237" s="24" t="inlineStr">
        <is>
          <t>soccer-poisson-dc-v1</t>
        </is>
      </c>
      <c r="BD237" s="24" t="inlineStr">
        <is>
          <t>c95ec2023134439ab985cb4cdcc58243749b9deb564fca7a2d587c15c9875427</t>
        </is>
      </c>
      <c r="BE237" s="24" t="inlineStr">
        <is>
          <t>soccer-poisson-dc-v1</t>
        </is>
      </c>
      <c r="BF237" s="24" t="inlineStr">
        <is>
          <t>1</t>
        </is>
      </c>
      <c r="BG237" s="24" t="inlineStr">
        <is>
          <t>c95ec2023134439ab985cb4cdcc58243749b9deb564fca7a2d587c15c9875427</t>
        </is>
      </c>
      <c r="BH237" s="24" t="inlineStr">
        <is>
          <t>2026-08-19T23:06:28.906957Z</t>
        </is>
      </c>
      <c r="BI237" s="24" t="inlineStr">
        <is>
          <t>["same_event","same_team_same_day","same_league_same_day"]</t>
        </is>
      </c>
      <c r="BJ237" s="25" t="n">
        <v>2.5</v>
      </c>
      <c r="BK237" s="26" t="n">
        <v>-203</v>
      </c>
      <c r="BL237" s="27" t="n">
        <v>1.492611</v>
      </c>
      <c r="BM237" s="28" t="n">
        <v>0.669967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0.669967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f489f4514a7e459e</t>
        </is>
      </c>
      <c r="B238" s="24" t="inlineStr">
        <is>
          <t>2026-08-19T23:07:44.167003Z</t>
        </is>
      </c>
      <c r="C238" s="24" t="inlineStr">
        <is>
          <t>2026-08-20T02:30Z</t>
        </is>
      </c>
      <c r="D238" s="24" t="inlineStr">
        <is>
          <t>761737</t>
        </is>
      </c>
      <c r="E238" s="24" t="inlineStr">
        <is>
          <t>SOCCER</t>
        </is>
      </c>
      <c r="F238" s="24" t="inlineStr">
        <is>
          <t>San Diego FC</t>
        </is>
      </c>
      <c r="G238" s="24" t="inlineStr">
        <is>
          <t>Portland Timbers</t>
        </is>
      </c>
      <c r="H238" s="24" t="inlineStr">
        <is>
          <t>total</t>
        </is>
      </c>
      <c r="I238" s="24" t="inlineStr">
        <is>
          <t>over</t>
        </is>
      </c>
      <c r="J238" s="25" t="n">
        <v>2.5</v>
      </c>
      <c r="K238" s="24" t="inlineStr">
        <is>
          <t>polymarket_us</t>
        </is>
      </c>
      <c r="L238" s="26" t="n">
        <v>-223</v>
      </c>
      <c r="M238" s="27" t="n">
        <v>1.44843</v>
      </c>
      <c r="N238" s="28" t="n">
        <v>0.690402</v>
      </c>
      <c r="O238" s="28" t="n">
        <v>0.795329</v>
      </c>
      <c r="P238" s="28" t="n">
        <v>0.04</v>
      </c>
      <c r="Q238" s="28" t="n">
        <v>0.104927</v>
      </c>
      <c r="R238" s="26" t="n">
        <v>78</v>
      </c>
      <c r="S238" s="29" t="n">
        <v>2</v>
      </c>
      <c r="T238" s="24" t="inlineStr">
        <is>
          <t>soccer-poisson-dc-v1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3</v>
      </c>
      <c r="Y238" s="25" t="n"/>
      <c r="Z238" s="26" t="n"/>
      <c r="AA238" s="28" t="n"/>
      <c r="AB238" s="28" t="n"/>
      <c r="AC238" s="30" t="n">
        <v>0.8969</v>
      </c>
      <c r="AD238" s="24" t="inlineStr">
        <is>
          <t>2026-08-20T05:33:56.694375Z</t>
        </is>
      </c>
      <c r="AE238" s="31" t="inlineStr">
        <is>
          <t>Poisson-DC rates 2.18 (home) / 2.06 (away) from EWMA attack/defense strengths. Executable ask 0.6900 (tsc-mls-por-sdg-2026-08-19-2pt5).</t>
        </is>
      </c>
      <c r="AF238" s="31" t="inlineStr">
        <is>
          <t>Research-only soccer score model; draw-aware, but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San Diego FC</t>
        </is>
      </c>
      <c r="AQ238" s="24" t="inlineStr">
        <is>
          <t>San Diego FC</t>
        </is>
      </c>
      <c r="AR238" s="24" t="inlineStr">
        <is>
          <t>San Diego FC</t>
        </is>
      </c>
      <c r="AS238" s="24" t="inlineStr">
        <is>
          <t>Portland Timbers</t>
        </is>
      </c>
      <c r="AT238" s="24" t="inlineStr">
        <is>
          <t>Portland Timbers</t>
        </is>
      </c>
      <c r="AU238" s="24" t="inlineStr">
        <is>
          <t>Portland Timbers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c95ec2023134439ab985cb4cdcc58243749b9deb564fca7a2d587c15c9875427</t>
        </is>
      </c>
      <c r="BB238" s="24" t="inlineStr">
        <is>
          <t>poisson_dixon_coles</t>
        </is>
      </c>
      <c r="BC238" s="24" t="inlineStr">
        <is>
          <t>soccer-poisson-dc-v1</t>
        </is>
      </c>
      <c r="BD238" s="24" t="inlineStr">
        <is>
          <t>c95ec2023134439ab985cb4cdcc58243749b9deb564fca7a2d587c15c9875427</t>
        </is>
      </c>
      <c r="BE238" s="24" t="inlineStr">
        <is>
          <t>soccer-poisson-dc-v1</t>
        </is>
      </c>
      <c r="BF238" s="24" t="inlineStr">
        <is>
          <t>1</t>
        </is>
      </c>
      <c r="BG238" s="24" t="inlineStr">
        <is>
          <t>c95ec2023134439ab985cb4cdcc58243749b9deb564fca7a2d587c15c9875427</t>
        </is>
      </c>
      <c r="BH238" s="24" t="inlineStr">
        <is>
          <t>2026-08-19T23:06:29.087433Z</t>
        </is>
      </c>
      <c r="BI238" s="24" t="inlineStr">
        <is>
          <t>["same_event","same_team_same_day","same_league_same_day"]</t>
        </is>
      </c>
      <c r="BJ238" s="25" t="n">
        <v>2.5</v>
      </c>
      <c r="BK238" s="26" t="n">
        <v>-223</v>
      </c>
      <c r="BL238" s="27" t="n">
        <v>1.44843</v>
      </c>
      <c r="BM238" s="28" t="n">
        <v>0.690402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0.690402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f4c0c127a1354819</t>
        </is>
      </c>
      <c r="B239" s="24" t="inlineStr">
        <is>
          <t>2026-08-19T23:07:44.167003Z</t>
        </is>
      </c>
      <c r="C239" s="24" t="inlineStr">
        <is>
          <t>2026-08-20T02:30Z</t>
        </is>
      </c>
      <c r="D239" s="24" t="inlineStr">
        <is>
          <t>761739</t>
        </is>
      </c>
      <c r="E239" s="24" t="inlineStr">
        <is>
          <t>SOCCER</t>
        </is>
      </c>
      <c r="F239" s="24" t="inlineStr">
        <is>
          <t>Houston Dynamo FC</t>
        </is>
      </c>
      <c r="G239" s="24" t="inlineStr">
        <is>
          <t>Vancouver Whitecaps</t>
        </is>
      </c>
      <c r="H239" s="24" t="inlineStr">
        <is>
          <t>total</t>
        </is>
      </c>
      <c r="I239" s="24" t="inlineStr">
        <is>
          <t>over</t>
        </is>
      </c>
      <c r="J239" s="25" t="n">
        <v>2.5</v>
      </c>
      <c r="K239" s="24" t="inlineStr">
        <is>
          <t>polymarket_us</t>
        </is>
      </c>
      <c r="L239" s="26" t="n">
        <v>-133</v>
      </c>
      <c r="M239" s="27" t="n">
        <v>1.75188</v>
      </c>
      <c r="N239" s="28" t="n">
        <v>0.570815</v>
      </c>
      <c r="O239" s="28" t="n">
        <v>0.694921</v>
      </c>
      <c r="P239" s="28" t="n">
        <v>0.04</v>
      </c>
      <c r="Q239" s="28" t="n">
        <v>0.124106</v>
      </c>
      <c r="R239" s="26" t="n">
        <v>88</v>
      </c>
      <c r="S239" s="29" t="n">
        <v>2</v>
      </c>
      <c r="T239" s="24" t="inlineStr">
        <is>
          <t>soccer-poisson-dc-v1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/>
      <c r="AA239" s="28" t="n"/>
      <c r="AB239" s="28" t="n"/>
      <c r="AC239" s="30" t="n">
        <v>-2</v>
      </c>
      <c r="AD239" s="24" t="inlineStr">
        <is>
          <t>2026-08-20T05:33:58.022885Z</t>
        </is>
      </c>
      <c r="AE239" s="31" t="inlineStr">
        <is>
          <t>Poisson-DC rates 2.69 (home) / 0.89 (away) from EWMA attack/defense strengths. Executable ask 0.5700 (tsc-mls-vwh-hou-2026-08-19-2pt5).</t>
        </is>
      </c>
      <c r="AF239" s="31" t="inlineStr">
        <is>
          <t>Research-only soccer score model; draw-aware, but not yet locked-holdout qualified.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Houston Dynamo FC</t>
        </is>
      </c>
      <c r="AQ239" s="24" t="inlineStr">
        <is>
          <t>Houston Dynamo FC</t>
        </is>
      </c>
      <c r="AR239" s="24" t="inlineStr">
        <is>
          <t>Houston Dynamo FC</t>
        </is>
      </c>
      <c r="AS239" s="24" t="inlineStr">
        <is>
          <t>Vancouver Whitecaps</t>
        </is>
      </c>
      <c r="AT239" s="24" t="inlineStr">
        <is>
          <t>Vancouver Whitecaps</t>
        </is>
      </c>
      <c r="AU239" s="24" t="inlineStr">
        <is>
          <t>Vancouver Whitecaps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c95ec2023134439ab985cb4cdcc58243749b9deb564fca7a2d587c15c9875427</t>
        </is>
      </c>
      <c r="BB239" s="24" t="inlineStr">
        <is>
          <t>poisson_dixon_coles</t>
        </is>
      </c>
      <c r="BC239" s="24" t="inlineStr">
        <is>
          <t>soccer-poisson-dc-v1</t>
        </is>
      </c>
      <c r="BD239" s="24" t="inlineStr">
        <is>
          <t>c95ec2023134439ab985cb4cdcc58243749b9deb564fca7a2d587c15c9875427</t>
        </is>
      </c>
      <c r="BE239" s="24" t="inlineStr">
        <is>
          <t>soccer-poisson-dc-v1</t>
        </is>
      </c>
      <c r="BF239" s="24" t="inlineStr">
        <is>
          <t>1</t>
        </is>
      </c>
      <c r="BG239" s="24" t="inlineStr">
        <is>
          <t>c95ec2023134439ab985cb4cdcc58243749b9deb564fca7a2d587c15c9875427</t>
        </is>
      </c>
      <c r="BH239" s="24" t="inlineStr">
        <is>
          <t>2026-08-19T23:06:29.224568Z</t>
        </is>
      </c>
      <c r="BI239" s="24" t="inlineStr">
        <is>
          <t>["same_event","same_team_same_day","same_league_same_day"]</t>
        </is>
      </c>
      <c r="BJ239" s="25" t="n">
        <v>2.5</v>
      </c>
      <c r="BK239" s="26" t="n">
        <v>-133</v>
      </c>
      <c r="BL239" s="27" t="n">
        <v>1.75188</v>
      </c>
      <c r="BM239" s="28" t="n">
        <v>0.570815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0.570815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5a5c3ba2caa04f72</t>
        </is>
      </c>
      <c r="B240" s="24" t="inlineStr">
        <is>
          <t>2026-08-19T23:07:44.167003Z</t>
        </is>
      </c>
      <c r="C240" s="24" t="inlineStr">
        <is>
          <t>2026-08-20T00:30Z</t>
        </is>
      </c>
      <c r="D240" s="24" t="inlineStr">
        <is>
          <t>401902571</t>
        </is>
      </c>
      <c r="E240" s="24" t="inlineStr">
        <is>
          <t>SOCCER</t>
        </is>
      </c>
      <c r="F240" s="24" t="inlineStr">
        <is>
          <t>Tigre</t>
        </is>
      </c>
      <c r="G240" s="24" t="inlineStr">
        <is>
          <t>Montevideo City Torque</t>
        </is>
      </c>
      <c r="H240" s="24" t="inlineStr">
        <is>
          <t>total</t>
        </is>
      </c>
      <c r="I240" s="24" t="inlineStr">
        <is>
          <t>over</t>
        </is>
      </c>
      <c r="J240" s="25" t="n">
        <v>2.5</v>
      </c>
      <c r="K240" s="24" t="inlineStr">
        <is>
          <t>polymarket_us</t>
        </is>
      </c>
      <c r="L240" s="26" t="n">
        <v>203</v>
      </c>
      <c r="M240" s="27" t="n">
        <v>3.03</v>
      </c>
      <c r="N240" s="28" t="n">
        <v>0.330033</v>
      </c>
      <c r="O240" s="28" t="n">
        <v>0.550338</v>
      </c>
      <c r="P240" s="28" t="n">
        <v>0.2</v>
      </c>
      <c r="Q240" s="28" t="n">
        <v>0.220305</v>
      </c>
      <c r="R240" s="26" t="n">
        <v>40</v>
      </c>
      <c r="S240" s="29" t="n">
        <v>1</v>
      </c>
      <c r="T240" s="24" t="inlineStr">
        <is>
          <t>soccer-poisson-dc-v1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/>
      <c r="Z240" s="26" t="n"/>
      <c r="AA240" s="28" t="n"/>
      <c r="AB240" s="28" t="n"/>
      <c r="AC240" s="30" t="n">
        <v>2.03</v>
      </c>
      <c r="AD240" s="24" t="inlineStr">
        <is>
          <t>2026-08-20T05:34:00.211128Z</t>
        </is>
      </c>
      <c r="AE240" s="31" t="inlineStr">
        <is>
          <t>Poisson-DC rates 1.64 (home) / 1.24 (away) from EWMA attack/defense strengths. Executable ask 0.3300 (tsc-sud-tor-tig-2026-08-19-2pt5).</t>
        </is>
      </c>
      <c r="AF240" s="31" t="inlineStr">
        <is>
          <t>Research-only soccer score model; draw-aware, but not yet locked-holdout qualified.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3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PAPER_CALL_MODEL_UNVALIDATED</t>
        </is>
      </c>
      <c r="AP240" s="24" t="inlineStr">
        <is>
          <t>Tigre</t>
        </is>
      </c>
      <c r="AQ240" s="24" t="inlineStr">
        <is>
          <t>Tigre</t>
        </is>
      </c>
      <c r="AR240" s="24" t="inlineStr">
        <is>
          <t>Tigre</t>
        </is>
      </c>
      <c r="AS240" s="24" t="inlineStr">
        <is>
          <t>Montevideo City Torque</t>
        </is>
      </c>
      <c r="AT240" s="24" t="inlineStr">
        <is>
          <t>Montevideo City Torque</t>
        </is>
      </c>
      <c r="AU240" s="24" t="inlineStr">
        <is>
          <t>Montevideo City Torque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c95ec2023134439ab985cb4cdcc58243749b9deb564fca7a2d587c15c9875427</t>
        </is>
      </c>
      <c r="BB240" s="24" t="inlineStr">
        <is>
          <t>poisson_dixon_coles</t>
        </is>
      </c>
      <c r="BC240" s="24" t="inlineStr">
        <is>
          <t>soccer-poisson-dc-v1</t>
        </is>
      </c>
      <c r="BD240" s="24" t="inlineStr">
        <is>
          <t>c95ec2023134439ab985cb4cdcc58243749b9deb564fca7a2d587c15c9875427</t>
        </is>
      </c>
      <c r="BE240" s="24" t="inlineStr">
        <is>
          <t>soccer-poisson-dc-v1</t>
        </is>
      </c>
      <c r="BF240" s="24" t="inlineStr">
        <is>
          <t>1</t>
        </is>
      </c>
      <c r="BG240" s="24" t="inlineStr">
        <is>
          <t>c95ec2023134439ab985cb4cdcc58243749b9deb564fca7a2d587c15c9875427</t>
        </is>
      </c>
      <c r="BH240" s="24" t="inlineStr">
        <is>
          <t>2026-08-19T23:06:29.515264Z</t>
        </is>
      </c>
      <c r="BI240" s="24" t="inlineStr">
        <is>
          <t>["same_event","same_team_same_day","same_league_same_day"]</t>
        </is>
      </c>
      <c r="BJ240" s="25" t="n">
        <v>2.5</v>
      </c>
      <c r="BK240" s="26" t="n">
        <v>203</v>
      </c>
      <c r="BL240" s="27" t="n">
        <v>3.03</v>
      </c>
      <c r="BM240" s="28" t="n">
        <v>0.330033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0.330033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65e6a125c5e64a0f</t>
        </is>
      </c>
      <c r="B241" s="24" t="inlineStr">
        <is>
          <t>2026-08-19T23:07:44.167003Z</t>
        </is>
      </c>
      <c r="C241" s="24" t="inlineStr">
        <is>
          <t>2026-08-19T23:30Z</t>
        </is>
      </c>
      <c r="D241" s="24" t="inlineStr">
        <is>
          <t>761725</t>
        </is>
      </c>
      <c r="E241" s="24" t="inlineStr">
        <is>
          <t>SOCCER</t>
        </is>
      </c>
      <c r="F241" s="24" t="inlineStr">
        <is>
          <t>New England Revolution</t>
        </is>
      </c>
      <c r="G241" s="24" t="inlineStr">
        <is>
          <t>D.C. United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170</v>
      </c>
      <c r="M241" s="27" t="n">
        <v>2.7</v>
      </c>
      <c r="N241" s="28" t="n">
        <v>0.37037</v>
      </c>
      <c r="O241" s="28" t="n">
        <v>0.371559</v>
      </c>
      <c r="P241" s="28" t="n">
        <v>0.04</v>
      </c>
      <c r="Q241" s="28" t="n">
        <v>0.001189</v>
      </c>
      <c r="R241" s="26" t="n">
        <v>27</v>
      </c>
      <c r="S241" s="29" t="n">
        <v>1.5</v>
      </c>
      <c r="T241" s="24" t="inlineStr">
        <is>
          <t>soccer-poisson-dc-v1</t>
        </is>
      </c>
      <c r="U241" s="24" t="inlineStr">
        <is>
          <t>settled</t>
        </is>
      </c>
      <c r="V241" s="24" t="inlineStr">
        <is>
          <t>win</t>
        </is>
      </c>
      <c r="W241" s="26" t="n">
        <v>3</v>
      </c>
      <c r="X241" s="26" t="n">
        <v>0</v>
      </c>
      <c r="Y241" s="25" t="n"/>
      <c r="Z241" s="26" t="n"/>
      <c r="AA241" s="28" t="n"/>
      <c r="AB241" s="28" t="n"/>
      <c r="AC241" s="30" t="n">
        <v>2.55</v>
      </c>
      <c r="AD241" s="24" t="inlineStr">
        <is>
          <t>2026-08-20T02:29:46.907446Z</t>
        </is>
      </c>
      <c r="AE241" s="31" t="inlineStr">
        <is>
          <t>Poisson-DC rates 1.58 (home) / 1.58 (away) from EWMA attack/defense strengths. Executable ask 0.3700 (atc-mls-dcu-ner-2026-08-19-ner).</t>
        </is>
      </c>
      <c r="AF241" s="31" t="inlineStr">
        <is>
          <t>Research-only soccer score model; draw-aware, but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New England Revolution</t>
        </is>
      </c>
      <c r="AQ241" s="24" t="inlineStr">
        <is>
          <t>New England Revolution</t>
        </is>
      </c>
      <c r="AR241" s="24" t="inlineStr">
        <is>
          <t>New England Revolution</t>
        </is>
      </c>
      <c r="AS241" s="24" t="inlineStr">
        <is>
          <t>D.C. United</t>
        </is>
      </c>
      <c r="AT241" s="24" t="inlineStr">
        <is>
          <t>D.C. United</t>
        </is>
      </c>
      <c r="AU241" s="24" t="inlineStr">
        <is>
          <t>D.C. United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c95ec2023134439ab985cb4cdcc58243749b9deb564fca7a2d587c15c9875427</t>
        </is>
      </c>
      <c r="BB241" s="24" t="inlineStr">
        <is>
          <t>poisson_dixon_coles</t>
        </is>
      </c>
      <c r="BC241" s="24" t="inlineStr">
        <is>
          <t>soccer-poisson-dc-v1</t>
        </is>
      </c>
      <c r="BD241" s="24" t="inlineStr">
        <is>
          <t>c95ec2023134439ab985cb4cdcc58243749b9deb564fca7a2d587c15c9875427</t>
        </is>
      </c>
      <c r="BE241" s="24" t="inlineStr">
        <is>
          <t>soccer-poisson-dc-v1</t>
        </is>
      </c>
      <c r="BF241" s="24" t="inlineStr">
        <is>
          <t>1</t>
        </is>
      </c>
      <c r="BG241" s="24" t="inlineStr">
        <is>
          <t>c95ec2023134439ab985cb4cdcc58243749b9deb564fca7a2d587c15c9875427</t>
        </is>
      </c>
      <c r="BH241" s="24" t="inlineStr">
        <is>
          <t>2026-08-19T23:06:26.723471Z</t>
        </is>
      </c>
      <c r="BI241" s="24" t="inlineStr">
        <is>
          <t>["same_event","same_team_same_day","same_league_same_day"]</t>
        </is>
      </c>
      <c r="BJ241" s="25" t="n"/>
      <c r="BK241" s="26" t="n">
        <v>170</v>
      </c>
      <c r="BL241" s="27" t="n">
        <v>2.7</v>
      </c>
      <c r="BM241" s="28" t="n">
        <v>0.37037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0.37037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b35759458d054378</t>
        </is>
      </c>
      <c r="B242" s="24" t="inlineStr">
        <is>
          <t>2026-08-19T23:07:44.167003Z</t>
        </is>
      </c>
      <c r="C242" s="24" t="inlineStr">
        <is>
          <t>2026-08-19T23:30Z</t>
        </is>
      </c>
      <c r="D242" s="24" t="inlineStr">
        <is>
          <t>761730</t>
        </is>
      </c>
      <c r="E242" s="24" t="inlineStr">
        <is>
          <t>SOCCER</t>
        </is>
      </c>
      <c r="F242" s="24" t="inlineStr">
        <is>
          <t>New York City FC</t>
        </is>
      </c>
      <c r="G242" s="24" t="inlineStr">
        <is>
          <t>FC Cincinnati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104</v>
      </c>
      <c r="M242" s="27" t="n">
        <v>2.04</v>
      </c>
      <c r="N242" s="28" t="n">
        <v>0.490196</v>
      </c>
      <c r="O242" s="28" t="n">
        <v>0.498051</v>
      </c>
      <c r="P242" s="28" t="n">
        <v>0.04</v>
      </c>
      <c r="Q242" s="28" t="n">
        <v>0.007854999999999999</v>
      </c>
      <c r="R242" s="26" t="n">
        <v>30</v>
      </c>
      <c r="S242" s="29" t="n">
        <v>1</v>
      </c>
      <c r="T242" s="24" t="inlineStr">
        <is>
          <t>soccer-poisson-dc-v1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2</v>
      </c>
      <c r="Y242" s="25" t="n"/>
      <c r="Z242" s="26" t="n"/>
      <c r="AA242" s="28" t="n"/>
      <c r="AB242" s="28" t="n"/>
      <c r="AC242" s="30" t="n">
        <v>1.04</v>
      </c>
      <c r="AD242" s="24" t="inlineStr">
        <is>
          <t>2026-08-20T02:29:48.372019Z</t>
        </is>
      </c>
      <c r="AE242" s="31" t="inlineStr">
        <is>
          <t>Poisson-DC rates 2.45 (home) / 1.90 (away) from EWMA attack/defense strengths. Executable ask 0.4900 (atc-mls-fcc-nyc-2026-08-19-fcc).</t>
        </is>
      </c>
      <c r="AF242" s="31" t="inlineStr">
        <is>
          <t>Research-only soccer score model; draw-aware, but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New York City FC</t>
        </is>
      </c>
      <c r="AQ242" s="24" t="inlineStr">
        <is>
          <t>New York City FC</t>
        </is>
      </c>
      <c r="AR242" s="24" t="inlineStr">
        <is>
          <t>New York City FC</t>
        </is>
      </c>
      <c r="AS242" s="24" t="inlineStr">
        <is>
          <t>FC Cincinnati</t>
        </is>
      </c>
      <c r="AT242" s="24" t="inlineStr">
        <is>
          <t>FC Cincinnati</t>
        </is>
      </c>
      <c r="AU242" s="24" t="inlineStr">
        <is>
          <t>FC Cincinnati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c95ec2023134439ab985cb4cdcc58243749b9deb564fca7a2d587c15c9875427</t>
        </is>
      </c>
      <c r="BB242" s="24" t="inlineStr">
        <is>
          <t>poisson_dixon_coles</t>
        </is>
      </c>
      <c r="BC242" s="24" t="inlineStr">
        <is>
          <t>soccer-poisson-dc-v1</t>
        </is>
      </c>
      <c r="BD242" s="24" t="inlineStr">
        <is>
          <t>c95ec2023134439ab985cb4cdcc58243749b9deb564fca7a2d587c15c9875427</t>
        </is>
      </c>
      <c r="BE242" s="24" t="inlineStr">
        <is>
          <t>soccer-poisson-dc-v1</t>
        </is>
      </c>
      <c r="BF242" s="24" t="inlineStr">
        <is>
          <t>1</t>
        </is>
      </c>
      <c r="BG242" s="24" t="inlineStr">
        <is>
          <t>c95ec2023134439ab985cb4cdcc58243749b9deb564fca7a2d587c15c9875427</t>
        </is>
      </c>
      <c r="BH242" s="24" t="inlineStr">
        <is>
          <t>2026-08-19T23:06:26.986500Z</t>
        </is>
      </c>
      <c r="BI242" s="24" t="inlineStr">
        <is>
          <t>["same_event","same_team_same_day","same_league_same_day"]</t>
        </is>
      </c>
      <c r="BJ242" s="25" t="n"/>
      <c r="BK242" s="26" t="n">
        <v>104</v>
      </c>
      <c r="BL242" s="27" t="n">
        <v>2.04</v>
      </c>
      <c r="BM242" s="28" t="n">
        <v>0.490196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0.490196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7e035ba581ea48d8</t>
        </is>
      </c>
      <c r="B243" s="24" t="inlineStr">
        <is>
          <t>2026-08-19T23:07:44.167003Z</t>
        </is>
      </c>
      <c r="C243" s="24" t="inlineStr">
        <is>
          <t>2026-08-19T23:30Z</t>
        </is>
      </c>
      <c r="D243" s="24" t="inlineStr">
        <is>
          <t>761729</t>
        </is>
      </c>
      <c r="E243" s="24" t="inlineStr">
        <is>
          <t>SOCCER</t>
        </is>
      </c>
      <c r="F243" s="24" t="inlineStr">
        <is>
          <t>Chicago Fire FC</t>
        </is>
      </c>
      <c r="G243" s="24" t="inlineStr">
        <is>
          <t>Orlando City SC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144</v>
      </c>
      <c r="M243" s="27" t="n">
        <v>2.44</v>
      </c>
      <c r="N243" s="28" t="n">
        <v>0.409836</v>
      </c>
      <c r="O243" s="28" t="n">
        <v>0.571975</v>
      </c>
      <c r="P243" s="28" t="n">
        <v>0.04</v>
      </c>
      <c r="Q243" s="28" t="n">
        <v>0.162139</v>
      </c>
      <c r="R243" s="26" t="n">
        <v>100</v>
      </c>
      <c r="S243" s="29" t="n">
        <v>1.25</v>
      </c>
      <c r="T243" s="24" t="inlineStr">
        <is>
          <t>soccer-poisson-dc-v1</t>
        </is>
      </c>
      <c r="U243" s="24" t="inlineStr">
        <is>
          <t>settled</t>
        </is>
      </c>
      <c r="V243" s="24" t="inlineStr">
        <is>
          <t>win</t>
        </is>
      </c>
      <c r="W243" s="26" t="n">
        <v>2</v>
      </c>
      <c r="X243" s="26" t="n">
        <v>1</v>
      </c>
      <c r="Y243" s="25" t="n"/>
      <c r="Z243" s="26" t="n"/>
      <c r="AA243" s="28" t="n"/>
      <c r="AB243" s="28" t="n"/>
      <c r="AC243" s="30" t="n">
        <v>1.8</v>
      </c>
      <c r="AD243" s="24" t="inlineStr">
        <is>
          <t>2026-08-20T05:34:01.808769Z</t>
        </is>
      </c>
      <c r="AE243" s="31" t="inlineStr">
        <is>
          <t>Poisson-DC rates 1.92 (home) / 2.86 (away) from EWMA attack/defense strengths. Executable ask 0.4100 (atc-mls-orl-chi-2026-08-19-chi).</t>
        </is>
      </c>
      <c r="AF243" s="31" t="inlineStr">
        <is>
          <t>Research-only soccer score model; draw-aware, but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Chicago Fire FC</t>
        </is>
      </c>
      <c r="AQ243" s="24" t="inlineStr">
        <is>
          <t>Chicago Fire FC</t>
        </is>
      </c>
      <c r="AR243" s="24" t="inlineStr">
        <is>
          <t>Chicago Fire FC</t>
        </is>
      </c>
      <c r="AS243" s="24" t="inlineStr">
        <is>
          <t>Orlando City SC</t>
        </is>
      </c>
      <c r="AT243" s="24" t="inlineStr">
        <is>
          <t>Orlando City SC</t>
        </is>
      </c>
      <c r="AU243" s="24" t="inlineStr">
        <is>
          <t>Orlando City SC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c95ec2023134439ab985cb4cdcc58243749b9deb564fca7a2d587c15c9875427</t>
        </is>
      </c>
      <c r="BB243" s="24" t="inlineStr">
        <is>
          <t>poisson_dixon_coles</t>
        </is>
      </c>
      <c r="BC243" s="24" t="inlineStr">
        <is>
          <t>soccer-poisson-dc-v1</t>
        </is>
      </c>
      <c r="BD243" s="24" t="inlineStr">
        <is>
          <t>c95ec2023134439ab985cb4cdcc58243749b9deb564fca7a2d587c15c9875427</t>
        </is>
      </c>
      <c r="BE243" s="24" t="inlineStr">
        <is>
          <t>soccer-poisson-dc-v1</t>
        </is>
      </c>
      <c r="BF243" s="24" t="inlineStr">
        <is>
          <t>1</t>
        </is>
      </c>
      <c r="BG243" s="24" t="inlineStr">
        <is>
          <t>c95ec2023134439ab985cb4cdcc58243749b9deb564fca7a2d587c15c9875427</t>
        </is>
      </c>
      <c r="BH243" s="24" t="inlineStr">
        <is>
          <t>2026-08-19T23:06:27.540651Z</t>
        </is>
      </c>
      <c r="BI243" s="24" t="inlineStr">
        <is>
          <t>["same_event","same_team_same_day","same_league_same_day"]</t>
        </is>
      </c>
      <c r="BJ243" s="25" t="n"/>
      <c r="BK243" s="26" t="n">
        <v>144</v>
      </c>
      <c r="BL243" s="27" t="n">
        <v>2.44</v>
      </c>
      <c r="BM243" s="28" t="n">
        <v>0.409836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0.409836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220618086cfa4854</t>
        </is>
      </c>
      <c r="B244" s="24" t="inlineStr">
        <is>
          <t>2026-08-19T23:07:44.167003Z</t>
        </is>
      </c>
      <c r="C244" s="24" t="inlineStr">
        <is>
          <t>2026-08-19T23:30Z</t>
        </is>
      </c>
      <c r="D244" s="24" t="inlineStr">
        <is>
          <t>761727</t>
        </is>
      </c>
      <c r="E244" s="24" t="inlineStr">
        <is>
          <t>SOCCER</t>
        </is>
      </c>
      <c r="F244" s="24" t="inlineStr">
        <is>
          <t>Inter Miami CF</t>
        </is>
      </c>
      <c r="G244" s="24" t="inlineStr">
        <is>
          <t>Philadelphia Union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163</v>
      </c>
      <c r="M244" s="27" t="n">
        <v>2.63</v>
      </c>
      <c r="N244" s="28" t="n">
        <v>0.380228</v>
      </c>
      <c r="O244" s="28" t="n">
        <v>0.574628</v>
      </c>
      <c r="P244" s="28" t="n">
        <v>0.04</v>
      </c>
      <c r="Q244" s="28" t="n">
        <v>0.1944</v>
      </c>
      <c r="R244" s="26" t="n">
        <v>100</v>
      </c>
      <c r="S244" s="29" t="n">
        <v>1.25</v>
      </c>
      <c r="T244" s="24" t="inlineStr">
        <is>
          <t>soccer-poisson-dc-v1</t>
        </is>
      </c>
      <c r="U244" s="24" t="inlineStr">
        <is>
          <t>settled</t>
        </is>
      </c>
      <c r="V244" s="24" t="inlineStr">
        <is>
          <t>loss</t>
        </is>
      </c>
      <c r="W244" s="26" t="n">
        <v>2</v>
      </c>
      <c r="X244" s="26" t="n">
        <v>2</v>
      </c>
      <c r="Y244" s="25" t="n"/>
      <c r="Z244" s="26" t="n"/>
      <c r="AA244" s="28" t="n"/>
      <c r="AB244" s="28" t="n"/>
      <c r="AC244" s="30" t="n">
        <v>-1.25</v>
      </c>
      <c r="AD244" s="24" t="inlineStr">
        <is>
          <t>2026-08-20T02:29:49.880014Z</t>
        </is>
      </c>
      <c r="AE244" s="31" t="inlineStr">
        <is>
          <t>Poisson-DC rates 2.02 (home) / 2.99 (away) from EWMA attack/defense strengths. Executable ask 0.3800 (atc-mls-phi-mia-2026-08-19-mia).</t>
        </is>
      </c>
      <c r="AF244" s="31" t="inlineStr">
        <is>
          <t>Research-only soccer score model; draw-aware, but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Inter Miami CF</t>
        </is>
      </c>
      <c r="AQ244" s="24" t="inlineStr">
        <is>
          <t>Inter Miami CF</t>
        </is>
      </c>
      <c r="AR244" s="24" t="inlineStr">
        <is>
          <t>Inter Miami CF</t>
        </is>
      </c>
      <c r="AS244" s="24" t="inlineStr">
        <is>
          <t>Philadelphia Union</t>
        </is>
      </c>
      <c r="AT244" s="24" t="inlineStr">
        <is>
          <t>Philadelphia Union</t>
        </is>
      </c>
      <c r="AU244" s="24" t="inlineStr">
        <is>
          <t>Philadelphia Union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c95ec2023134439ab985cb4cdcc58243749b9deb564fca7a2d587c15c9875427</t>
        </is>
      </c>
      <c r="BB244" s="24" t="inlineStr">
        <is>
          <t>poisson_dixon_coles</t>
        </is>
      </c>
      <c r="BC244" s="24" t="inlineStr">
        <is>
          <t>soccer-poisson-dc-v1</t>
        </is>
      </c>
      <c r="BD244" s="24" t="inlineStr">
        <is>
          <t>c95ec2023134439ab985cb4cdcc58243749b9deb564fca7a2d587c15c9875427</t>
        </is>
      </c>
      <c r="BE244" s="24" t="inlineStr">
        <is>
          <t>soccer-poisson-dc-v1</t>
        </is>
      </c>
      <c r="BF244" s="24" t="inlineStr">
        <is>
          <t>1</t>
        </is>
      </c>
      <c r="BG244" s="24" t="inlineStr">
        <is>
          <t>c95ec2023134439ab985cb4cdcc58243749b9deb564fca7a2d587c15c9875427</t>
        </is>
      </c>
      <c r="BH244" s="24" t="inlineStr">
        <is>
          <t>2026-08-19T23:06:27.666232Z</t>
        </is>
      </c>
      <c r="BI244" s="24" t="inlineStr">
        <is>
          <t>["same_event","same_team_same_day","same_league_same_day"]</t>
        </is>
      </c>
      <c r="BJ244" s="25" t="n"/>
      <c r="BK244" s="26" t="n">
        <v>163</v>
      </c>
      <c r="BL244" s="27" t="n">
        <v>2.63</v>
      </c>
      <c r="BM244" s="28" t="n">
        <v>0.380228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0.380228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63ef35017f604090</t>
        </is>
      </c>
      <c r="B245" s="24" t="inlineStr">
        <is>
          <t>2026-08-19T23:07:44.167003Z</t>
        </is>
      </c>
      <c r="C245" s="24" t="inlineStr">
        <is>
          <t>2026-08-19T23:30Z</t>
        </is>
      </c>
      <c r="D245" s="24" t="inlineStr">
        <is>
          <t>761731</t>
        </is>
      </c>
      <c r="E245" s="24" t="inlineStr">
        <is>
          <t>SOCCER</t>
        </is>
      </c>
      <c r="F245" s="24" t="inlineStr">
        <is>
          <t>Charlotte FC</t>
        </is>
      </c>
      <c r="G245" s="24" t="inlineStr">
        <is>
          <t>Toronto FC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194</v>
      </c>
      <c r="M245" s="27" t="n">
        <v>2.94</v>
      </c>
      <c r="N245" s="28" t="n">
        <v>0.340136</v>
      </c>
      <c r="O245" s="28" t="n">
        <v>0.372547</v>
      </c>
      <c r="P245" s="28" t="n">
        <v>0.04</v>
      </c>
      <c r="Q245" s="28" t="n">
        <v>0.032411</v>
      </c>
      <c r="R245" s="26" t="n">
        <v>42</v>
      </c>
      <c r="S245" s="29" t="n">
        <v>1.5</v>
      </c>
      <c r="T245" s="24" t="inlineStr">
        <is>
          <t>soccer-poisson-dc-v1</t>
        </is>
      </c>
      <c r="U245" s="24" t="inlineStr">
        <is>
          <t>settled</t>
        </is>
      </c>
      <c r="V245" s="24" t="inlineStr">
        <is>
          <t>loss</t>
        </is>
      </c>
      <c r="W245" s="26" t="n">
        <v>3</v>
      </c>
      <c r="X245" s="26" t="n">
        <v>3</v>
      </c>
      <c r="Y245" s="25" t="n"/>
      <c r="Z245" s="26" t="n"/>
      <c r="AA245" s="28" t="n"/>
      <c r="AB245" s="28" t="n"/>
      <c r="AC245" s="30" t="n">
        <v>-1.5</v>
      </c>
      <c r="AD245" s="24" t="inlineStr">
        <is>
          <t>2026-08-20T02:29:51.382330Z</t>
        </is>
      </c>
      <c r="AE245" s="31" t="inlineStr">
        <is>
          <t>Poisson-DC rates 1.51 (home) / 1.53 (away) from EWMA attack/defense strengths. Executable ask 0.3400 (atc-mls-tor-clt-2026-08-19-clt).</t>
        </is>
      </c>
      <c r="AF245" s="31" t="inlineStr">
        <is>
          <t>Research-only soccer score model; draw-aware, but not yet locked-holdout qualified.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Charlotte FC</t>
        </is>
      </c>
      <c r="AQ245" s="24" t="inlineStr">
        <is>
          <t>Charlotte FC</t>
        </is>
      </c>
      <c r="AR245" s="24" t="inlineStr">
        <is>
          <t>Charlotte FC</t>
        </is>
      </c>
      <c r="AS245" s="24" t="inlineStr">
        <is>
          <t>Toronto FC</t>
        </is>
      </c>
      <c r="AT245" s="24" t="inlineStr">
        <is>
          <t>Toronto FC</t>
        </is>
      </c>
      <c r="AU245" s="24" t="inlineStr">
        <is>
          <t>Toronto FC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c95ec2023134439ab985cb4cdcc58243749b9deb564fca7a2d587c15c9875427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c95ec2023134439ab985cb4cdcc58243749b9deb564fca7a2d587c15c9875427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c95ec2023134439ab985cb4cdcc58243749b9deb564fca7a2d587c15c9875427</t>
        </is>
      </c>
      <c r="BH245" s="24" t="inlineStr">
        <is>
          <t>2026-08-19T23:06:27.840626Z</t>
        </is>
      </c>
      <c r="BI245" s="24" t="inlineStr">
        <is>
          <t>["same_event","same_team_same_day","same_league_same_day"]</t>
        </is>
      </c>
      <c r="BJ245" s="25" t="n"/>
      <c r="BK245" s="26" t="n">
        <v>194</v>
      </c>
      <c r="BL245" s="27" t="n">
        <v>2.94</v>
      </c>
      <c r="BM245" s="28" t="n">
        <v>0.340136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0.340136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90c45fac88604921</t>
        </is>
      </c>
      <c r="B246" s="24" t="inlineStr">
        <is>
          <t>2026-08-19T23:07:44.167003Z</t>
        </is>
      </c>
      <c r="C246" s="24" t="inlineStr">
        <is>
          <t>2026-08-20T00:00Z</t>
        </is>
      </c>
      <c r="D246" s="24" t="inlineStr">
        <is>
          <t>761732</t>
        </is>
      </c>
      <c r="E246" s="24" t="inlineStr">
        <is>
          <t>SOCCER</t>
        </is>
      </c>
      <c r="F246" s="24" t="inlineStr">
        <is>
          <t>St. Louis CITY SC</t>
        </is>
      </c>
      <c r="G246" s="24" t="inlineStr">
        <is>
          <t>Sporting Kansas City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-117</v>
      </c>
      <c r="M246" s="27" t="n">
        <v>1.854701</v>
      </c>
      <c r="N246" s="28" t="n">
        <v>0.539171</v>
      </c>
      <c r="O246" s="28" t="n">
        <v>0.515885</v>
      </c>
      <c r="P246" s="28" t="n">
        <v>0.04</v>
      </c>
      <c r="Q246" s="28" t="n">
        <v>-0.023286</v>
      </c>
      <c r="R246" s="26" t="n">
        <v>14</v>
      </c>
      <c r="S246" s="29" t="n">
        <v>1</v>
      </c>
      <c r="T246" s="24" t="inlineStr">
        <is>
          <t>soccer-poisson-dc-v1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1</v>
      </c>
      <c r="Y246" s="25" t="n"/>
      <c r="Z246" s="26" t="n"/>
      <c r="AA246" s="28" t="n"/>
      <c r="AB246" s="28" t="n"/>
      <c r="AC246" s="30" t="n">
        <v>-1</v>
      </c>
      <c r="AD246" s="24" t="inlineStr">
        <is>
          <t>2026-08-20T02:29:52.884990Z</t>
        </is>
      </c>
      <c r="AE246" s="31" t="inlineStr">
        <is>
          <t>Poisson-DC rates 1.49 (home) / 2.14 (away) from EWMA attack/defense strengths. Executable ask 0.5400 (atc-mls-skc-stl-2026-08-19-stl).</t>
        </is>
      </c>
      <c r="AF246" s="31" t="inlineStr">
        <is>
          <t>Research-only soccer score model; draw-aware, but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PAPER_CALL_LOW_EDGE</t>
        </is>
      </c>
      <c r="AP246" s="24" t="inlineStr">
        <is>
          <t>St. Louis CITY SC</t>
        </is>
      </c>
      <c r="AQ246" s="24" t="inlineStr">
        <is>
          <t>St. Louis CITY SC</t>
        </is>
      </c>
      <c r="AR246" s="24" t="inlineStr">
        <is>
          <t>St. Louis CITY SC</t>
        </is>
      </c>
      <c r="AS246" s="24" t="inlineStr">
        <is>
          <t>Sporting Kansas City</t>
        </is>
      </c>
      <c r="AT246" s="24" t="inlineStr">
        <is>
          <t>Sporting Kansas City</t>
        </is>
      </c>
      <c r="AU246" s="24" t="inlineStr">
        <is>
          <t>Sporting Kansas City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c95ec2023134439ab985cb4cdcc58243749b9deb564fca7a2d587c15c9875427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c95ec2023134439ab985cb4cdcc58243749b9deb564fca7a2d587c15c9875427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c95ec2023134439ab985cb4cdcc58243749b9deb564fca7a2d587c15c9875427</t>
        </is>
      </c>
      <c r="BH246" s="24" t="inlineStr">
        <is>
          <t>2026-08-19T23:06:28.014324Z</t>
        </is>
      </c>
      <c r="BI246" s="24" t="inlineStr">
        <is>
          <t>["same_event","same_team_same_day","same_league_same_day"]</t>
        </is>
      </c>
      <c r="BJ246" s="25" t="n"/>
      <c r="BK246" s="26" t="n">
        <v>-117</v>
      </c>
      <c r="BL246" s="27" t="n">
        <v>1.854701</v>
      </c>
      <c r="BM246" s="28" t="n">
        <v>0.539171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0.539171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ae752e91fbe646e0</t>
        </is>
      </c>
      <c r="B247" s="24" t="inlineStr">
        <is>
          <t>2026-08-19T23:07:44.167003Z</t>
        </is>
      </c>
      <c r="C247" s="24" t="inlineStr">
        <is>
          <t>2026-08-20T00:30Z</t>
        </is>
      </c>
      <c r="D247" s="24" t="inlineStr">
        <is>
          <t>761733</t>
        </is>
      </c>
      <c r="E247" s="24" t="inlineStr">
        <is>
          <t>SOCCER</t>
        </is>
      </c>
      <c r="F247" s="24" t="inlineStr">
        <is>
          <t>Atlanta United FC</t>
        </is>
      </c>
      <c r="G247" s="24" t="inlineStr">
        <is>
          <t>Minnesota United FC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-144</v>
      </c>
      <c r="M247" s="27" t="n">
        <v>1.694444</v>
      </c>
      <c r="N247" s="28" t="n">
        <v>0.590164</v>
      </c>
      <c r="O247" s="28" t="n">
        <v>0.57277</v>
      </c>
      <c r="P247" s="28" t="n">
        <v>0.04</v>
      </c>
      <c r="Q247" s="28" t="n">
        <v>-0.017394</v>
      </c>
      <c r="R247" s="26" t="n">
        <v>17</v>
      </c>
      <c r="S247" s="29" t="n">
        <v>1.25</v>
      </c>
      <c r="T247" s="24" t="inlineStr">
        <is>
          <t>soccer-poisson-dc-v1</t>
        </is>
      </c>
      <c r="U247" s="24" t="inlineStr">
        <is>
          <t>settled</t>
        </is>
      </c>
      <c r="V247" s="24" t="inlineStr">
        <is>
          <t>loss</t>
        </is>
      </c>
      <c r="W247" s="26" t="n">
        <v>2</v>
      </c>
      <c r="X247" s="26" t="n">
        <v>1</v>
      </c>
      <c r="Y247" s="25" t="n"/>
      <c r="Z247" s="26" t="n"/>
      <c r="AA247" s="28" t="n"/>
      <c r="AB247" s="28" t="n"/>
      <c r="AC247" s="30" t="n">
        <v>-1.25</v>
      </c>
      <c r="AD247" s="24" t="inlineStr">
        <is>
          <t>2026-08-20T05:34:03.462227Z</t>
        </is>
      </c>
      <c r="AE247" s="31" t="inlineStr">
        <is>
          <t>Poisson-DC rates 1.75 (home) / 0.87 (away) from EWMA attack/defense strengths. Executable ask 0.5900 (atc-mls-min-atl-2026-08-19-min).</t>
        </is>
      </c>
      <c r="AF247" s="31" t="inlineStr">
        <is>
          <t>Research-only soccer score model; draw-aware, but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Atlanta United FC</t>
        </is>
      </c>
      <c r="AQ247" s="24" t="inlineStr">
        <is>
          <t>Atlanta United FC</t>
        </is>
      </c>
      <c r="AR247" s="24" t="inlineStr">
        <is>
          <t>Atlanta United FC</t>
        </is>
      </c>
      <c r="AS247" s="24" t="inlineStr">
        <is>
          <t>Minnesota United FC</t>
        </is>
      </c>
      <c r="AT247" s="24" t="inlineStr">
        <is>
          <t>Minnesota United FC</t>
        </is>
      </c>
      <c r="AU247" s="24" t="inlineStr">
        <is>
          <t>Minnesota United FC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c95ec2023134439ab985cb4cdcc58243749b9deb564fca7a2d587c15c9875427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c95ec2023134439ab985cb4cdcc58243749b9deb564fca7a2d587c15c9875427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c95ec2023134439ab985cb4cdcc58243749b9deb564fca7a2d587c15c9875427</t>
        </is>
      </c>
      <c r="BH247" s="24" t="inlineStr">
        <is>
          <t>2026-08-19T23:06:28.200374Z</t>
        </is>
      </c>
      <c r="BI247" s="24" t="inlineStr">
        <is>
          <t>["same_event","same_team_same_day","same_league_same_day"]</t>
        </is>
      </c>
      <c r="BJ247" s="25" t="n"/>
      <c r="BK247" s="26" t="n">
        <v>-144</v>
      </c>
      <c r="BL247" s="27" t="n">
        <v>1.694444</v>
      </c>
      <c r="BM247" s="28" t="n">
        <v>0.590164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0.590164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f206790401d34b4a</t>
        </is>
      </c>
      <c r="B248" s="24" t="inlineStr">
        <is>
          <t>2026-08-19T23:07:44.167003Z</t>
        </is>
      </c>
      <c r="C248" s="24" t="inlineStr">
        <is>
          <t>2026-08-20T01:30Z</t>
        </is>
      </c>
      <c r="D248" s="24" t="inlineStr">
        <is>
          <t>761735</t>
        </is>
      </c>
      <c r="E248" s="24" t="inlineStr">
        <is>
          <t>SOCCER</t>
        </is>
      </c>
      <c r="F248" s="24" t="inlineStr">
        <is>
          <t>FC Dallas</t>
        </is>
      </c>
      <c r="G248" s="24" t="inlineStr">
        <is>
          <t>Real Salt Lake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0.449603</v>
      </c>
      <c r="P248" s="28" t="n">
        <v>0.04</v>
      </c>
      <c r="Q248" s="28" t="n">
        <v>-0.040593</v>
      </c>
      <c r="R248" s="26" t="n">
        <v>6</v>
      </c>
      <c r="S248" s="29" t="n">
        <v>1</v>
      </c>
      <c r="T248" s="24" t="inlineStr">
        <is>
          <t>soccer-poisson-dc-v1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3</v>
      </c>
      <c r="Y248" s="25" t="n"/>
      <c r="Z248" s="26" t="n"/>
      <c r="AA248" s="28" t="n"/>
      <c r="AB248" s="28" t="n"/>
      <c r="AC248" s="30" t="n">
        <v>-1</v>
      </c>
      <c r="AD248" s="24" t="inlineStr">
        <is>
          <t>2026-08-20T05:34:04.956818Z</t>
        </is>
      </c>
      <c r="AE248" s="31" t="inlineStr">
        <is>
          <t>Poisson-DC rates 1.92 (home) / 1.58 (away) from EWMA attack/defense strengths. Executable ask 0.4900 (atc-mls-rsl-dal-2026-08-19-rsl).</t>
        </is>
      </c>
      <c r="AF248" s="31" t="inlineStr">
        <is>
          <t>Research-only soccer score model; draw-aware, but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FC Dallas</t>
        </is>
      </c>
      <c r="AQ248" s="24" t="inlineStr">
        <is>
          <t>FC Dallas</t>
        </is>
      </c>
      <c r="AR248" s="24" t="inlineStr">
        <is>
          <t>FC Dallas</t>
        </is>
      </c>
      <c r="AS248" s="24" t="inlineStr">
        <is>
          <t>Real Salt Lake</t>
        </is>
      </c>
      <c r="AT248" s="24" t="inlineStr">
        <is>
          <t>Real Salt Lake</t>
        </is>
      </c>
      <c r="AU248" s="24" t="inlineStr">
        <is>
          <t>Real Salt Lake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c95ec2023134439ab985cb4cdcc58243749b9deb564fca7a2d587c15c9875427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c95ec2023134439ab985cb4cdcc58243749b9deb564fca7a2d587c15c9875427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c95ec2023134439ab985cb4cdcc58243749b9deb564fca7a2d587c15c9875427</t>
        </is>
      </c>
      <c r="BH248" s="24" t="inlineStr">
        <is>
          <t>2026-08-19T23:06:28.525797Z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bf5c411e8dd44bf7</t>
        </is>
      </c>
      <c r="B249" s="24" t="inlineStr">
        <is>
          <t>2026-08-19T23:07:44.167003Z</t>
        </is>
      </c>
      <c r="C249" s="24" t="inlineStr">
        <is>
          <t>2026-08-20T01:30Z</t>
        </is>
      </c>
      <c r="D249" s="24" t="inlineStr">
        <is>
          <t>761736</t>
        </is>
      </c>
      <c r="E249" s="24" t="inlineStr">
        <is>
          <t>SOCCER</t>
        </is>
      </c>
      <c r="F249" s="24" t="inlineStr">
        <is>
          <t>Austin FC</t>
        </is>
      </c>
      <c r="G249" s="24" t="inlineStr">
        <is>
          <t>Seattle Sounders FC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0.650768</v>
      </c>
      <c r="P249" s="28" t="n">
        <v>0.04</v>
      </c>
      <c r="Q249" s="28" t="n">
        <v>0.111597</v>
      </c>
      <c r="R249" s="26" t="n">
        <v>82</v>
      </c>
      <c r="S249" s="29" t="n">
        <v>1.75</v>
      </c>
      <c r="T249" s="24" t="inlineStr">
        <is>
          <t>soccer-poisson-dc-v1</t>
        </is>
      </c>
      <c r="U249" s="24" t="inlineStr">
        <is>
          <t>settled</t>
        </is>
      </c>
      <c r="V249" s="24" t="inlineStr">
        <is>
          <t>loss</t>
        </is>
      </c>
      <c r="W249" s="26" t="n">
        <v>2</v>
      </c>
      <c r="X249" s="26" t="n">
        <v>1</v>
      </c>
      <c r="Y249" s="25" t="n"/>
      <c r="Z249" s="26" t="n"/>
      <c r="AA249" s="28" t="n"/>
      <c r="AB249" s="28" t="n"/>
      <c r="AC249" s="30" t="n">
        <v>-1.75</v>
      </c>
      <c r="AD249" s="24" t="inlineStr">
        <is>
          <t>2026-08-20T05:34:06.482323Z</t>
        </is>
      </c>
      <c r="AE249" s="31" t="inlineStr">
        <is>
          <t>Poisson-DC rates 2.34 (home) / 1.06 (away) from EWMA attack/defense strengths. Executable ask 0.5400 (atc-mls-sea-aus-2026-08-19-sea).</t>
        </is>
      </c>
      <c r="AF249" s="31" t="inlineStr">
        <is>
          <t>Research-only soccer score model; draw-aware, but not yet locked-holdout qualified.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Austin FC</t>
        </is>
      </c>
      <c r="AQ249" s="24" t="inlineStr">
        <is>
          <t>Austin FC</t>
        </is>
      </c>
      <c r="AR249" s="24" t="inlineStr">
        <is>
          <t>Austin FC</t>
        </is>
      </c>
      <c r="AS249" s="24" t="inlineStr">
        <is>
          <t>Seattle Sounders FC</t>
        </is>
      </c>
      <c r="AT249" s="24" t="inlineStr">
        <is>
          <t>Seattle Sounders FC</t>
        </is>
      </c>
      <c r="AU249" s="24" t="inlineStr">
        <is>
          <t>Seattle Sounders FC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c95ec2023134439ab985cb4cdcc58243749b9deb564fca7a2d587c15c9875427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c95ec2023134439ab985cb4cdcc58243749b9deb564fca7a2d587c15c9875427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c95ec2023134439ab985cb4cdcc58243749b9deb564fca7a2d587c15c9875427</t>
        </is>
      </c>
      <c r="BH249" s="24" t="inlineStr">
        <is>
          <t>2026-08-19T23:06:28.676704Z</t>
        </is>
      </c>
      <c r="BI249" s="24" t="inlineStr">
        <is>
          <t>["same_event","same_team_same_day","same_league_same_day"]</t>
        </is>
      </c>
      <c r="BJ249" s="25" t="n"/>
      <c r="BK249" s="26" t="n">
        <v>-117</v>
      </c>
      <c r="BL249" s="27" t="n">
        <v>1.854701</v>
      </c>
      <c r="BM249" s="28" t="n">
        <v>0.539171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0.539171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ed5448b2af764cc6</t>
        </is>
      </c>
      <c r="B250" s="24" t="inlineStr">
        <is>
          <t>2026-08-19T23:07:44.167003Z</t>
        </is>
      </c>
      <c r="C250" s="24" t="inlineStr">
        <is>
          <t>2026-08-20T02:30Z</t>
        </is>
      </c>
      <c r="D250" s="24" t="inlineStr">
        <is>
          <t>761738</t>
        </is>
      </c>
      <c r="E250" s="24" t="inlineStr">
        <is>
          <t>SOCCER</t>
        </is>
      </c>
      <c r="F250" s="24" t="inlineStr">
        <is>
          <t>San Jose Earthquakes</t>
        </is>
      </c>
      <c r="G250" s="24" t="inlineStr">
        <is>
          <t>LA Galaxy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203</v>
      </c>
      <c r="M250" s="27" t="n">
        <v>3.03</v>
      </c>
      <c r="N250" s="28" t="n">
        <v>0.330033</v>
      </c>
      <c r="O250" s="28" t="n">
        <v>0.425844</v>
      </c>
      <c r="P250" s="28" t="n">
        <v>0.04</v>
      </c>
      <c r="Q250" s="28" t="n">
        <v>0.09581099999999999</v>
      </c>
      <c r="R250" s="26" t="n">
        <v>74</v>
      </c>
      <c r="S250" s="29" t="n">
        <v>1.25</v>
      </c>
      <c r="T250" s="24" t="inlineStr">
        <is>
          <t>soccer-poisson-dc-v1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-1.25</v>
      </c>
      <c r="AD250" s="24" t="inlineStr">
        <is>
          <t>2026-08-20T05:34:08.003977Z</t>
        </is>
      </c>
      <c r="AE250" s="31" t="inlineStr">
        <is>
          <t>Poisson-DC rates 1.74 (home) / 1.95 (away) from EWMA attack/defense strengths. Executable ask 0.3300 (atc-mls-lag-sje-2026-08-19-sje).</t>
        </is>
      </c>
      <c r="AF250" s="31" t="inlineStr">
        <is>
          <t>Research-only soccer score model; draw-aware, but not yet locked-holdout qualified.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San Jose Earthquakes</t>
        </is>
      </c>
      <c r="AQ250" s="24" t="inlineStr">
        <is>
          <t>San Jose Earthquakes</t>
        </is>
      </c>
      <c r="AR250" s="24" t="inlineStr">
        <is>
          <t>San Jose Earthquakes</t>
        </is>
      </c>
      <c r="AS250" s="24" t="inlineStr">
        <is>
          <t>LA Galaxy</t>
        </is>
      </c>
      <c r="AT250" s="24" t="inlineStr">
        <is>
          <t>LA Galaxy</t>
        </is>
      </c>
      <c r="AU250" s="24" t="inlineStr">
        <is>
          <t>LA Galaxy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c95ec2023134439ab985cb4cdcc58243749b9deb564fca7a2d587c15c9875427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c95ec2023134439ab985cb4cdcc58243749b9deb564fca7a2d587c15c9875427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c95ec2023134439ab985cb4cdcc58243749b9deb564fca7a2d587c15c9875427</t>
        </is>
      </c>
      <c r="BH250" s="24" t="inlineStr">
        <is>
          <t>2026-08-19T23:06:28.838238Z</t>
        </is>
      </c>
      <c r="BI250" s="24" t="inlineStr">
        <is>
          <t>["same_event","same_team_same_day","same_league_same_day"]</t>
        </is>
      </c>
      <c r="BJ250" s="25" t="n"/>
      <c r="BK250" s="26" t="n">
        <v>203</v>
      </c>
      <c r="BL250" s="27" t="n">
        <v>3.03</v>
      </c>
      <c r="BM250" s="28" t="n">
        <v>0.330033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0.330033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8076800010984dba</t>
        </is>
      </c>
      <c r="B251" s="24" t="inlineStr">
        <is>
          <t>2026-08-19T23:07:44.167003Z</t>
        </is>
      </c>
      <c r="C251" s="24" t="inlineStr">
        <is>
          <t>2026-08-20T02:30Z</t>
        </is>
      </c>
      <c r="D251" s="24" t="inlineStr">
        <is>
          <t>761737</t>
        </is>
      </c>
      <c r="E251" s="24" t="inlineStr">
        <is>
          <t>SOCCER</t>
        </is>
      </c>
      <c r="F251" s="24" t="inlineStr">
        <is>
          <t>San Diego FC</t>
        </is>
      </c>
      <c r="G251" s="24" t="inlineStr">
        <is>
          <t>Portland Timbers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100</v>
      </c>
      <c r="M251" s="27" t="n">
        <v>2</v>
      </c>
      <c r="N251" s="28" t="n">
        <v>0.5</v>
      </c>
      <c r="O251" s="28" t="n">
        <v>0.415444</v>
      </c>
      <c r="P251" s="28" t="n">
        <v>0.04</v>
      </c>
      <c r="Q251" s="28" t="n">
        <v>-0.08455600000000001</v>
      </c>
      <c r="R251" s="26" t="n">
        <v>0</v>
      </c>
      <c r="S251" s="29" t="n">
        <v>1.25</v>
      </c>
      <c r="T251" s="24" t="inlineStr">
        <is>
          <t>soccer-poisson-dc-v1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3</v>
      </c>
      <c r="Y251" s="25" t="n"/>
      <c r="Z251" s="26" t="n"/>
      <c r="AA251" s="28" t="n"/>
      <c r="AB251" s="28" t="n"/>
      <c r="AC251" s="30" t="n">
        <v>1.25</v>
      </c>
      <c r="AD251" s="24" t="inlineStr">
        <is>
          <t>2026-08-20T05:34:09.472119Z</t>
        </is>
      </c>
      <c r="AE251" s="31" t="inlineStr">
        <is>
          <t>Poisson-DC rates 2.18 (home) / 2.06 (away) from EWMA attack/defense strengths. Executable ask 0.5000 (atc-mls-por-sdg-2026-08-19-por).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San Diego FC</t>
        </is>
      </c>
      <c r="AQ251" s="24" t="inlineStr">
        <is>
          <t>San Diego FC</t>
        </is>
      </c>
      <c r="AR251" s="24" t="inlineStr">
        <is>
          <t>San Diego FC</t>
        </is>
      </c>
      <c r="AS251" s="24" t="inlineStr">
        <is>
          <t>Portland Timbers</t>
        </is>
      </c>
      <c r="AT251" s="24" t="inlineStr">
        <is>
          <t>Portland Timbers</t>
        </is>
      </c>
      <c r="AU251" s="24" t="inlineStr">
        <is>
          <t>Portland Timbers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c95ec2023134439ab985cb4cdcc58243749b9deb564fca7a2d587c15c9875427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c95ec2023134439ab985cb4cdcc58243749b9deb564fca7a2d587c15c9875427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c95ec2023134439ab985cb4cdcc58243749b9deb564fca7a2d587c15c9875427</t>
        </is>
      </c>
      <c r="BH251" s="24" t="inlineStr">
        <is>
          <t>2026-08-19T23:06:28.965020Z</t>
        </is>
      </c>
      <c r="BI251" s="24" t="inlineStr">
        <is>
          <t>["same_event","same_team_same_day","same_league_same_day"]</t>
        </is>
      </c>
      <c r="BJ251" s="25" t="n"/>
      <c r="BK251" s="26" t="n">
        <v>100</v>
      </c>
      <c r="BL251" s="27" t="n">
        <v>2</v>
      </c>
      <c r="BM251" s="28" t="n">
        <v>0.5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c28a52bbd41341ad</t>
        </is>
      </c>
      <c r="B252" s="24" t="inlineStr">
        <is>
          <t>2026-08-19T23:07:44.167003Z</t>
        </is>
      </c>
      <c r="C252" s="24" t="inlineStr">
        <is>
          <t>2026-08-20T02:30Z</t>
        </is>
      </c>
      <c r="D252" s="24" t="inlineStr">
        <is>
          <t>761739</t>
        </is>
      </c>
      <c r="E252" s="24" t="inlineStr">
        <is>
          <t>SOCCER</t>
        </is>
      </c>
      <c r="F252" s="24" t="inlineStr">
        <is>
          <t>Houston Dynamo FC</t>
        </is>
      </c>
      <c r="G252" s="24" t="inlineStr">
        <is>
          <t>Vancouver Whitecaps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-170</v>
      </c>
      <c r="M252" s="27" t="n">
        <v>1.588235</v>
      </c>
      <c r="N252" s="28" t="n">
        <v>0.62963</v>
      </c>
      <c r="O252" s="28" t="n">
        <v>0.747266</v>
      </c>
      <c r="P252" s="28" t="n">
        <v>0.04</v>
      </c>
      <c r="Q252" s="28" t="n">
        <v>0.117636</v>
      </c>
      <c r="R252" s="26" t="n">
        <v>85</v>
      </c>
      <c r="S252" s="29" t="n">
        <v>2</v>
      </c>
      <c r="T252" s="24" t="inlineStr">
        <is>
          <t>soccer-poisson-dc-v1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-2</v>
      </c>
      <c r="AD252" s="24" t="inlineStr">
        <is>
          <t>2026-08-20T05:34:11.007232Z</t>
        </is>
      </c>
      <c r="AE252" s="31" t="inlineStr">
        <is>
          <t>Poisson-DC rates 2.69 (home) / 0.89 (away) from EWMA attack/defense strengths. Executable ask 0.6300 (atc-mls-vwh-hou-2026-08-19-vwh).</t>
        </is>
      </c>
      <c r="AF252" s="31" t="inlineStr">
        <is>
          <t>Research-only soccer score model; draw-aware, but not yet locked-holdout qualified.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3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Houston Dynamo FC</t>
        </is>
      </c>
      <c r="AQ252" s="24" t="inlineStr">
        <is>
          <t>Houston Dynamo FC</t>
        </is>
      </c>
      <c r="AR252" s="24" t="inlineStr">
        <is>
          <t>Houston Dynamo FC</t>
        </is>
      </c>
      <c r="AS252" s="24" t="inlineStr">
        <is>
          <t>Vancouver Whitecaps</t>
        </is>
      </c>
      <c r="AT252" s="24" t="inlineStr">
        <is>
          <t>Vancouver Whitecaps</t>
        </is>
      </c>
      <c r="AU252" s="24" t="inlineStr">
        <is>
          <t>Vancouver Whitecaps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c95ec2023134439ab985cb4cdcc58243749b9deb564fca7a2d587c15c9875427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c95ec2023134439ab985cb4cdcc58243749b9deb564fca7a2d587c15c9875427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c95ec2023134439ab985cb4cdcc58243749b9deb564fca7a2d587c15c9875427</t>
        </is>
      </c>
      <c r="BH252" s="24" t="inlineStr">
        <is>
          <t>2026-08-19T23:06:29.099802Z</t>
        </is>
      </c>
      <c r="BI252" s="24" t="inlineStr">
        <is>
          <t>["same_event","same_team_same_day","same_league_same_day"]</t>
        </is>
      </c>
      <c r="BJ252" s="25" t="n"/>
      <c r="BK252" s="26" t="n">
        <v>-170</v>
      </c>
      <c r="BL252" s="27" t="n">
        <v>1.588235</v>
      </c>
      <c r="BM252" s="28" t="n">
        <v>0.62963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0.62963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dc9a092ce0ee4ac7</t>
        </is>
      </c>
      <c r="B253" s="24" t="inlineStr">
        <is>
          <t>2026-08-19T23:07:44.167003Z</t>
        </is>
      </c>
      <c r="C253" s="24" t="inlineStr">
        <is>
          <t>2026-08-19T23:30Z</t>
        </is>
      </c>
      <c r="D253" s="24" t="inlineStr">
        <is>
          <t>401860282</t>
        </is>
      </c>
      <c r="E253" s="24" t="inlineStr">
        <is>
          <t>SOCCER</t>
        </is>
      </c>
      <c r="F253" s="24" t="inlineStr">
        <is>
          <t>Ponte Preta</t>
        </is>
      </c>
      <c r="G253" s="24" t="inlineStr">
        <is>
          <t>Vila Nova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-285</v>
      </c>
      <c r="M253" s="27" t="n">
        <v>1.350877</v>
      </c>
      <c r="N253" s="28" t="n">
        <v>0.74026</v>
      </c>
      <c r="O253" s="28" t="n">
        <v>0.42394</v>
      </c>
      <c r="P253" s="28" t="n">
        <v>0.19</v>
      </c>
      <c r="Q253" s="28" t="n">
        <v>-0.31632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settled</t>
        </is>
      </c>
      <c r="V253" s="24" t="inlineStr">
        <is>
          <t>win</t>
        </is>
      </c>
      <c r="W253" s="26" t="n">
        <v>0</v>
      </c>
      <c r="X253" s="26" t="n">
        <v>6</v>
      </c>
      <c r="Y253" s="25" t="n"/>
      <c r="Z253" s="26" t="n"/>
      <c r="AA253" s="28" t="n"/>
      <c r="AB253" s="28" t="n"/>
      <c r="AC253" s="30" t="n">
        <v>0.3509</v>
      </c>
      <c r="AD253" s="24" t="inlineStr">
        <is>
          <t>2026-08-20T02:29:54.353262Z</t>
        </is>
      </c>
      <c r="AE253" s="31" t="inlineStr">
        <is>
          <t>Poisson-DC rates 1.52 (home) / 1.25 (away) from EWMA attack/defense strengths. Executable ask 0.7400 (atc-brb-vln-pop-2026-08-19-vln).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PAPER_CALL_MODEL_UNVALIDATED</t>
        </is>
      </c>
      <c r="AP253" s="24" t="inlineStr">
        <is>
          <t>Ponte Preta</t>
        </is>
      </c>
      <c r="AQ253" s="24" t="inlineStr">
        <is>
          <t>Ponte Preta</t>
        </is>
      </c>
      <c r="AR253" s="24" t="inlineStr">
        <is>
          <t>Ponte Preta</t>
        </is>
      </c>
      <c r="AS253" s="24" t="inlineStr">
        <is>
          <t>Vila Nova</t>
        </is>
      </c>
      <c r="AT253" s="24" t="inlineStr">
        <is>
          <t>Vila Nova</t>
        </is>
      </c>
      <c r="AU253" s="24" t="inlineStr">
        <is>
          <t>Vila Nova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c95ec2023134439ab985cb4cdcc58243749b9deb564fca7a2d587c15c9875427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c95ec2023134439ab985cb4cdcc58243749b9deb564fca7a2d587c15c9875427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c95ec2023134439ab985cb4cdcc58243749b9deb564fca7a2d587c15c9875427</t>
        </is>
      </c>
      <c r="BH253" s="24" t="inlineStr">
        <is>
          <t>2026-08-19T23:06:29.290091Z</t>
        </is>
      </c>
      <c r="BI253" s="24" t="inlineStr">
        <is>
          <t>["same_event","same_team_same_day","same_league_same_day"]</t>
        </is>
      </c>
      <c r="BJ253" s="25" t="n"/>
      <c r="BK253" s="26" t="n">
        <v>-285</v>
      </c>
      <c r="BL253" s="27" t="n">
        <v>1.350877</v>
      </c>
      <c r="BM253" s="28" t="n">
        <v>0.74026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0.74026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3fcd26dc64d74d6d</t>
        </is>
      </c>
      <c r="B254" s="24" t="inlineStr">
        <is>
          <t>2026-08-19T23:07:44.167003Z</t>
        </is>
      </c>
      <c r="C254" s="24" t="inlineStr">
        <is>
          <t>2026-08-20T00:30Z</t>
        </is>
      </c>
      <c r="D254" s="24" t="inlineStr">
        <is>
          <t>401903232</t>
        </is>
      </c>
      <c r="E254" s="24" t="inlineStr">
        <is>
          <t>SOCCER</t>
        </is>
      </c>
      <c r="F254" s="24" t="inlineStr">
        <is>
          <t>River Plate</t>
        </is>
      </c>
      <c r="G254" s="24" t="inlineStr">
        <is>
          <t>Independiente Santa Fe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257</v>
      </c>
      <c r="M254" s="27" t="n">
        <v>3.57</v>
      </c>
      <c r="N254" s="28" t="n">
        <v>0.280112</v>
      </c>
      <c r="O254" s="28" t="n">
        <v>0.378182</v>
      </c>
      <c r="P254" s="28" t="n">
        <v>0.2</v>
      </c>
      <c r="Q254" s="28" t="n">
        <v>0.09807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2026-08-20T02:29:55.857408Z</t>
        </is>
      </c>
      <c r="AE254" s="31" t="inlineStr">
        <is>
          <t>Poisson-DC rates 1.46 (home) / 1.39 (away) from EWMA attack/defense strengths. Executable ask 0.2800 (atc-sud-isf-riv-2026-08-12-isf).</t>
        </is>
      </c>
      <c r="AF254" s="31" t="inlineStr">
        <is>
          <t>Research-only soccer score model; draw-aware, but not yet locked-holdout qualified.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River Plate</t>
        </is>
      </c>
      <c r="AQ254" s="24" t="inlineStr">
        <is>
          <t>River Plate</t>
        </is>
      </c>
      <c r="AR254" s="24" t="inlineStr">
        <is>
          <t>River Plate</t>
        </is>
      </c>
      <c r="AS254" s="24" t="inlineStr">
        <is>
          <t>Independiente Santa Fe</t>
        </is>
      </c>
      <c r="AT254" s="24" t="inlineStr">
        <is>
          <t>Independiente Santa Fe</t>
        </is>
      </c>
      <c r="AU254" s="24" t="inlineStr">
        <is>
          <t>Independiente Santa Fe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c95ec2023134439ab985cb4cdcc58243749b9deb564fca7a2d587c15c9875427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c95ec2023134439ab985cb4cdcc58243749b9deb564fca7a2d587c15c9875427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c95ec2023134439ab985cb4cdcc58243749b9deb564fca7a2d587c15c9875427</t>
        </is>
      </c>
      <c r="BH254" s="24" t="inlineStr">
        <is>
          <t>2026-08-19T23:06:29.395577Z</t>
        </is>
      </c>
      <c r="BI254" s="24" t="inlineStr">
        <is>
          <t>["same_event","same_team_same_day","same_league_same_day"]</t>
        </is>
      </c>
      <c r="BJ254" s="25" t="n"/>
      <c r="BK254" s="26" t="n">
        <v>257</v>
      </c>
      <c r="BL254" s="27" t="n">
        <v>3.57</v>
      </c>
      <c r="BM254" s="28" t="n">
        <v>0.280112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0.280112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c13296dcc0a84649</t>
        </is>
      </c>
      <c r="B255" s="24" t="inlineStr">
        <is>
          <t>2026-08-19T23:07:44.167003Z</t>
        </is>
      </c>
      <c r="C255" s="24" t="inlineStr">
        <is>
          <t>2026-08-20T00:30Z</t>
        </is>
      </c>
      <c r="D255" s="24" t="inlineStr">
        <is>
          <t>401902571</t>
        </is>
      </c>
      <c r="E255" s="24" t="inlineStr">
        <is>
          <t>SOCCER</t>
        </is>
      </c>
      <c r="F255" s="24" t="inlineStr">
        <is>
          <t>Tigre</t>
        </is>
      </c>
      <c r="G255" s="24" t="inlineStr">
        <is>
          <t>Montevideo City Torque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317</v>
      </c>
      <c r="M255" s="27" t="n">
        <v>4.17</v>
      </c>
      <c r="N255" s="28" t="n">
        <v>0.239808</v>
      </c>
      <c r="O255" s="28" t="n">
        <v>0.456135</v>
      </c>
      <c r="P255" s="28" t="n">
        <v>0.2</v>
      </c>
      <c r="Q255" s="28" t="n">
        <v>0.216327</v>
      </c>
      <c r="R255" s="26" t="n">
        <v>38</v>
      </c>
      <c r="S255" s="29" t="n">
        <v>1</v>
      </c>
      <c r="T255" s="24" t="inlineStr">
        <is>
          <t>soccer-poisson-dc-v1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2</v>
      </c>
      <c r="Y255" s="25" t="n"/>
      <c r="Z255" s="26" t="n"/>
      <c r="AA255" s="28" t="n"/>
      <c r="AB255" s="28" t="n"/>
      <c r="AC255" s="30" t="n">
        <v>3.17</v>
      </c>
      <c r="AD255" s="24" t="inlineStr">
        <is>
          <t>2026-08-20T05:34:12.349262Z</t>
        </is>
      </c>
      <c r="AE255" s="31" t="inlineStr">
        <is>
          <t>Poisson-DC rates 1.64 (home) / 1.24 (away) from EWMA attack/defense strengths. Executable ask 0.2400 (atc-sud-tor-tig-2026-08-19-tor).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3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Tigre</t>
        </is>
      </c>
      <c r="AQ255" s="24" t="inlineStr">
        <is>
          <t>Tigre</t>
        </is>
      </c>
      <c r="AR255" s="24" t="inlineStr">
        <is>
          <t>Tigre</t>
        </is>
      </c>
      <c r="AS255" s="24" t="inlineStr">
        <is>
          <t>Montevideo City Torque</t>
        </is>
      </c>
      <c r="AT255" s="24" t="inlineStr">
        <is>
          <t>Montevideo City Torque</t>
        </is>
      </c>
      <c r="AU255" s="24" t="inlineStr">
        <is>
          <t>Montevideo City Torque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c95ec2023134439ab985cb4cdcc58243749b9deb564fca7a2d587c15c9875427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c95ec2023134439ab985cb4cdcc58243749b9deb564fca7a2d587c15c9875427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c95ec2023134439ab985cb4cdcc58243749b9deb564fca7a2d587c15c9875427</t>
        </is>
      </c>
      <c r="BH255" s="24" t="inlineStr">
        <is>
          <t>2026-08-19T23:06:29.449708Z</t>
        </is>
      </c>
      <c r="BI255" s="24" t="inlineStr">
        <is>
          <t>["same_event","same_team_same_day","same_league_same_day"]</t>
        </is>
      </c>
      <c r="BJ255" s="25" t="n"/>
      <c r="BK255" s="26" t="n">
        <v>317</v>
      </c>
      <c r="BL255" s="27" t="n">
        <v>4.17</v>
      </c>
      <c r="BM255" s="28" t="n">
        <v>0.239808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0.239808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e9d9906cc60246c8</t>
        </is>
      </c>
      <c r="B256" s="24" t="inlineStr">
        <is>
          <t>2026-08-20T18:57:18.690359Z</t>
        </is>
      </c>
      <c r="C256" s="24" t="inlineStr">
        <is>
          <t>2026-08-20T22:00Z</t>
        </is>
      </c>
      <c r="D256" s="24" t="inlineStr">
        <is>
          <t>401902740</t>
        </is>
      </c>
      <c r="E256" s="24" t="inlineStr">
        <is>
          <t>SOCCER</t>
        </is>
      </c>
      <c r="F256" s="24" t="inlineStr">
        <is>
          <t>Vasco da Gama</t>
        </is>
      </c>
      <c r="G256" s="24" t="inlineStr">
        <is>
          <t>Club Olimpia</t>
        </is>
      </c>
      <c r="H256" s="24" t="inlineStr">
        <is>
          <t>total</t>
        </is>
      </c>
      <c r="I256" s="24" t="inlineStr">
        <is>
          <t>over</t>
        </is>
      </c>
      <c r="J256" s="25" t="n">
        <v>2.5</v>
      </c>
      <c r="K256" s="24" t="inlineStr">
        <is>
          <t>polymarket_us</t>
        </is>
      </c>
      <c r="L256" s="26" t="n">
        <v>156</v>
      </c>
      <c r="M256" s="27" t="n">
        <v>2.56</v>
      </c>
      <c r="N256" s="28" t="n">
        <v>0.390625</v>
      </c>
      <c r="O256" s="28" t="n">
        <v>0.550338</v>
      </c>
      <c r="P256" s="28" t="n">
        <v>0.2</v>
      </c>
      <c r="Q256" s="28" t="n">
        <v>0.159713</v>
      </c>
      <c r="R256" s="26" t="n">
        <v>10</v>
      </c>
      <c r="S256" s="29" t="n">
        <v>1</v>
      </c>
      <c r="T256" s="24" t="inlineStr">
        <is>
          <t>soccer-poisson-dc-v1</t>
        </is>
      </c>
      <c r="U256" s="24" t="inlineStr">
        <is>
          <t>settled</t>
        </is>
      </c>
      <c r="V256" s="24" t="inlineStr">
        <is>
          <t>win</t>
        </is>
      </c>
      <c r="W256" s="26" t="n">
        <v>4</v>
      </c>
      <c r="X256" s="26" t="n">
        <v>1</v>
      </c>
      <c r="Y256" s="25" t="n"/>
      <c r="Z256" s="26" t="n"/>
      <c r="AA256" s="28" t="n"/>
      <c r="AB256" s="28" t="n"/>
      <c r="AC256" s="30" t="n">
        <v>1.56</v>
      </c>
      <c r="AD256" s="24" t="inlineStr">
        <is>
          <t>2026-08-21T01:25:07.402981Z</t>
        </is>
      </c>
      <c r="AE256" s="31" t="inlineStr">
        <is>
          <t>Poisson-DC rates 1.64 (home) / 1.24 (away) from EWMA attack/defense strengths. Executable ask 0.3900 (tsc-sud-clo-vas-2026-08-20-2pt5).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Vasco da Gama</t>
        </is>
      </c>
      <c r="AQ256" s="24" t="inlineStr">
        <is>
          <t>Vasco da Gama</t>
        </is>
      </c>
      <c r="AR256" s="24" t="inlineStr">
        <is>
          <t>Vasco da Gama</t>
        </is>
      </c>
      <c r="AS256" s="24" t="inlineStr">
        <is>
          <t>Club Olimpia</t>
        </is>
      </c>
      <c r="AT256" s="24" t="inlineStr">
        <is>
          <t>Club Olimpia</t>
        </is>
      </c>
      <c r="AU256" s="24" t="inlineStr">
        <is>
          <t>Club Olimpia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c95ec2023134439ab985cb4cdcc58243749b9deb564fca7a2d587c15c9875427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c95ec2023134439ab985cb4cdcc58243749b9deb564fca7a2d587c15c9875427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c95ec2023134439ab985cb4cdcc58243749b9deb564fca7a2d587c15c9875427</t>
        </is>
      </c>
      <c r="BH256" s="24" t="inlineStr">
        <is>
          <t>2026-08-20T18:56:10.241741Z</t>
        </is>
      </c>
      <c r="BI256" s="24" t="inlineStr">
        <is>
          <t>["same_event","same_team_same_day","same_league_same_day"]</t>
        </is>
      </c>
      <c r="BJ256" s="25" t="n">
        <v>2.5</v>
      </c>
      <c r="BK256" s="26" t="n">
        <v>156</v>
      </c>
      <c r="BL256" s="27" t="n">
        <v>2.56</v>
      </c>
      <c r="BM256" s="28" t="n">
        <v>0.390625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0.390625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cc92321122b24dca</t>
        </is>
      </c>
      <c r="B257" s="24" t="inlineStr">
        <is>
          <t>2026-08-20T18:57:18.690359Z</t>
        </is>
      </c>
      <c r="C257" s="24" t="inlineStr">
        <is>
          <t>2026-08-20T22:00Z</t>
        </is>
      </c>
      <c r="D257" s="24" t="inlineStr">
        <is>
          <t>401902449</t>
        </is>
      </c>
      <c r="E257" s="24" t="inlineStr">
        <is>
          <t>SOCCER</t>
        </is>
      </c>
      <c r="F257" s="24" t="inlineStr">
        <is>
          <t>Santos</t>
        </is>
      </c>
      <c r="G257" s="24" t="inlineStr">
        <is>
          <t>Macará</t>
        </is>
      </c>
      <c r="H257" s="24" t="inlineStr">
        <is>
          <t>total</t>
        </is>
      </c>
      <c r="I257" s="24" t="inlineStr">
        <is>
          <t>over</t>
        </is>
      </c>
      <c r="J257" s="25" t="n">
        <v>2.5</v>
      </c>
      <c r="K257" s="24" t="inlineStr">
        <is>
          <t>polymarket_us</t>
        </is>
      </c>
      <c r="L257" s="26" t="n">
        <v>117</v>
      </c>
      <c r="M257" s="27" t="n">
        <v>2.17</v>
      </c>
      <c r="N257" s="28" t="n">
        <v>0.460829</v>
      </c>
      <c r="O257" s="28" t="n">
        <v>0.550338</v>
      </c>
      <c r="P257" s="28" t="n">
        <v>0.2</v>
      </c>
      <c r="Q257" s="28" t="n">
        <v>0.08950900000000001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settled</t>
        </is>
      </c>
      <c r="V257" s="24" t="inlineStr">
        <is>
          <t>loss</t>
        </is>
      </c>
      <c r="W257" s="26" t="n">
        <v>0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2026-08-21T01:25:08.903336Z</t>
        </is>
      </c>
      <c r="AE257" s="31" t="inlineStr">
        <is>
          <t>Poisson-DC rates 1.64 (home) / 1.24 (away) from EWMA attack/defense strengths. Executable ask 0.4600 (tsc-sud-mac-sfa-2026-08-20-2pt5).</t>
        </is>
      </c>
      <c r="AF257" s="31" t="inlineStr">
        <is>
          <t>Research-only soccer score model; draw-aware, but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PAPER_CALL_MODEL_UNVALIDATED</t>
        </is>
      </c>
      <c r="AP257" s="24" t="inlineStr">
        <is>
          <t>Santos</t>
        </is>
      </c>
      <c r="AQ257" s="24" t="inlineStr">
        <is>
          <t>Santos</t>
        </is>
      </c>
      <c r="AR257" s="24" t="inlineStr">
        <is>
          <t>Santos</t>
        </is>
      </c>
      <c r="AS257" s="24" t="inlineStr">
        <is>
          <t>Macará</t>
        </is>
      </c>
      <c r="AT257" s="24" t="inlineStr">
        <is>
          <t>Macará</t>
        </is>
      </c>
      <c r="AU257" s="24" t="inlineStr">
        <is>
          <t>Macará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c95ec2023134439ab985cb4cdcc58243749b9deb564fca7a2d587c15c9875427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c95ec2023134439ab985cb4cdcc58243749b9deb564fca7a2d587c15c9875427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c95ec2023134439ab985cb4cdcc58243749b9deb564fca7a2d587c15c9875427</t>
        </is>
      </c>
      <c r="BH257" s="24" t="inlineStr">
        <is>
          <t>2026-08-20T18:56:10.297287Z</t>
        </is>
      </c>
      <c r="BI257" s="24" t="inlineStr">
        <is>
          <t>["same_event","same_team_same_day","same_league_same_day"]</t>
        </is>
      </c>
      <c r="BJ257" s="25" t="n">
        <v>2.5</v>
      </c>
      <c r="BK257" s="26" t="n">
        <v>117</v>
      </c>
      <c r="BL257" s="27" t="n">
        <v>2.17</v>
      </c>
      <c r="BM257" s="28" t="n">
        <v>0.460829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0.460829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18961534949b4123</t>
        </is>
      </c>
      <c r="B258" s="24" t="inlineStr">
        <is>
          <t>2026-08-20T18:57:18.690359Z</t>
        </is>
      </c>
      <c r="C258" s="24" t="inlineStr">
        <is>
          <t>2026-08-20T22:00Z</t>
        </is>
      </c>
      <c r="D258" s="24" t="inlineStr">
        <is>
          <t>401902740</t>
        </is>
      </c>
      <c r="E258" s="24" t="inlineStr">
        <is>
          <t>SOCCER</t>
        </is>
      </c>
      <c r="F258" s="24" t="inlineStr">
        <is>
          <t>Vasco da Gama</t>
        </is>
      </c>
      <c r="G258" s="24" t="inlineStr">
        <is>
          <t>Club Olimpia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178</v>
      </c>
      <c r="M258" s="27" t="n">
        <v>2.78</v>
      </c>
      <c r="N258" s="28" t="n">
        <v>0.359712</v>
      </c>
      <c r="O258" s="28" t="n">
        <v>0.456135</v>
      </c>
      <c r="P258" s="28" t="n">
        <v>0.2</v>
      </c>
      <c r="Q258" s="28" t="n">
        <v>0.09642299999999999</v>
      </c>
      <c r="R258" s="26" t="n">
        <v>0</v>
      </c>
      <c r="S258" s="29" t="n">
        <v>1</v>
      </c>
      <c r="T258" s="24" t="inlineStr">
        <is>
          <t>soccer-poisson-dc-v1</t>
        </is>
      </c>
      <c r="U258" s="24" t="inlineStr">
        <is>
          <t>settled</t>
        </is>
      </c>
      <c r="V258" s="24" t="inlineStr">
        <is>
          <t>loss</t>
        </is>
      </c>
      <c r="W258" s="26" t="n">
        <v>4</v>
      </c>
      <c r="X258" s="26" t="n">
        <v>1</v>
      </c>
      <c r="Y258" s="25" t="n"/>
      <c r="Z258" s="26" t="n"/>
      <c r="AA258" s="28" t="n"/>
      <c r="AB258" s="28" t="n"/>
      <c r="AC258" s="30" t="n">
        <v>-1</v>
      </c>
      <c r="AD258" s="24" t="inlineStr">
        <is>
          <t>2026-08-21T01:25:10.453558Z</t>
        </is>
      </c>
      <c r="AE258" s="31" t="inlineStr">
        <is>
          <t>Poisson-DC rates 1.64 (home) / 1.24 (away) from EWMA attack/defense strengths. Executable ask 0.3600 (atc-sud-clo-vas-2026-08-20-clo).</t>
        </is>
      </c>
      <c r="AF258" s="31" t="inlineStr">
        <is>
          <t>Research-only soccer score model; draw-aware, but not yet locked-holdout qualified.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PAPER_CALL_MODEL_UNVALIDATED</t>
        </is>
      </c>
      <c r="AP258" s="24" t="inlineStr">
        <is>
          <t>Vasco da Gama</t>
        </is>
      </c>
      <c r="AQ258" s="24" t="inlineStr">
        <is>
          <t>Vasco da Gama</t>
        </is>
      </c>
      <c r="AR258" s="24" t="inlineStr">
        <is>
          <t>Vasco da Gama</t>
        </is>
      </c>
      <c r="AS258" s="24" t="inlineStr">
        <is>
          <t>Club Olimpia</t>
        </is>
      </c>
      <c r="AT258" s="24" t="inlineStr">
        <is>
          <t>Club Olimpia</t>
        </is>
      </c>
      <c r="AU258" s="24" t="inlineStr">
        <is>
          <t>Club Olimpia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c95ec2023134439ab985cb4cdcc58243749b9deb564fca7a2d587c15c9875427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c95ec2023134439ab985cb4cdcc58243749b9deb564fca7a2d587c15c9875427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c95ec2023134439ab985cb4cdcc58243749b9deb564fca7a2d587c15c9875427</t>
        </is>
      </c>
      <c r="BH258" s="24" t="inlineStr">
        <is>
          <t>2026-08-20T18:56:09.750007Z</t>
        </is>
      </c>
      <c r="BI258" s="24" t="inlineStr">
        <is>
          <t>["same_event","same_team_same_day","same_league_same_day"]</t>
        </is>
      </c>
      <c r="BJ258" s="25" t="n"/>
      <c r="BK258" s="26" t="n">
        <v>178</v>
      </c>
      <c r="BL258" s="27" t="n">
        <v>2.78</v>
      </c>
      <c r="BM258" s="28" t="n">
        <v>0.359712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0.359712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5eb3a0d79aa44e0a</t>
        </is>
      </c>
      <c r="B259" s="24" t="inlineStr">
        <is>
          <t>2026-08-20T18:57:18.690359Z</t>
        </is>
      </c>
      <c r="C259" s="24" t="inlineStr">
        <is>
          <t>2026-08-20T22:00Z</t>
        </is>
      </c>
      <c r="D259" s="24" t="inlineStr">
        <is>
          <t>401902449</t>
        </is>
      </c>
      <c r="E259" s="24" t="inlineStr">
        <is>
          <t>SOCCER</t>
        </is>
      </c>
      <c r="F259" s="24" t="inlineStr">
        <is>
          <t>Santos</t>
        </is>
      </c>
      <c r="G259" s="24" t="inlineStr">
        <is>
          <t>Macará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133</v>
      </c>
      <c r="M259" s="27" t="n">
        <v>2.33</v>
      </c>
      <c r="N259" s="28" t="n">
        <v>0.429185</v>
      </c>
      <c r="O259" s="28" t="n">
        <v>0.456135</v>
      </c>
      <c r="P259" s="28" t="n">
        <v>0.2</v>
      </c>
      <c r="Q259" s="28" t="n">
        <v>0.02695</v>
      </c>
      <c r="R259" s="26" t="n">
        <v>0</v>
      </c>
      <c r="S259" s="29" t="n">
        <v>1</v>
      </c>
      <c r="T259" s="24" t="inlineStr">
        <is>
          <t>soccer-poisson-dc-v1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0</v>
      </c>
      <c r="Y259" s="25" t="n"/>
      <c r="Z259" s="26" t="n"/>
      <c r="AA259" s="28" t="n"/>
      <c r="AB259" s="28" t="n"/>
      <c r="AC259" s="30" t="n">
        <v>-1</v>
      </c>
      <c r="AD259" s="24" t="inlineStr">
        <is>
          <t>2026-08-21T01:25:12.016031Z</t>
        </is>
      </c>
      <c r="AE259" s="31" t="inlineStr">
        <is>
          <t>Poisson-DC rates 1.64 (home) / 1.24 (away) from EWMA attack/defense strengths. Executable ask 0.4300 (atc-sud-mac-sfa-2026-08-20-mac).</t>
        </is>
      </c>
      <c r="AF259" s="31" t="inlineStr">
        <is>
          <t>Research-only soccer score model; draw-aware, but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PAPER_CALL_MODEL_UNVALIDATED</t>
        </is>
      </c>
      <c r="AP259" s="24" t="inlineStr">
        <is>
          <t>Santos</t>
        </is>
      </c>
      <c r="AQ259" s="24" t="inlineStr">
        <is>
          <t>Santos</t>
        </is>
      </c>
      <c r="AR259" s="24" t="inlineStr">
        <is>
          <t>Santos</t>
        </is>
      </c>
      <c r="AS259" s="24" t="inlineStr">
        <is>
          <t>Macará</t>
        </is>
      </c>
      <c r="AT259" s="24" t="inlineStr">
        <is>
          <t>Macará</t>
        </is>
      </c>
      <c r="AU259" s="24" t="inlineStr">
        <is>
          <t>Macará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c95ec2023134439ab985cb4cdcc58243749b9deb564fca7a2d587c15c9875427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c95ec2023134439ab985cb4cdcc58243749b9deb564fca7a2d587c15c9875427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c95ec2023134439ab985cb4cdcc58243749b9deb564fca7a2d587c15c9875427</t>
        </is>
      </c>
      <c r="BH259" s="24" t="inlineStr">
        <is>
          <t>2026-08-20T18:56:10.228564Z</t>
        </is>
      </c>
      <c r="BI259" s="24" t="inlineStr">
        <is>
          <t>["same_event","same_team_same_day","same_league_same_day"]</t>
        </is>
      </c>
      <c r="BJ259" s="25" t="n"/>
      <c r="BK259" s="26" t="n">
        <v>133</v>
      </c>
      <c r="BL259" s="27" t="n">
        <v>2.33</v>
      </c>
      <c r="BM259" s="28" t="n">
        <v>0.429185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0.429185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5ebaa1351dce44cd</t>
        </is>
      </c>
      <c r="B260" s="24" t="inlineStr">
        <is>
          <t>2026-08-21T18:27:59.366267Z</t>
        </is>
      </c>
      <c r="C260" s="24" t="inlineStr">
        <is>
          <t>2026-08-21T19:00Z</t>
        </is>
      </c>
      <c r="D260" s="24" t="inlineStr">
        <is>
          <t>401879301</t>
        </is>
      </c>
      <c r="E260" s="24" t="inlineStr">
        <is>
          <t>SOCCER</t>
        </is>
      </c>
      <c r="F260" s="24" t="inlineStr">
        <is>
          <t>Coventry City</t>
        </is>
      </c>
      <c r="G260" s="24" t="inlineStr">
        <is>
          <t>Arsenal</t>
        </is>
      </c>
      <c r="H260" s="24" t="inlineStr">
        <is>
          <t>total</t>
        </is>
      </c>
      <c r="I260" s="24" t="inlineStr">
        <is>
          <t>under</t>
        </is>
      </c>
      <c r="J260" s="25" t="n">
        <v>2.5</v>
      </c>
      <c r="K260" s="24" t="inlineStr">
        <is>
          <t>polymarket_us</t>
        </is>
      </c>
      <c r="L260" s="26" t="n">
        <v>156</v>
      </c>
      <c r="M260" s="27" t="n">
        <v>2.56</v>
      </c>
      <c r="N260" s="28" t="n">
        <v>0.390625</v>
      </c>
      <c r="O260" s="28" t="n">
        <v>0.678237</v>
      </c>
      <c r="P260" s="28" t="n">
        <v>0.04</v>
      </c>
      <c r="Q260" s="28" t="n">
        <v>0.287612</v>
      </c>
      <c r="R260" s="26" t="n">
        <v>100</v>
      </c>
      <c r="S260" s="29" t="n">
        <v>2</v>
      </c>
      <c r="T260" s="24" t="inlineStr">
        <is>
          <t>soccer-poisson-dc-v1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3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2026-08-21T21:53:21.106233Z</t>
        </is>
      </c>
      <c r="AE260" s="31" t="inlineStr">
        <is>
          <t>Poisson-DC rates 1.14 (home) / 0.86 (away) from EWMA attack/defense strengths. Executable ask 0.3900 (tsc-epl-ars-cov-2026-08-21-2pt5).</t>
        </is>
      </c>
      <c r="AF260" s="31" t="inlineStr">
        <is>
          <t>Research-only soccer score model; draw-aware, but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Coventry City</t>
        </is>
      </c>
      <c r="AQ260" s="24" t="inlineStr">
        <is>
          <t>Coventry City</t>
        </is>
      </c>
      <c r="AR260" s="24" t="inlineStr">
        <is>
          <t>Coventry City</t>
        </is>
      </c>
      <c r="AS260" s="24" t="inlineStr">
        <is>
          <t>Arsenal</t>
        </is>
      </c>
      <c r="AT260" s="24" t="inlineStr">
        <is>
          <t>Arsenal</t>
        </is>
      </c>
      <c r="AU260" s="24" t="inlineStr">
        <is>
          <t>Arsenal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f585a7f3cb7ee04f9a319a60fa601ef15e86636fadaaa8c1380ac0f28f75c58a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f585a7f3cb7ee04f9a319a60fa601ef15e86636fadaaa8c1380ac0f28f75c58a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f585a7f3cb7ee04f9a319a60fa601ef15e86636fadaaa8c1380ac0f28f75c58a</t>
        </is>
      </c>
      <c r="BH260" s="24" t="inlineStr">
        <is>
          <t>2026-08-21T18:26:08.678440Z</t>
        </is>
      </c>
      <c r="BI260" s="24" t="inlineStr">
        <is>
          <t>["same_event","same_team_same_day","same_league_same_day"]</t>
        </is>
      </c>
      <c r="BJ260" s="25" t="n">
        <v>2.5</v>
      </c>
      <c r="BK260" s="26" t="n">
        <v>156</v>
      </c>
      <c r="BL260" s="27" t="n">
        <v>2.56</v>
      </c>
      <c r="BM260" s="28" t="n">
        <v>0.390625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0.390625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4c54dae5724d407d</t>
        </is>
      </c>
      <c r="B261" s="24" t="inlineStr">
        <is>
          <t>2026-08-21T18:27:59.366267Z</t>
        </is>
      </c>
      <c r="C261" s="24" t="inlineStr">
        <is>
          <t>2026-08-21T19:00Z</t>
        </is>
      </c>
      <c r="D261" s="24" t="inlineStr">
        <is>
          <t>401882914</t>
        </is>
      </c>
      <c r="E261" s="24" t="inlineStr">
        <is>
          <t>SOCCER</t>
        </is>
      </c>
      <c r="F261" s="24" t="inlineStr">
        <is>
          <t>Real Sociedad</t>
        </is>
      </c>
      <c r="G261" s="24" t="inlineStr">
        <is>
          <t>Real Betis</t>
        </is>
      </c>
      <c r="H261" s="24" t="inlineStr">
        <is>
          <t>total</t>
        </is>
      </c>
      <c r="I261" s="24" t="inlineStr">
        <is>
          <t>over</t>
        </is>
      </c>
      <c r="J261" s="25" t="n">
        <v>2.5</v>
      </c>
      <c r="K261" s="24" t="inlineStr">
        <is>
          <t>polymarket_us</t>
        </is>
      </c>
      <c r="L261" s="26" t="n">
        <v>-113</v>
      </c>
      <c r="M261" s="27" t="n">
        <v>1.884956</v>
      </c>
      <c r="N261" s="28" t="n">
        <v>0.530516</v>
      </c>
      <c r="O261" s="28" t="n">
        <v>0.669757</v>
      </c>
      <c r="P261" s="28" t="n">
        <v>0.04</v>
      </c>
      <c r="Q261" s="28" t="n">
        <v>0.139241</v>
      </c>
      <c r="R261" s="26" t="n">
        <v>96</v>
      </c>
      <c r="S261" s="29" t="n">
        <v>1.75</v>
      </c>
      <c r="T261" s="24" t="inlineStr">
        <is>
          <t>soccer-poisson-dc-v1</t>
        </is>
      </c>
      <c r="U261" s="24" t="inlineStr">
        <is>
          <t>settled</t>
        </is>
      </c>
      <c r="V261" s="24" t="inlineStr">
        <is>
          <t>loss</t>
        </is>
      </c>
      <c r="W261" s="26" t="n">
        <v>0</v>
      </c>
      <c r="X261" s="26" t="n">
        <v>1</v>
      </c>
      <c r="Y261" s="25" t="n"/>
      <c r="Z261" s="26" t="n"/>
      <c r="AA261" s="28" t="n"/>
      <c r="AB261" s="28" t="n"/>
      <c r="AC261" s="30" t="n">
        <v>-1.75</v>
      </c>
      <c r="AD261" s="24" t="inlineStr">
        <is>
          <t>2026-08-21T21:53:22.921786Z</t>
        </is>
      </c>
      <c r="AE261" s="31" t="inlineStr">
        <is>
          <t>Poisson-DC rates 2.15 (home) / 1.30 (away) from EWMA attack/defense strengths. Executable ask 0.5300 (tsc-lal-bet-rso-2026-08-21-2pt5).</t>
        </is>
      </c>
      <c r="AF261" s="31" t="inlineStr">
        <is>
          <t>Research-only soccer score model; draw-aware, but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Real Sociedad</t>
        </is>
      </c>
      <c r="AQ261" s="24" t="inlineStr">
        <is>
          <t>Real Sociedad</t>
        </is>
      </c>
      <c r="AR261" s="24" t="inlineStr">
        <is>
          <t>Real Sociedad</t>
        </is>
      </c>
      <c r="AS261" s="24" t="inlineStr">
        <is>
          <t>Real Betis</t>
        </is>
      </c>
      <c r="AT261" s="24" t="inlineStr">
        <is>
          <t>Real Betis</t>
        </is>
      </c>
      <c r="AU261" s="24" t="inlineStr">
        <is>
          <t>Real Betis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f585a7f3cb7ee04f9a319a60fa601ef15e86636fadaaa8c1380ac0f28f75c58a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f585a7f3cb7ee04f9a319a60fa601ef15e86636fadaaa8c1380ac0f28f75c58a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f585a7f3cb7ee04f9a319a60fa601ef15e86636fadaaa8c1380ac0f28f75c58a</t>
        </is>
      </c>
      <c r="BH261" s="24" t="inlineStr">
        <is>
          <t>2026-08-21T18:26:08.734800Z</t>
        </is>
      </c>
      <c r="BI261" s="24" t="inlineStr">
        <is>
          <t>["same_event","same_team_same_day","same_league_same_day"]</t>
        </is>
      </c>
      <c r="BJ261" s="25" t="n">
        <v>2.5</v>
      </c>
      <c r="BK261" s="26" t="n">
        <v>-113</v>
      </c>
      <c r="BL261" s="27" t="n">
        <v>1.884956</v>
      </c>
      <c r="BM261" s="28" t="n">
        <v>0.530516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0.530516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58c4316321694afe</t>
        </is>
      </c>
      <c r="B262" s="24" t="inlineStr">
        <is>
          <t>2026-08-21T18:27:59.366267Z</t>
        </is>
      </c>
      <c r="C262" s="24" t="inlineStr">
        <is>
          <t>2026-08-21T19:00Z</t>
        </is>
      </c>
      <c r="D262" s="24" t="inlineStr">
        <is>
          <t>401879301</t>
        </is>
      </c>
      <c r="E262" s="24" t="inlineStr">
        <is>
          <t>SOCCER</t>
        </is>
      </c>
      <c r="F262" s="24" t="inlineStr">
        <is>
          <t>Coventry City</t>
        </is>
      </c>
      <c r="G262" s="24" t="inlineStr">
        <is>
          <t>Arsenal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-456</v>
      </c>
      <c r="M262" s="27" t="n">
        <v>1.219298</v>
      </c>
      <c r="N262" s="28" t="n">
        <v>0.820144</v>
      </c>
      <c r="O262" s="28" t="n">
        <v>0.408502</v>
      </c>
      <c r="P262" s="28" t="n">
        <v>0.04</v>
      </c>
      <c r="Q262" s="28" t="n">
        <v>-0.411642</v>
      </c>
      <c r="R262" s="26" t="n">
        <v>0</v>
      </c>
      <c r="S262" s="29" t="n">
        <v>1.25</v>
      </c>
      <c r="T262" s="24" t="inlineStr">
        <is>
          <t>soccer-poisson-dc-v1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3</v>
      </c>
      <c r="Y262" s="25" t="n"/>
      <c r="Z262" s="26" t="n"/>
      <c r="AA262" s="28" t="n"/>
      <c r="AB262" s="28" t="n"/>
      <c r="AC262" s="30" t="n">
        <v>0.2741</v>
      </c>
      <c r="AD262" s="24" t="inlineStr">
        <is>
          <t>2026-08-21T21:53:24.687417Z</t>
        </is>
      </c>
      <c r="AE262" s="31" t="inlineStr">
        <is>
          <t>Poisson-DC rates 1.14 (home) / 0.86 (away) from EWMA attack/defense strengths. Executable ask 0.8200 (atc-epl-ars-cov-2026-08-21-ars).</t>
        </is>
      </c>
      <c r="AF262" s="31" t="inlineStr">
        <is>
          <t>Research-only soccer score model; draw-aware, but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Coventry City</t>
        </is>
      </c>
      <c r="AQ262" s="24" t="inlineStr">
        <is>
          <t>Coventry City</t>
        </is>
      </c>
      <c r="AR262" s="24" t="inlineStr">
        <is>
          <t>Coventry City</t>
        </is>
      </c>
      <c r="AS262" s="24" t="inlineStr">
        <is>
          <t>Arsenal</t>
        </is>
      </c>
      <c r="AT262" s="24" t="inlineStr">
        <is>
          <t>Arsenal</t>
        </is>
      </c>
      <c r="AU262" s="24" t="inlineStr">
        <is>
          <t>Arsenal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f585a7f3cb7ee04f9a319a60fa601ef15e86636fadaaa8c1380ac0f28f75c58a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f585a7f3cb7ee04f9a319a60fa601ef15e86636fadaaa8c1380ac0f28f75c58a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f585a7f3cb7ee04f9a319a60fa601ef15e86636fadaaa8c1380ac0f28f75c58a</t>
        </is>
      </c>
      <c r="BH262" s="24" t="inlineStr">
        <is>
          <t>2026-08-21T18:26:08.555096Z</t>
        </is>
      </c>
      <c r="BI262" s="24" t="inlineStr">
        <is>
          <t>["same_event","same_team_same_day","same_league_same_day"]</t>
        </is>
      </c>
      <c r="BJ262" s="25" t="n"/>
      <c r="BK262" s="26" t="n">
        <v>-456</v>
      </c>
      <c r="BL262" s="27" t="n">
        <v>1.219298</v>
      </c>
      <c r="BM262" s="28" t="n">
        <v>0.820144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0.820144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2474798b7bd24da8</t>
        </is>
      </c>
      <c r="B263" s="24" t="inlineStr">
        <is>
          <t>2026-08-21T18:27:59.366267Z</t>
        </is>
      </c>
      <c r="C263" s="24" t="inlineStr">
        <is>
          <t>2026-08-21T19:00Z</t>
        </is>
      </c>
      <c r="D263" s="24" t="inlineStr">
        <is>
          <t>401882914</t>
        </is>
      </c>
      <c r="E263" s="24" t="inlineStr">
        <is>
          <t>SOCCER</t>
        </is>
      </c>
      <c r="F263" s="24" t="inlineStr">
        <is>
          <t>Real Sociedad</t>
        </is>
      </c>
      <c r="G263" s="24" t="inlineStr">
        <is>
          <t>Real Betis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113</v>
      </c>
      <c r="M263" s="27" t="n">
        <v>2.13</v>
      </c>
      <c r="N263" s="28" t="n">
        <v>0.469484</v>
      </c>
      <c r="O263" s="28" t="n">
        <v>0.5579190000000001</v>
      </c>
      <c r="P263" s="28" t="n">
        <v>0.04</v>
      </c>
      <c r="Q263" s="28" t="n">
        <v>0.088435</v>
      </c>
      <c r="R263" s="26" t="n">
        <v>70</v>
      </c>
      <c r="S263" s="29" t="n">
        <v>1</v>
      </c>
      <c r="T263" s="24" t="inlineStr">
        <is>
          <t>soccer-poisson-dc-v1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1.13</v>
      </c>
      <c r="AD263" s="24" t="inlineStr">
        <is>
          <t>2026-08-21T21:53:26.590974Z</t>
        </is>
      </c>
      <c r="AE263" s="31" t="inlineStr">
        <is>
          <t>Poisson-DC rates 2.15 (home) / 1.30 (away) from EWMA attack/defense strengths. Executable ask 0.4700 (atc-lal-bet-rso-2026-08-21-bet).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Real Sociedad</t>
        </is>
      </c>
      <c r="AQ263" s="24" t="inlineStr">
        <is>
          <t>Real Sociedad</t>
        </is>
      </c>
      <c r="AR263" s="24" t="inlineStr">
        <is>
          <t>Real Sociedad</t>
        </is>
      </c>
      <c r="AS263" s="24" t="inlineStr">
        <is>
          <t>Real Betis</t>
        </is>
      </c>
      <c r="AT263" s="24" t="inlineStr">
        <is>
          <t>Real Betis</t>
        </is>
      </c>
      <c r="AU263" s="24" t="inlineStr">
        <is>
          <t>Real Betis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f585a7f3cb7ee04f9a319a60fa601ef15e86636fadaaa8c1380ac0f28f75c58a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f585a7f3cb7ee04f9a319a60fa601ef15e86636fadaaa8c1380ac0f28f75c58a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f585a7f3cb7ee04f9a319a60fa601ef15e86636fadaaa8c1380ac0f28f75c58a</t>
        </is>
      </c>
      <c r="BH263" s="24" t="inlineStr">
        <is>
          <t>2026-08-21T18:26:08.724331Z</t>
        </is>
      </c>
      <c r="BI263" s="24" t="inlineStr">
        <is>
          <t>["same_event","same_team_same_day","same_league_same_day"]</t>
        </is>
      </c>
      <c r="BJ263" s="25" t="n"/>
      <c r="BK263" s="26" t="n">
        <v>113</v>
      </c>
      <c r="BL263" s="27" t="n">
        <v>2.13</v>
      </c>
      <c r="BM263" s="28" t="n">
        <v>0.469484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0.469484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1a9295be9c5c4708</t>
        </is>
      </c>
      <c r="B264" s="24" t="inlineStr">
        <is>
          <t>2026-08-21T18:27:59.366267Z</t>
        </is>
      </c>
      <c r="C264" s="24" t="inlineStr">
        <is>
          <t>2026-08-21T18:30Z</t>
        </is>
      </c>
      <c r="D264" s="24" t="inlineStr">
        <is>
          <t>401909202</t>
        </is>
      </c>
      <c r="E264" s="24" t="inlineStr">
        <is>
          <t>SOCCER</t>
        </is>
      </c>
      <c r="F264" s="24" t="inlineStr">
        <is>
          <t>Boston River</t>
        </is>
      </c>
      <c r="G264" s="24" t="inlineStr">
        <is>
          <t>Albion FC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144</v>
      </c>
      <c r="M264" s="27" t="n">
        <v>2.44</v>
      </c>
      <c r="N264" s="28" t="n">
        <v>0.409836</v>
      </c>
      <c r="O264" s="28" t="n">
        <v>0.5359159999999999</v>
      </c>
      <c r="P264" s="28" t="n">
        <v>0.2</v>
      </c>
      <c r="Q264" s="28" t="n">
        <v>0.12608</v>
      </c>
      <c r="R264" s="26" t="n">
        <v>0</v>
      </c>
      <c r="S264" s="29" t="n">
        <v>1</v>
      </c>
      <c r="T264" s="24" t="inlineStr">
        <is>
          <t>soccer-poisson-dc-v1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</v>
      </c>
      <c r="X264" s="26" t="n">
        <v>2</v>
      </c>
      <c r="Y264" s="25" t="n"/>
      <c r="Z264" s="26" t="n"/>
      <c r="AA264" s="28" t="n"/>
      <c r="AB264" s="28" t="n"/>
      <c r="AC264" s="30" t="n">
        <v>-1</v>
      </c>
      <c r="AD264" s="24" t="inlineStr">
        <is>
          <t>2026-08-21T21:53:29.049094Z</t>
        </is>
      </c>
      <c r="AE264" s="31" t="inlineStr">
        <is>
          <t>Poisson-DC rates 1.84 (home) / 1.10 (away) from EWMA attack/defense strengths. Executable ask 0.4100 (atc-uru1-alb-bri-2026-08-21-alb).</t>
        </is>
      </c>
      <c r="AF264" s="31" t="inlineStr">
        <is>
          <t>Research-only soccer score model; draw-aware, but not yet locked-holdout qualified.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PAPER_CALL_MODEL_UNVALIDATED</t>
        </is>
      </c>
      <c r="AP264" s="24" t="inlineStr">
        <is>
          <t>Boston River</t>
        </is>
      </c>
      <c r="AQ264" s="24" t="inlineStr">
        <is>
          <t>Boston River</t>
        </is>
      </c>
      <c r="AR264" s="24" t="inlineStr">
        <is>
          <t>Boston River</t>
        </is>
      </c>
      <c r="AS264" s="24" t="inlineStr">
        <is>
          <t>Albion FC</t>
        </is>
      </c>
      <c r="AT264" s="24" t="inlineStr">
        <is>
          <t>Albion FC</t>
        </is>
      </c>
      <c r="AU264" s="24" t="inlineStr">
        <is>
          <t>Albion FC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f585a7f3cb7ee04f9a319a60fa601ef15e86636fadaaa8c1380ac0f28f75c58a</t>
        </is>
      </c>
      <c r="BB264" s="24" t="inlineStr">
        <is>
          <t>poisson_dixon_coles</t>
        </is>
      </c>
      <c r="BC264" s="24" t="inlineStr">
        <is>
          <t>soccer-poisson-dc-v1</t>
        </is>
      </c>
      <c r="BD264" s="24" t="inlineStr">
        <is>
          <t>f585a7f3cb7ee04f9a319a60fa601ef15e86636fadaaa8c1380ac0f28f75c58a</t>
        </is>
      </c>
      <c r="BE264" s="24" t="inlineStr">
        <is>
          <t>soccer-poisson-dc-v1</t>
        </is>
      </c>
      <c r="BF264" s="24" t="inlineStr">
        <is>
          <t>1</t>
        </is>
      </c>
      <c r="BG264" s="24" t="inlineStr">
        <is>
          <t>f585a7f3cb7ee04f9a319a60fa601ef15e86636fadaaa8c1380ac0f28f75c58a</t>
        </is>
      </c>
      <c r="BH264" s="24" t="inlineStr">
        <is>
          <t>2026-08-21T18:26:08.902200Z</t>
        </is>
      </c>
      <c r="BI264" s="24" t="inlineStr">
        <is>
          <t>["same_event","same_team_same_day","same_league_same_day"]</t>
        </is>
      </c>
      <c r="BJ264" s="25" t="n"/>
      <c r="BK264" s="26" t="n">
        <v>144</v>
      </c>
      <c r="BL264" s="27" t="n">
        <v>2.44</v>
      </c>
      <c r="BM264" s="28" t="n">
        <v>0.409836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0.409836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4ef294f65947443b</t>
        </is>
      </c>
      <c r="B265" s="24" t="inlineStr">
        <is>
          <t>2026-08-21T21:56:54.074327Z</t>
        </is>
      </c>
      <c r="C265" s="24" t="inlineStr">
        <is>
          <t>2026-08-21T22:00Z</t>
        </is>
      </c>
      <c r="D265" s="24" t="inlineStr">
        <is>
          <t>401844065</t>
        </is>
      </c>
      <c r="E265" s="24" t="inlineStr">
        <is>
          <t>SOCCER</t>
        </is>
      </c>
      <c r="F265" s="24" t="inlineStr">
        <is>
          <t>Mitre (Santiago del Estero)</t>
        </is>
      </c>
      <c r="G265" s="24" t="inlineStr">
        <is>
          <t>Deportivo Madryn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-113</v>
      </c>
      <c r="M265" s="27" t="n">
        <v>1.884956</v>
      </c>
      <c r="N265" s="28" t="n">
        <v>0.530516</v>
      </c>
      <c r="O265" s="28" t="n">
        <v>0.456135</v>
      </c>
      <c r="P265" s="28" t="n">
        <v>0.2</v>
      </c>
      <c r="Q265" s="28" t="n">
        <v>-0.074381</v>
      </c>
      <c r="R265" s="26" t="n">
        <v>0</v>
      </c>
      <c r="S265" s="29" t="n">
        <v>1</v>
      </c>
      <c r="T265" s="24" t="inlineStr">
        <is>
          <t>soccer-poisson-dc-v1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4</v>
      </c>
      <c r="Y265" s="25" t="n"/>
      <c r="Z265" s="26" t="n"/>
      <c r="AA265" s="28" t="n"/>
      <c r="AB265" s="28" t="n"/>
      <c r="AC265" s="30" t="n">
        <v>0.885</v>
      </c>
      <c r="AD265" s="24" t="inlineStr">
        <is>
          <t>2026-08-22T00:59:58.693301Z</t>
        </is>
      </c>
      <c r="AE265" s="31" t="inlineStr">
        <is>
          <t>Poisson-DC rates 1.64 (home) / 1.24 (away) from EWMA attack/defense strengths. Executable ask 0.5300 (atc-arg2-dma-cam-2026-08-22-dma).</t>
        </is>
      </c>
      <c r="AF265" s="31" t="inlineStr">
        <is>
          <t>Research-only soccer score model; draw-aware, but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Mitre (Santiago del Estero)</t>
        </is>
      </c>
      <c r="AQ265" s="24" t="inlineStr">
        <is>
          <t>Mitre (Santiago del Estero)</t>
        </is>
      </c>
      <c r="AR265" s="24" t="inlineStr">
        <is>
          <t>Mitre (Santiago del Estero)</t>
        </is>
      </c>
      <c r="AS265" s="24" t="inlineStr">
        <is>
          <t>Deportivo Madryn</t>
        </is>
      </c>
      <c r="AT265" s="24" t="inlineStr">
        <is>
          <t>Deportivo Madryn</t>
        </is>
      </c>
      <c r="AU265" s="24" t="inlineStr">
        <is>
          <t>Deportivo Madryn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f585a7f3cb7ee04f9a319a60fa601ef15e86636fadaaa8c1380ac0f28f75c58a</t>
        </is>
      </c>
      <c r="BB265" s="24" t="inlineStr">
        <is>
          <t>poisson_dixon_coles</t>
        </is>
      </c>
      <c r="BC265" s="24" t="inlineStr">
        <is>
          <t>soccer-poisson-dc-v1</t>
        </is>
      </c>
      <c r="BD265" s="24" t="inlineStr">
        <is>
          <t>f585a7f3cb7ee04f9a319a60fa601ef15e86636fadaaa8c1380ac0f28f75c58a</t>
        </is>
      </c>
      <c r="BE265" s="24" t="inlineStr">
        <is>
          <t>soccer-poisson-dc-v1</t>
        </is>
      </c>
      <c r="BF265" s="24" t="inlineStr">
        <is>
          <t>1</t>
        </is>
      </c>
      <c r="BG265" s="24" t="inlineStr">
        <is>
          <t>f585a7f3cb7ee04f9a319a60fa601ef15e86636fadaaa8c1380ac0f28f75c58a</t>
        </is>
      </c>
      <c r="BH265" s="24" t="inlineStr">
        <is>
          <t>2026-08-21T21:54:44.261545Z</t>
        </is>
      </c>
      <c r="BI265" s="24" t="inlineStr">
        <is>
          <t>["same_event","same_team_same_day","same_league_same_day"]</t>
        </is>
      </c>
      <c r="BJ265" s="25" t="n"/>
      <c r="BK265" s="26" t="n">
        <v>-113</v>
      </c>
      <c r="BL265" s="27" t="n">
        <v>1.884956</v>
      </c>
      <c r="BM265" s="28" t="n">
        <v>0.530516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0.530516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44f45eb851a84688</t>
        </is>
      </c>
      <c r="B266" s="24" t="inlineStr">
        <is>
          <t>2026-08-21T21:56:54.074327Z</t>
        </is>
      </c>
      <c r="C266" s="24" t="inlineStr">
        <is>
          <t>2026-08-22T00:30Z</t>
        </is>
      </c>
      <c r="D266" s="24" t="inlineStr">
        <is>
          <t>401877874</t>
        </is>
      </c>
      <c r="E266" s="24" t="inlineStr">
        <is>
          <t>SOCCER</t>
        </is>
      </c>
      <c r="F266" s="24" t="inlineStr">
        <is>
          <t>Deportivo Pereira</t>
        </is>
      </c>
      <c r="G266" s="24" t="inlineStr">
        <is>
          <t>Alianza FC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-156</v>
      </c>
      <c r="M266" s="27" t="n">
        <v>1.641026</v>
      </c>
      <c r="N266" s="28" t="n">
        <v>0.609375</v>
      </c>
      <c r="O266" s="28" t="n">
        <v>0.424741</v>
      </c>
      <c r="P266" s="28" t="n">
        <v>0.19</v>
      </c>
      <c r="Q266" s="28" t="n">
        <v>-0.184634</v>
      </c>
      <c r="R266" s="26" t="n">
        <v>0</v>
      </c>
      <c r="S266" s="29" t="n">
        <v>1</v>
      </c>
      <c r="T266" s="24" t="inlineStr">
        <is>
          <t>soccer-poisson-dc-v1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0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2026-08-22T04:08:25.025492Z</t>
        </is>
      </c>
      <c r="AE266" s="31" t="inlineStr">
        <is>
          <t>Poisson-DC rates 1.30 (home) / 0.98 (away) from EWMA attack/defense strengths. Executable ask 0.6100 (atc-lco-alp-per-2026-08-21-alp).</t>
        </is>
      </c>
      <c r="AF266" s="31" t="inlineStr">
        <is>
          <t>Research-only soccer score model; draw-aware, but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PAPER_CALL_MODEL_UNVALIDATED</t>
        </is>
      </c>
      <c r="AP266" s="24" t="inlineStr">
        <is>
          <t>Deportivo Pereira</t>
        </is>
      </c>
      <c r="AQ266" s="24" t="inlineStr">
        <is>
          <t>Deportivo Pereira</t>
        </is>
      </c>
      <c r="AR266" s="24" t="inlineStr">
        <is>
          <t>Deportivo Pereira</t>
        </is>
      </c>
      <c r="AS266" s="24" t="inlineStr">
        <is>
          <t>Alianza FC</t>
        </is>
      </c>
      <c r="AT266" s="24" t="inlineStr">
        <is>
          <t>Alianza FC</t>
        </is>
      </c>
      <c r="AU266" s="24" t="inlineStr">
        <is>
          <t>Alianza FC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f585a7f3cb7ee04f9a319a60fa601ef15e86636fadaaa8c1380ac0f28f75c58a</t>
        </is>
      </c>
      <c r="BB266" s="24" t="inlineStr">
        <is>
          <t>poisson_dixon_coles</t>
        </is>
      </c>
      <c r="BC266" s="24" t="inlineStr">
        <is>
          <t>soccer-poisson-dc-v1</t>
        </is>
      </c>
      <c r="BD266" s="24" t="inlineStr">
        <is>
          <t>f585a7f3cb7ee04f9a319a60fa601ef15e86636fadaaa8c1380ac0f28f75c58a</t>
        </is>
      </c>
      <c r="BE266" s="24" t="inlineStr">
        <is>
          <t>soccer-poisson-dc-v1</t>
        </is>
      </c>
      <c r="BF266" s="24" t="inlineStr">
        <is>
          <t>1</t>
        </is>
      </c>
      <c r="BG266" s="24" t="inlineStr">
        <is>
          <t>f585a7f3cb7ee04f9a319a60fa601ef15e86636fadaaa8c1380ac0f28f75c58a</t>
        </is>
      </c>
      <c r="BH266" s="24" t="inlineStr">
        <is>
          <t>2026-08-21T21:54:44.296470Z</t>
        </is>
      </c>
      <c r="BI266" s="24" t="inlineStr">
        <is>
          <t>["same_event","same_team_same_day","same_league_same_day"]</t>
        </is>
      </c>
      <c r="BJ266" s="25" t="n"/>
      <c r="BK266" s="26" t="n">
        <v>-156</v>
      </c>
      <c r="BL266" s="27" t="n">
        <v>1.641026</v>
      </c>
      <c r="BM266" s="28" t="n">
        <v>0.609375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0.609375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29de99126c9d4b6e</t>
        </is>
      </c>
      <c r="B267" s="24" t="inlineStr">
        <is>
          <t>2026-08-21T21:56:54.074327Z</t>
        </is>
      </c>
      <c r="C267" s="24" t="inlineStr">
        <is>
          <t>2026-08-21T22:00Z</t>
        </is>
      </c>
      <c r="D267" s="24" t="inlineStr">
        <is>
          <t>401909161</t>
        </is>
      </c>
      <c r="E267" s="24" t="inlineStr">
        <is>
          <t>SOCCER</t>
        </is>
      </c>
      <c r="F267" s="24" t="inlineStr">
        <is>
          <t>Cerro</t>
        </is>
      </c>
      <c r="G267" s="24" t="inlineStr">
        <is>
          <t>Liverpool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0.528214</v>
      </c>
      <c r="P267" s="28" t="n">
        <v>0.2</v>
      </c>
      <c r="Q267" s="28" t="n">
        <v>-0.051618</v>
      </c>
      <c r="R267" s="26" t="n">
        <v>0</v>
      </c>
      <c r="S267" s="29" t="n">
        <v>1</v>
      </c>
      <c r="T267" s="24" t="inlineStr">
        <is>
          <t>soccer-poisson-dc-v1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4</v>
      </c>
      <c r="Y267" s="25" t="n"/>
      <c r="Z267" s="26" t="n"/>
      <c r="AA267" s="28" t="n"/>
      <c r="AB267" s="28" t="n"/>
      <c r="AC267" s="30" t="n">
        <v>0.7246</v>
      </c>
      <c r="AD267" s="24" t="inlineStr">
        <is>
          <t>2026-08-22T01:00:00.942657Z</t>
        </is>
      </c>
      <c r="AE267" s="31" t="inlineStr">
        <is>
          <t>Poisson-DC rates 1.93 (home) / 1.23 (away) from EWMA attack/defense strengths. Executable ask 0.5800 (atc-uru1-liv-cer-2026-08-21-liv).</t>
        </is>
      </c>
      <c r="AF267" s="31" t="inlineStr">
        <is>
          <t>Research-only soccer score model; draw-aware, but not yet locked-holdout qualified.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Cerro</t>
        </is>
      </c>
      <c r="AQ267" s="24" t="inlineStr">
        <is>
          <t>Cerro</t>
        </is>
      </c>
      <c r="AR267" s="24" t="inlineStr">
        <is>
          <t>Cerro</t>
        </is>
      </c>
      <c r="AS267" s="24" t="inlineStr">
        <is>
          <t>Liverpool</t>
        </is>
      </c>
      <c r="AT267" s="24" t="inlineStr">
        <is>
          <t>Liverpool</t>
        </is>
      </c>
      <c r="AU267" s="24" t="inlineStr">
        <is>
          <t>Liverpool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f585a7f3cb7ee04f9a319a60fa601ef15e86636fadaaa8c1380ac0f28f75c58a</t>
        </is>
      </c>
      <c r="BB267" s="24" t="inlineStr">
        <is>
          <t>poisson_dixon_coles</t>
        </is>
      </c>
      <c r="BC267" s="24" t="inlineStr">
        <is>
          <t>soccer-poisson-dc-v1</t>
        </is>
      </c>
      <c r="BD267" s="24" t="inlineStr">
        <is>
          <t>f585a7f3cb7ee04f9a319a60fa601ef15e86636fadaaa8c1380ac0f28f75c58a</t>
        </is>
      </c>
      <c r="BE267" s="24" t="inlineStr">
        <is>
          <t>soccer-poisson-dc-v1</t>
        </is>
      </c>
      <c r="BF267" s="24" t="inlineStr">
        <is>
          <t>1</t>
        </is>
      </c>
      <c r="BG267" s="24" t="inlineStr">
        <is>
          <t>f585a7f3cb7ee04f9a319a60fa601ef15e86636fadaaa8c1380ac0f28f75c58a</t>
        </is>
      </c>
      <c r="BH267" s="24" t="inlineStr">
        <is>
          <t>2026-08-21T21:54:44.323669Z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0.579832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07ba9afe71c34504</t>
        </is>
      </c>
      <c r="B268" s="24" t="inlineStr">
        <is>
          <t>2026-08-21T21:56:54.074327Z</t>
        </is>
      </c>
      <c r="C268" s="24" t="inlineStr">
        <is>
          <t>2026-08-22T00:00Z</t>
        </is>
      </c>
      <c r="D268" s="24" t="inlineStr">
        <is>
          <t>401859721</t>
        </is>
      </c>
      <c r="E268" s="24" t="inlineStr">
        <is>
          <t>SOCCER</t>
        </is>
      </c>
      <c r="F268" s="24" t="inlineStr">
        <is>
          <t>Independiente del Valle</t>
        </is>
      </c>
      <c r="G268" s="24" t="inlineStr">
        <is>
          <t>Leones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426</v>
      </c>
      <c r="M268" s="27" t="n">
        <v>5.26</v>
      </c>
      <c r="N268" s="28" t="n">
        <v>0.190114</v>
      </c>
      <c r="O268" s="28" t="n">
        <v>0.473701</v>
      </c>
      <c r="P268" s="28" t="n">
        <v>0.2</v>
      </c>
      <c r="Q268" s="28" t="n">
        <v>0.283587</v>
      </c>
      <c r="R268" s="26" t="n">
        <v>72</v>
      </c>
      <c r="S268" s="29" t="n">
        <v>1</v>
      </c>
      <c r="T268" s="24" t="inlineStr">
        <is>
          <t>soccer-poisson-dc-v1</t>
        </is>
      </c>
      <c r="U268" s="24" t="inlineStr">
        <is>
          <t>settled</t>
        </is>
      </c>
      <c r="V268" s="24" t="inlineStr">
        <is>
          <t>loss</t>
        </is>
      </c>
      <c r="W268" s="26" t="n">
        <v>3</v>
      </c>
      <c r="X268" s="26" t="n">
        <v>2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2026-08-22T04:08:27.080510Z</t>
        </is>
      </c>
      <c r="AE268" s="31" t="inlineStr">
        <is>
          <t>Poisson-DC rates 1.59 (home) / 1.10 (away) from EWMA attack/defense strengths. Executable ask 0.1900 (atc-ecu1-leo-ind-2026-08-21-leo).</t>
        </is>
      </c>
      <c r="AF268" s="31" t="inlineStr">
        <is>
          <t>Research-only soccer score model; draw-aware, but not yet locked-holdout qualified.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Independiente del Valle</t>
        </is>
      </c>
      <c r="AQ268" s="24" t="inlineStr">
        <is>
          <t>Independiente del Valle</t>
        </is>
      </c>
      <c r="AR268" s="24" t="inlineStr">
        <is>
          <t>Independiente del Valle</t>
        </is>
      </c>
      <c r="AS268" s="24" t="inlineStr">
        <is>
          <t>Leones</t>
        </is>
      </c>
      <c r="AT268" s="24" t="inlineStr">
        <is>
          <t>Leones</t>
        </is>
      </c>
      <c r="AU268" s="24" t="inlineStr">
        <is>
          <t>Leones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f585a7f3cb7ee04f9a319a60fa601ef15e86636fadaaa8c1380ac0f28f75c58a</t>
        </is>
      </c>
      <c r="BB268" s="24" t="inlineStr">
        <is>
          <t>poisson_dixon_coles</t>
        </is>
      </c>
      <c r="BC268" s="24" t="inlineStr">
        <is>
          <t>soccer-poisson-dc-v1</t>
        </is>
      </c>
      <c r="BD268" s="24" t="inlineStr">
        <is>
          <t>f585a7f3cb7ee04f9a319a60fa601ef15e86636fadaaa8c1380ac0f28f75c58a</t>
        </is>
      </c>
      <c r="BE268" s="24" t="inlineStr">
        <is>
          <t>soccer-poisson-dc-v1</t>
        </is>
      </c>
      <c r="BF268" s="24" t="inlineStr">
        <is>
          <t>1</t>
        </is>
      </c>
      <c r="BG268" s="24" t="inlineStr">
        <is>
          <t>f585a7f3cb7ee04f9a319a60fa601ef15e86636fadaaa8c1380ac0f28f75c58a</t>
        </is>
      </c>
      <c r="BH268" s="24" t="inlineStr">
        <is>
          <t>2026-08-21T21:54:44.337348Z</t>
        </is>
      </c>
      <c r="BI268" s="24" t="inlineStr">
        <is>
          <t>["same_event","same_team_same_day","same_league_same_day"]</t>
        </is>
      </c>
      <c r="BJ268" s="25" t="n"/>
      <c r="BK268" s="26" t="n">
        <v>426</v>
      </c>
      <c r="BL268" s="27" t="n">
        <v>5.26</v>
      </c>
      <c r="BM268" s="28" t="n">
        <v>0.190114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0.190114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c9977472d7a249e3</t>
        </is>
      </c>
      <c r="B269" s="24" t="inlineStr">
        <is>
          <t>2026-08-22T09:16:26.860576Z</t>
        </is>
      </c>
      <c r="C269" s="24" t="inlineStr">
        <is>
          <t>2026-08-22T11:30Z</t>
        </is>
      </c>
      <c r="D269" s="24" t="inlineStr">
        <is>
          <t>401879322</t>
        </is>
      </c>
      <c r="E269" s="24" t="inlineStr">
        <is>
          <t>SOCCER</t>
        </is>
      </c>
      <c r="F269" s="24" t="inlineStr">
        <is>
          <t>Manchester United</t>
        </is>
      </c>
      <c r="G269" s="24" t="inlineStr">
        <is>
          <t>Hull City</t>
        </is>
      </c>
      <c r="H269" s="24" t="inlineStr">
        <is>
          <t>total</t>
        </is>
      </c>
      <c r="I269" s="24" t="inlineStr">
        <is>
          <t>under</t>
        </is>
      </c>
      <c r="J269" s="25" t="n">
        <v>2.5</v>
      </c>
      <c r="K269" s="24" t="inlineStr">
        <is>
          <t>polymarket_us</t>
        </is>
      </c>
      <c r="L269" s="26" t="n">
        <v>163</v>
      </c>
      <c r="M269" s="27" t="n">
        <v>2.63</v>
      </c>
      <c r="N269" s="28" t="n">
        <v>0.380228</v>
      </c>
      <c r="O269" s="28" t="n">
        <v>0.55752</v>
      </c>
      <c r="P269" s="28" t="n">
        <v>0.04</v>
      </c>
      <c r="Q269" s="28" t="n">
        <v>0.177292</v>
      </c>
      <c r="R269" s="26" t="n">
        <v>100</v>
      </c>
      <c r="S269" s="29" t="n">
        <v>1</v>
      </c>
      <c r="T269" s="24" t="inlineStr">
        <is>
          <t>soccer-poisson-dc-v1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2</v>
      </c>
      <c r="Y269" s="25" t="n"/>
      <c r="Z269" s="26" t="n"/>
      <c r="AA269" s="28" t="n"/>
      <c r="AB269" s="28" t="n"/>
      <c r="AC269" s="30" t="n">
        <v>1.63</v>
      </c>
      <c r="AD269" s="24" t="inlineStr">
        <is>
          <t>2026-08-22T15:39:10.814283Z</t>
        </is>
      </c>
      <c r="AE269" s="31" t="inlineStr">
        <is>
          <t>Poisson-DC rates 1.27 (home) / 1.18 (away) from EWMA attack/defense strengths. Executable ask 0.3800 (tsc-epl-hul-mnu-2026-08-22-2pt5).</t>
        </is>
      </c>
      <c r="AF269" s="31" t="inlineStr">
        <is>
          <t>Research-only soccer score model; draw-aware, but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Manchester United</t>
        </is>
      </c>
      <c r="AQ269" s="24" t="inlineStr">
        <is>
          <t>Manchester United</t>
        </is>
      </c>
      <c r="AR269" s="24" t="inlineStr">
        <is>
          <t>Manchester United</t>
        </is>
      </c>
      <c r="AS269" s="24" t="inlineStr">
        <is>
          <t>Hull City</t>
        </is>
      </c>
      <c r="AT269" s="24" t="inlineStr">
        <is>
          <t>Hull City</t>
        </is>
      </c>
      <c r="AU269" s="24" t="inlineStr">
        <is>
          <t>Hull City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f585a7f3cb7ee04f9a319a60fa601ef15e86636fadaaa8c1380ac0f28f75c58a</t>
        </is>
      </c>
      <c r="BB269" s="24" t="inlineStr">
        <is>
          <t>poisson_dixon_coles</t>
        </is>
      </c>
      <c r="BC269" s="24" t="inlineStr">
        <is>
          <t>soccer-poisson-dc-v1</t>
        </is>
      </c>
      <c r="BD269" s="24" t="inlineStr">
        <is>
          <t>f585a7f3cb7ee04f9a319a60fa601ef15e86636fadaaa8c1380ac0f28f75c58a</t>
        </is>
      </c>
      <c r="BE269" s="24" t="inlineStr">
        <is>
          <t>soccer-poisson-dc-v1</t>
        </is>
      </c>
      <c r="BF269" s="24" t="inlineStr">
        <is>
          <t>1</t>
        </is>
      </c>
      <c r="BG269" s="24" t="inlineStr">
        <is>
          <t>f585a7f3cb7ee04f9a319a60fa601ef15e86636fadaaa8c1380ac0f28f75c58a</t>
        </is>
      </c>
      <c r="BH269" s="24" t="inlineStr">
        <is>
          <t>2026-08-22T09:13:41.182449Z</t>
        </is>
      </c>
      <c r="BI269" s="24" t="inlineStr">
        <is>
          <t>["same_event","same_team_same_day","same_league_same_day"]</t>
        </is>
      </c>
      <c r="BJ269" s="25" t="n">
        <v>2.5</v>
      </c>
      <c r="BK269" s="26" t="n">
        <v>163</v>
      </c>
      <c r="BL269" s="27" t="n">
        <v>2.63</v>
      </c>
      <c r="BM269" s="28" t="n">
        <v>0.380228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0.380228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6f369b3fc96942e9</t>
        </is>
      </c>
      <c r="B270" s="24" t="inlineStr">
        <is>
          <t>2026-08-22T09:16:26.860576Z</t>
        </is>
      </c>
      <c r="C270" s="24" t="inlineStr">
        <is>
          <t>2026-08-22T11:30Z</t>
        </is>
      </c>
      <c r="D270" s="24" t="inlineStr">
        <is>
          <t>401879322</t>
        </is>
      </c>
      <c r="E270" s="24" t="inlineStr">
        <is>
          <t>SOCCER</t>
        </is>
      </c>
      <c r="F270" s="24" t="inlineStr">
        <is>
          <t>Manchester United</t>
        </is>
      </c>
      <c r="G270" s="24" t="inlineStr">
        <is>
          <t>Hull City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900</v>
      </c>
      <c r="M270" s="27" t="n">
        <v>10</v>
      </c>
      <c r="N270" s="28" t="n">
        <v>0.1</v>
      </c>
      <c r="O270" s="28" t="n">
        <v>0.372105</v>
      </c>
      <c r="P270" s="28" t="n">
        <v>0.04</v>
      </c>
      <c r="Q270" s="28" t="n">
        <v>0.272105</v>
      </c>
      <c r="R270" s="26" t="n">
        <v>100</v>
      </c>
      <c r="S270" s="29" t="n">
        <v>1.5</v>
      </c>
      <c r="T270" s="24" t="inlineStr">
        <is>
          <t>soccer-poisson-dc-v1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2</v>
      </c>
      <c r="Y270" s="25" t="n"/>
      <c r="Z270" s="26" t="n"/>
      <c r="AA270" s="28" t="n"/>
      <c r="AB270" s="28" t="n"/>
      <c r="AC270" s="30" t="n">
        <v>13.5</v>
      </c>
      <c r="AD270" s="24" t="inlineStr">
        <is>
          <t>2026-08-22T15:39:13.066849Z</t>
        </is>
      </c>
      <c r="AE270" s="31" t="inlineStr">
        <is>
          <t>Poisson-DC rates 1.27 (home) / 1.18 (away) from EWMA attack/defense strengths. Executable ask 0.1000 (atc-epl-hul-mnu-2026-08-22-hul).</t>
        </is>
      </c>
      <c r="AF270" s="31" t="inlineStr">
        <is>
          <t>Research-only soccer score model; draw-aware, but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Manchester United</t>
        </is>
      </c>
      <c r="AQ270" s="24" t="inlineStr">
        <is>
          <t>Manchester United</t>
        </is>
      </c>
      <c r="AR270" s="24" t="inlineStr">
        <is>
          <t>Manchester United</t>
        </is>
      </c>
      <c r="AS270" s="24" t="inlineStr">
        <is>
          <t>Hull City</t>
        </is>
      </c>
      <c r="AT270" s="24" t="inlineStr">
        <is>
          <t>Hull City</t>
        </is>
      </c>
      <c r="AU270" s="24" t="inlineStr">
        <is>
          <t>Hull City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f585a7f3cb7ee04f9a319a60fa601ef15e86636fadaaa8c1380ac0f28f75c58a</t>
        </is>
      </c>
      <c r="BB270" s="24" t="inlineStr">
        <is>
          <t>poisson_dixon_coles</t>
        </is>
      </c>
      <c r="BC270" s="24" t="inlineStr">
        <is>
          <t>soccer-poisson-dc-v1</t>
        </is>
      </c>
      <c r="BD270" s="24" t="inlineStr">
        <is>
          <t>f585a7f3cb7ee04f9a319a60fa601ef15e86636fadaaa8c1380ac0f28f75c58a</t>
        </is>
      </c>
      <c r="BE270" s="24" t="inlineStr">
        <is>
          <t>soccer-poisson-dc-v1</t>
        </is>
      </c>
      <c r="BF270" s="24" t="inlineStr">
        <is>
          <t>1</t>
        </is>
      </c>
      <c r="BG270" s="24" t="inlineStr">
        <is>
          <t>f585a7f3cb7ee04f9a319a60fa601ef15e86636fadaaa8c1380ac0f28f75c58a</t>
        </is>
      </c>
      <c r="BH270" s="24" t="inlineStr">
        <is>
          <t>2026-08-22T09:13:41.140532Z</t>
        </is>
      </c>
      <c r="BI270" s="24" t="inlineStr">
        <is>
          <t>["same_event","same_team_same_day","same_league_same_day"]</t>
        </is>
      </c>
      <c r="BJ270" s="25" t="n"/>
      <c r="BK270" s="26" t="n">
        <v>900</v>
      </c>
      <c r="BL270" s="27" t="n">
        <v>10</v>
      </c>
      <c r="BM270" s="28" t="n">
        <v>0.1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3ff356c504cc4b42</t>
        </is>
      </c>
      <c r="B271" s="24" t="inlineStr">
        <is>
          <t>2026-08-22T12:31:28.273557Z</t>
        </is>
      </c>
      <c r="C271" s="24" t="inlineStr">
        <is>
          <t>2026-08-22T14:00Z</t>
        </is>
      </c>
      <c r="D271" s="24" t="inlineStr">
        <is>
          <t>401879300</t>
        </is>
      </c>
      <c r="E271" s="24" t="inlineStr">
        <is>
          <t>SOCCER</t>
        </is>
      </c>
      <c r="F271" s="24" t="inlineStr">
        <is>
          <t>Crystal Palace</t>
        </is>
      </c>
      <c r="G271" s="24" t="inlineStr">
        <is>
          <t>Everton</t>
        </is>
      </c>
      <c r="H271" s="24" t="inlineStr">
        <is>
          <t>total</t>
        </is>
      </c>
      <c r="I271" s="24" t="inlineStr">
        <is>
          <t>over</t>
        </is>
      </c>
      <c r="J271" s="25" t="n">
        <v>2.5</v>
      </c>
      <c r="K271" s="24" t="inlineStr">
        <is>
          <t>polymarket_us</t>
        </is>
      </c>
      <c r="L271" s="26" t="n">
        <v>104</v>
      </c>
      <c r="M271" s="27" t="n">
        <v>2.04</v>
      </c>
      <c r="N271" s="28" t="n">
        <v>0.490196</v>
      </c>
      <c r="O271" s="28" t="n">
        <v>0.5500350000000001</v>
      </c>
      <c r="P271" s="28" t="n">
        <v>0.04</v>
      </c>
      <c r="Q271" s="28" t="n">
        <v>0.059839</v>
      </c>
      <c r="R271" s="26" t="n">
        <v>56</v>
      </c>
      <c r="S271" s="29" t="n">
        <v>1</v>
      </c>
      <c r="T271" s="24" t="inlineStr">
        <is>
          <t>soccer-poisson-dc-v1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2</v>
      </c>
      <c r="Y271" s="25" t="n"/>
      <c r="Z271" s="26" t="n"/>
      <c r="AA271" s="28" t="n"/>
      <c r="AB271" s="28" t="n"/>
      <c r="AC271" s="30" t="n">
        <v>-1</v>
      </c>
      <c r="AD271" s="24" t="inlineStr">
        <is>
          <t>2026-08-22T19:03:23.070471Z</t>
        </is>
      </c>
      <c r="AE271" s="31" t="inlineStr">
        <is>
          <t>Poisson-DC rates 1.66 (home) / 1.22 (away) from EWMA attack/defense strengths. Executable ask 0.4900 (tsc-epl-eve-cry-2026-08-22-2pt5).</t>
        </is>
      </c>
      <c r="AF271" s="31" t="inlineStr">
        <is>
          <t>Research-only soccer score model; draw-aware, but not yet locked-holdout qualified.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Crystal Palace</t>
        </is>
      </c>
      <c r="AQ271" s="24" t="inlineStr">
        <is>
          <t>Crystal Palace</t>
        </is>
      </c>
      <c r="AR271" s="24" t="inlineStr">
        <is>
          <t>Crystal Palace</t>
        </is>
      </c>
      <c r="AS271" s="24" t="inlineStr">
        <is>
          <t>Everton</t>
        </is>
      </c>
      <c r="AT271" s="24" t="inlineStr">
        <is>
          <t>Everton</t>
        </is>
      </c>
      <c r="AU271" s="24" t="inlineStr">
        <is>
          <t>Everton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f585a7f3cb7ee04f9a319a60fa601ef15e86636fadaaa8c1380ac0f28f75c58a</t>
        </is>
      </c>
      <c r="BB271" s="24" t="inlineStr">
        <is>
          <t>poisson_dixon_coles</t>
        </is>
      </c>
      <c r="BC271" s="24" t="inlineStr">
        <is>
          <t>soccer-poisson-dc-v1</t>
        </is>
      </c>
      <c r="BD271" s="24" t="inlineStr">
        <is>
          <t>f585a7f3cb7ee04f9a319a60fa601ef15e86636fadaaa8c1380ac0f28f75c58a</t>
        </is>
      </c>
      <c r="BE271" s="24" t="inlineStr">
        <is>
          <t>soccer-poisson-dc-v1</t>
        </is>
      </c>
      <c r="BF271" s="24" t="inlineStr">
        <is>
          <t>1</t>
        </is>
      </c>
      <c r="BG271" s="24" t="inlineStr">
        <is>
          <t>f585a7f3cb7ee04f9a319a60fa601ef15e86636fadaaa8c1380ac0f28f75c58a</t>
        </is>
      </c>
      <c r="BH271" s="24" t="inlineStr">
        <is>
          <t>2026-08-22T12:24:39.734038Z</t>
        </is>
      </c>
      <c r="BI271" s="24" t="inlineStr">
        <is>
          <t>["same_event","same_team_same_day","same_league_same_day"]</t>
        </is>
      </c>
      <c r="BJ271" s="25" t="n">
        <v>2.5</v>
      </c>
      <c r="BK271" s="26" t="n">
        <v>104</v>
      </c>
      <c r="BL271" s="27" t="n">
        <v>2.04</v>
      </c>
      <c r="BM271" s="28" t="n">
        <v>0.490196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0.490196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dfe041af79584201</t>
        </is>
      </c>
      <c r="B272" s="24" t="inlineStr">
        <is>
          <t>2026-08-22T12:31:28.273557Z</t>
        </is>
      </c>
      <c r="C272" s="24" t="inlineStr">
        <is>
          <t>2026-08-22T14:00Z</t>
        </is>
      </c>
      <c r="D272" s="24" t="inlineStr">
        <is>
          <t>401879299</t>
        </is>
      </c>
      <c r="E272" s="24" t="inlineStr">
        <is>
          <t>SOCCER</t>
        </is>
      </c>
      <c r="F272" s="24" t="inlineStr">
        <is>
          <t>Sunderland</t>
        </is>
      </c>
      <c r="G272" s="24" t="inlineStr">
        <is>
          <t>Ipswich Town</t>
        </is>
      </c>
      <c r="H272" s="24" t="inlineStr">
        <is>
          <t>total</t>
        </is>
      </c>
      <c r="I272" s="24" t="inlineStr">
        <is>
          <t>under</t>
        </is>
      </c>
      <c r="J272" s="25" t="n">
        <v>2.5</v>
      </c>
      <c r="K272" s="24" t="inlineStr">
        <is>
          <t>polymarket_us</t>
        </is>
      </c>
      <c r="L272" s="26" t="n">
        <v>-127</v>
      </c>
      <c r="M272" s="27" t="n">
        <v>1.787402</v>
      </c>
      <c r="N272" s="28" t="n">
        <v>0.5594710000000001</v>
      </c>
      <c r="O272" s="28" t="n">
        <v>0.500425</v>
      </c>
      <c r="P272" s="28" t="n">
        <v>0.04</v>
      </c>
      <c r="Q272" s="28" t="n">
        <v>-0.059046</v>
      </c>
      <c r="R272" s="26" t="n">
        <v>0</v>
      </c>
      <c r="S272" s="29" t="n">
        <v>1</v>
      </c>
      <c r="T272" s="24" t="inlineStr">
        <is>
          <t>soccer-poisson-dc-v1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2</v>
      </c>
      <c r="Y272" s="25" t="n"/>
      <c r="Z272" s="26" t="n"/>
      <c r="AA272" s="28" t="n"/>
      <c r="AB272" s="28" t="n"/>
      <c r="AC272" s="30" t="n">
        <v>-1</v>
      </c>
      <c r="AD272" s="24" t="inlineStr">
        <is>
          <t>2026-08-22T19:03:25.570797Z</t>
        </is>
      </c>
      <c r="AE272" s="31" t="inlineStr">
        <is>
          <t>Poisson-DC rates 1.88 (home) / 0.79 (away) from EWMA attack/defense strengths. Executable ask 0.5600 (tsc-epl-ips-sun-2026-08-22-2pt5).</t>
        </is>
      </c>
      <c r="AF272" s="31" t="inlineStr">
        <is>
          <t>Research-only soccer score model; draw-aware, but not yet locked-holdout qualified.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Sunderland</t>
        </is>
      </c>
      <c r="AQ272" s="24" t="inlineStr">
        <is>
          <t>Sunderland</t>
        </is>
      </c>
      <c r="AR272" s="24" t="inlineStr">
        <is>
          <t>Sunderland</t>
        </is>
      </c>
      <c r="AS272" s="24" t="inlineStr">
        <is>
          <t>Ipswich Town</t>
        </is>
      </c>
      <c r="AT272" s="24" t="inlineStr">
        <is>
          <t>Ipswich Town</t>
        </is>
      </c>
      <c r="AU272" s="24" t="inlineStr">
        <is>
          <t>Ipswich Town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f585a7f3cb7ee04f9a319a60fa601ef15e86636fadaaa8c1380ac0f28f75c58a</t>
        </is>
      </c>
      <c r="BB272" s="24" t="inlineStr">
        <is>
          <t>poisson_dixon_coles</t>
        </is>
      </c>
      <c r="BC272" s="24" t="inlineStr">
        <is>
          <t>soccer-poisson-dc-v1</t>
        </is>
      </c>
      <c r="BD272" s="24" t="inlineStr">
        <is>
          <t>f585a7f3cb7ee04f9a319a60fa601ef15e86636fadaaa8c1380ac0f28f75c58a</t>
        </is>
      </c>
      <c r="BE272" s="24" t="inlineStr">
        <is>
          <t>soccer-poisson-dc-v1</t>
        </is>
      </c>
      <c r="BF272" s="24" t="inlineStr">
        <is>
          <t>1</t>
        </is>
      </c>
      <c r="BG272" s="24" t="inlineStr">
        <is>
          <t>f585a7f3cb7ee04f9a319a60fa601ef15e86636fadaaa8c1380ac0f28f75c58a</t>
        </is>
      </c>
      <c r="BH272" s="24" t="inlineStr">
        <is>
          <t>2026-08-22T12:24:39.823754Z</t>
        </is>
      </c>
      <c r="BI272" s="24" t="inlineStr">
        <is>
          <t>["same_event","same_team_same_day","same_league_same_day"]</t>
        </is>
      </c>
      <c r="BJ272" s="25" t="n">
        <v>2.5</v>
      </c>
      <c r="BK272" s="26" t="n">
        <v>-127</v>
      </c>
      <c r="BL272" s="27" t="n">
        <v>1.787402</v>
      </c>
      <c r="BM272" s="28" t="n">
        <v>0.5594710000000001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0.559471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b6b72d7b8df140f8</t>
        </is>
      </c>
      <c r="B273" s="24" t="inlineStr">
        <is>
          <t>2026-08-22T12:31:28.273557Z</t>
        </is>
      </c>
      <c r="C273" s="24" t="inlineStr">
        <is>
          <t>2026-08-22T14:00Z</t>
        </is>
      </c>
      <c r="D273" s="24" t="inlineStr">
        <is>
          <t>401879298</t>
        </is>
      </c>
      <c r="E273" s="24" t="inlineStr">
        <is>
          <t>SOCCER</t>
        </is>
      </c>
      <c r="F273" s="24" t="inlineStr">
        <is>
          <t>Leeds United</t>
        </is>
      </c>
      <c r="G273" s="24" t="inlineStr">
        <is>
          <t>Nottingham Forest</t>
        </is>
      </c>
      <c r="H273" s="24" t="inlineStr">
        <is>
          <t>total</t>
        </is>
      </c>
      <c r="I273" s="24" t="inlineStr">
        <is>
          <t>under</t>
        </is>
      </c>
      <c r="J273" s="25" t="n">
        <v>2.5</v>
      </c>
      <c r="K273" s="24" t="inlineStr">
        <is>
          <t>polymarket_us</t>
        </is>
      </c>
      <c r="L273" s="26" t="n">
        <v>-122</v>
      </c>
      <c r="M273" s="27" t="n">
        <v>1.819672</v>
      </c>
      <c r="N273" s="28" t="n">
        <v>0.54955</v>
      </c>
      <c r="O273" s="28" t="n">
        <v>0.520643</v>
      </c>
      <c r="P273" s="28" t="n">
        <v>0.04</v>
      </c>
      <c r="Q273" s="28" t="n">
        <v>-0.028907</v>
      </c>
      <c r="R273" s="26" t="n">
        <v>12</v>
      </c>
      <c r="S273" s="29" t="n">
        <v>1</v>
      </c>
      <c r="T273" s="24" t="inlineStr">
        <is>
          <t>soccer-poisson-dc-v1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/>
      <c r="AA273" s="28" t="n"/>
      <c r="AB273" s="28" t="n"/>
      <c r="AC273" s="30" t="n">
        <v>0.8197</v>
      </c>
      <c r="AD273" s="24" t="inlineStr">
        <is>
          <t>2026-08-22T19:03:27.738440Z</t>
        </is>
      </c>
      <c r="AE273" s="31" t="inlineStr">
        <is>
          <t>Poisson-DC rates 1.57 (home) / 1.02 (away) from EWMA attack/defense strengths. Executable ask 0.5500 (tsc-epl-not-lee-2026-08-22-2pt5).</t>
        </is>
      </c>
      <c r="AF273" s="31" t="inlineStr">
        <is>
          <t>Research-only soccer score model; draw-aware, but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Leeds United</t>
        </is>
      </c>
      <c r="AQ273" s="24" t="inlineStr">
        <is>
          <t>Leeds United</t>
        </is>
      </c>
      <c r="AR273" s="24" t="inlineStr">
        <is>
          <t>Leeds United</t>
        </is>
      </c>
      <c r="AS273" s="24" t="inlineStr">
        <is>
          <t>Nottingham Forest</t>
        </is>
      </c>
      <c r="AT273" s="24" t="inlineStr">
        <is>
          <t>Nottingham Forest</t>
        </is>
      </c>
      <c r="AU273" s="24" t="inlineStr">
        <is>
          <t>Nottingham Forest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f585a7f3cb7ee04f9a319a60fa601ef15e86636fadaaa8c1380ac0f28f75c58a</t>
        </is>
      </c>
      <c r="BB273" s="24" t="inlineStr">
        <is>
          <t>poisson_dixon_coles</t>
        </is>
      </c>
      <c r="BC273" s="24" t="inlineStr">
        <is>
          <t>soccer-poisson-dc-v1</t>
        </is>
      </c>
      <c r="BD273" s="24" t="inlineStr">
        <is>
          <t>f585a7f3cb7ee04f9a319a60fa601ef15e86636fadaaa8c1380ac0f28f75c58a</t>
        </is>
      </c>
      <c r="BE273" s="24" t="inlineStr">
        <is>
          <t>soccer-poisson-dc-v1</t>
        </is>
      </c>
      <c r="BF273" s="24" t="inlineStr">
        <is>
          <t>1</t>
        </is>
      </c>
      <c r="BG273" s="24" t="inlineStr">
        <is>
          <t>f585a7f3cb7ee04f9a319a60fa601ef15e86636fadaaa8c1380ac0f28f75c58a</t>
        </is>
      </c>
      <c r="BH273" s="24" t="inlineStr">
        <is>
          <t>2026-08-22T12:24:39.963902Z</t>
        </is>
      </c>
      <c r="BI273" s="24" t="inlineStr">
        <is>
          <t>["same_event","same_team_same_day","same_league_same_day"]</t>
        </is>
      </c>
      <c r="BJ273" s="25" t="n">
        <v>2.5</v>
      </c>
      <c r="BK273" s="26" t="n">
        <v>-122</v>
      </c>
      <c r="BL273" s="27" t="n">
        <v>1.819672</v>
      </c>
      <c r="BM273" s="28" t="n">
        <v>0.54955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0.54955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136c6a0f04f44411</t>
        </is>
      </c>
      <c r="B274" s="24" t="inlineStr">
        <is>
          <t>2026-08-22T12:31:28.273557Z</t>
        </is>
      </c>
      <c r="C274" s="24" t="inlineStr">
        <is>
          <t>2026-08-22T15:00Z</t>
        </is>
      </c>
      <c r="D274" s="24" t="inlineStr">
        <is>
          <t>401882916</t>
        </is>
      </c>
      <c r="E274" s="24" t="inlineStr">
        <is>
          <t>SOCCER</t>
        </is>
      </c>
      <c r="F274" s="24" t="inlineStr">
        <is>
          <t>Sevilla</t>
        </is>
      </c>
      <c r="G274" s="24" t="inlineStr">
        <is>
          <t>Athletic Club</t>
        </is>
      </c>
      <c r="H274" s="24" t="inlineStr">
        <is>
          <t>total</t>
        </is>
      </c>
      <c r="I274" s="24" t="inlineStr">
        <is>
          <t>under</t>
        </is>
      </c>
      <c r="J274" s="25" t="n">
        <v>2.5</v>
      </c>
      <c r="K274" s="24" t="inlineStr">
        <is>
          <t>polymarket_us</t>
        </is>
      </c>
      <c r="L274" s="26" t="n">
        <v>-138</v>
      </c>
      <c r="M274" s="27" t="n">
        <v>1.724638</v>
      </c>
      <c r="N274" s="28" t="n">
        <v>0.579832</v>
      </c>
      <c r="O274" s="28" t="n">
        <v>0.501985</v>
      </c>
      <c r="P274" s="28" t="n">
        <v>0.04</v>
      </c>
      <c r="Q274" s="28" t="n">
        <v>-0.077847</v>
      </c>
      <c r="R274" s="26" t="n">
        <v>0</v>
      </c>
      <c r="S274" s="29" t="n">
        <v>1</v>
      </c>
      <c r="T274" s="24" t="inlineStr">
        <is>
          <t>soccer-poisson-dc-v1</t>
        </is>
      </c>
      <c r="U274" s="24" t="inlineStr">
        <is>
          <t>settled</t>
        </is>
      </c>
      <c r="V274" s="24" t="inlineStr">
        <is>
          <t>loss</t>
        </is>
      </c>
      <c r="W274" s="26" t="n">
        <v>3</v>
      </c>
      <c r="X274" s="26" t="n">
        <v>1</v>
      </c>
      <c r="Y274" s="25" t="n"/>
      <c r="Z274" s="26" t="n"/>
      <c r="AA274" s="28" t="n"/>
      <c r="AB274" s="28" t="n"/>
      <c r="AC274" s="30" t="n">
        <v>-1</v>
      </c>
      <c r="AD274" s="24" t="inlineStr">
        <is>
          <t>2026-08-22T19:03:30.008548Z</t>
        </is>
      </c>
      <c r="AE274" s="31" t="inlineStr">
        <is>
          <t>Poisson-DC rates 1.52 (home) / 1.14 (away) from EWMA attack/defense strengths. Executable ask 0.5800 (tsc-lal-ath-sev-2026-08-22-2pt5).</t>
        </is>
      </c>
      <c r="AF274" s="31" t="inlineStr">
        <is>
          <t>Research-only soccer score model; draw-aware, but not yet locked-holdout qualified.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Sevilla</t>
        </is>
      </c>
      <c r="AQ274" s="24" t="inlineStr">
        <is>
          <t>Sevilla</t>
        </is>
      </c>
      <c r="AR274" s="24" t="inlineStr">
        <is>
          <t>Sevilla</t>
        </is>
      </c>
      <c r="AS274" s="24" t="inlineStr">
        <is>
          <t>Athletic Club</t>
        </is>
      </c>
      <c r="AT274" s="24" t="inlineStr">
        <is>
          <t>Athletic Club</t>
        </is>
      </c>
      <c r="AU274" s="24" t="inlineStr">
        <is>
          <t>Athletic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f585a7f3cb7ee04f9a319a60fa601ef15e86636fadaaa8c1380ac0f28f75c58a</t>
        </is>
      </c>
      <c r="BB274" s="24" t="inlineStr">
        <is>
          <t>poisson_dixon_coles</t>
        </is>
      </c>
      <c r="BC274" s="24" t="inlineStr">
        <is>
          <t>soccer-poisson-dc-v1</t>
        </is>
      </c>
      <c r="BD274" s="24" t="inlineStr">
        <is>
          <t>f585a7f3cb7ee04f9a319a60fa601ef15e86636fadaaa8c1380ac0f28f75c58a</t>
        </is>
      </c>
      <c r="BE274" s="24" t="inlineStr">
        <is>
          <t>soccer-poisson-dc-v1</t>
        </is>
      </c>
      <c r="BF274" s="24" t="inlineStr">
        <is>
          <t>1</t>
        </is>
      </c>
      <c r="BG274" s="24" t="inlineStr">
        <is>
          <t>f585a7f3cb7ee04f9a319a60fa601ef15e86636fadaaa8c1380ac0f28f75c58a</t>
        </is>
      </c>
      <c r="BH274" s="24" t="inlineStr">
        <is>
          <t>2026-08-22T12:24:40.130914Z</t>
        </is>
      </c>
      <c r="BI274" s="24" t="inlineStr">
        <is>
          <t>["same_event","same_team_same_day","same_league_same_day"]</t>
        </is>
      </c>
      <c r="BJ274" s="25" t="n">
        <v>2.5</v>
      </c>
      <c r="BK274" s="26" t="n">
        <v>-138</v>
      </c>
      <c r="BL274" s="27" t="n">
        <v>1.724638</v>
      </c>
      <c r="BM274" s="28" t="n">
        <v>0.579832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0.579832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01235cf208c14609</t>
        </is>
      </c>
      <c r="B275" s="24" t="inlineStr">
        <is>
          <t>2026-08-22T12:31:28.273557Z</t>
        </is>
      </c>
      <c r="C275" s="24" t="inlineStr">
        <is>
          <t>2026-08-22T14:00Z</t>
        </is>
      </c>
      <c r="D275" s="24" t="inlineStr">
        <is>
          <t>401879300</t>
        </is>
      </c>
      <c r="E275" s="24" t="inlineStr">
        <is>
          <t>SOCCER</t>
        </is>
      </c>
      <c r="F275" s="24" t="inlineStr">
        <is>
          <t>Crystal Palace</t>
        </is>
      </c>
      <c r="G275" s="24" t="inlineStr">
        <is>
          <t>Everton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133</v>
      </c>
      <c r="M275" s="27" t="n">
        <v>2.33</v>
      </c>
      <c r="N275" s="28" t="n">
        <v>0.429185</v>
      </c>
      <c r="O275" s="28" t="n">
        <v>0.464859</v>
      </c>
      <c r="P275" s="28" t="n">
        <v>0.04</v>
      </c>
      <c r="Q275" s="28" t="n">
        <v>0.035674</v>
      </c>
      <c r="R275" s="26" t="n">
        <v>44</v>
      </c>
      <c r="S275" s="29" t="n">
        <v>1</v>
      </c>
      <c r="T275" s="24" t="inlineStr">
        <is>
          <t>soccer-poisson-dc-v1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2</v>
      </c>
      <c r="Y275" s="25" t="n"/>
      <c r="Z275" s="26" t="n"/>
      <c r="AA275" s="28" t="n"/>
      <c r="AB275" s="28" t="n"/>
      <c r="AC275" s="30" t="n">
        <v>1.33</v>
      </c>
      <c r="AD275" s="24" t="inlineStr">
        <is>
          <t>2026-08-22T19:03:32.279638Z</t>
        </is>
      </c>
      <c r="AE275" s="31" t="inlineStr">
        <is>
          <t>Poisson-DC rates 1.66 (home) / 1.22 (away) from EWMA attack/defense strengths. Executable ask 0.4300 (atc-epl-eve-cry-2026-08-22-eve).</t>
        </is>
      </c>
      <c r="AF275" s="31" t="inlineStr">
        <is>
          <t>Research-only soccer score model; draw-aware, but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Crystal Palace</t>
        </is>
      </c>
      <c r="AQ275" s="24" t="inlineStr">
        <is>
          <t>Crystal Palace</t>
        </is>
      </c>
      <c r="AR275" s="24" t="inlineStr">
        <is>
          <t>Crystal Palace</t>
        </is>
      </c>
      <c r="AS275" s="24" t="inlineStr">
        <is>
          <t>Everton</t>
        </is>
      </c>
      <c r="AT275" s="24" t="inlineStr">
        <is>
          <t>Everton</t>
        </is>
      </c>
      <c r="AU275" s="24" t="inlineStr">
        <is>
          <t>Everton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f585a7f3cb7ee04f9a319a60fa601ef15e86636fadaaa8c1380ac0f28f75c58a</t>
        </is>
      </c>
      <c r="BB275" s="24" t="inlineStr">
        <is>
          <t>poisson_dixon_coles</t>
        </is>
      </c>
      <c r="BC275" s="24" t="inlineStr">
        <is>
          <t>soccer-poisson-dc-v1</t>
        </is>
      </c>
      <c r="BD275" s="24" t="inlineStr">
        <is>
          <t>f585a7f3cb7ee04f9a319a60fa601ef15e86636fadaaa8c1380ac0f28f75c58a</t>
        </is>
      </c>
      <c r="BE275" s="24" t="inlineStr">
        <is>
          <t>soccer-poisson-dc-v1</t>
        </is>
      </c>
      <c r="BF275" s="24" t="inlineStr">
        <is>
          <t>1</t>
        </is>
      </c>
      <c r="BG275" s="24" t="inlineStr">
        <is>
          <t>f585a7f3cb7ee04f9a319a60fa601ef15e86636fadaaa8c1380ac0f28f75c58a</t>
        </is>
      </c>
      <c r="BH275" s="24" t="inlineStr">
        <is>
          <t>2026-08-22T12:24:39.689643Z</t>
        </is>
      </c>
      <c r="BI275" s="24" t="inlineStr">
        <is>
          <t>["same_event","same_team_same_day","same_league_same_day"]</t>
        </is>
      </c>
      <c r="BJ275" s="25" t="n"/>
      <c r="BK275" s="26" t="n">
        <v>133</v>
      </c>
      <c r="BL275" s="27" t="n">
        <v>2.33</v>
      </c>
      <c r="BM275" s="28" t="n">
        <v>0.429185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0.429185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9b92753951c24014</t>
        </is>
      </c>
      <c r="B276" s="24" t="inlineStr">
        <is>
          <t>2026-08-22T12:31:28.273557Z</t>
        </is>
      </c>
      <c r="C276" s="24" t="inlineStr">
        <is>
          <t>2026-08-22T14:00Z</t>
        </is>
      </c>
      <c r="D276" s="24" t="inlineStr">
        <is>
          <t>401879299</t>
        </is>
      </c>
      <c r="E276" s="24" t="inlineStr">
        <is>
          <t>SOCCER</t>
        </is>
      </c>
      <c r="F276" s="24" t="inlineStr">
        <is>
          <t>Sunderland</t>
        </is>
      </c>
      <c r="G276" s="24" t="inlineStr">
        <is>
          <t>Ipswich Town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186</v>
      </c>
      <c r="M276" s="27" t="n">
        <v>2.86</v>
      </c>
      <c r="N276" s="28" t="n">
        <v>0.34965</v>
      </c>
      <c r="O276" s="28" t="n">
        <v>0.62269</v>
      </c>
      <c r="P276" s="28" t="n">
        <v>0.04</v>
      </c>
      <c r="Q276" s="28" t="n">
        <v>0.27304</v>
      </c>
      <c r="R276" s="26" t="n">
        <v>100</v>
      </c>
      <c r="S276" s="29" t="n">
        <v>1.5</v>
      </c>
      <c r="T276" s="24" t="inlineStr">
        <is>
          <t>soccer-poisson-dc-v1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2</v>
      </c>
      <c r="Y276" s="25" t="n"/>
      <c r="Z276" s="26" t="n"/>
      <c r="AA276" s="28" t="n"/>
      <c r="AB276" s="28" t="n"/>
      <c r="AC276" s="30" t="n">
        <v>2.79</v>
      </c>
      <c r="AD276" s="24" t="inlineStr">
        <is>
          <t>2026-08-22T19:03:34.603391Z</t>
        </is>
      </c>
      <c r="AE276" s="31" t="inlineStr">
        <is>
          <t>Poisson-DC rates 1.88 (home) / 0.79 (away) from EWMA attack/defense strengths. Executable ask 0.3500 (atc-epl-ips-sun-2026-08-22-ips).</t>
        </is>
      </c>
      <c r="AF276" s="31" t="inlineStr">
        <is>
          <t>Research-only soccer score model; draw-aware, but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Sunderland</t>
        </is>
      </c>
      <c r="AQ276" s="24" t="inlineStr">
        <is>
          <t>Sunderland</t>
        </is>
      </c>
      <c r="AR276" s="24" t="inlineStr">
        <is>
          <t>Sunderland</t>
        </is>
      </c>
      <c r="AS276" s="24" t="inlineStr">
        <is>
          <t>Ipswich Town</t>
        </is>
      </c>
      <c r="AT276" s="24" t="inlineStr">
        <is>
          <t>Ipswich Town</t>
        </is>
      </c>
      <c r="AU276" s="24" t="inlineStr">
        <is>
          <t>Ipswich Town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f585a7f3cb7ee04f9a319a60fa601ef15e86636fadaaa8c1380ac0f28f75c58a</t>
        </is>
      </c>
      <c r="BB276" s="24" t="inlineStr">
        <is>
          <t>poisson_dixon_coles</t>
        </is>
      </c>
      <c r="BC276" s="24" t="inlineStr">
        <is>
          <t>soccer-poisson-dc-v1</t>
        </is>
      </c>
      <c r="BD276" s="24" t="inlineStr">
        <is>
          <t>f585a7f3cb7ee04f9a319a60fa601ef15e86636fadaaa8c1380ac0f28f75c58a</t>
        </is>
      </c>
      <c r="BE276" s="24" t="inlineStr">
        <is>
          <t>soccer-poisson-dc-v1</t>
        </is>
      </c>
      <c r="BF276" s="24" t="inlineStr">
        <is>
          <t>1</t>
        </is>
      </c>
      <c r="BG276" s="24" t="inlineStr">
        <is>
          <t>f585a7f3cb7ee04f9a319a60fa601ef15e86636fadaaa8c1380ac0f28f75c58a</t>
        </is>
      </c>
      <c r="BH276" s="24" t="inlineStr">
        <is>
          <t>2026-08-22T12:24:39.790554Z</t>
        </is>
      </c>
      <c r="BI276" s="24" t="inlineStr">
        <is>
          <t>["same_event","same_team_same_day","same_league_same_day"]</t>
        </is>
      </c>
      <c r="BJ276" s="25" t="n"/>
      <c r="BK276" s="26" t="n">
        <v>186</v>
      </c>
      <c r="BL276" s="27" t="n">
        <v>2.86</v>
      </c>
      <c r="BM276" s="28" t="n">
        <v>0.34965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0.34965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3aa53ab986564c8f</t>
        </is>
      </c>
      <c r="B277" s="24" t="inlineStr">
        <is>
          <t>2026-08-22T12:31:28.273557Z</t>
        </is>
      </c>
      <c r="C277" s="24" t="inlineStr">
        <is>
          <t>2026-08-22T14:00Z</t>
        </is>
      </c>
      <c r="D277" s="24" t="inlineStr">
        <is>
          <t>401879298</t>
        </is>
      </c>
      <c r="E277" s="24" t="inlineStr">
        <is>
          <t>SOCCER</t>
        </is>
      </c>
      <c r="F277" s="24" t="inlineStr">
        <is>
          <t>Leeds United</t>
        </is>
      </c>
      <c r="G277" s="24" t="inlineStr">
        <is>
          <t>Nottingham Forest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138</v>
      </c>
      <c r="M277" s="27" t="n">
        <v>2.38</v>
      </c>
      <c r="N277" s="28" t="n">
        <v>0.420168</v>
      </c>
      <c r="O277" s="28" t="n">
        <v>0.49101</v>
      </c>
      <c r="P277" s="28" t="n">
        <v>0.04</v>
      </c>
      <c r="Q277" s="28" t="n">
        <v>0.070842</v>
      </c>
      <c r="R277" s="26" t="n">
        <v>61</v>
      </c>
      <c r="S277" s="29" t="n">
        <v>1</v>
      </c>
      <c r="T277" s="24" t="inlineStr">
        <is>
          <t>soccer-poisson-dc-v1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2026-08-22T19:03:37.169326Z</t>
        </is>
      </c>
      <c r="AE277" s="31" t="inlineStr">
        <is>
          <t>Poisson-DC rates 1.57 (home) / 1.02 (away) from EWMA attack/defense strengths. Executable ask 0.4200 (atc-epl-not-lee-2026-08-22-not).</t>
        </is>
      </c>
      <c r="AF277" s="31" t="inlineStr">
        <is>
          <t>Research-only soccer score model; draw-aware, but not yet locked-holdout qualified.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Leeds United</t>
        </is>
      </c>
      <c r="AQ277" s="24" t="inlineStr">
        <is>
          <t>Leeds United</t>
        </is>
      </c>
      <c r="AR277" s="24" t="inlineStr">
        <is>
          <t>Leeds United</t>
        </is>
      </c>
      <c r="AS277" s="24" t="inlineStr">
        <is>
          <t>Nottingham Forest</t>
        </is>
      </c>
      <c r="AT277" s="24" t="inlineStr">
        <is>
          <t>Nottingham Forest</t>
        </is>
      </c>
      <c r="AU277" s="24" t="inlineStr">
        <is>
          <t>Nottingham Forest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f585a7f3cb7ee04f9a319a60fa601ef15e86636fadaaa8c1380ac0f28f75c58a</t>
        </is>
      </c>
      <c r="BB277" s="24" t="inlineStr">
        <is>
          <t>poisson_dixon_coles</t>
        </is>
      </c>
      <c r="BC277" s="24" t="inlineStr">
        <is>
          <t>soccer-poisson-dc-v1</t>
        </is>
      </c>
      <c r="BD277" s="24" t="inlineStr">
        <is>
          <t>f585a7f3cb7ee04f9a319a60fa601ef15e86636fadaaa8c1380ac0f28f75c58a</t>
        </is>
      </c>
      <c r="BE277" s="24" t="inlineStr">
        <is>
          <t>soccer-poisson-dc-v1</t>
        </is>
      </c>
      <c r="BF277" s="24" t="inlineStr">
        <is>
          <t>1</t>
        </is>
      </c>
      <c r="BG277" s="24" t="inlineStr">
        <is>
          <t>f585a7f3cb7ee04f9a319a60fa601ef15e86636fadaaa8c1380ac0f28f75c58a</t>
        </is>
      </c>
      <c r="BH277" s="24" t="inlineStr">
        <is>
          <t>2026-08-22T12:24:39.888426Z</t>
        </is>
      </c>
      <c r="BI277" s="24" t="inlineStr">
        <is>
          <t>["same_event","same_team_same_day","same_league_same_day"]</t>
        </is>
      </c>
      <c r="BJ277" s="25" t="n"/>
      <c r="BK277" s="26" t="n">
        <v>138</v>
      </c>
      <c r="BL277" s="27" t="n">
        <v>2.38</v>
      </c>
      <c r="BM277" s="28" t="n">
        <v>0.420168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0.420168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84199c043ae64dac</t>
        </is>
      </c>
      <c r="B278" s="24" t="inlineStr">
        <is>
          <t>2026-08-22T12:31:28.273557Z</t>
        </is>
      </c>
      <c r="C278" s="24" t="inlineStr">
        <is>
          <t>2026-08-22T15:00Z</t>
        </is>
      </c>
      <c r="D278" s="24" t="inlineStr">
        <is>
          <t>401882916</t>
        </is>
      </c>
      <c r="E278" s="24" t="inlineStr">
        <is>
          <t>SOCCER</t>
        </is>
      </c>
      <c r="F278" s="24" t="inlineStr">
        <is>
          <t>Sevilla</t>
        </is>
      </c>
      <c r="G278" s="24" t="inlineStr">
        <is>
          <t>Athletic Club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0.448164</v>
      </c>
      <c r="P278" s="28" t="n">
        <v>0.04</v>
      </c>
      <c r="Q278" s="28" t="n">
        <v>-0.122651</v>
      </c>
      <c r="R278" s="26" t="n">
        <v>0</v>
      </c>
      <c r="S278" s="29" t="n">
        <v>1</v>
      </c>
      <c r="T278" s="24" t="inlineStr">
        <is>
          <t>soccer-poisson-dc-v1</t>
        </is>
      </c>
      <c r="U278" s="24" t="inlineStr">
        <is>
          <t>settled</t>
        </is>
      </c>
      <c r="V278" s="24" t="inlineStr">
        <is>
          <t>loss</t>
        </is>
      </c>
      <c r="W278" s="26" t="n">
        <v>3</v>
      </c>
      <c r="X278" s="26" t="n">
        <v>1</v>
      </c>
      <c r="Y278" s="25" t="n"/>
      <c r="Z278" s="26" t="n"/>
      <c r="AA278" s="28" t="n"/>
      <c r="AB278" s="28" t="n"/>
      <c r="AC278" s="30" t="n">
        <v>-1</v>
      </c>
      <c r="AD278" s="24" t="inlineStr">
        <is>
          <t>2026-08-22T19:03:39.496003Z</t>
        </is>
      </c>
      <c r="AE278" s="31" t="inlineStr">
        <is>
          <t>Poisson-DC rates 1.52 (home) / 1.14 (away) from EWMA attack/defense strengths. Executable ask 0.5700 (atc-lal-ath-sev-2026-08-22-ath).</t>
        </is>
      </c>
      <c r="AF278" s="31" t="inlineStr">
        <is>
          <t>Research-only soccer score model; draw-aware, but not yet locked-holdout qualified.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Sevilla</t>
        </is>
      </c>
      <c r="AQ278" s="24" t="inlineStr">
        <is>
          <t>Sevilla</t>
        </is>
      </c>
      <c r="AR278" s="24" t="inlineStr">
        <is>
          <t>Sevilla</t>
        </is>
      </c>
      <c r="AS278" s="24" t="inlineStr">
        <is>
          <t>Athletic Club</t>
        </is>
      </c>
      <c r="AT278" s="24" t="inlineStr">
        <is>
          <t>Athletic Club</t>
        </is>
      </c>
      <c r="AU278" s="24" t="inlineStr">
        <is>
          <t>Athletic Club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f585a7f3cb7ee04f9a319a60fa601ef15e86636fadaaa8c1380ac0f28f75c58a</t>
        </is>
      </c>
      <c r="BB278" s="24" t="inlineStr">
        <is>
          <t>poisson_dixon_coles</t>
        </is>
      </c>
      <c r="BC278" s="24" t="inlineStr">
        <is>
          <t>soccer-poisson-dc-v1</t>
        </is>
      </c>
      <c r="BD278" s="24" t="inlineStr">
        <is>
          <t>f585a7f3cb7ee04f9a319a60fa601ef15e86636fadaaa8c1380ac0f28f75c58a</t>
        </is>
      </c>
      <c r="BE278" s="24" t="inlineStr">
        <is>
          <t>soccer-poisson-dc-v1</t>
        </is>
      </c>
      <c r="BF278" s="24" t="inlineStr">
        <is>
          <t>1</t>
        </is>
      </c>
      <c r="BG278" s="24" t="inlineStr">
        <is>
          <t>f585a7f3cb7ee04f9a319a60fa601ef15e86636fadaaa8c1380ac0f28f75c58a</t>
        </is>
      </c>
      <c r="BH278" s="24" t="inlineStr">
        <is>
          <t>2026-08-22T12:24:40.100977Z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49d483d5f8454b0c</t>
        </is>
      </c>
      <c r="B279" s="24" t="inlineStr">
        <is>
          <t>2026-08-22T15:59:05.718498Z</t>
        </is>
      </c>
      <c r="C279" s="24" t="inlineStr">
        <is>
          <t>2026-08-22T16:30Z</t>
        </is>
      </c>
      <c r="D279" s="24" t="inlineStr">
        <is>
          <t>401879321</t>
        </is>
      </c>
      <c r="E279" s="24" t="inlineStr">
        <is>
          <t>SOCCER</t>
        </is>
      </c>
      <c r="F279" s="24" t="inlineStr">
        <is>
          <t>Tottenham Hotspur</t>
        </is>
      </c>
      <c r="G279" s="24" t="inlineStr">
        <is>
          <t>Brentford</t>
        </is>
      </c>
      <c r="H279" s="24" t="inlineStr">
        <is>
          <t>total</t>
        </is>
      </c>
      <c r="I279" s="24" t="inlineStr">
        <is>
          <t>over</t>
        </is>
      </c>
      <c r="J279" s="25" t="n">
        <v>2.5</v>
      </c>
      <c r="K279" s="24" t="inlineStr">
        <is>
          <t>polymarket_us</t>
        </is>
      </c>
      <c r="L279" s="26" t="n">
        <v>-133</v>
      </c>
      <c r="M279" s="27" t="n">
        <v>1.75188</v>
      </c>
      <c r="N279" s="28" t="n">
        <v>0.570815</v>
      </c>
      <c r="O279" s="28" t="n">
        <v>0.545642</v>
      </c>
      <c r="P279" s="28" t="n">
        <v>0.04</v>
      </c>
      <c r="Q279" s="28" t="n">
        <v>-0.025173</v>
      </c>
      <c r="R279" s="26" t="n">
        <v>13</v>
      </c>
      <c r="S279" s="29" t="n">
        <v>1</v>
      </c>
      <c r="T279" s="24" t="inlineStr">
        <is>
          <t>soccer-poisson-dc-v1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3</v>
      </c>
      <c r="Y279" s="25" t="n"/>
      <c r="Z279" s="26" t="n"/>
      <c r="AA279" s="28" t="n"/>
      <c r="AB279" s="28" t="n"/>
      <c r="AC279" s="30" t="n">
        <v>0.7519</v>
      </c>
      <c r="AD279" s="24" t="inlineStr">
        <is>
          <t>2026-08-22T19:03:41.840802Z</t>
        </is>
      </c>
      <c r="AE279" s="31" t="inlineStr">
        <is>
          <t>Poisson-DC rates 1.79 (home) / 1.07 (away) from EWMA attack/defense strengths. Executable ask 0.5700 (tsc-epl-bre-tot-2026-08-22-2pt5).</t>
        </is>
      </c>
      <c r="AF279" s="31" t="inlineStr">
        <is>
          <t>Research-only soccer score model; draw-aware, but not yet locked-holdout qualified.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Tottenham Hotspur</t>
        </is>
      </c>
      <c r="AQ279" s="24" t="inlineStr">
        <is>
          <t>Tottenham Hotspur</t>
        </is>
      </c>
      <c r="AR279" s="24" t="inlineStr">
        <is>
          <t>Tottenham Hotspur</t>
        </is>
      </c>
      <c r="AS279" s="24" t="inlineStr">
        <is>
          <t>Brentford</t>
        </is>
      </c>
      <c r="AT279" s="24" t="inlineStr">
        <is>
          <t>Brentford</t>
        </is>
      </c>
      <c r="AU279" s="24" t="inlineStr">
        <is>
          <t>Brentford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f585a7f3cb7ee04f9a319a60fa601ef15e86636fadaaa8c1380ac0f28f75c58a</t>
        </is>
      </c>
      <c r="BB279" s="24" t="inlineStr">
        <is>
          <t>poisson_dixon_coles</t>
        </is>
      </c>
      <c r="BC279" s="24" t="inlineStr">
        <is>
          <t>soccer-poisson-dc-v1</t>
        </is>
      </c>
      <c r="BD279" s="24" t="inlineStr">
        <is>
          <t>f585a7f3cb7ee04f9a319a60fa601ef15e86636fadaaa8c1380ac0f28f75c58a</t>
        </is>
      </c>
      <c r="BE279" s="24" t="inlineStr">
        <is>
          <t>soccer-poisson-dc-v1</t>
        </is>
      </c>
      <c r="BF279" s="24" t="inlineStr">
        <is>
          <t>1</t>
        </is>
      </c>
      <c r="BG279" s="24" t="inlineStr">
        <is>
          <t>f585a7f3cb7ee04f9a319a60fa601ef15e86636fadaaa8c1380ac0f28f75c58a</t>
        </is>
      </c>
      <c r="BH279" s="24" t="inlineStr">
        <is>
          <t>2026-08-22T15:41:01.441391Z</t>
        </is>
      </c>
      <c r="BI279" s="24" t="inlineStr">
        <is>
          <t>["same_event","same_team_same_day","same_league_same_day"]</t>
        </is>
      </c>
      <c r="BJ279" s="25" t="n">
        <v>2.5</v>
      </c>
      <c r="BK279" s="26" t="n">
        <v>-133</v>
      </c>
      <c r="BL279" s="27" t="n">
        <v>1.75188</v>
      </c>
      <c r="BM279" s="28" t="n">
        <v>0.570815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0.570815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72678ec3770f45a5</t>
        </is>
      </c>
      <c r="B280" s="24" t="inlineStr">
        <is>
          <t>2026-08-22T15:59:05.718498Z</t>
        </is>
      </c>
      <c r="C280" s="24" t="inlineStr">
        <is>
          <t>2026-08-22T17:30Z</t>
        </is>
      </c>
      <c r="D280" s="24" t="inlineStr">
        <is>
          <t>401882907</t>
        </is>
      </c>
      <c r="E280" s="24" t="inlineStr">
        <is>
          <t>SOCCER</t>
        </is>
      </c>
      <c r="F280" s="24" t="inlineStr">
        <is>
          <t>Celta Vigo</t>
        </is>
      </c>
      <c r="G280" s="24" t="inlineStr">
        <is>
          <t>Valencia</t>
        </is>
      </c>
      <c r="H280" s="24" t="inlineStr">
        <is>
          <t>total</t>
        </is>
      </c>
      <c r="I280" s="24" t="inlineStr">
        <is>
          <t>over</t>
        </is>
      </c>
      <c r="J280" s="25" t="n">
        <v>2.5</v>
      </c>
      <c r="K280" s="24" t="inlineStr">
        <is>
          <t>polymarket_us</t>
        </is>
      </c>
      <c r="L280" s="26" t="n">
        <v>138</v>
      </c>
      <c r="M280" s="27" t="n">
        <v>2.38</v>
      </c>
      <c r="N280" s="28" t="n">
        <v>0.420168</v>
      </c>
      <c r="O280" s="28" t="n">
        <v>0.517795</v>
      </c>
      <c r="P280" s="28" t="n">
        <v>0.04</v>
      </c>
      <c r="Q280" s="28" t="n">
        <v>0.09762700000000001</v>
      </c>
      <c r="R280" s="26" t="n">
        <v>75</v>
      </c>
      <c r="S280" s="29" t="n">
        <v>1</v>
      </c>
      <c r="T280" s="24" t="inlineStr">
        <is>
          <t>soccer-poisson-dc-v1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2026-08-22T22:15:02.933869Z</t>
        </is>
      </c>
      <c r="AE280" s="31" t="inlineStr">
        <is>
          <t>Poisson-DC rates 1.54 (home) / 1.20 (away) from EWMA attack/defense strengths. Executable ask 0.4200 (tsc-lal-val-cel-2026-08-22-2pt5).</t>
        </is>
      </c>
      <c r="AF280" s="31" t="inlineStr">
        <is>
          <t>Research-only soccer score model; draw-aware, but not yet locked-holdout qualified.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Celta Vigo</t>
        </is>
      </c>
      <c r="AQ280" s="24" t="inlineStr">
        <is>
          <t>Celta Vigo</t>
        </is>
      </c>
      <c r="AR280" s="24" t="inlineStr">
        <is>
          <t>Celta Vigo</t>
        </is>
      </c>
      <c r="AS280" s="24" t="inlineStr">
        <is>
          <t>Valencia</t>
        </is>
      </c>
      <c r="AT280" s="24" t="inlineStr">
        <is>
          <t>Valencia</t>
        </is>
      </c>
      <c r="AU280" s="24" t="inlineStr">
        <is>
          <t>Valencia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f585a7f3cb7ee04f9a319a60fa601ef15e86636fadaaa8c1380ac0f28f75c58a</t>
        </is>
      </c>
      <c r="BB280" s="24" t="inlineStr">
        <is>
          <t>poisson_dixon_coles</t>
        </is>
      </c>
      <c r="BC280" s="24" t="inlineStr">
        <is>
          <t>soccer-poisson-dc-v1</t>
        </is>
      </c>
      <c r="BD280" s="24" t="inlineStr">
        <is>
          <t>f585a7f3cb7ee04f9a319a60fa601ef15e86636fadaaa8c1380ac0f28f75c58a</t>
        </is>
      </c>
      <c r="BE280" s="24" t="inlineStr">
        <is>
          <t>soccer-poisson-dc-v1</t>
        </is>
      </c>
      <c r="BF280" s="24" t="inlineStr">
        <is>
          <t>1</t>
        </is>
      </c>
      <c r="BG280" s="24" t="inlineStr">
        <is>
          <t>f585a7f3cb7ee04f9a319a60fa601ef15e86636fadaaa8c1380ac0f28f75c58a</t>
        </is>
      </c>
      <c r="BH280" s="24" t="inlineStr">
        <is>
          <t>2026-08-22T15:41:01.562110Z</t>
        </is>
      </c>
      <c r="BI280" s="24" t="inlineStr">
        <is>
          <t>["same_event","same_team_same_day","same_league_same_day"]</t>
        </is>
      </c>
      <c r="BJ280" s="25" t="n">
        <v>2.5</v>
      </c>
      <c r="BK280" s="26" t="n">
        <v>138</v>
      </c>
      <c r="BL280" s="27" t="n">
        <v>2.38</v>
      </c>
      <c r="BM280" s="28" t="n">
        <v>0.420168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0.420168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d5e83300a9d142df</t>
        </is>
      </c>
      <c r="B281" s="24" t="inlineStr">
        <is>
          <t>2026-08-22T15:59:05.718498Z</t>
        </is>
      </c>
      <c r="C281" s="24" t="inlineStr">
        <is>
          <t>2026-08-22T16:30Z</t>
        </is>
      </c>
      <c r="D281" s="24" t="inlineStr">
        <is>
          <t>401874931</t>
        </is>
      </c>
      <c r="E281" s="24" t="inlineStr">
        <is>
          <t>SOCCER</t>
        </is>
      </c>
      <c r="F281" s="24" t="inlineStr">
        <is>
          <t>Monza</t>
        </is>
      </c>
      <c r="G281" s="24" t="inlineStr">
        <is>
          <t>Internazionale</t>
        </is>
      </c>
      <c r="H281" s="24" t="inlineStr">
        <is>
          <t>total</t>
        </is>
      </c>
      <c r="I281" s="24" t="inlineStr">
        <is>
          <t>over</t>
        </is>
      </c>
      <c r="J281" s="25" t="n">
        <v>2.5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0.761034</v>
      </c>
      <c r="P281" s="28" t="n">
        <v>0.04</v>
      </c>
      <c r="Q281" s="28" t="n">
        <v>0.120746</v>
      </c>
      <c r="R281" s="26" t="n">
        <v>86</v>
      </c>
      <c r="S281" s="29" t="n">
        <v>2</v>
      </c>
      <c r="T281" s="24" t="inlineStr">
        <is>
          <t>soccer-poisson-dc-v1</t>
        </is>
      </c>
      <c r="U281" s="24" t="inlineStr">
        <is>
          <t>settled</t>
        </is>
      </c>
      <c r="V281" s="24" t="inlineStr">
        <is>
          <t>win</t>
        </is>
      </c>
      <c r="W281" s="26" t="n">
        <v>1</v>
      </c>
      <c r="X281" s="26" t="n">
        <v>4</v>
      </c>
      <c r="Y281" s="25" t="n"/>
      <c r="Z281" s="26" t="n"/>
      <c r="AA281" s="28" t="n"/>
      <c r="AB281" s="28" t="n"/>
      <c r="AC281" s="30" t="n">
        <v>1.1236</v>
      </c>
      <c r="AD281" s="24" t="inlineStr">
        <is>
          <t>2026-08-22T19:03:44.225948Z</t>
        </is>
      </c>
      <c r="AE281" s="31" t="inlineStr">
        <is>
          <t>Poisson-DC rates 3.47 (home) / 0.53 (away) from EWMA attack/defense strengths. Executable ask 0.6400 (tsc-sea-int-mon-2026-08-22-2pt5).</t>
        </is>
      </c>
      <c r="AF281" s="31" t="inlineStr">
        <is>
          <t>Research-only soccer score model; draw-aware, but not yet locked-holdout qualified.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Monza</t>
        </is>
      </c>
      <c r="AQ281" s="24" t="inlineStr">
        <is>
          <t>Monza</t>
        </is>
      </c>
      <c r="AR281" s="24" t="inlineStr">
        <is>
          <t>Monza</t>
        </is>
      </c>
      <c r="AS281" s="24" t="inlineStr">
        <is>
          <t>Internazionale</t>
        </is>
      </c>
      <c r="AT281" s="24" t="inlineStr">
        <is>
          <t>Internazionale</t>
        </is>
      </c>
      <c r="AU281" s="24" t="inlineStr">
        <is>
          <t>Internazionale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f585a7f3cb7ee04f9a319a60fa601ef15e86636fadaaa8c1380ac0f28f75c58a</t>
        </is>
      </c>
      <c r="BB281" s="24" t="inlineStr">
        <is>
          <t>poisson_dixon_coles</t>
        </is>
      </c>
      <c r="BC281" s="24" t="inlineStr">
        <is>
          <t>soccer-poisson-dc-v1</t>
        </is>
      </c>
      <c r="BD281" s="24" t="inlineStr">
        <is>
          <t>f585a7f3cb7ee04f9a319a60fa601ef15e86636fadaaa8c1380ac0f28f75c58a</t>
        </is>
      </c>
      <c r="BE281" s="24" t="inlineStr">
        <is>
          <t>soccer-poisson-dc-v1</t>
        </is>
      </c>
      <c r="BF281" s="24" t="inlineStr">
        <is>
          <t>1</t>
        </is>
      </c>
      <c r="BG281" s="24" t="inlineStr">
        <is>
          <t>f585a7f3cb7ee04f9a319a60fa601ef15e86636fadaaa8c1380ac0f28f75c58a</t>
        </is>
      </c>
      <c r="BH281" s="24" t="inlineStr">
        <is>
          <t>2026-08-22T15:41:01.671529Z</t>
        </is>
      </c>
      <c r="BI281" s="24" t="inlineStr">
        <is>
          <t>["same_event","same_team_same_day","same_league_same_day"]</t>
        </is>
      </c>
      <c r="BJ281" s="25" t="n">
        <v>2.5</v>
      </c>
      <c r="BK281" s="26" t="n">
        <v>-178</v>
      </c>
      <c r="BL281" s="27" t="n">
        <v>1.561798</v>
      </c>
      <c r="BM281" s="28" t="n">
        <v>0.640288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0.640288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6c793dadc9f24b1b</t>
        </is>
      </c>
      <c r="B282" s="24" t="inlineStr">
        <is>
          <t>2026-08-22T15:59:05.718498Z</t>
        </is>
      </c>
      <c r="C282" s="24" t="inlineStr">
        <is>
          <t>2026-08-22T16:30Z</t>
        </is>
      </c>
      <c r="D282" s="24" t="inlineStr">
        <is>
          <t>401874745</t>
        </is>
      </c>
      <c r="E282" s="24" t="inlineStr">
        <is>
          <t>SOCCER</t>
        </is>
      </c>
      <c r="F282" s="24" t="inlineStr">
        <is>
          <t>Como</t>
        </is>
      </c>
      <c r="G282" s="24" t="inlineStr">
        <is>
          <t>Udinese</t>
        </is>
      </c>
      <c r="H282" s="24" t="inlineStr">
        <is>
          <t>total</t>
        </is>
      </c>
      <c r="I282" s="24" t="inlineStr">
        <is>
          <t>under</t>
        </is>
      </c>
      <c r="J282" s="25" t="n">
        <v>2.5</v>
      </c>
      <c r="K282" s="24" t="inlineStr">
        <is>
          <t>polymarket_us</t>
        </is>
      </c>
      <c r="L282" s="26" t="n">
        <v>-122</v>
      </c>
      <c r="M282" s="27" t="n">
        <v>1.819672</v>
      </c>
      <c r="N282" s="28" t="n">
        <v>0.54955</v>
      </c>
      <c r="O282" s="28" t="n">
        <v>0.6723209999999999</v>
      </c>
      <c r="P282" s="28" t="n">
        <v>0.04</v>
      </c>
      <c r="Q282" s="28" t="n">
        <v>0.122771</v>
      </c>
      <c r="R282" s="26" t="n">
        <v>87</v>
      </c>
      <c r="S282" s="29" t="n">
        <v>2</v>
      </c>
      <c r="T282" s="24" t="inlineStr">
        <is>
          <t>soccer-poisson-dc-v1</t>
        </is>
      </c>
      <c r="U282" s="24" t="inlineStr">
        <is>
          <t>settled</t>
        </is>
      </c>
      <c r="V282" s="24" t="inlineStr">
        <is>
          <t>win</t>
        </is>
      </c>
      <c r="W282" s="26" t="n">
        <v>1</v>
      </c>
      <c r="X282" s="26" t="n">
        <v>1</v>
      </c>
      <c r="Y282" s="25" t="n"/>
      <c r="Z282" s="26" t="n"/>
      <c r="AA282" s="28" t="n"/>
      <c r="AB282" s="28" t="n"/>
      <c r="AC282" s="30" t="n">
        <v>1.6393</v>
      </c>
      <c r="AD282" s="24" t="inlineStr">
        <is>
          <t>2026-08-22T19:03:46.125247Z</t>
        </is>
      </c>
      <c r="AE282" s="31" t="inlineStr">
        <is>
          <t>Poisson-DC rates 0.83 (home) / 1.18 (away) from EWMA attack/defense strengths. Executable ask 0.5500 (tsc-sea-udi-com-2026-08-22-2pt5).</t>
        </is>
      </c>
      <c r="AF282" s="31" t="inlineStr">
        <is>
          <t>Research-only soccer score model; draw-aware, but not yet locked-holdout qualified.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Como</t>
        </is>
      </c>
      <c r="AQ282" s="24" t="inlineStr">
        <is>
          <t>Como</t>
        </is>
      </c>
      <c r="AR282" s="24" t="inlineStr">
        <is>
          <t>Como</t>
        </is>
      </c>
      <c r="AS282" s="24" t="inlineStr">
        <is>
          <t>Udinese</t>
        </is>
      </c>
      <c r="AT282" s="24" t="inlineStr">
        <is>
          <t>Udinese</t>
        </is>
      </c>
      <c r="AU282" s="24" t="inlineStr">
        <is>
          <t>Udinese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f585a7f3cb7ee04f9a319a60fa601ef15e86636fadaaa8c1380ac0f28f75c58a</t>
        </is>
      </c>
      <c r="BB282" s="24" t="inlineStr">
        <is>
          <t>poisson_dixon_coles</t>
        </is>
      </c>
      <c r="BC282" s="24" t="inlineStr">
        <is>
          <t>soccer-poisson-dc-v1</t>
        </is>
      </c>
      <c r="BD282" s="24" t="inlineStr">
        <is>
          <t>f585a7f3cb7ee04f9a319a60fa601ef15e86636fadaaa8c1380ac0f28f75c58a</t>
        </is>
      </c>
      <c r="BE282" s="24" t="inlineStr">
        <is>
          <t>soccer-poisson-dc-v1</t>
        </is>
      </c>
      <c r="BF282" s="24" t="inlineStr">
        <is>
          <t>1</t>
        </is>
      </c>
      <c r="BG282" s="24" t="inlineStr">
        <is>
          <t>f585a7f3cb7ee04f9a319a60fa601ef15e86636fadaaa8c1380ac0f28f75c58a</t>
        </is>
      </c>
      <c r="BH282" s="24" t="inlineStr">
        <is>
          <t>2026-08-22T15:41:01.718685Z</t>
        </is>
      </c>
      <c r="BI282" s="24" t="inlineStr">
        <is>
          <t>["same_event","same_team_same_day","same_league_same_day"]</t>
        </is>
      </c>
      <c r="BJ282" s="25" t="n">
        <v>2.5</v>
      </c>
      <c r="BK282" s="26" t="n">
        <v>-122</v>
      </c>
      <c r="BL282" s="27" t="n">
        <v>1.819672</v>
      </c>
      <c r="BM282" s="28" t="n">
        <v>0.54955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0.54955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6d847a523faa4d6f</t>
        </is>
      </c>
      <c r="B283" s="24" t="inlineStr">
        <is>
          <t>2026-08-22T15:59:05.718498Z</t>
        </is>
      </c>
      <c r="C283" s="24" t="inlineStr">
        <is>
          <t>2026-08-22T18:45Z</t>
        </is>
      </c>
      <c r="D283" s="24" t="inlineStr">
        <is>
          <t>401874929</t>
        </is>
      </c>
      <c r="E283" s="24" t="inlineStr">
        <is>
          <t>SOCCER</t>
        </is>
      </c>
      <c r="F283" s="24" t="inlineStr">
        <is>
          <t>Napoli</t>
        </is>
      </c>
      <c r="G283" s="24" t="inlineStr">
        <is>
          <t>Genoa</t>
        </is>
      </c>
      <c r="H283" s="24" t="inlineStr">
        <is>
          <t>total</t>
        </is>
      </c>
      <c r="I283" s="24" t="inlineStr">
        <is>
          <t>under</t>
        </is>
      </c>
      <c r="J283" s="25" t="n">
        <v>2.5</v>
      </c>
      <c r="K283" s="24" t="inlineStr">
        <is>
          <t>polymarket_us</t>
        </is>
      </c>
      <c r="L283" s="26" t="n">
        <v>-170</v>
      </c>
      <c r="M283" s="27" t="n">
        <v>1.588235</v>
      </c>
      <c r="N283" s="28" t="n">
        <v>0.62963</v>
      </c>
      <c r="O283" s="28" t="n">
        <v>0.680855</v>
      </c>
      <c r="P283" s="28" t="n">
        <v>0.04</v>
      </c>
      <c r="Q283" s="28" t="n">
        <v>0.051225</v>
      </c>
      <c r="R283" s="26" t="n">
        <v>52</v>
      </c>
      <c r="S283" s="29" t="n">
        <v>2</v>
      </c>
      <c r="T283" s="24" t="inlineStr">
        <is>
          <t>soccer-poisson-dc-v1</t>
        </is>
      </c>
      <c r="U283" s="24" t="inlineStr">
        <is>
          <t>settled</t>
        </is>
      </c>
      <c r="V283" s="24" t="inlineStr">
        <is>
          <t>win</t>
        </is>
      </c>
      <c r="W283" s="26" t="n">
        <v>2</v>
      </c>
      <c r="X283" s="26" t="n">
        <v>0</v>
      </c>
      <c r="Y283" s="25" t="n"/>
      <c r="Z283" s="26" t="n"/>
      <c r="AA283" s="28" t="n"/>
      <c r="AB283" s="28" t="n"/>
      <c r="AC283" s="30" t="n">
        <v>1.1765</v>
      </c>
      <c r="AD283" s="24" t="inlineStr">
        <is>
          <t>2026-08-22T22:15:07.519491Z</t>
        </is>
      </c>
      <c r="AE283" s="31" t="inlineStr">
        <is>
          <t>Poisson-DC rates 0.84 (home) / 1.15 (away) from EWMA attack/defense strengths. Executable ask 0.6300 (tsc-sea-gen-nap-2026-08-22-2pt5).</t>
        </is>
      </c>
      <c r="AF283" s="31" t="inlineStr">
        <is>
          <t>Research-only soccer score model; draw-aware, but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Napoli</t>
        </is>
      </c>
      <c r="AQ283" s="24" t="inlineStr">
        <is>
          <t>Napoli</t>
        </is>
      </c>
      <c r="AR283" s="24" t="inlineStr">
        <is>
          <t>Napoli</t>
        </is>
      </c>
      <c r="AS283" s="24" t="inlineStr">
        <is>
          <t>Genoa</t>
        </is>
      </c>
      <c r="AT283" s="24" t="inlineStr">
        <is>
          <t>Genoa</t>
        </is>
      </c>
      <c r="AU283" s="24" t="inlineStr">
        <is>
          <t>Genoa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f585a7f3cb7ee04f9a319a60fa601ef15e86636fadaaa8c1380ac0f28f75c58a</t>
        </is>
      </c>
      <c r="BB283" s="24" t="inlineStr">
        <is>
          <t>poisson_dixon_coles</t>
        </is>
      </c>
      <c r="BC283" s="24" t="inlineStr">
        <is>
          <t>soccer-poisson-dc-v1</t>
        </is>
      </c>
      <c r="BD283" s="24" t="inlineStr">
        <is>
          <t>f585a7f3cb7ee04f9a319a60fa601ef15e86636fadaaa8c1380ac0f28f75c58a</t>
        </is>
      </c>
      <c r="BE283" s="24" t="inlineStr">
        <is>
          <t>soccer-poisson-dc-v1</t>
        </is>
      </c>
      <c r="BF283" s="24" t="inlineStr">
        <is>
          <t>1</t>
        </is>
      </c>
      <c r="BG283" s="24" t="inlineStr">
        <is>
          <t>f585a7f3cb7ee04f9a319a60fa601ef15e86636fadaaa8c1380ac0f28f75c58a</t>
        </is>
      </c>
      <c r="BH283" s="24" t="inlineStr">
        <is>
          <t>2026-08-22T15:41:01.802102Z</t>
        </is>
      </c>
      <c r="BI283" s="24" t="inlineStr">
        <is>
          <t>["same_event","same_team_same_day","same_league_same_day"]</t>
        </is>
      </c>
      <c r="BJ283" s="25" t="n">
        <v>2.5</v>
      </c>
      <c r="BK283" s="26" t="n">
        <v>-170</v>
      </c>
      <c r="BL283" s="27" t="n">
        <v>1.588235</v>
      </c>
      <c r="BM283" s="28" t="n">
        <v>0.62963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0.62963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f6c007d9f9034516</t>
        </is>
      </c>
      <c r="B284" s="24" t="inlineStr">
        <is>
          <t>2026-08-22T15:59:05.718498Z</t>
        </is>
      </c>
      <c r="C284" s="24" t="inlineStr">
        <is>
          <t>2026-08-22T18:45Z</t>
        </is>
      </c>
      <c r="D284" s="24" t="inlineStr">
        <is>
          <t>401874747</t>
        </is>
      </c>
      <c r="E284" s="24" t="inlineStr">
        <is>
          <t>SOCCER</t>
        </is>
      </c>
      <c r="F284" s="24" t="inlineStr">
        <is>
          <t>Cagliari</t>
        </is>
      </c>
      <c r="G284" s="24" t="inlineStr">
        <is>
          <t>Parma</t>
        </is>
      </c>
      <c r="H284" s="24" t="inlineStr">
        <is>
          <t>total</t>
        </is>
      </c>
      <c r="I284" s="24" t="inlineStr">
        <is>
          <t>under</t>
        </is>
      </c>
      <c r="J284" s="25" t="n">
        <v>2.5</v>
      </c>
      <c r="K284" s="24" t="inlineStr">
        <is>
          <t>polymarket_us</t>
        </is>
      </c>
      <c r="L284" s="26" t="n">
        <v>-170</v>
      </c>
      <c r="M284" s="27" t="n">
        <v>1.588235</v>
      </c>
      <c r="N284" s="28" t="n">
        <v>0.62963</v>
      </c>
      <c r="O284" s="28" t="n">
        <v>0.732706</v>
      </c>
      <c r="P284" s="28" t="n">
        <v>0.04</v>
      </c>
      <c r="Q284" s="28" t="n">
        <v>0.103076</v>
      </c>
      <c r="R284" s="26" t="n">
        <v>78</v>
      </c>
      <c r="S284" s="29" t="n">
        <v>2</v>
      </c>
      <c r="T284" s="24" t="inlineStr">
        <is>
          <t>soccer-poisson-dc-v1</t>
        </is>
      </c>
      <c r="U284" s="24" t="inlineStr">
        <is>
          <t>settled</t>
        </is>
      </c>
      <c r="V284" s="24" t="inlineStr">
        <is>
          <t>win</t>
        </is>
      </c>
      <c r="W284" s="26" t="n">
        <v>1</v>
      </c>
      <c r="X284" s="26" t="n">
        <v>0</v>
      </c>
      <c r="Y284" s="25" t="n"/>
      <c r="Z284" s="26" t="n"/>
      <c r="AA284" s="28" t="n"/>
      <c r="AB284" s="28" t="n"/>
      <c r="AC284" s="30" t="n">
        <v>1.1765</v>
      </c>
      <c r="AD284" s="24" t="inlineStr">
        <is>
          <t>2026-08-22T22:15:11.526881Z</t>
        </is>
      </c>
      <c r="AE284" s="31" t="inlineStr">
        <is>
          <t>Poisson-DC rates 0.97 (home) / 0.82 (away) from EWMA attack/defense strengths. Executable ask 0.6300 (tsc-sea-par-cag-2026-08-22-2pt5).</t>
        </is>
      </c>
      <c r="AF284" s="31" t="inlineStr">
        <is>
          <t>Research-only soccer score model; draw-aware, but not yet locked-holdout qualified.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4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Cagliari</t>
        </is>
      </c>
      <c r="AQ284" s="24" t="inlineStr">
        <is>
          <t>Cagliari</t>
        </is>
      </c>
      <c r="AR284" s="24" t="inlineStr">
        <is>
          <t>Cagliari</t>
        </is>
      </c>
      <c r="AS284" s="24" t="inlineStr">
        <is>
          <t>Parma</t>
        </is>
      </c>
      <c r="AT284" s="24" t="inlineStr">
        <is>
          <t>Parma</t>
        </is>
      </c>
      <c r="AU284" s="24" t="inlineStr">
        <is>
          <t>Parma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f585a7f3cb7ee04f9a319a60fa601ef15e86636fadaaa8c1380ac0f28f75c58a</t>
        </is>
      </c>
      <c r="BB284" s="24" t="inlineStr">
        <is>
          <t>poisson_dixon_coles</t>
        </is>
      </c>
      <c r="BC284" s="24" t="inlineStr">
        <is>
          <t>soccer-poisson-dc-v1</t>
        </is>
      </c>
      <c r="BD284" s="24" t="inlineStr">
        <is>
          <t>f585a7f3cb7ee04f9a319a60fa601ef15e86636fadaaa8c1380ac0f28f75c58a</t>
        </is>
      </c>
      <c r="BE284" s="24" t="inlineStr">
        <is>
          <t>soccer-poisson-dc-v1</t>
        </is>
      </c>
      <c r="BF284" s="24" t="inlineStr">
        <is>
          <t>1</t>
        </is>
      </c>
      <c r="BG284" s="24" t="inlineStr">
        <is>
          <t>f585a7f3cb7ee04f9a319a60fa601ef15e86636fadaaa8c1380ac0f28f75c58a</t>
        </is>
      </c>
      <c r="BH284" s="24" t="inlineStr">
        <is>
          <t>2026-08-22T15:41:01.818309Z</t>
        </is>
      </c>
      <c r="BI284" s="24" t="inlineStr">
        <is>
          <t>["same_event","same_team_same_day","same_league_same_day"]</t>
        </is>
      </c>
      <c r="BJ284" s="25" t="n">
        <v>2.5</v>
      </c>
      <c r="BK284" s="26" t="n">
        <v>-170</v>
      </c>
      <c r="BL284" s="27" t="n">
        <v>1.588235</v>
      </c>
      <c r="BM284" s="28" t="n">
        <v>0.62963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0.62963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c71e4c2684094ab9</t>
        </is>
      </c>
      <c r="B285" s="24" t="inlineStr">
        <is>
          <t>2026-08-22T15:59:05.718498Z</t>
        </is>
      </c>
      <c r="C285" s="24" t="inlineStr">
        <is>
          <t>2026-08-22T16:30Z</t>
        </is>
      </c>
      <c r="D285" s="24" t="inlineStr">
        <is>
          <t>401879321</t>
        </is>
      </c>
      <c r="E285" s="24" t="inlineStr">
        <is>
          <t>SOCCER</t>
        </is>
      </c>
      <c r="F285" s="24" t="inlineStr">
        <is>
          <t>Tottenham Hotspur</t>
        </is>
      </c>
      <c r="G285" s="24" t="inlineStr">
        <is>
          <t>Brentford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117</v>
      </c>
      <c r="M285" s="27" t="n">
        <v>2.17</v>
      </c>
      <c r="N285" s="28" t="n">
        <v>0.460829</v>
      </c>
      <c r="O285" s="28" t="n">
        <v>0.530948</v>
      </c>
      <c r="P285" s="28" t="n">
        <v>0.04</v>
      </c>
      <c r="Q285" s="28" t="n">
        <v>0.070119</v>
      </c>
      <c r="R285" s="26" t="n">
        <v>61</v>
      </c>
      <c r="S285" s="29" t="n">
        <v>1</v>
      </c>
      <c r="T285" s="24" t="inlineStr">
        <is>
          <t>soccer-poisson-dc-v1</t>
        </is>
      </c>
      <c r="U285" s="24" t="inlineStr">
        <is>
          <t>settled</t>
        </is>
      </c>
      <c r="V285" s="24" t="inlineStr">
        <is>
          <t>win</t>
        </is>
      </c>
      <c r="W285" s="26" t="n">
        <v>0</v>
      </c>
      <c r="X285" s="26" t="n">
        <v>3</v>
      </c>
      <c r="Y285" s="25" t="n"/>
      <c r="Z285" s="26" t="n"/>
      <c r="AA285" s="28" t="n"/>
      <c r="AB285" s="28" t="n"/>
      <c r="AC285" s="30" t="n">
        <v>1.17</v>
      </c>
      <c r="AD285" s="24" t="inlineStr">
        <is>
          <t>2026-08-22T19:03:48.376956Z</t>
        </is>
      </c>
      <c r="AE285" s="31" t="inlineStr">
        <is>
          <t>Poisson-DC rates 1.79 (home) / 1.07 (away) from EWMA attack/defense strengths. Executable ask 0.4600 (atc-epl-bre-tot-2026-08-22-bre).</t>
        </is>
      </c>
      <c r="AF285" s="31" t="inlineStr">
        <is>
          <t>Research-only soccer score model; draw-aware, but not yet locked-holdout qualified.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Tottenham Hotspur</t>
        </is>
      </c>
      <c r="AQ285" s="24" t="inlineStr">
        <is>
          <t>Tottenham Hotspur</t>
        </is>
      </c>
      <c r="AR285" s="24" t="inlineStr">
        <is>
          <t>Tottenham Hotspur</t>
        </is>
      </c>
      <c r="AS285" s="24" t="inlineStr">
        <is>
          <t>Brentford</t>
        </is>
      </c>
      <c r="AT285" s="24" t="inlineStr">
        <is>
          <t>Brentford</t>
        </is>
      </c>
      <c r="AU285" s="24" t="inlineStr">
        <is>
          <t>Brentford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f585a7f3cb7ee04f9a319a60fa601ef15e86636fadaaa8c1380ac0f28f75c58a</t>
        </is>
      </c>
      <c r="BB285" s="24" t="inlineStr">
        <is>
          <t>poisson_dixon_coles</t>
        </is>
      </c>
      <c r="BC285" s="24" t="inlineStr">
        <is>
          <t>soccer-poisson-dc-v1</t>
        </is>
      </c>
      <c r="BD285" s="24" t="inlineStr">
        <is>
          <t>f585a7f3cb7ee04f9a319a60fa601ef15e86636fadaaa8c1380ac0f28f75c58a</t>
        </is>
      </c>
      <c r="BE285" s="24" t="inlineStr">
        <is>
          <t>soccer-poisson-dc-v1</t>
        </is>
      </c>
      <c r="BF285" s="24" t="inlineStr">
        <is>
          <t>1</t>
        </is>
      </c>
      <c r="BG285" s="24" t="inlineStr">
        <is>
          <t>f585a7f3cb7ee04f9a319a60fa601ef15e86636fadaaa8c1380ac0f28f75c58a</t>
        </is>
      </c>
      <c r="BH285" s="24" t="inlineStr">
        <is>
          <t>2026-08-22T15:41:01.367897Z</t>
        </is>
      </c>
      <c r="BI285" s="24" t="inlineStr">
        <is>
          <t>["same_event","same_team_same_day","same_league_same_day"]</t>
        </is>
      </c>
      <c r="BJ285" s="25" t="n"/>
      <c r="BK285" s="26" t="n">
        <v>117</v>
      </c>
      <c r="BL285" s="27" t="n">
        <v>2.17</v>
      </c>
      <c r="BM285" s="28" t="n">
        <v>0.460829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0.460829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df330f22a0be46bd</t>
        </is>
      </c>
      <c r="B286" s="24" t="inlineStr">
        <is>
          <t>2026-08-22T15:59:05.718498Z</t>
        </is>
      </c>
      <c r="C286" s="24" t="inlineStr">
        <is>
          <t>2026-08-22T17:30Z</t>
        </is>
      </c>
      <c r="D286" s="24" t="inlineStr">
        <is>
          <t>401882907</t>
        </is>
      </c>
      <c r="E286" s="24" t="inlineStr">
        <is>
          <t>SOCCER</t>
        </is>
      </c>
      <c r="F286" s="24" t="inlineStr">
        <is>
          <t>Celta Vigo</t>
        </is>
      </c>
      <c r="G286" s="24" t="inlineStr">
        <is>
          <t>Valencia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156</v>
      </c>
      <c r="M286" s="27" t="n">
        <v>2.56</v>
      </c>
      <c r="N286" s="28" t="n">
        <v>0.390625</v>
      </c>
      <c r="O286" s="28" t="n">
        <v>0.44028</v>
      </c>
      <c r="P286" s="28" t="n">
        <v>0.04</v>
      </c>
      <c r="Q286" s="28" t="n">
        <v>0.049655</v>
      </c>
      <c r="R286" s="26" t="n">
        <v>51</v>
      </c>
      <c r="S286" s="29" t="n">
        <v>1.25</v>
      </c>
      <c r="T286" s="24" t="inlineStr">
        <is>
          <t>soccer-poisson-dc-v1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-1.25</v>
      </c>
      <c r="AD286" s="24" t="inlineStr">
        <is>
          <t>2026-08-22T22:15:14.269566Z</t>
        </is>
      </c>
      <c r="AE286" s="31" t="inlineStr">
        <is>
          <t>Poisson-DC rates 1.54 (home) / 1.20 (away) from EWMA attack/defense strengths. Executable ask 0.3900 (atc-lal-val-cel-2026-08-22-val).</t>
        </is>
      </c>
      <c r="AF286" s="31" t="inlineStr">
        <is>
          <t>Research-only soccer score model; draw-aware, but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Celta Vigo</t>
        </is>
      </c>
      <c r="AQ286" s="24" t="inlineStr">
        <is>
          <t>Celta Vigo</t>
        </is>
      </c>
      <c r="AR286" s="24" t="inlineStr">
        <is>
          <t>Celta Vigo</t>
        </is>
      </c>
      <c r="AS286" s="24" t="inlineStr">
        <is>
          <t>Valencia</t>
        </is>
      </c>
      <c r="AT286" s="24" t="inlineStr">
        <is>
          <t>Valencia</t>
        </is>
      </c>
      <c r="AU286" s="24" t="inlineStr">
        <is>
          <t>Valencia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f585a7f3cb7ee04f9a319a60fa601ef15e86636fadaaa8c1380ac0f28f75c58a</t>
        </is>
      </c>
      <c r="BB286" s="24" t="inlineStr">
        <is>
          <t>poisson_dixon_coles</t>
        </is>
      </c>
      <c r="BC286" s="24" t="inlineStr">
        <is>
          <t>soccer-poisson-dc-v1</t>
        </is>
      </c>
      <c r="BD286" s="24" t="inlineStr">
        <is>
          <t>f585a7f3cb7ee04f9a319a60fa601ef15e86636fadaaa8c1380ac0f28f75c58a</t>
        </is>
      </c>
      <c r="BE286" s="24" t="inlineStr">
        <is>
          <t>soccer-poisson-dc-v1</t>
        </is>
      </c>
      <c r="BF286" s="24" t="inlineStr">
        <is>
          <t>1</t>
        </is>
      </c>
      <c r="BG286" s="24" t="inlineStr">
        <is>
          <t>f585a7f3cb7ee04f9a319a60fa601ef15e86636fadaaa8c1380ac0f28f75c58a</t>
        </is>
      </c>
      <c r="BH286" s="24" t="inlineStr">
        <is>
          <t>2026-08-22T15:41:01.526734Z</t>
        </is>
      </c>
      <c r="BI286" s="24" t="inlineStr">
        <is>
          <t>["same_event","same_team_same_day","same_league_same_day"]</t>
        </is>
      </c>
      <c r="BJ286" s="25" t="n"/>
      <c r="BK286" s="26" t="n">
        <v>156</v>
      </c>
      <c r="BL286" s="27" t="n">
        <v>2.56</v>
      </c>
      <c r="BM286" s="28" t="n">
        <v>0.390625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0.390625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be4fe27066824b4e</t>
        </is>
      </c>
      <c r="B287" s="24" t="inlineStr">
        <is>
          <t>2026-08-22T15:59:05.718498Z</t>
        </is>
      </c>
      <c r="C287" s="24" t="inlineStr">
        <is>
          <t>2026-08-22T16:30Z</t>
        </is>
      </c>
      <c r="D287" s="24" t="inlineStr">
        <is>
          <t>401874931</t>
        </is>
      </c>
      <c r="E287" s="24" t="inlineStr">
        <is>
          <t>SOCCER</t>
        </is>
      </c>
      <c r="F287" s="24" t="inlineStr">
        <is>
          <t>Monza</t>
        </is>
      </c>
      <c r="G287" s="24" t="inlineStr">
        <is>
          <t>Internazionale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-488</v>
      </c>
      <c r="M287" s="27" t="n">
        <v>1.204918</v>
      </c>
      <c r="N287" s="28" t="n">
        <v>0.829932</v>
      </c>
      <c r="O287" s="28" t="n">
        <v>0.898833</v>
      </c>
      <c r="P287" s="28" t="n">
        <v>0.04</v>
      </c>
      <c r="Q287" s="28" t="n">
        <v>0.068901</v>
      </c>
      <c r="R287" s="26" t="n">
        <v>60</v>
      </c>
      <c r="S287" s="29" t="n">
        <v>2</v>
      </c>
      <c r="T287" s="24" t="inlineStr">
        <is>
          <t>soccer-poisson-dc-v1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4</v>
      </c>
      <c r="Y287" s="25" t="n"/>
      <c r="Z287" s="26" t="n"/>
      <c r="AA287" s="28" t="n"/>
      <c r="AB287" s="28" t="n"/>
      <c r="AC287" s="30" t="n">
        <v>0.4098</v>
      </c>
      <c r="AD287" s="24" t="inlineStr">
        <is>
          <t>2026-08-22T19:03:50.621745Z</t>
        </is>
      </c>
      <c r="AE287" s="31" t="inlineStr">
        <is>
          <t>Poisson-DC rates 3.47 (home) / 0.53 (away) from EWMA attack/defense strengths. Executable ask 0.8300 (atc-sea-int-mon-2026-08-22-int).</t>
        </is>
      </c>
      <c r="AF287" s="31" t="inlineStr">
        <is>
          <t>Research-only soccer score model; draw-aware, but not yet locked-holdout qualified.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Monza</t>
        </is>
      </c>
      <c r="AQ287" s="24" t="inlineStr">
        <is>
          <t>Monza</t>
        </is>
      </c>
      <c r="AR287" s="24" t="inlineStr">
        <is>
          <t>Monza</t>
        </is>
      </c>
      <c r="AS287" s="24" t="inlineStr">
        <is>
          <t>Internazionale</t>
        </is>
      </c>
      <c r="AT287" s="24" t="inlineStr">
        <is>
          <t>Internazionale</t>
        </is>
      </c>
      <c r="AU287" s="24" t="inlineStr">
        <is>
          <t>Internazionale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f585a7f3cb7ee04f9a319a60fa601ef15e86636fadaaa8c1380ac0f28f75c58a</t>
        </is>
      </c>
      <c r="BB287" s="24" t="inlineStr">
        <is>
          <t>poisson_dixon_coles</t>
        </is>
      </c>
      <c r="BC287" s="24" t="inlineStr">
        <is>
          <t>soccer-poisson-dc-v1</t>
        </is>
      </c>
      <c r="BD287" s="24" t="inlineStr">
        <is>
          <t>f585a7f3cb7ee04f9a319a60fa601ef15e86636fadaaa8c1380ac0f28f75c58a</t>
        </is>
      </c>
      <c r="BE287" s="24" t="inlineStr">
        <is>
          <t>soccer-poisson-dc-v1</t>
        </is>
      </c>
      <c r="BF287" s="24" t="inlineStr">
        <is>
          <t>1</t>
        </is>
      </c>
      <c r="BG287" s="24" t="inlineStr">
        <is>
          <t>f585a7f3cb7ee04f9a319a60fa601ef15e86636fadaaa8c1380ac0f28f75c58a</t>
        </is>
      </c>
      <c r="BH287" s="24" t="inlineStr">
        <is>
          <t>2026-08-22T15:41:01.641928Z</t>
        </is>
      </c>
      <c r="BI287" s="24" t="inlineStr">
        <is>
          <t>["same_event","same_team_same_day","same_league_same_day"]</t>
        </is>
      </c>
      <c r="BJ287" s="25" t="n"/>
      <c r="BK287" s="26" t="n">
        <v>-488</v>
      </c>
      <c r="BL287" s="27" t="n">
        <v>1.204918</v>
      </c>
      <c r="BM287" s="28" t="n">
        <v>0.829932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0.829932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72c5ae086646449f</t>
        </is>
      </c>
      <c r="B288" s="24" t="inlineStr">
        <is>
          <t>2026-08-22T15:59:05.718498Z</t>
        </is>
      </c>
      <c r="C288" s="24" t="inlineStr">
        <is>
          <t>2026-08-22T16:30Z</t>
        </is>
      </c>
      <c r="D288" s="24" t="inlineStr">
        <is>
          <t>401874745</t>
        </is>
      </c>
      <c r="E288" s="24" t="inlineStr">
        <is>
          <t>SOCCER</t>
        </is>
      </c>
      <c r="F288" s="24" t="inlineStr">
        <is>
          <t>Como</t>
        </is>
      </c>
      <c r="G288" s="24" t="inlineStr">
        <is>
          <t>Udinese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-122</v>
      </c>
      <c r="M288" s="27" t="n">
        <v>1.819672</v>
      </c>
      <c r="N288" s="28" t="n">
        <v>0.54955</v>
      </c>
      <c r="O288" s="28" t="n">
        <v>0.428141</v>
      </c>
      <c r="P288" s="28" t="n">
        <v>0.04</v>
      </c>
      <c r="Q288" s="28" t="n">
        <v>-0.121409</v>
      </c>
      <c r="R288" s="26" t="n">
        <v>0</v>
      </c>
      <c r="S288" s="29" t="n">
        <v>1.25</v>
      </c>
      <c r="T288" s="24" t="inlineStr">
        <is>
          <t>soccer-poisson-dc-v1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1</v>
      </c>
      <c r="Y288" s="25" t="n"/>
      <c r="Z288" s="26" t="n"/>
      <c r="AA288" s="28" t="n"/>
      <c r="AB288" s="28" t="n"/>
      <c r="AC288" s="30" t="n">
        <v>-1.25</v>
      </c>
      <c r="AD288" s="24" t="inlineStr">
        <is>
          <t>2026-08-22T19:03:52.563571Z</t>
        </is>
      </c>
      <c r="AE288" s="31" t="inlineStr">
        <is>
          <t>Poisson-DC rates 0.83 (home) / 1.18 (away) from EWMA attack/defense strengths. Executable ask 0.5500 (atc-sea-udi-com-2026-08-22-com).</t>
        </is>
      </c>
      <c r="AF288" s="31" t="inlineStr">
        <is>
          <t>Research-only soccer score model; draw-aware, but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Como</t>
        </is>
      </c>
      <c r="AQ288" s="24" t="inlineStr">
        <is>
          <t>Como</t>
        </is>
      </c>
      <c r="AR288" s="24" t="inlineStr">
        <is>
          <t>Como</t>
        </is>
      </c>
      <c r="AS288" s="24" t="inlineStr">
        <is>
          <t>Udinese</t>
        </is>
      </c>
      <c r="AT288" s="24" t="inlineStr">
        <is>
          <t>Udinese</t>
        </is>
      </c>
      <c r="AU288" s="24" t="inlineStr">
        <is>
          <t>Udinese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f585a7f3cb7ee04f9a319a60fa601ef15e86636fadaaa8c1380ac0f28f75c58a</t>
        </is>
      </c>
      <c r="BB288" s="24" t="inlineStr">
        <is>
          <t>poisson_dixon_coles</t>
        </is>
      </c>
      <c r="BC288" s="24" t="inlineStr">
        <is>
          <t>soccer-poisson-dc-v1</t>
        </is>
      </c>
      <c r="BD288" s="24" t="inlineStr">
        <is>
          <t>f585a7f3cb7ee04f9a319a60fa601ef15e86636fadaaa8c1380ac0f28f75c58a</t>
        </is>
      </c>
      <c r="BE288" s="24" t="inlineStr">
        <is>
          <t>soccer-poisson-dc-v1</t>
        </is>
      </c>
      <c r="BF288" s="24" t="inlineStr">
        <is>
          <t>1</t>
        </is>
      </c>
      <c r="BG288" s="24" t="inlineStr">
        <is>
          <t>f585a7f3cb7ee04f9a319a60fa601ef15e86636fadaaa8c1380ac0f28f75c58a</t>
        </is>
      </c>
      <c r="BH288" s="24" t="inlineStr">
        <is>
          <t>2026-08-22T15:41:01.692419Z</t>
        </is>
      </c>
      <c r="BI288" s="24" t="inlineStr">
        <is>
          <t>["same_event","same_team_same_day","same_league_same_day"]</t>
        </is>
      </c>
      <c r="BJ288" s="25" t="n"/>
      <c r="BK288" s="26" t="n">
        <v>-122</v>
      </c>
      <c r="BL288" s="27" t="n">
        <v>1.819672</v>
      </c>
      <c r="BM288" s="28" t="n">
        <v>0.54955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0.54955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7cac581407b247ee</t>
        </is>
      </c>
      <c r="B289" s="24" t="inlineStr">
        <is>
          <t>2026-08-22T15:59:05.718498Z</t>
        </is>
      </c>
      <c r="C289" s="24" t="inlineStr">
        <is>
          <t>2026-08-22T18:45Z</t>
        </is>
      </c>
      <c r="D289" s="24" t="inlineStr">
        <is>
          <t>401874929</t>
        </is>
      </c>
      <c r="E289" s="24" t="inlineStr">
        <is>
          <t>SOCCER</t>
        </is>
      </c>
      <c r="F289" s="24" t="inlineStr">
        <is>
          <t>Napoli</t>
        </is>
      </c>
      <c r="G289" s="24" t="inlineStr">
        <is>
          <t>Genoa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104</v>
      </c>
      <c r="M289" s="27" t="n">
        <v>2.04</v>
      </c>
      <c r="N289" s="28" t="n">
        <v>0.490196</v>
      </c>
      <c r="O289" s="28" t="n">
        <v>0.415375</v>
      </c>
      <c r="P289" s="28" t="n">
        <v>0.04</v>
      </c>
      <c r="Q289" s="28" t="n">
        <v>-0.074821</v>
      </c>
      <c r="R289" s="26" t="n">
        <v>0</v>
      </c>
      <c r="S289" s="29" t="n">
        <v>1.25</v>
      </c>
      <c r="T289" s="24" t="inlineStr">
        <is>
          <t>soccer-poisson-dc-v1</t>
        </is>
      </c>
      <c r="U289" s="24" t="inlineStr">
        <is>
          <t>settled</t>
        </is>
      </c>
      <c r="V289" s="24" t="inlineStr">
        <is>
          <t>win</t>
        </is>
      </c>
      <c r="W289" s="26" t="n">
        <v>2</v>
      </c>
      <c r="X289" s="26" t="n">
        <v>0</v>
      </c>
      <c r="Y289" s="25" t="n"/>
      <c r="Z289" s="26" t="n"/>
      <c r="AA289" s="28" t="n"/>
      <c r="AB289" s="28" t="n"/>
      <c r="AC289" s="30" t="n">
        <v>1.3</v>
      </c>
      <c r="AD289" s="24" t="inlineStr">
        <is>
          <t>2026-08-22T22:15:18.288374Z</t>
        </is>
      </c>
      <c r="AE289" s="31" t="inlineStr">
        <is>
          <t>Poisson-DC rates 0.84 (home) / 1.15 (away) from EWMA attack/defense strengths. Executable ask 0.4900 (atc-sea-gen-nap-2026-08-22-nap).</t>
        </is>
      </c>
      <c r="AF289" s="31" t="inlineStr">
        <is>
          <t>Research-only soccer score model; draw-aware, but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Napoli</t>
        </is>
      </c>
      <c r="AQ289" s="24" t="inlineStr">
        <is>
          <t>Napoli</t>
        </is>
      </c>
      <c r="AR289" s="24" t="inlineStr">
        <is>
          <t>Napoli</t>
        </is>
      </c>
      <c r="AS289" s="24" t="inlineStr">
        <is>
          <t>Genoa</t>
        </is>
      </c>
      <c r="AT289" s="24" t="inlineStr">
        <is>
          <t>Genoa</t>
        </is>
      </c>
      <c r="AU289" s="24" t="inlineStr">
        <is>
          <t>Genoa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f585a7f3cb7ee04f9a319a60fa601ef15e86636fadaaa8c1380ac0f28f75c58a</t>
        </is>
      </c>
      <c r="BB289" s="24" t="inlineStr">
        <is>
          <t>poisson_dixon_coles</t>
        </is>
      </c>
      <c r="BC289" s="24" t="inlineStr">
        <is>
          <t>soccer-poisson-dc-v1</t>
        </is>
      </c>
      <c r="BD289" s="24" t="inlineStr">
        <is>
          <t>f585a7f3cb7ee04f9a319a60fa601ef15e86636fadaaa8c1380ac0f28f75c58a</t>
        </is>
      </c>
      <c r="BE289" s="24" t="inlineStr">
        <is>
          <t>soccer-poisson-dc-v1</t>
        </is>
      </c>
      <c r="BF289" s="24" t="inlineStr">
        <is>
          <t>1</t>
        </is>
      </c>
      <c r="BG289" s="24" t="inlineStr">
        <is>
          <t>f585a7f3cb7ee04f9a319a60fa601ef15e86636fadaaa8c1380ac0f28f75c58a</t>
        </is>
      </c>
      <c r="BH289" s="24" t="inlineStr">
        <is>
          <t>2026-08-22T15:41:01.745594Z</t>
        </is>
      </c>
      <c r="BI289" s="24" t="inlineStr">
        <is>
          <t>["same_event","same_team_same_day","same_league_same_day"]</t>
        </is>
      </c>
      <c r="BJ289" s="25" t="n"/>
      <c r="BK289" s="26" t="n">
        <v>104</v>
      </c>
      <c r="BL289" s="27" t="n">
        <v>2.04</v>
      </c>
      <c r="BM289" s="28" t="n">
        <v>0.490196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0.490196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1de7c49dad544f3b</t>
        </is>
      </c>
      <c r="B290" s="24" t="inlineStr">
        <is>
          <t>2026-08-22T15:59:05.718498Z</t>
        </is>
      </c>
      <c r="C290" s="24" t="inlineStr">
        <is>
          <t>2026-08-22T18:45Z</t>
        </is>
      </c>
      <c r="D290" s="24" t="inlineStr">
        <is>
          <t>401874747</t>
        </is>
      </c>
      <c r="E290" s="24" t="inlineStr">
        <is>
          <t>SOCCER</t>
        </is>
      </c>
      <c r="F290" s="24" t="inlineStr">
        <is>
          <t>Cagliari</t>
        </is>
      </c>
      <c r="G290" s="24" t="inlineStr">
        <is>
          <t>Parma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170</v>
      </c>
      <c r="M290" s="27" t="n">
        <v>2.7</v>
      </c>
      <c r="N290" s="28" t="n">
        <v>0.37037</v>
      </c>
      <c r="O290" s="28" t="n">
        <v>0.362258</v>
      </c>
      <c r="P290" s="28" t="n">
        <v>0.04</v>
      </c>
      <c r="Q290" s="28" t="n">
        <v>-0.008111999999999999</v>
      </c>
      <c r="R290" s="26" t="n">
        <v>22</v>
      </c>
      <c r="S290" s="29" t="n">
        <v>1.75</v>
      </c>
      <c r="T290" s="24" t="inlineStr">
        <is>
          <t>soccer-poisson-dc-v1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/>
      <c r="AA290" s="28" t="n"/>
      <c r="AB290" s="28" t="n"/>
      <c r="AC290" s="30" t="n">
        <v>-1.75</v>
      </c>
      <c r="AD290" s="24" t="inlineStr">
        <is>
          <t>2026-08-22T22:15:22.846558Z</t>
        </is>
      </c>
      <c r="AE290" s="31" t="inlineStr">
        <is>
          <t>Poisson-DC rates 0.97 (home) / 0.82 (away) from EWMA attack/defense strengths. Executable ask 0.3700 (atc-sea-par-cag-2026-08-22-par).</t>
        </is>
      </c>
      <c r="AF290" s="31" t="inlineStr">
        <is>
          <t>Research-only soccer score model; draw-aware, but not yet locked-holdout qualified.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Cagliari</t>
        </is>
      </c>
      <c r="AQ290" s="24" t="inlineStr">
        <is>
          <t>Cagliari</t>
        </is>
      </c>
      <c r="AR290" s="24" t="inlineStr">
        <is>
          <t>Cagliari</t>
        </is>
      </c>
      <c r="AS290" s="24" t="inlineStr">
        <is>
          <t>Parma</t>
        </is>
      </c>
      <c r="AT290" s="24" t="inlineStr">
        <is>
          <t>Parma</t>
        </is>
      </c>
      <c r="AU290" s="24" t="inlineStr">
        <is>
          <t>Parma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f585a7f3cb7ee04f9a319a60fa601ef15e86636fadaaa8c1380ac0f28f75c58a</t>
        </is>
      </c>
      <c r="BB290" s="24" t="inlineStr">
        <is>
          <t>poisson_dixon_coles</t>
        </is>
      </c>
      <c r="BC290" s="24" t="inlineStr">
        <is>
          <t>soccer-poisson-dc-v1</t>
        </is>
      </c>
      <c r="BD290" s="24" t="inlineStr">
        <is>
          <t>f585a7f3cb7ee04f9a319a60fa601ef15e86636fadaaa8c1380ac0f28f75c58a</t>
        </is>
      </c>
      <c r="BE290" s="24" t="inlineStr">
        <is>
          <t>soccer-poisson-dc-v1</t>
        </is>
      </c>
      <c r="BF290" s="24" t="inlineStr">
        <is>
          <t>1</t>
        </is>
      </c>
      <c r="BG290" s="24" t="inlineStr">
        <is>
          <t>f585a7f3cb7ee04f9a319a60fa601ef15e86636fadaaa8c1380ac0f28f75c58a</t>
        </is>
      </c>
      <c r="BH290" s="24" t="inlineStr">
        <is>
          <t>2026-08-22T15:41:01.787091Z</t>
        </is>
      </c>
      <c r="BI290" s="24" t="inlineStr">
        <is>
          <t>["same_event","same_team_same_day","same_league_same_day"]</t>
        </is>
      </c>
      <c r="BJ290" s="25" t="n"/>
      <c r="BK290" s="26" t="n">
        <v>170</v>
      </c>
      <c r="BL290" s="27" t="n">
        <v>2.7</v>
      </c>
      <c r="BM290" s="28" t="n">
        <v>0.37037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0.37037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fea5b00510bf4d34</t>
        </is>
      </c>
      <c r="B291" s="24" t="inlineStr">
        <is>
          <t>2026-08-22T15:59:05.718498Z</t>
        </is>
      </c>
      <c r="C291" s="24" t="inlineStr">
        <is>
          <t>2026-08-22T19:00Z</t>
        </is>
      </c>
      <c r="D291" s="24" t="inlineStr">
        <is>
          <t>401841205</t>
        </is>
      </c>
      <c r="E291" s="24" t="inlineStr">
        <is>
          <t>SOCCER</t>
        </is>
      </c>
      <c r="F291" s="24" t="inlineStr">
        <is>
          <t>Remo</t>
        </is>
      </c>
      <c r="G291" s="24" t="inlineStr">
        <is>
          <t>Fluminense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-186</v>
      </c>
      <c r="M291" s="27" t="n">
        <v>1.537634</v>
      </c>
      <c r="N291" s="28" t="n">
        <v>0.65035</v>
      </c>
      <c r="O291" s="28" t="n">
        <v>0.456135</v>
      </c>
      <c r="P291" s="28" t="n">
        <v>0.2</v>
      </c>
      <c r="Q291" s="28" t="n">
        <v>-0.194215</v>
      </c>
      <c r="R291" s="26" t="n">
        <v>0</v>
      </c>
      <c r="S291" s="29" t="n">
        <v>1</v>
      </c>
      <c r="T291" s="24" t="inlineStr">
        <is>
          <t>soccer-poisson-dc-v1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2</v>
      </c>
      <c r="Y291" s="25" t="n"/>
      <c r="Z291" s="26" t="n"/>
      <c r="AA291" s="28" t="n"/>
      <c r="AB291" s="28" t="n"/>
      <c r="AC291" s="30" t="n">
        <v>0.5376</v>
      </c>
      <c r="AD291" s="24" t="inlineStr">
        <is>
          <t>2026-08-22T22:15:27.259478Z</t>
        </is>
      </c>
      <c r="AE291" s="31" t="inlineStr">
        <is>
          <t>Poisson-DC rates 1.64 (home) / 1.24 (away) from EWMA attack/defense strengths. Executable ask 0.6500 (atc-bra-flu-cre-2026-08-22-flu).</t>
        </is>
      </c>
      <c r="AF291" s="31" t="inlineStr">
        <is>
          <t>Research-only soccer score model; draw-aware, but not yet locked-holdout qualified.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Remo</t>
        </is>
      </c>
      <c r="AQ291" s="24" t="inlineStr">
        <is>
          <t>Remo</t>
        </is>
      </c>
      <c r="AR291" s="24" t="inlineStr">
        <is>
          <t>Remo</t>
        </is>
      </c>
      <c r="AS291" s="24" t="inlineStr">
        <is>
          <t>Fluminense</t>
        </is>
      </c>
      <c r="AT291" s="24" t="inlineStr">
        <is>
          <t>Fluminense</t>
        </is>
      </c>
      <c r="AU291" s="24" t="inlineStr">
        <is>
          <t>Fluminense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f585a7f3cb7ee04f9a319a60fa601ef15e86636fadaaa8c1380ac0f28f75c58a</t>
        </is>
      </c>
      <c r="BB291" s="24" t="inlineStr">
        <is>
          <t>poisson_dixon_coles</t>
        </is>
      </c>
      <c r="BC291" s="24" t="inlineStr">
        <is>
          <t>soccer-poisson-dc-v1</t>
        </is>
      </c>
      <c r="BD291" s="24" t="inlineStr">
        <is>
          <t>f585a7f3cb7ee04f9a319a60fa601ef15e86636fadaaa8c1380ac0f28f75c58a</t>
        </is>
      </c>
      <c r="BE291" s="24" t="inlineStr">
        <is>
          <t>soccer-poisson-dc-v1</t>
        </is>
      </c>
      <c r="BF291" s="24" t="inlineStr">
        <is>
          <t>1</t>
        </is>
      </c>
      <c r="BG291" s="24" t="inlineStr">
        <is>
          <t>f585a7f3cb7ee04f9a319a60fa601ef15e86636fadaaa8c1380ac0f28f75c58a</t>
        </is>
      </c>
      <c r="BH291" s="24" t="inlineStr">
        <is>
          <t>2026-08-22T15:41:03.322358Z</t>
        </is>
      </c>
      <c r="BI291" s="24" t="inlineStr">
        <is>
          <t>["same_event","same_team_same_day","same_league_same_day"]</t>
        </is>
      </c>
      <c r="BJ291" s="25" t="n"/>
      <c r="BK291" s="26" t="n">
        <v>-186</v>
      </c>
      <c r="BL291" s="27" t="n">
        <v>1.537634</v>
      </c>
      <c r="BM291" s="28" t="n">
        <v>0.65035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0.65035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0d595d2a3c09409c</t>
        </is>
      </c>
      <c r="B292" s="24" t="inlineStr">
        <is>
          <t>2026-08-22T15:59:05.718498Z</t>
        </is>
      </c>
      <c r="C292" s="24" t="inlineStr">
        <is>
          <t>2026-08-22T19:00Z</t>
        </is>
      </c>
      <c r="D292" s="24" t="inlineStr">
        <is>
          <t>401841512</t>
        </is>
      </c>
      <c r="E292" s="24" t="inlineStr">
        <is>
          <t>SOCCER</t>
        </is>
      </c>
      <c r="F292" s="24" t="inlineStr">
        <is>
          <t>Gimnasia (Mendoza)</t>
        </is>
      </c>
      <c r="G292" s="24" t="inlineStr">
        <is>
          <t>Gimnasia La Plata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-117</v>
      </c>
      <c r="M292" s="27" t="n">
        <v>1.854701</v>
      </c>
      <c r="N292" s="28" t="n">
        <v>0.539171</v>
      </c>
      <c r="O292" s="28" t="n">
        <v>0.456135</v>
      </c>
      <c r="P292" s="28" t="n">
        <v>0.2</v>
      </c>
      <c r="Q292" s="28" t="n">
        <v>-0.083036</v>
      </c>
      <c r="R292" s="26" t="n">
        <v>0</v>
      </c>
      <c r="S292" s="29" t="n">
        <v>1</v>
      </c>
      <c r="T292" s="24" t="inlineStr">
        <is>
          <t>soccer-poisson-dc-v1</t>
        </is>
      </c>
      <c r="U292" s="24" t="inlineStr">
        <is>
          <t>settled</t>
        </is>
      </c>
      <c r="V292" s="24" t="inlineStr">
        <is>
          <t>loss</t>
        </is>
      </c>
      <c r="W292" s="26" t="n">
        <v>3</v>
      </c>
      <c r="X292" s="26" t="n">
        <v>2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2026-08-22T22:15:30.814576Z</t>
        </is>
      </c>
      <c r="AE292" s="31" t="inlineStr">
        <is>
          <t>Poisson-DC rates 1.64 (home) / 1.24 (away) from EWMA attack/defense strengths. Executable ask 0.5400 (atc-lpa-gim-gye-2026-08-22-gim).</t>
        </is>
      </c>
      <c r="AF292" s="31" t="inlineStr">
        <is>
          <t>Research-only soccer score model; draw-aware, but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Gimnasia (Mendoza)</t>
        </is>
      </c>
      <c r="AQ292" s="24" t="inlineStr">
        <is>
          <t>Gimnasia (Mendoza)</t>
        </is>
      </c>
      <c r="AR292" s="24" t="inlineStr">
        <is>
          <t>Gimnasia (Mendoza)</t>
        </is>
      </c>
      <c r="AS292" s="24" t="inlineStr">
        <is>
          <t>Gimnasia La Plata</t>
        </is>
      </c>
      <c r="AT292" s="24" t="inlineStr">
        <is>
          <t>Gimnasia La Plata</t>
        </is>
      </c>
      <c r="AU292" s="24" t="inlineStr">
        <is>
          <t>Gimnasia La Plata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f585a7f3cb7ee04f9a319a60fa601ef15e86636fadaaa8c1380ac0f28f75c58a</t>
        </is>
      </c>
      <c r="BB292" s="24" t="inlineStr">
        <is>
          <t>poisson_dixon_coles</t>
        </is>
      </c>
      <c r="BC292" s="24" t="inlineStr">
        <is>
          <t>soccer-poisson-dc-v1</t>
        </is>
      </c>
      <c r="BD292" s="24" t="inlineStr">
        <is>
          <t>f585a7f3cb7ee04f9a319a60fa601ef15e86636fadaaa8c1380ac0f28f75c58a</t>
        </is>
      </c>
      <c r="BE292" s="24" t="inlineStr">
        <is>
          <t>soccer-poisson-dc-v1</t>
        </is>
      </c>
      <c r="BF292" s="24" t="inlineStr">
        <is>
          <t>1</t>
        </is>
      </c>
      <c r="BG292" s="24" t="inlineStr">
        <is>
          <t>f585a7f3cb7ee04f9a319a60fa601ef15e86636fadaaa8c1380ac0f28f75c58a</t>
        </is>
      </c>
      <c r="BH292" s="24" t="inlineStr">
        <is>
          <t>2026-08-22T15:41:03.399149Z</t>
        </is>
      </c>
      <c r="BI292" s="24" t="inlineStr">
        <is>
          <t>["same_event","same_team_same_day","same_league_same_day"]</t>
        </is>
      </c>
      <c r="BJ292" s="25" t="n"/>
      <c r="BK292" s="26" t="n">
        <v>-117</v>
      </c>
      <c r="BL292" s="27" t="n">
        <v>1.854701</v>
      </c>
      <c r="BM292" s="28" t="n">
        <v>0.539171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0.539171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1d64eb54d13749ac</t>
        </is>
      </c>
      <c r="B293" s="24" t="inlineStr">
        <is>
          <t>2026-08-22T15:59:05.718498Z</t>
        </is>
      </c>
      <c r="C293" s="24" t="inlineStr">
        <is>
          <t>2026-08-22T18:30Z</t>
        </is>
      </c>
      <c r="D293" s="24" t="inlineStr">
        <is>
          <t>401844071</t>
        </is>
      </c>
      <c r="E293" s="24" t="inlineStr">
        <is>
          <t>SOCCER</t>
        </is>
      </c>
      <c r="F293" s="24" t="inlineStr">
        <is>
          <t>Colegiales</t>
        </is>
      </c>
      <c r="G293" s="24" t="inlineStr">
        <is>
          <t>Almagro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203</v>
      </c>
      <c r="M293" s="27" t="n">
        <v>3.03</v>
      </c>
      <c r="N293" s="28" t="n">
        <v>0.330033</v>
      </c>
      <c r="O293" s="28" t="n">
        <v>0.456135</v>
      </c>
      <c r="P293" s="28" t="n">
        <v>0.2</v>
      </c>
      <c r="Q293" s="28" t="n">
        <v>0.126102</v>
      </c>
      <c r="R293" s="26" t="n">
        <v>0</v>
      </c>
      <c r="S293" s="29" t="n">
        <v>1</v>
      </c>
      <c r="T293" s="24" t="inlineStr">
        <is>
          <t>soccer-poisson-dc-v1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-1</v>
      </c>
      <c r="AD293" s="24" t="inlineStr">
        <is>
          <t>2026-08-22T22:15:34.318657Z</t>
        </is>
      </c>
      <c r="AE293" s="31" t="inlineStr">
        <is>
          <t>Poisson-DC rates 1.64 (home) / 1.24 (away) from EWMA attack/defense strengths. Executable ask 0.3300 (atc-arg2-alm-cac-2026-08-22-alm).</t>
        </is>
      </c>
      <c r="AF293" s="31" t="inlineStr">
        <is>
          <t>Research-only soccer score model; draw-aware, but not yet locked-holdout qualified.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Colegiales</t>
        </is>
      </c>
      <c r="AQ293" s="24" t="inlineStr">
        <is>
          <t>Colegiales</t>
        </is>
      </c>
      <c r="AR293" s="24" t="inlineStr">
        <is>
          <t>Colegiales</t>
        </is>
      </c>
      <c r="AS293" s="24" t="inlineStr">
        <is>
          <t>Almagro</t>
        </is>
      </c>
      <c r="AT293" s="24" t="inlineStr">
        <is>
          <t>Almagro</t>
        </is>
      </c>
      <c r="AU293" s="24" t="inlineStr">
        <is>
          <t>Almagro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f585a7f3cb7ee04f9a319a60fa601ef15e86636fadaaa8c1380ac0f28f75c58a</t>
        </is>
      </c>
      <c r="BB293" s="24" t="inlineStr">
        <is>
          <t>poisson_dixon_coles</t>
        </is>
      </c>
      <c r="BC293" s="24" t="inlineStr">
        <is>
          <t>soccer-poisson-dc-v1</t>
        </is>
      </c>
      <c r="BD293" s="24" t="inlineStr">
        <is>
          <t>f585a7f3cb7ee04f9a319a60fa601ef15e86636fadaaa8c1380ac0f28f75c58a</t>
        </is>
      </c>
      <c r="BE293" s="24" t="inlineStr">
        <is>
          <t>soccer-poisson-dc-v1</t>
        </is>
      </c>
      <c r="BF293" s="24" t="inlineStr">
        <is>
          <t>1</t>
        </is>
      </c>
      <c r="BG293" s="24" t="inlineStr">
        <is>
          <t>f585a7f3cb7ee04f9a319a60fa601ef15e86636fadaaa8c1380ac0f28f75c58a</t>
        </is>
      </c>
      <c r="BH293" s="24" t="inlineStr">
        <is>
          <t>2026-08-22T15:41:03.528342Z</t>
        </is>
      </c>
      <c r="BI293" s="24" t="inlineStr">
        <is>
          <t>["same_event","same_team_same_day","same_league_same_day"]</t>
        </is>
      </c>
      <c r="BJ293" s="25" t="n"/>
      <c r="BK293" s="26" t="n">
        <v>203</v>
      </c>
      <c r="BL293" s="27" t="n">
        <v>3.03</v>
      </c>
      <c r="BM293" s="28" t="n">
        <v>0.330033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0.330033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b5687b570a1548b9</t>
        </is>
      </c>
      <c r="B294" s="24" t="inlineStr">
        <is>
          <t>2026-08-22T15:59:05.718498Z</t>
        </is>
      </c>
      <c r="C294" s="24" t="inlineStr">
        <is>
          <t>2026-08-22T18:30Z</t>
        </is>
      </c>
      <c r="D294" s="24" t="inlineStr">
        <is>
          <t>401844066</t>
        </is>
      </c>
      <c r="E294" s="24" t="inlineStr">
        <is>
          <t>SOCCER</t>
        </is>
      </c>
      <c r="F294" s="24" t="inlineStr">
        <is>
          <t>Almirante Brown</t>
        </is>
      </c>
      <c r="G294" s="24" t="inlineStr">
        <is>
          <t>Defensores de Belgrano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133</v>
      </c>
      <c r="M294" s="27" t="n">
        <v>2.33</v>
      </c>
      <c r="N294" s="28" t="n">
        <v>0.429185</v>
      </c>
      <c r="O294" s="28" t="n">
        <v>0.456135</v>
      </c>
      <c r="P294" s="28" t="n">
        <v>0.2</v>
      </c>
      <c r="Q294" s="28" t="n">
        <v>0.02695</v>
      </c>
      <c r="R294" s="26" t="n">
        <v>0</v>
      </c>
      <c r="S294" s="29" t="n">
        <v>1</v>
      </c>
      <c r="T294" s="24" t="inlineStr">
        <is>
          <t>soccer-poisson-dc-v1</t>
        </is>
      </c>
      <c r="U294" s="24" t="inlineStr">
        <is>
          <t>settled</t>
        </is>
      </c>
      <c r="V294" s="24" t="inlineStr">
        <is>
          <t>loss</t>
        </is>
      </c>
      <c r="W294" s="26" t="n">
        <v>2</v>
      </c>
      <c r="X294" s="26" t="n">
        <v>0</v>
      </c>
      <c r="Y294" s="25" t="n"/>
      <c r="Z294" s="26" t="n"/>
      <c r="AA294" s="28" t="n"/>
      <c r="AB294" s="28" t="n"/>
      <c r="AC294" s="30" t="n">
        <v>-1</v>
      </c>
      <c r="AD294" s="24" t="inlineStr">
        <is>
          <t>2026-08-22T22:15:38.222706Z</t>
        </is>
      </c>
      <c r="AE294" s="31" t="inlineStr">
        <is>
          <t>Poisson-DC rates 1.64 (home) / 1.24 (away) from EWMA attack/defense strengths. Executable ask 0.4300 (atc-arg2-ddb-alb-2026-08-22-ddb).</t>
        </is>
      </c>
      <c r="AF294" s="31" t="inlineStr">
        <is>
          <t>Research-only soccer score model; draw-aware, but not yet locked-holdout qualified.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Almirante Brown</t>
        </is>
      </c>
      <c r="AQ294" s="24" t="inlineStr">
        <is>
          <t>Almirante Brown</t>
        </is>
      </c>
      <c r="AR294" s="24" t="inlineStr">
        <is>
          <t>Almirante Brown</t>
        </is>
      </c>
      <c r="AS294" s="24" t="inlineStr">
        <is>
          <t>Defensores de Belgrano</t>
        </is>
      </c>
      <c r="AT294" s="24" t="inlineStr">
        <is>
          <t>Defensores de Belgrano</t>
        </is>
      </c>
      <c r="AU294" s="24" t="inlineStr">
        <is>
          <t>Defensores de Belgrano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f585a7f3cb7ee04f9a319a60fa601ef15e86636fadaaa8c1380ac0f28f75c58a</t>
        </is>
      </c>
      <c r="BB294" s="24" t="inlineStr">
        <is>
          <t>poisson_dixon_coles</t>
        </is>
      </c>
      <c r="BC294" s="24" t="inlineStr">
        <is>
          <t>soccer-poisson-dc-v1</t>
        </is>
      </c>
      <c r="BD294" s="24" t="inlineStr">
        <is>
          <t>f585a7f3cb7ee04f9a319a60fa601ef15e86636fadaaa8c1380ac0f28f75c58a</t>
        </is>
      </c>
      <c r="BE294" s="24" t="inlineStr">
        <is>
          <t>soccer-poisson-dc-v1</t>
        </is>
      </c>
      <c r="BF294" s="24" t="inlineStr">
        <is>
          <t>1</t>
        </is>
      </c>
      <c r="BG294" s="24" t="inlineStr">
        <is>
          <t>f585a7f3cb7ee04f9a319a60fa601ef15e86636fadaaa8c1380ac0f28f75c58a</t>
        </is>
      </c>
      <c r="BH294" s="24" t="inlineStr">
        <is>
          <t>2026-08-22T15:41:03.475427Z</t>
        </is>
      </c>
      <c r="BI294" s="24" t="inlineStr">
        <is>
          <t>["same_event","same_team_same_day","same_league_same_day"]</t>
        </is>
      </c>
      <c r="BJ294" s="25" t="n"/>
      <c r="BK294" s="26" t="n">
        <v>133</v>
      </c>
      <c r="BL294" s="27" t="n">
        <v>2.33</v>
      </c>
      <c r="BM294" s="28" t="n">
        <v>0.429185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0.429185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c6a0f70063104620</t>
        </is>
      </c>
      <c r="B295" s="24" t="inlineStr">
        <is>
          <t>2026-08-22T15:59:05.718498Z</t>
        </is>
      </c>
      <c r="C295" s="24" t="inlineStr">
        <is>
          <t>2026-08-22T18:30Z</t>
        </is>
      </c>
      <c r="D295" s="24" t="inlineStr">
        <is>
          <t>401844080</t>
        </is>
      </c>
      <c r="E295" s="24" t="inlineStr">
        <is>
          <t>SOCCER</t>
        </is>
      </c>
      <c r="F295" s="24" t="inlineStr">
        <is>
          <t>Atlanta</t>
        </is>
      </c>
      <c r="G295" s="24" t="inlineStr">
        <is>
          <t>Nueva Chicago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203</v>
      </c>
      <c r="M295" s="27" t="n">
        <v>3.03</v>
      </c>
      <c r="N295" s="28" t="n">
        <v>0.330033</v>
      </c>
      <c r="O295" s="28" t="n">
        <v>0.440521</v>
      </c>
      <c r="P295" s="28" t="n">
        <v>0.2</v>
      </c>
      <c r="Q295" s="28" t="n">
        <v>0.110488</v>
      </c>
      <c r="R295" s="26" t="n">
        <v>0</v>
      </c>
      <c r="S295" s="29" t="n">
        <v>1</v>
      </c>
      <c r="T295" s="24" t="inlineStr">
        <is>
          <t>soccer-poisson-dc-v1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</v>
      </c>
      <c r="AD295" s="24" t="inlineStr">
        <is>
          <t>2026-08-22T22:15:41.650964Z</t>
        </is>
      </c>
      <c r="AE295" s="31" t="inlineStr">
        <is>
          <t>Poisson-DC rates 1.46 (home) / 1.10 (away) from EWMA attack/defense strengths. Executable ask 0.3300 (atc-arg2-chi-atl-2026-08-22-chi).</t>
        </is>
      </c>
      <c r="AF295" s="31" t="inlineStr">
        <is>
          <t>Research-only soccer score model; draw-aware, but not yet locked-holdout qualified.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PAPER_CALL_MODEL_UNVALIDATED</t>
        </is>
      </c>
      <c r="AP295" s="24" t="inlineStr">
        <is>
          <t>Atlanta</t>
        </is>
      </c>
      <c r="AQ295" s="24" t="inlineStr">
        <is>
          <t>Atlanta</t>
        </is>
      </c>
      <c r="AR295" s="24" t="inlineStr">
        <is>
          <t>Atlanta</t>
        </is>
      </c>
      <c r="AS295" s="24" t="inlineStr">
        <is>
          <t>Nueva Chicago</t>
        </is>
      </c>
      <c r="AT295" s="24" t="inlineStr">
        <is>
          <t>Nueva Chicago</t>
        </is>
      </c>
      <c r="AU295" s="24" t="inlineStr">
        <is>
          <t>Nueva Chicago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f585a7f3cb7ee04f9a319a60fa601ef15e86636fadaaa8c1380ac0f28f75c58a</t>
        </is>
      </c>
      <c r="BB295" s="24" t="inlineStr">
        <is>
          <t>poisson_dixon_coles</t>
        </is>
      </c>
      <c r="BC295" s="24" t="inlineStr">
        <is>
          <t>soccer-poisson-dc-v1</t>
        </is>
      </c>
      <c r="BD295" s="24" t="inlineStr">
        <is>
          <t>f585a7f3cb7ee04f9a319a60fa601ef15e86636fadaaa8c1380ac0f28f75c58a</t>
        </is>
      </c>
      <c r="BE295" s="24" t="inlineStr">
        <is>
          <t>soccer-poisson-dc-v1</t>
        </is>
      </c>
      <c r="BF295" s="24" t="inlineStr">
        <is>
          <t>1</t>
        </is>
      </c>
      <c r="BG295" s="24" t="inlineStr">
        <is>
          <t>f585a7f3cb7ee04f9a319a60fa601ef15e86636fadaaa8c1380ac0f28f75c58a</t>
        </is>
      </c>
      <c r="BH295" s="24" t="inlineStr">
        <is>
          <t>2026-08-22T15:41:03.484759Z</t>
        </is>
      </c>
      <c r="BI295" s="24" t="inlineStr">
        <is>
          <t>["same_event","same_team_same_day","same_league_same_day"]</t>
        </is>
      </c>
      <c r="BJ295" s="25" t="n"/>
      <c r="BK295" s="26" t="n">
        <v>203</v>
      </c>
      <c r="BL295" s="27" t="n">
        <v>3.03</v>
      </c>
      <c r="BM295" s="28" t="n">
        <v>0.330033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0.330033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df4e0c331fda40cc</t>
        </is>
      </c>
      <c r="B296" s="24" t="inlineStr">
        <is>
          <t>2026-08-22T15:59:05.718498Z</t>
        </is>
      </c>
      <c r="C296" s="24" t="inlineStr">
        <is>
          <t>2026-08-22T18:30Z</t>
        </is>
      </c>
      <c r="D296" s="24" t="inlineStr">
        <is>
          <t>401844079</t>
        </is>
      </c>
      <c r="E296" s="24" t="inlineStr">
        <is>
          <t>SOCCER</t>
        </is>
      </c>
      <c r="F296" s="24" t="inlineStr">
        <is>
          <t>Gimnasia y Esgrima (Jujuy)</t>
        </is>
      </c>
      <c r="G296" s="24" t="inlineStr">
        <is>
          <t>Patronato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133</v>
      </c>
      <c r="M296" s="27" t="n">
        <v>2.33</v>
      </c>
      <c r="N296" s="28" t="n">
        <v>0.429185</v>
      </c>
      <c r="O296" s="28" t="n">
        <v>0.456135</v>
      </c>
      <c r="P296" s="28" t="n">
        <v>0.2</v>
      </c>
      <c r="Q296" s="28" t="n">
        <v>0.02695</v>
      </c>
      <c r="R296" s="26" t="n">
        <v>0</v>
      </c>
      <c r="S296" s="29" t="n">
        <v>1</v>
      </c>
      <c r="T296" s="24" t="inlineStr">
        <is>
          <t>soccer-poisson-dc-v1</t>
        </is>
      </c>
      <c r="U296" s="24" t="inlineStr">
        <is>
          <t>settled</t>
        </is>
      </c>
      <c r="V296" s="24" t="inlineStr">
        <is>
          <t>loss</t>
        </is>
      </c>
      <c r="W296" s="26" t="n">
        <v>3</v>
      </c>
      <c r="X296" s="26" t="n">
        <v>3</v>
      </c>
      <c r="Y296" s="25" t="n"/>
      <c r="Z296" s="26" t="n"/>
      <c r="AA296" s="28" t="n"/>
      <c r="AB296" s="28" t="n"/>
      <c r="AC296" s="30" t="n">
        <v>-1</v>
      </c>
      <c r="AD296" s="24" t="inlineStr">
        <is>
          <t>2026-08-22T22:15:45.633647Z</t>
        </is>
      </c>
      <c r="AE296" s="31" t="inlineStr">
        <is>
          <t>Poisson-DC rates 1.64 (home) / 1.24 (away) from EWMA attack/defense strengths. Executable ask 0.4300 (atc-arg2-cap-ge-2026-08-22-cap).</t>
        </is>
      </c>
      <c r="AF296" s="31" t="inlineStr">
        <is>
          <t>Research-only soccer score model; draw-aware, but not yet locked-holdout qualified.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Gimnasia y Esgrima (Jujuy)</t>
        </is>
      </c>
      <c r="AQ296" s="24" t="inlineStr">
        <is>
          <t>Gimnasia y Esgrima (Jujuy)</t>
        </is>
      </c>
      <c r="AR296" s="24" t="inlineStr">
        <is>
          <t>Gimnasia y Esgrima (Jujuy)</t>
        </is>
      </c>
      <c r="AS296" s="24" t="inlineStr">
        <is>
          <t>Patronato</t>
        </is>
      </c>
      <c r="AT296" s="24" t="inlineStr">
        <is>
          <t>Patronato</t>
        </is>
      </c>
      <c r="AU296" s="24" t="inlineStr">
        <is>
          <t>Patronato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f585a7f3cb7ee04f9a319a60fa601ef15e86636fadaaa8c1380ac0f28f75c58a</t>
        </is>
      </c>
      <c r="BB296" s="24" t="inlineStr">
        <is>
          <t>poisson_dixon_coles</t>
        </is>
      </c>
      <c r="BC296" s="24" t="inlineStr">
        <is>
          <t>soccer-poisson-dc-v1</t>
        </is>
      </c>
      <c r="BD296" s="24" t="inlineStr">
        <is>
          <t>f585a7f3cb7ee04f9a319a60fa601ef15e86636fadaaa8c1380ac0f28f75c58a</t>
        </is>
      </c>
      <c r="BE296" s="24" t="inlineStr">
        <is>
          <t>soccer-poisson-dc-v1</t>
        </is>
      </c>
      <c r="BF296" s="24" t="inlineStr">
        <is>
          <t>1</t>
        </is>
      </c>
      <c r="BG296" s="24" t="inlineStr">
        <is>
          <t>f585a7f3cb7ee04f9a319a60fa601ef15e86636fadaaa8c1380ac0f28f75c58a</t>
        </is>
      </c>
      <c r="BH296" s="24" t="inlineStr">
        <is>
          <t>2026-08-22T15:41:03.529278Z</t>
        </is>
      </c>
      <c r="BI296" s="24" t="inlineStr">
        <is>
          <t>["same_event","same_team_same_day","same_league_same_day"]</t>
        </is>
      </c>
      <c r="BJ296" s="25" t="n"/>
      <c r="BK296" s="26" t="n">
        <v>133</v>
      </c>
      <c r="BL296" s="27" t="n">
        <v>2.33</v>
      </c>
      <c r="BM296" s="28" t="n">
        <v>0.429185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0.429185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9821be540f58472e</t>
        </is>
      </c>
      <c r="B297" s="24" t="inlineStr">
        <is>
          <t>2026-08-22T15:59:05.718498Z</t>
        </is>
      </c>
      <c r="C297" s="24" t="inlineStr">
        <is>
          <t>2026-08-22T19:00Z</t>
        </is>
      </c>
      <c r="D297" s="24" t="inlineStr">
        <is>
          <t>401844068</t>
        </is>
      </c>
      <c r="E297" s="24" t="inlineStr">
        <is>
          <t>SOCCER</t>
        </is>
      </c>
      <c r="F297" s="24" t="inlineStr">
        <is>
          <t>Los Andes</t>
        </is>
      </c>
      <c r="G297" s="24" t="inlineStr">
        <is>
          <t>Chaco For Ever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138</v>
      </c>
      <c r="M297" s="27" t="n">
        <v>2.38</v>
      </c>
      <c r="N297" s="28" t="n">
        <v>0.420168</v>
      </c>
      <c r="O297" s="28" t="n">
        <v>0.456135</v>
      </c>
      <c r="P297" s="28" t="n">
        <v>0.2</v>
      </c>
      <c r="Q297" s="28" t="n">
        <v>0.035967</v>
      </c>
      <c r="R297" s="26" t="n">
        <v>0</v>
      </c>
      <c r="S297" s="29" t="n">
        <v>1</v>
      </c>
      <c r="T297" s="24" t="inlineStr">
        <is>
          <t>soccer-poisson-dc-v1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/>
      <c r="AA297" s="28" t="n"/>
      <c r="AB297" s="28" t="n"/>
      <c r="AC297" s="30" t="n">
        <v>1.38</v>
      </c>
      <c r="AD297" s="24" t="inlineStr">
        <is>
          <t>2026-08-22T22:15:48.964595Z</t>
        </is>
      </c>
      <c r="AE297" s="31" t="inlineStr">
        <is>
          <t>Poisson-DC rates 1.64 (home) / 1.24 (away) from EWMA attack/defense strengths. Executable ask 0.4200 (atc-arg2-cfe-ala-2026-08-22-cfe).</t>
        </is>
      </c>
      <c r="AF297" s="31" t="inlineStr">
        <is>
          <t>Research-only soccer score model; draw-aware, but not yet locked-holdout qualified.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PAPER_CALL_MODEL_UNVALIDATED</t>
        </is>
      </c>
      <c r="AP297" s="24" t="inlineStr">
        <is>
          <t>Los Andes</t>
        </is>
      </c>
      <c r="AQ297" s="24" t="inlineStr">
        <is>
          <t>Los Andes</t>
        </is>
      </c>
      <c r="AR297" s="24" t="inlineStr">
        <is>
          <t>Los Andes</t>
        </is>
      </c>
      <c r="AS297" s="24" t="inlineStr">
        <is>
          <t>Chaco For Ever</t>
        </is>
      </c>
      <c r="AT297" s="24" t="inlineStr">
        <is>
          <t>Chaco For Ever</t>
        </is>
      </c>
      <c r="AU297" s="24" t="inlineStr">
        <is>
          <t>Chaco For Ever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f585a7f3cb7ee04f9a319a60fa601ef15e86636fadaaa8c1380ac0f28f75c58a</t>
        </is>
      </c>
      <c r="BB297" s="24" t="inlineStr">
        <is>
          <t>poisson_dixon_coles</t>
        </is>
      </c>
      <c r="BC297" s="24" t="inlineStr">
        <is>
          <t>soccer-poisson-dc-v1</t>
        </is>
      </c>
      <c r="BD297" s="24" t="inlineStr">
        <is>
          <t>f585a7f3cb7ee04f9a319a60fa601ef15e86636fadaaa8c1380ac0f28f75c58a</t>
        </is>
      </c>
      <c r="BE297" s="24" t="inlineStr">
        <is>
          <t>soccer-poisson-dc-v1</t>
        </is>
      </c>
      <c r="BF297" s="24" t="inlineStr">
        <is>
          <t>1</t>
        </is>
      </c>
      <c r="BG297" s="24" t="inlineStr">
        <is>
          <t>f585a7f3cb7ee04f9a319a60fa601ef15e86636fadaaa8c1380ac0f28f75c58a</t>
        </is>
      </c>
      <c r="BH297" s="24" t="inlineStr">
        <is>
          <t>2026-08-22T15:41:03.572735Z</t>
        </is>
      </c>
      <c r="BI297" s="24" t="inlineStr">
        <is>
          <t>["same_event","same_team_same_day","same_league_same_day"]</t>
        </is>
      </c>
      <c r="BJ297" s="25" t="n"/>
      <c r="BK297" s="26" t="n">
        <v>138</v>
      </c>
      <c r="BL297" s="27" t="n">
        <v>2.38</v>
      </c>
      <c r="BM297" s="28" t="n">
        <v>0.420168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0.420168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283a382020e0470f</t>
        </is>
      </c>
      <c r="B298" s="24" t="inlineStr">
        <is>
          <t>2026-08-22T15:59:05.718498Z</t>
        </is>
      </c>
      <c r="C298" s="24" t="inlineStr">
        <is>
          <t>2026-08-22T18:00Z</t>
        </is>
      </c>
      <c r="D298" s="24" t="inlineStr">
        <is>
          <t>401909201</t>
        </is>
      </c>
      <c r="E298" s="24" t="inlineStr">
        <is>
          <t>SOCCER</t>
        </is>
      </c>
      <c r="F298" s="24" t="inlineStr">
        <is>
          <t>Defensor Sporting</t>
        </is>
      </c>
      <c r="G298" s="24" t="inlineStr">
        <is>
          <t>Cerro Largo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223</v>
      </c>
      <c r="M298" s="27" t="n">
        <v>3.23</v>
      </c>
      <c r="N298" s="28" t="n">
        <v>0.309598</v>
      </c>
      <c r="O298" s="28" t="n">
        <v>0.418807</v>
      </c>
      <c r="P298" s="28" t="n">
        <v>0.2</v>
      </c>
      <c r="Q298" s="28" t="n">
        <v>0.109209</v>
      </c>
      <c r="R298" s="26" t="n">
        <v>0</v>
      </c>
      <c r="S298" s="29" t="n">
        <v>1</v>
      </c>
      <c r="T298" s="24" t="inlineStr">
        <is>
          <t>soccer-poisson-dc-v1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1</v>
      </c>
      <c r="Y298" s="25" t="n"/>
      <c r="Z298" s="26" t="n"/>
      <c r="AA298" s="28" t="n"/>
      <c r="AB298" s="28" t="n"/>
      <c r="AC298" s="30" t="n">
        <v>-1</v>
      </c>
      <c r="AD298" s="24" t="inlineStr">
        <is>
          <t>2026-08-22T22:15:52.473931Z</t>
        </is>
      </c>
      <c r="AE298" s="31" t="inlineStr">
        <is>
          <t>Poisson-DC rates 1.46 (home) / 1.20 (away) from EWMA attack/defense strengths. Executable ask 0.3100 (atc-uru1-cla-def-2026-08-22-cla).</t>
        </is>
      </c>
      <c r="AF298" s="31" t="inlineStr">
        <is>
          <t>Research-only soccer score model; draw-aware, but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Defensor Sporting</t>
        </is>
      </c>
      <c r="AQ298" s="24" t="inlineStr">
        <is>
          <t>Defensor Sporting</t>
        </is>
      </c>
      <c r="AR298" s="24" t="inlineStr">
        <is>
          <t>Defensor Sporting</t>
        </is>
      </c>
      <c r="AS298" s="24" t="inlineStr">
        <is>
          <t>Cerro Largo</t>
        </is>
      </c>
      <c r="AT298" s="24" t="inlineStr">
        <is>
          <t>Cerro Largo</t>
        </is>
      </c>
      <c r="AU298" s="24" t="inlineStr">
        <is>
          <t>Cerro Largo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f585a7f3cb7ee04f9a319a60fa601ef15e86636fadaaa8c1380ac0f28f75c58a</t>
        </is>
      </c>
      <c r="BB298" s="24" t="inlineStr">
        <is>
          <t>poisson_dixon_coles</t>
        </is>
      </c>
      <c r="BC298" s="24" t="inlineStr">
        <is>
          <t>soccer-poisson-dc-v1</t>
        </is>
      </c>
      <c r="BD298" s="24" t="inlineStr">
        <is>
          <t>f585a7f3cb7ee04f9a319a60fa601ef15e86636fadaaa8c1380ac0f28f75c58a</t>
        </is>
      </c>
      <c r="BE298" s="24" t="inlineStr">
        <is>
          <t>soccer-poisson-dc-v1</t>
        </is>
      </c>
      <c r="BF298" s="24" t="inlineStr">
        <is>
          <t>1</t>
        </is>
      </c>
      <c r="BG298" s="24" t="inlineStr">
        <is>
          <t>f585a7f3cb7ee04f9a319a60fa601ef15e86636fadaaa8c1380ac0f28f75c58a</t>
        </is>
      </c>
      <c r="BH298" s="24" t="inlineStr">
        <is>
          <t>2026-08-22T15:41:03.675138Z</t>
        </is>
      </c>
      <c r="BI298" s="24" t="inlineStr">
        <is>
          <t>["same_event","same_team_same_day","same_league_same_day"]</t>
        </is>
      </c>
      <c r="BJ298" s="25" t="n"/>
      <c r="BK298" s="26" t="n">
        <v>223</v>
      </c>
      <c r="BL298" s="27" t="n">
        <v>3.23</v>
      </c>
      <c r="BM298" s="28" t="n">
        <v>0.309598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0.309598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62355b9aa3dc478c</t>
        </is>
      </c>
      <c r="B299" s="24" t="inlineStr">
        <is>
          <t>2026-08-22T19:09:33.676927Z</t>
        </is>
      </c>
      <c r="C299" s="24" t="inlineStr">
        <is>
          <t>2026-08-22T19:30Z</t>
        </is>
      </c>
      <c r="D299" s="24" t="inlineStr">
        <is>
          <t>401882912</t>
        </is>
      </c>
      <c r="E299" s="24" t="inlineStr">
        <is>
          <t>SOCCER</t>
        </is>
      </c>
      <c r="F299" s="24" t="inlineStr">
        <is>
          <t>Real Madrid</t>
        </is>
      </c>
      <c r="G299" s="24" t="inlineStr">
        <is>
          <t>Espanyol</t>
        </is>
      </c>
      <c r="H299" s="24" t="inlineStr">
        <is>
          <t>total</t>
        </is>
      </c>
      <c r="I299" s="24" t="inlineStr">
        <is>
          <t>over</t>
        </is>
      </c>
      <c r="J299" s="25" t="n">
        <v>2.5</v>
      </c>
      <c r="K299" s="24" t="inlineStr">
        <is>
          <t>polymarket_us</t>
        </is>
      </c>
      <c r="L299" s="26" t="n">
        <v>-163</v>
      </c>
      <c r="M299" s="27" t="n">
        <v>1.613497</v>
      </c>
      <c r="N299" s="28" t="n">
        <v>0.619772</v>
      </c>
      <c r="O299" s="28" t="n">
        <v>0.520142</v>
      </c>
      <c r="P299" s="28" t="n">
        <v>0.04</v>
      </c>
      <c r="Q299" s="28" t="n">
        <v>-0.09963</v>
      </c>
      <c r="R299" s="26" t="n">
        <v>0</v>
      </c>
      <c r="S299" s="29" t="n">
        <v>1</v>
      </c>
      <c r="T299" s="24" t="inlineStr">
        <is>
          <t>soccer-poisson-dc-v1</t>
        </is>
      </c>
      <c r="U299" s="24" t="inlineStr">
        <is>
          <t>settled</t>
        </is>
      </c>
      <c r="V299" s="24" t="inlineStr">
        <is>
          <t>win</t>
        </is>
      </c>
      <c r="W299" s="26" t="n">
        <v>2</v>
      </c>
      <c r="X299" s="26" t="n">
        <v>1</v>
      </c>
      <c r="Y299" s="25" t="n"/>
      <c r="Z299" s="26" t="n"/>
      <c r="AA299" s="28" t="n"/>
      <c r="AB299" s="28" t="n"/>
      <c r="AC299" s="30" t="n">
        <v>0.6135</v>
      </c>
      <c r="AD299" s="24" t="inlineStr">
        <is>
          <t>2026-08-22T22:15:55.376961Z</t>
        </is>
      </c>
      <c r="AE299" s="31" t="inlineStr">
        <is>
          <t>Poisson-DC rates 1.03 (home) / 1.73 (away) from EWMA attack/defense strengths. Executable ask 0.6200 (tsc-lal-esp-rma-2026-08-22-2pt5).</t>
        </is>
      </c>
      <c r="AF299" s="31" t="inlineStr">
        <is>
          <t>Research-only soccer score model; draw-aware, but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Real Madrid</t>
        </is>
      </c>
      <c r="AQ299" s="24" t="inlineStr">
        <is>
          <t>Real Madrid</t>
        </is>
      </c>
      <c r="AR299" s="24" t="inlineStr">
        <is>
          <t>Real Madrid</t>
        </is>
      </c>
      <c r="AS299" s="24" t="inlineStr">
        <is>
          <t>Espanyol</t>
        </is>
      </c>
      <c r="AT299" s="24" t="inlineStr">
        <is>
          <t>Espanyol</t>
        </is>
      </c>
      <c r="AU299" s="24" t="inlineStr">
        <is>
          <t>Espanyol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f585a7f3cb7ee04f9a319a60fa601ef15e86636fadaaa8c1380ac0f28f75c58a</t>
        </is>
      </c>
      <c r="BB299" s="24" t="inlineStr">
        <is>
          <t>poisson_dixon_coles</t>
        </is>
      </c>
      <c r="BC299" s="24" t="inlineStr">
        <is>
          <t>soccer-poisson-dc-v1</t>
        </is>
      </c>
      <c r="BD299" s="24" t="inlineStr">
        <is>
          <t>f585a7f3cb7ee04f9a319a60fa601ef15e86636fadaaa8c1380ac0f28f75c58a</t>
        </is>
      </c>
      <c r="BE299" s="24" t="inlineStr">
        <is>
          <t>soccer-poisson-dc-v1</t>
        </is>
      </c>
      <c r="BF299" s="24" t="inlineStr">
        <is>
          <t>1</t>
        </is>
      </c>
      <c r="BG299" s="24" t="inlineStr">
        <is>
          <t>f585a7f3cb7ee04f9a319a60fa601ef15e86636fadaaa8c1380ac0f28f75c58a</t>
        </is>
      </c>
      <c r="BH299" s="24" t="inlineStr">
        <is>
          <t>2026-08-22T19:05:19.860731Z</t>
        </is>
      </c>
      <c r="BI299" s="24" t="inlineStr">
        <is>
          <t>["same_event","same_team_same_day","same_league_same_day"]</t>
        </is>
      </c>
      <c r="BJ299" s="25" t="n">
        <v>2.5</v>
      </c>
      <c r="BK299" s="26" t="n">
        <v>-163</v>
      </c>
      <c r="BL299" s="27" t="n">
        <v>1.613497</v>
      </c>
      <c r="BM299" s="28" t="n">
        <v>0.619772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0.619772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48cb101e2171401a</t>
        </is>
      </c>
      <c r="B300" s="24" t="inlineStr">
        <is>
          <t>2026-08-22T19:09:33.676927Z</t>
        </is>
      </c>
      <c r="C300" s="24" t="inlineStr">
        <is>
          <t>2026-08-22T19:30Z</t>
        </is>
      </c>
      <c r="D300" s="24" t="inlineStr">
        <is>
          <t>401882912</t>
        </is>
      </c>
      <c r="E300" s="24" t="inlineStr">
        <is>
          <t>SOCCER</t>
        </is>
      </c>
      <c r="F300" s="24" t="inlineStr">
        <is>
          <t>Real Madrid</t>
        </is>
      </c>
      <c r="G300" s="24" t="inlineStr">
        <is>
          <t>Espanyol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-233</v>
      </c>
      <c r="M300" s="27" t="n">
        <v>1.429185</v>
      </c>
      <c r="N300" s="28" t="n">
        <v>0.6997</v>
      </c>
      <c r="O300" s="28" t="n">
        <v>0.5255919999999999</v>
      </c>
      <c r="P300" s="28" t="n">
        <v>0.04</v>
      </c>
      <c r="Q300" s="28" t="n">
        <v>-0.174108</v>
      </c>
      <c r="R300" s="26" t="n">
        <v>0</v>
      </c>
      <c r="S300" s="29" t="n">
        <v>1</v>
      </c>
      <c r="T300" s="24" t="inlineStr">
        <is>
          <t>soccer-poisson-dc-v1</t>
        </is>
      </c>
      <c r="U300" s="24" t="inlineStr">
        <is>
          <t>settled</t>
        </is>
      </c>
      <c r="V300" s="24" t="inlineStr">
        <is>
          <t>win</t>
        </is>
      </c>
      <c r="W300" s="26" t="n">
        <v>2</v>
      </c>
      <c r="X300" s="26" t="n">
        <v>1</v>
      </c>
      <c r="Y300" s="25" t="n"/>
      <c r="Z300" s="26" t="n"/>
      <c r="AA300" s="28" t="n"/>
      <c r="AB300" s="28" t="n"/>
      <c r="AC300" s="30" t="n">
        <v>0.4292</v>
      </c>
      <c r="AD300" s="24" t="inlineStr">
        <is>
          <t>2026-08-22T22:15:59.216390Z</t>
        </is>
      </c>
      <c r="AE300" s="31" t="inlineStr">
        <is>
          <t>Poisson-DC rates 1.03 (home) / 1.73 (away) from EWMA attack/defense strengths. Executable ask 0.7000 (atc-lal-esp-rma-2026-08-22-rma).</t>
        </is>
      </c>
      <c r="AF300" s="31" t="inlineStr">
        <is>
          <t>Research-only soccer score model; draw-aware, but not yet locked-holdout qualified.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Real Madrid</t>
        </is>
      </c>
      <c r="AQ300" s="24" t="inlineStr">
        <is>
          <t>Real Madrid</t>
        </is>
      </c>
      <c r="AR300" s="24" t="inlineStr">
        <is>
          <t>Real Madrid</t>
        </is>
      </c>
      <c r="AS300" s="24" t="inlineStr">
        <is>
          <t>Espanyol</t>
        </is>
      </c>
      <c r="AT300" s="24" t="inlineStr">
        <is>
          <t>Espanyol</t>
        </is>
      </c>
      <c r="AU300" s="24" t="inlineStr">
        <is>
          <t>Espanyol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f585a7f3cb7ee04f9a319a60fa601ef15e86636fadaaa8c1380ac0f28f75c58a</t>
        </is>
      </c>
      <c r="BB300" s="24" t="inlineStr">
        <is>
          <t>poisson_dixon_coles</t>
        </is>
      </c>
      <c r="BC300" s="24" t="inlineStr">
        <is>
          <t>soccer-poisson-dc-v1</t>
        </is>
      </c>
      <c r="BD300" s="24" t="inlineStr">
        <is>
          <t>f585a7f3cb7ee04f9a319a60fa601ef15e86636fadaaa8c1380ac0f28f75c58a</t>
        </is>
      </c>
      <c r="BE300" s="24" t="inlineStr">
        <is>
          <t>soccer-poisson-dc-v1</t>
        </is>
      </c>
      <c r="BF300" s="24" t="inlineStr">
        <is>
          <t>1</t>
        </is>
      </c>
      <c r="BG300" s="24" t="inlineStr">
        <is>
          <t>f585a7f3cb7ee04f9a319a60fa601ef15e86636fadaaa8c1380ac0f28f75c58a</t>
        </is>
      </c>
      <c r="BH300" s="24" t="inlineStr">
        <is>
          <t>2026-08-22T19:05:19.861183Z</t>
        </is>
      </c>
      <c r="BI300" s="24" t="inlineStr">
        <is>
          <t>["same_event","same_team_same_day","same_league_same_day"]</t>
        </is>
      </c>
      <c r="BJ300" s="25" t="n"/>
      <c r="BK300" s="26" t="n">
        <v>-233</v>
      </c>
      <c r="BL300" s="27" t="n">
        <v>1.429185</v>
      </c>
      <c r="BM300" s="28" t="n">
        <v>0.6997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0.6997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6bc3fb086849476d</t>
        </is>
      </c>
      <c r="B301" s="24" t="inlineStr">
        <is>
          <t>2026-08-22T19:09:33.676927Z</t>
        </is>
      </c>
      <c r="C301" s="24" t="inlineStr">
        <is>
          <t>2026-08-22T21:00Z</t>
        </is>
      </c>
      <c r="D301" s="24" t="inlineStr">
        <is>
          <t>401860299</t>
        </is>
      </c>
      <c r="E301" s="24" t="inlineStr">
        <is>
          <t>SOCCER</t>
        </is>
      </c>
      <c r="F301" s="24" t="inlineStr">
        <is>
          <t>Londrina</t>
        </is>
      </c>
      <c r="G301" s="24" t="inlineStr">
        <is>
          <t>Ceará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-108</v>
      </c>
      <c r="M301" s="27" t="n">
        <v>1.925926</v>
      </c>
      <c r="N301" s="28" t="n">
        <v>0.519231</v>
      </c>
      <c r="O301" s="28" t="n">
        <v>0.456135</v>
      </c>
      <c r="P301" s="28" t="n">
        <v>0.2</v>
      </c>
      <c r="Q301" s="28" t="n">
        <v>-0.063096</v>
      </c>
      <c r="R301" s="26" t="n">
        <v>0</v>
      </c>
      <c r="S301" s="29" t="n">
        <v>1</v>
      </c>
      <c r="T301" s="24" t="inlineStr">
        <is>
          <t>soccer-poisson-dc-v1</t>
        </is>
      </c>
      <c r="U301" s="24" t="inlineStr">
        <is>
          <t>settled</t>
        </is>
      </c>
      <c r="V301" s="24" t="inlineStr">
        <is>
          <t>win</t>
        </is>
      </c>
      <c r="W301" s="26" t="n">
        <v>1</v>
      </c>
      <c r="X301" s="26" t="n">
        <v>2</v>
      </c>
      <c r="Y301" s="25" t="n"/>
      <c r="Z301" s="26" t="n"/>
      <c r="AA301" s="28" t="n"/>
      <c r="AB301" s="28" t="n"/>
      <c r="AC301" s="30" t="n">
        <v>0.9258999999999999</v>
      </c>
      <c r="AD301" s="24" t="inlineStr">
        <is>
          <t>2026-08-23T04:32:13.614005Z</t>
        </is>
      </c>
      <c r="AE301" s="31" t="inlineStr">
        <is>
          <t>Poisson-DC rates 1.64 (home) / 1.24 (away) from EWMA attack/defense strengths. Executable ask 0.5200 (atc-brb-csc-lon-2026-08-22-csc).</t>
        </is>
      </c>
      <c r="AF301" s="31" t="inlineStr">
        <is>
          <t>Research-only soccer score model; draw-aware, but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PAPER_CALL_MODEL_UNVALIDATED</t>
        </is>
      </c>
      <c r="AP301" s="24" t="inlineStr">
        <is>
          <t>Londrina</t>
        </is>
      </c>
      <c r="AQ301" s="24" t="inlineStr">
        <is>
          <t>Londrina</t>
        </is>
      </c>
      <c r="AR301" s="24" t="inlineStr">
        <is>
          <t>Londrina</t>
        </is>
      </c>
      <c r="AS301" s="24" t="inlineStr">
        <is>
          <t>Ceará</t>
        </is>
      </c>
      <c r="AT301" s="24" t="inlineStr">
        <is>
          <t>Ceará</t>
        </is>
      </c>
      <c r="AU301" s="24" t="inlineStr">
        <is>
          <t>Ceará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f585a7f3cb7ee04f9a319a60fa601ef15e86636fadaaa8c1380ac0f28f75c58a</t>
        </is>
      </c>
      <c r="BB301" s="24" t="inlineStr">
        <is>
          <t>poisson_dixon_coles</t>
        </is>
      </c>
      <c r="BC301" s="24" t="inlineStr">
        <is>
          <t>soccer-poisson-dc-v1</t>
        </is>
      </c>
      <c r="BD301" s="24" t="inlineStr">
        <is>
          <t>f585a7f3cb7ee04f9a319a60fa601ef15e86636fadaaa8c1380ac0f28f75c58a</t>
        </is>
      </c>
      <c r="BE301" s="24" t="inlineStr">
        <is>
          <t>soccer-poisson-dc-v1</t>
        </is>
      </c>
      <c r="BF301" s="24" t="inlineStr">
        <is>
          <t>1</t>
        </is>
      </c>
      <c r="BG301" s="24" t="inlineStr">
        <is>
          <t>f585a7f3cb7ee04f9a319a60fa601ef15e86636fadaaa8c1380ac0f28f75c58a</t>
        </is>
      </c>
      <c r="BH301" s="24" t="inlineStr">
        <is>
          <t>2026-08-22T19:05:21.533367Z</t>
        </is>
      </c>
      <c r="BI301" s="24" t="inlineStr">
        <is>
          <t>["same_event","same_team_same_day","same_league_same_day"]</t>
        </is>
      </c>
      <c r="BJ301" s="25" t="n"/>
      <c r="BK301" s="26" t="n">
        <v>-108</v>
      </c>
      <c r="BL301" s="27" t="n">
        <v>1.925926</v>
      </c>
      <c r="BM301" s="28" t="n">
        <v>0.519231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0.519231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81d23591f8304ea6</t>
        </is>
      </c>
      <c r="B302" s="24" t="inlineStr">
        <is>
          <t>2026-08-22T19:09:33.676927Z</t>
        </is>
      </c>
      <c r="C302" s="24" t="inlineStr">
        <is>
          <t>2026-08-22T21:30Z</t>
        </is>
      </c>
      <c r="D302" s="24" t="inlineStr">
        <is>
          <t>401841514</t>
        </is>
      </c>
      <c r="E302" s="24" t="inlineStr">
        <is>
          <t>SOCCER</t>
        </is>
      </c>
      <c r="F302" s="24" t="inlineStr">
        <is>
          <t>Independiente Rivadavia</t>
        </is>
      </c>
      <c r="G302" s="24" t="inlineStr">
        <is>
          <t>Independiente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138</v>
      </c>
      <c r="M302" s="27" t="n">
        <v>2.38</v>
      </c>
      <c r="N302" s="28" t="n">
        <v>0.420168</v>
      </c>
      <c r="O302" s="28" t="n">
        <v>0.483295</v>
      </c>
      <c r="P302" s="28" t="n">
        <v>0.2</v>
      </c>
      <c r="Q302" s="28" t="n">
        <v>0.063127</v>
      </c>
      <c r="R302" s="26" t="n">
        <v>0</v>
      </c>
      <c r="S302" s="29" t="n">
        <v>1</v>
      </c>
      <c r="T302" s="24" t="inlineStr">
        <is>
          <t>soccer-poisson-dc-v1</t>
        </is>
      </c>
      <c r="U302" s="24" t="inlineStr">
        <is>
          <t>settled</t>
        </is>
      </c>
      <c r="V302" s="24" t="inlineStr">
        <is>
          <t>loss</t>
        </is>
      </c>
      <c r="W302" s="26" t="n">
        <v>0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2026-08-23T04:32:18.809816Z</t>
        </is>
      </c>
      <c r="AE302" s="31" t="inlineStr">
        <is>
          <t>Poisson-DC rates 1.72 (home) / 1.20 (away) from EWMA attack/defense strengths. Executable ask 0.4200 (atc-lpa-ind-cir-2026-08-22-ind).</t>
        </is>
      </c>
      <c r="AF302" s="31" t="inlineStr">
        <is>
          <t>Research-only soccer score model; draw-aware, but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PAPER_CALL_MODEL_UNVALIDATED</t>
        </is>
      </c>
      <c r="AP302" s="24" t="inlineStr">
        <is>
          <t>Independiente Rivadavia</t>
        </is>
      </c>
      <c r="AQ302" s="24" t="inlineStr">
        <is>
          <t>Independiente Rivadavia</t>
        </is>
      </c>
      <c r="AR302" s="24" t="inlineStr">
        <is>
          <t>Independiente Rivadavia</t>
        </is>
      </c>
      <c r="AS302" s="24" t="inlineStr">
        <is>
          <t>Independiente</t>
        </is>
      </c>
      <c r="AT302" s="24" t="inlineStr">
        <is>
          <t>Independiente</t>
        </is>
      </c>
      <c r="AU302" s="24" t="inlineStr">
        <is>
          <t>Independiente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f585a7f3cb7ee04f9a319a60fa601ef15e86636fadaaa8c1380ac0f28f75c58a</t>
        </is>
      </c>
      <c r="BB302" s="24" t="inlineStr">
        <is>
          <t>poisson_dixon_coles</t>
        </is>
      </c>
      <c r="BC302" s="24" t="inlineStr">
        <is>
          <t>soccer-poisson-dc-v1</t>
        </is>
      </c>
      <c r="BD302" s="24" t="inlineStr">
        <is>
          <t>f585a7f3cb7ee04f9a319a60fa601ef15e86636fadaaa8c1380ac0f28f75c58a</t>
        </is>
      </c>
      <c r="BE302" s="24" t="inlineStr">
        <is>
          <t>soccer-poisson-dc-v1</t>
        </is>
      </c>
      <c r="BF302" s="24" t="inlineStr">
        <is>
          <t>1</t>
        </is>
      </c>
      <c r="BG302" s="24" t="inlineStr">
        <is>
          <t>f585a7f3cb7ee04f9a319a60fa601ef15e86636fadaaa8c1380ac0f28f75c58a</t>
        </is>
      </c>
      <c r="BH302" s="24" t="inlineStr">
        <is>
          <t>2026-08-22T19:05:21.585911Z</t>
        </is>
      </c>
      <c r="BI302" s="24" t="inlineStr">
        <is>
          <t>["same_event","same_team_same_day","same_league_same_day"]</t>
        </is>
      </c>
      <c r="BJ302" s="25" t="n"/>
      <c r="BK302" s="26" t="n">
        <v>138</v>
      </c>
      <c r="BL302" s="27" t="n">
        <v>2.38</v>
      </c>
      <c r="BM302" s="28" t="n">
        <v>0.420168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0.420168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b1914e5139da42d1</t>
        </is>
      </c>
      <c r="B303" s="24" t="inlineStr">
        <is>
          <t>2026-08-22T19:09:33.676927Z</t>
        </is>
      </c>
      <c r="C303" s="24" t="inlineStr">
        <is>
          <t>2026-08-22T20:30Z</t>
        </is>
      </c>
      <c r="D303" s="24" t="inlineStr">
        <is>
          <t>401877952</t>
        </is>
      </c>
      <c r="E303" s="24" t="inlineStr">
        <is>
          <t>SOCCER</t>
        </is>
      </c>
      <c r="F303" s="24" t="inlineStr">
        <is>
          <t>Millonarios</t>
        </is>
      </c>
      <c r="G303" s="24" t="inlineStr">
        <is>
          <t>Águilas Doradas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317</v>
      </c>
      <c r="M303" s="27" t="n">
        <v>4.17</v>
      </c>
      <c r="N303" s="28" t="n">
        <v>0.239808</v>
      </c>
      <c r="O303" s="28" t="n">
        <v>0.404769</v>
      </c>
      <c r="P303" s="28" t="n">
        <v>0.19</v>
      </c>
      <c r="Q303" s="28" t="n">
        <v>0.164961</v>
      </c>
      <c r="R303" s="26" t="n">
        <v>18</v>
      </c>
      <c r="S303" s="29" t="n">
        <v>1</v>
      </c>
      <c r="T303" s="24" t="inlineStr">
        <is>
          <t>soccer-poisson-dc-v1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1</v>
      </c>
      <c r="Y303" s="25" t="n"/>
      <c r="Z303" s="26" t="n"/>
      <c r="AA303" s="28" t="n"/>
      <c r="AB303" s="28" t="n"/>
      <c r="AC303" s="30" t="n">
        <v>-1</v>
      </c>
      <c r="AD303" s="24" t="inlineStr">
        <is>
          <t>2026-08-22T22:31:06.953838Z</t>
        </is>
      </c>
      <c r="AE303" s="31" t="inlineStr">
        <is>
          <t>Poisson-DC rates 1.30 (home) / 1.07 (away) from EWMA attack/defense strengths. Executable ask 0.2400 (atc-lco-agu-mil-2026-08-22-agu).</t>
        </is>
      </c>
      <c r="AF303" s="31" t="inlineStr">
        <is>
          <t>Research-only soccer score model; draw-aware, but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PAPER_CALL_MODEL_UNVALIDATED</t>
        </is>
      </c>
      <c r="AP303" s="24" t="inlineStr">
        <is>
          <t>Millonarios</t>
        </is>
      </c>
      <c r="AQ303" s="24" t="inlineStr">
        <is>
          <t>Millonarios</t>
        </is>
      </c>
      <c r="AR303" s="24" t="inlineStr">
        <is>
          <t>Millonarios</t>
        </is>
      </c>
      <c r="AS303" s="24" t="inlineStr">
        <is>
          <t>Águilas Doradas</t>
        </is>
      </c>
      <c r="AT303" s="24" t="inlineStr">
        <is>
          <t>Águilas Doradas</t>
        </is>
      </c>
      <c r="AU303" s="24" t="inlineStr">
        <is>
          <t>Águilas Doradas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f585a7f3cb7ee04f9a319a60fa601ef15e86636fadaaa8c1380ac0f28f75c58a</t>
        </is>
      </c>
      <c r="BB303" s="24" t="inlineStr">
        <is>
          <t>poisson_dixon_coles</t>
        </is>
      </c>
      <c r="BC303" s="24" t="inlineStr">
        <is>
          <t>soccer-poisson-dc-v1</t>
        </is>
      </c>
      <c r="BD303" s="24" t="inlineStr">
        <is>
          <t>f585a7f3cb7ee04f9a319a60fa601ef15e86636fadaaa8c1380ac0f28f75c58a</t>
        </is>
      </c>
      <c r="BE303" s="24" t="inlineStr">
        <is>
          <t>soccer-poisson-dc-v1</t>
        </is>
      </c>
      <c r="BF303" s="24" t="inlineStr">
        <is>
          <t>1</t>
        </is>
      </c>
      <c r="BG303" s="24" t="inlineStr">
        <is>
          <t>f585a7f3cb7ee04f9a319a60fa601ef15e86636fadaaa8c1380ac0f28f75c58a</t>
        </is>
      </c>
      <c r="BH303" s="24" t="inlineStr">
        <is>
          <t>2026-08-22T19:05:21.738950Z</t>
        </is>
      </c>
      <c r="BI303" s="24" t="inlineStr">
        <is>
          <t>["same_event","same_team_same_day","same_league_same_day"]</t>
        </is>
      </c>
      <c r="BJ303" s="25" t="n"/>
      <c r="BK303" s="26" t="n">
        <v>317</v>
      </c>
      <c r="BL303" s="27" t="n">
        <v>4.17</v>
      </c>
      <c r="BM303" s="28" t="n">
        <v>0.239808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0.239808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501157458287443a</t>
        </is>
      </c>
      <c r="B304" s="24" t="inlineStr">
        <is>
          <t>2026-08-22T23:01:37.142187Z</t>
        </is>
      </c>
      <c r="C304" s="24" t="inlineStr">
        <is>
          <t>2026-08-22T23:30Z</t>
        </is>
      </c>
      <c r="D304" s="24" t="inlineStr">
        <is>
          <t>761741</t>
        </is>
      </c>
      <c r="E304" s="24" t="inlineStr">
        <is>
          <t>SOCCER</t>
        </is>
      </c>
      <c r="F304" s="24" t="inlineStr">
        <is>
          <t>D.C. United</t>
        </is>
      </c>
      <c r="G304" s="24" t="inlineStr">
        <is>
          <t>Charlotte FC</t>
        </is>
      </c>
      <c r="H304" s="24" t="inlineStr">
        <is>
          <t>total</t>
        </is>
      </c>
      <c r="I304" s="24" t="inlineStr">
        <is>
          <t>over</t>
        </is>
      </c>
      <c r="J304" s="25" t="n">
        <v>2.5</v>
      </c>
      <c r="K304" s="24" t="inlineStr">
        <is>
          <t>polymarket_us</t>
        </is>
      </c>
      <c r="L304" s="26" t="n">
        <v>-150</v>
      </c>
      <c r="M304" s="27" t="n">
        <v>1.666667</v>
      </c>
      <c r="N304" s="28" t="n">
        <v>0.6</v>
      </c>
      <c r="O304" s="28" t="n">
        <v>0.654689</v>
      </c>
      <c r="P304" s="28" t="n">
        <v>0.04</v>
      </c>
      <c r="Q304" s="28" t="n">
        <v>0.054689</v>
      </c>
      <c r="R304" s="26" t="n">
        <v>53</v>
      </c>
      <c r="S304" s="29" t="n">
        <v>1</v>
      </c>
      <c r="T304" s="24" t="inlineStr">
        <is>
          <t>soccer-poisson-dc-v1</t>
        </is>
      </c>
      <c r="U304" s="24" t="inlineStr">
        <is>
          <t>settled</t>
        </is>
      </c>
      <c r="V304" s="24" t="inlineStr">
        <is>
          <t>win</t>
        </is>
      </c>
      <c r="W304" s="26" t="n">
        <v>1</v>
      </c>
      <c r="X304" s="26" t="n">
        <v>3</v>
      </c>
      <c r="Y304" s="25" t="n"/>
      <c r="Z304" s="26" t="n"/>
      <c r="AA304" s="28" t="n"/>
      <c r="AB304" s="28" t="n"/>
      <c r="AC304" s="30" t="n">
        <v>0.6667</v>
      </c>
      <c r="AD304" s="24" t="inlineStr">
        <is>
          <t>2026-08-23T04:55:13.750028Z</t>
        </is>
      </c>
      <c r="AE304" s="31" t="inlineStr">
        <is>
          <t>Poisson-DC rates 2.20 (home) / 1.17 (away) from EWMA attack/defense strengths. Executable ask 0.6000 (tsc-mls-clt-dcu-2026-08-22-2pt5).</t>
        </is>
      </c>
      <c r="AF304" s="31" t="inlineStr">
        <is>
          <t>Research-only soccer score model; draw-aware, but not yet locked-holdout qualified.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D.C. United</t>
        </is>
      </c>
      <c r="AQ304" s="24" t="inlineStr">
        <is>
          <t>D.C. United</t>
        </is>
      </c>
      <c r="AR304" s="24" t="inlineStr">
        <is>
          <t>D.C. United</t>
        </is>
      </c>
      <c r="AS304" s="24" t="inlineStr">
        <is>
          <t>Charlotte FC</t>
        </is>
      </c>
      <c r="AT304" s="24" t="inlineStr">
        <is>
          <t>Charlotte FC</t>
        </is>
      </c>
      <c r="AU304" s="24" t="inlineStr">
        <is>
          <t>Charlotte FC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f585a7f3cb7ee04f9a319a60fa601ef15e86636fadaaa8c1380ac0f28f75c58a</t>
        </is>
      </c>
      <c r="BB304" s="24" t="inlineStr">
        <is>
          <t>poisson_dixon_coles</t>
        </is>
      </c>
      <c r="BC304" s="24" t="inlineStr">
        <is>
          <t>soccer-poisson-dc-v1</t>
        </is>
      </c>
      <c r="BD304" s="24" t="inlineStr">
        <is>
          <t>f585a7f3cb7ee04f9a319a60fa601ef15e86636fadaaa8c1380ac0f28f75c58a</t>
        </is>
      </c>
      <c r="BE304" s="24" t="inlineStr">
        <is>
          <t>soccer-poisson-dc-v1</t>
        </is>
      </c>
      <c r="BF304" s="24" t="inlineStr">
        <is>
          <t>1</t>
        </is>
      </c>
      <c r="BG304" s="24" t="inlineStr">
        <is>
          <t>f585a7f3cb7ee04f9a319a60fa601ef15e86636fadaaa8c1380ac0f28f75c58a</t>
        </is>
      </c>
      <c r="BH304" s="24" t="inlineStr">
        <is>
          <t>2026-08-22T22:58:24.807151Z</t>
        </is>
      </c>
      <c r="BI304" s="24" t="inlineStr">
        <is>
          <t>["same_event","same_team_same_day","same_league_same_day"]</t>
        </is>
      </c>
      <c r="BJ304" s="25" t="n">
        <v>2.5</v>
      </c>
      <c r="BK304" s="26" t="n">
        <v>-150</v>
      </c>
      <c r="BL304" s="27" t="n">
        <v>1.666667</v>
      </c>
      <c r="BM304" s="28" t="n">
        <v>0.6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51f647346e144f5d</t>
        </is>
      </c>
      <c r="B305" s="24" t="inlineStr">
        <is>
          <t>2026-08-22T23:01:37.142187Z</t>
        </is>
      </c>
      <c r="C305" s="24" t="inlineStr">
        <is>
          <t>2026-08-22T23:30Z</t>
        </is>
      </c>
      <c r="D305" s="24" t="inlineStr">
        <is>
          <t>761743</t>
        </is>
      </c>
      <c r="E305" s="24" t="inlineStr">
        <is>
          <t>SOCCER</t>
        </is>
      </c>
      <c r="F305" s="24" t="inlineStr">
        <is>
          <t>Seattle Sounders FC</t>
        </is>
      </c>
      <c r="G305" s="24" t="inlineStr">
        <is>
          <t>FC Cincinnati</t>
        </is>
      </c>
      <c r="H305" s="24" t="inlineStr">
        <is>
          <t>total</t>
        </is>
      </c>
      <c r="I305" s="24" t="inlineStr">
        <is>
          <t>over</t>
        </is>
      </c>
      <c r="J305" s="25" t="n">
        <v>2.5</v>
      </c>
      <c r="K305" s="24" t="inlineStr">
        <is>
          <t>polymarket_us</t>
        </is>
      </c>
      <c r="L305" s="26" t="n">
        <v>-257</v>
      </c>
      <c r="M305" s="27" t="n">
        <v>1.389105</v>
      </c>
      <c r="N305" s="28" t="n">
        <v>0.719888</v>
      </c>
      <c r="O305" s="28" t="n">
        <v>0.805175</v>
      </c>
      <c r="P305" s="28" t="n">
        <v>0.04</v>
      </c>
      <c r="Q305" s="28" t="n">
        <v>0.085287</v>
      </c>
      <c r="R305" s="26" t="n">
        <v>69</v>
      </c>
      <c r="S305" s="29" t="n">
        <v>1.25</v>
      </c>
      <c r="T305" s="24" t="inlineStr">
        <is>
          <t>soccer-poisson-dc-v1</t>
        </is>
      </c>
      <c r="U305" s="24" t="inlineStr">
        <is>
          <t>settled</t>
        </is>
      </c>
      <c r="V305" s="24" t="inlineStr">
        <is>
          <t>loss</t>
        </is>
      </c>
      <c r="W305" s="26" t="n">
        <v>1</v>
      </c>
      <c r="X305" s="26" t="n">
        <v>1</v>
      </c>
      <c r="Y305" s="25" t="n"/>
      <c r="Z305" s="26" t="n"/>
      <c r="AA305" s="28" t="n"/>
      <c r="AB305" s="28" t="n"/>
      <c r="AC305" s="30" t="n">
        <v>-1.25</v>
      </c>
      <c r="AD305" s="24" t="inlineStr">
        <is>
          <t>2026-08-23T04:55:15.970002Z</t>
        </is>
      </c>
      <c r="AE305" s="31" t="inlineStr">
        <is>
          <t>Poisson-DC rates 2.45 (home) / 1.87 (away) from EWMA attack/defense strengths. Executable ask 0.7200 (tsc-mls-fcc-sea-2026-08-22-2pt5).</t>
        </is>
      </c>
      <c r="AF305" s="31" t="inlineStr">
        <is>
          <t>Research-only soccer score model; draw-aware, but not yet locked-holdout qualified.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Seattle Sounders FC</t>
        </is>
      </c>
      <c r="AQ305" s="24" t="inlineStr">
        <is>
          <t>Seattle Sounders FC</t>
        </is>
      </c>
      <c r="AR305" s="24" t="inlineStr">
        <is>
          <t>Seattle Sounders FC</t>
        </is>
      </c>
      <c r="AS305" s="24" t="inlineStr">
        <is>
          <t>FC Cincinnati</t>
        </is>
      </c>
      <c r="AT305" s="24" t="inlineStr">
        <is>
          <t>FC Cincinnati</t>
        </is>
      </c>
      <c r="AU305" s="24" t="inlineStr">
        <is>
          <t>FC Cincinnati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f585a7f3cb7ee04f9a319a60fa601ef15e86636fadaaa8c1380ac0f28f75c58a</t>
        </is>
      </c>
      <c r="BB305" s="24" t="inlineStr">
        <is>
          <t>poisson_dixon_coles</t>
        </is>
      </c>
      <c r="BC305" s="24" t="inlineStr">
        <is>
          <t>soccer-poisson-dc-v1</t>
        </is>
      </c>
      <c r="BD305" s="24" t="inlineStr">
        <is>
          <t>f585a7f3cb7ee04f9a319a60fa601ef15e86636fadaaa8c1380ac0f28f75c58a</t>
        </is>
      </c>
      <c r="BE305" s="24" t="inlineStr">
        <is>
          <t>soccer-poisson-dc-v1</t>
        </is>
      </c>
      <c r="BF305" s="24" t="inlineStr">
        <is>
          <t>1</t>
        </is>
      </c>
      <c r="BG305" s="24" t="inlineStr">
        <is>
          <t>f585a7f3cb7ee04f9a319a60fa601ef15e86636fadaaa8c1380ac0f28f75c58a</t>
        </is>
      </c>
      <c r="BH305" s="24" t="inlineStr">
        <is>
          <t>2026-08-22T22:58:24.995875Z</t>
        </is>
      </c>
      <c r="BI305" s="24" t="inlineStr">
        <is>
          <t>["same_event","same_team_same_day","same_league_same_day"]</t>
        </is>
      </c>
      <c r="BJ305" s="25" t="n">
        <v>2.5</v>
      </c>
      <c r="BK305" s="26" t="n">
        <v>-257</v>
      </c>
      <c r="BL305" s="27" t="n">
        <v>1.389105</v>
      </c>
      <c r="BM305" s="28" t="n">
        <v>0.719888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0.719888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a2cca4b8f5a742d3</t>
        </is>
      </c>
      <c r="B306" s="24" t="inlineStr">
        <is>
          <t>2026-08-22T23:01:37.142187Z</t>
        </is>
      </c>
      <c r="C306" s="24" t="inlineStr">
        <is>
          <t>2026-08-22T23:30Z</t>
        </is>
      </c>
      <c r="D306" s="24" t="inlineStr">
        <is>
          <t>761742</t>
        </is>
      </c>
      <c r="E306" s="24" t="inlineStr">
        <is>
          <t>SOCCER</t>
        </is>
      </c>
      <c r="F306" s="24" t="inlineStr">
        <is>
          <t>Toronto FC</t>
        </is>
      </c>
      <c r="G306" s="24" t="inlineStr">
        <is>
          <t>Inter Miami CF</t>
        </is>
      </c>
      <c r="H306" s="24" t="inlineStr">
        <is>
          <t>total</t>
        </is>
      </c>
      <c r="I306" s="24" t="inlineStr">
        <is>
          <t>over</t>
        </is>
      </c>
      <c r="J306" s="25" t="n">
        <v>2.5</v>
      </c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0.889359</v>
      </c>
      <c r="P306" s="28" t="n">
        <v>0.04</v>
      </c>
      <c r="Q306" s="28" t="n">
        <v>0.079473</v>
      </c>
      <c r="R306" s="26" t="n">
        <v>66</v>
      </c>
      <c r="S306" s="29" t="n">
        <v>1.25</v>
      </c>
      <c r="T306" s="24" t="inlineStr">
        <is>
          <t>soccer-poisson-dc-v1</t>
        </is>
      </c>
      <c r="U306" s="24" t="inlineStr">
        <is>
          <t>settled</t>
        </is>
      </c>
      <c r="V306" s="24" t="inlineStr">
        <is>
          <t>win</t>
        </is>
      </c>
      <c r="W306" s="26" t="n">
        <v>2</v>
      </c>
      <c r="X306" s="26" t="n">
        <v>1</v>
      </c>
      <c r="Y306" s="25" t="n"/>
      <c r="Z306" s="26" t="n"/>
      <c r="AA306" s="28" t="n"/>
      <c r="AB306" s="28" t="n"/>
      <c r="AC306" s="30" t="n">
        <v>0.2934</v>
      </c>
      <c r="AD306" s="24" t="inlineStr">
        <is>
          <t>2026-08-23T04:55:21.467336Z</t>
        </is>
      </c>
      <c r="AE306" s="31" t="inlineStr">
        <is>
          <t>Poisson-DC rates 3.79 (home) / 1.39 (away) from EWMA attack/defense strengths. Executable ask 0.8100 (tsc-mls-mia-tor-2026-08-22-2pt5).</t>
        </is>
      </c>
      <c r="AF306" s="31" t="inlineStr">
        <is>
          <t>Research-only soccer score model; draw-aware, but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Toronto FC</t>
        </is>
      </c>
      <c r="AQ306" s="24" t="inlineStr">
        <is>
          <t>Toronto FC</t>
        </is>
      </c>
      <c r="AR306" s="24" t="inlineStr">
        <is>
          <t>Toronto FC</t>
        </is>
      </c>
      <c r="AS306" s="24" t="inlineStr">
        <is>
          <t>Inter Miami CF</t>
        </is>
      </c>
      <c r="AT306" s="24" t="inlineStr">
        <is>
          <t>Inter Miami CF</t>
        </is>
      </c>
      <c r="AU306" s="24" t="inlineStr">
        <is>
          <t>Inter Miami CF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f585a7f3cb7ee04f9a319a60fa601ef15e86636fadaaa8c1380ac0f28f75c58a</t>
        </is>
      </c>
      <c r="BB306" s="24" t="inlineStr">
        <is>
          <t>poisson_dixon_coles</t>
        </is>
      </c>
      <c r="BC306" s="24" t="inlineStr">
        <is>
          <t>soccer-poisson-dc-v1</t>
        </is>
      </c>
      <c r="BD306" s="24" t="inlineStr">
        <is>
          <t>f585a7f3cb7ee04f9a319a60fa601ef15e86636fadaaa8c1380ac0f28f75c58a</t>
        </is>
      </c>
      <c r="BE306" s="24" t="inlineStr">
        <is>
          <t>soccer-poisson-dc-v1</t>
        </is>
      </c>
      <c r="BF306" s="24" t="inlineStr">
        <is>
          <t>1</t>
        </is>
      </c>
      <c r="BG306" s="24" t="inlineStr">
        <is>
          <t>f585a7f3cb7ee04f9a319a60fa601ef15e86636fadaaa8c1380ac0f28f75c58a</t>
        </is>
      </c>
      <c r="BH306" s="24" t="inlineStr">
        <is>
          <t>2026-08-22T22:58:25.062255Z</t>
        </is>
      </c>
      <c r="BI306" s="24" t="inlineStr">
        <is>
          <t>["same_event","same_team_same_day","same_league_same_day"]</t>
        </is>
      </c>
      <c r="BJ306" s="25" t="n">
        <v>2.5</v>
      </c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626af78a4f9e4b73</t>
        </is>
      </c>
      <c r="B307" s="24" t="inlineStr">
        <is>
          <t>2026-08-22T23:01:37.142187Z</t>
        </is>
      </c>
      <c r="C307" s="24" t="inlineStr">
        <is>
          <t>2026-08-22T23:30Z</t>
        </is>
      </c>
      <c r="D307" s="24" t="inlineStr">
        <is>
          <t>761740</t>
        </is>
      </c>
      <c r="E307" s="24" t="inlineStr">
        <is>
          <t>SOCCER</t>
        </is>
      </c>
      <c r="F307" s="24" t="inlineStr">
        <is>
          <t>Real Salt Lake</t>
        </is>
      </c>
      <c r="G307" s="24" t="inlineStr">
        <is>
          <t>Orlando City SC</t>
        </is>
      </c>
      <c r="H307" s="24" t="inlineStr">
        <is>
          <t>total</t>
        </is>
      </c>
      <c r="I307" s="24" t="inlineStr">
        <is>
          <t>over</t>
        </is>
      </c>
      <c r="J307" s="25" t="n">
        <v>2.5</v>
      </c>
      <c r="K307" s="24" t="inlineStr">
        <is>
          <t>polymarket_us</t>
        </is>
      </c>
      <c r="L307" s="26" t="n">
        <v>-223</v>
      </c>
      <c r="M307" s="27" t="n">
        <v>1.44843</v>
      </c>
      <c r="N307" s="28" t="n">
        <v>0.690402</v>
      </c>
      <c r="O307" s="28" t="n">
        <v>0.7976569999999999</v>
      </c>
      <c r="P307" s="28" t="n">
        <v>0.04</v>
      </c>
      <c r="Q307" s="28" t="n">
        <v>0.107255</v>
      </c>
      <c r="R307" s="26" t="n">
        <v>80</v>
      </c>
      <c r="S307" s="29" t="n">
        <v>1.5</v>
      </c>
      <c r="T307" s="24" t="inlineStr">
        <is>
          <t>soccer-poisson-dc-v1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2</v>
      </c>
      <c r="Y307" s="25" t="n"/>
      <c r="Z307" s="26" t="n"/>
      <c r="AA307" s="28" t="n"/>
      <c r="AB307" s="28" t="n"/>
      <c r="AC307" s="30" t="n">
        <v>0.6726</v>
      </c>
      <c r="AD307" s="24" t="inlineStr">
        <is>
          <t>2026-08-23T04:55:25.300625Z</t>
        </is>
      </c>
      <c r="AE307" s="31" t="inlineStr">
        <is>
          <t>Poisson-DC rates 1.93 (home) / 2.33 (away) from EWMA attack/defense strengths. Executable ask 0.6900 (tsc-mls-orl-rsl-2026-08-22-2pt5).</t>
        </is>
      </c>
      <c r="AF307" s="31" t="inlineStr">
        <is>
          <t>Research-only soccer score model; draw-aware, but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Real Salt Lake</t>
        </is>
      </c>
      <c r="AQ307" s="24" t="inlineStr">
        <is>
          <t>Real Salt Lake</t>
        </is>
      </c>
      <c r="AR307" s="24" t="inlineStr">
        <is>
          <t>Real Salt Lake</t>
        </is>
      </c>
      <c r="AS307" s="24" t="inlineStr">
        <is>
          <t>Orlando City SC</t>
        </is>
      </c>
      <c r="AT307" s="24" t="inlineStr">
        <is>
          <t>Orlando City SC</t>
        </is>
      </c>
      <c r="AU307" s="24" t="inlineStr">
        <is>
          <t>Orlando City SC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f585a7f3cb7ee04f9a319a60fa601ef15e86636fadaaa8c1380ac0f28f75c58a</t>
        </is>
      </c>
      <c r="BB307" s="24" t="inlineStr">
        <is>
          <t>poisson_dixon_coles</t>
        </is>
      </c>
      <c r="BC307" s="24" t="inlineStr">
        <is>
          <t>soccer-poisson-dc-v1</t>
        </is>
      </c>
      <c r="BD307" s="24" t="inlineStr">
        <is>
          <t>f585a7f3cb7ee04f9a319a60fa601ef15e86636fadaaa8c1380ac0f28f75c58a</t>
        </is>
      </c>
      <c r="BE307" s="24" t="inlineStr">
        <is>
          <t>soccer-poisson-dc-v1</t>
        </is>
      </c>
      <c r="BF307" s="24" t="inlineStr">
        <is>
          <t>1</t>
        </is>
      </c>
      <c r="BG307" s="24" t="inlineStr">
        <is>
          <t>f585a7f3cb7ee04f9a319a60fa601ef15e86636fadaaa8c1380ac0f28f75c58a</t>
        </is>
      </c>
      <c r="BH307" s="24" t="inlineStr">
        <is>
          <t>2026-08-22T22:58:25.277912Z</t>
        </is>
      </c>
      <c r="BI307" s="24" t="inlineStr">
        <is>
          <t>["same_event","same_team_same_day","same_league_same_day"]</t>
        </is>
      </c>
      <c r="BJ307" s="25" t="n">
        <v>2.5</v>
      </c>
      <c r="BK307" s="26" t="n">
        <v>-223</v>
      </c>
      <c r="BL307" s="27" t="n">
        <v>1.44843</v>
      </c>
      <c r="BM307" s="28" t="n">
        <v>0.690402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0.690402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77cdd1666b224d33</t>
        </is>
      </c>
      <c r="B308" s="24" t="inlineStr">
        <is>
          <t>2026-08-22T23:01:37.142187Z</t>
        </is>
      </c>
      <c r="C308" s="24" t="inlineStr">
        <is>
          <t>2026-08-23T00:30Z</t>
        </is>
      </c>
      <c r="D308" s="24" t="inlineStr">
        <is>
          <t>761748</t>
        </is>
      </c>
      <c r="E308" s="24" t="inlineStr">
        <is>
          <t>SOCCER</t>
        </is>
      </c>
      <c r="F308" s="24" t="inlineStr">
        <is>
          <t>Philadelphia Union</t>
        </is>
      </c>
      <c r="G308" s="24" t="inlineStr">
        <is>
          <t>Austin FC</t>
        </is>
      </c>
      <c r="H308" s="24" t="inlineStr">
        <is>
          <t>total</t>
        </is>
      </c>
      <c r="I308" s="24" t="inlineStr">
        <is>
          <t>over</t>
        </is>
      </c>
      <c r="J308" s="25" t="n">
        <v>2.5</v>
      </c>
      <c r="K308" s="24" t="inlineStr">
        <is>
          <t>polymarket_us</t>
        </is>
      </c>
      <c r="L308" s="26" t="n">
        <v>-150</v>
      </c>
      <c r="M308" s="27" t="n">
        <v>1.666667</v>
      </c>
      <c r="N308" s="28" t="n">
        <v>0.6</v>
      </c>
      <c r="O308" s="28" t="n">
        <v>0.681895</v>
      </c>
      <c r="P308" s="28" t="n">
        <v>0.04</v>
      </c>
      <c r="Q308" s="28" t="n">
        <v>0.081895</v>
      </c>
      <c r="R308" s="26" t="n">
        <v>67</v>
      </c>
      <c r="S308" s="29" t="n">
        <v>1.25</v>
      </c>
      <c r="T308" s="24" t="inlineStr">
        <is>
          <t>soccer-poisson-dc-v1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1</v>
      </c>
      <c r="Y308" s="25" t="n"/>
      <c r="Z308" s="26" t="n"/>
      <c r="AA308" s="28" t="n"/>
      <c r="AB308" s="28" t="n"/>
      <c r="AC308" s="30" t="n">
        <v>-1.25</v>
      </c>
      <c r="AD308" s="24" t="inlineStr">
        <is>
          <t>2026-08-23T04:55:29.025301Z</t>
        </is>
      </c>
      <c r="AE308" s="31" t="inlineStr">
        <is>
          <t>Poisson-DC rates 1.76 (home) / 1.76 (away) from EWMA attack/defense strengths. Executable ask 0.6000 (tsc-mls-aus-phi-2026-08-22-2pt5).</t>
        </is>
      </c>
      <c r="AF308" s="31" t="inlineStr">
        <is>
          <t>Research-only soccer score model; draw-aware, but not yet locked-holdout qualified.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Philadelphia Union</t>
        </is>
      </c>
      <c r="AQ308" s="24" t="inlineStr">
        <is>
          <t>Philadelphia Union</t>
        </is>
      </c>
      <c r="AR308" s="24" t="inlineStr">
        <is>
          <t>Philadelphia Union</t>
        </is>
      </c>
      <c r="AS308" s="24" t="inlineStr">
        <is>
          <t>Austin FC</t>
        </is>
      </c>
      <c r="AT308" s="24" t="inlineStr">
        <is>
          <t>Austin FC</t>
        </is>
      </c>
      <c r="AU308" s="24" t="inlineStr">
        <is>
          <t>Austin FC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f585a7f3cb7ee04f9a319a60fa601ef15e86636fadaaa8c1380ac0f28f75c58a</t>
        </is>
      </c>
      <c r="BB308" s="24" t="inlineStr">
        <is>
          <t>poisson_dixon_coles</t>
        </is>
      </c>
      <c r="BC308" s="24" t="inlineStr">
        <is>
          <t>soccer-poisson-dc-v1</t>
        </is>
      </c>
      <c r="BD308" s="24" t="inlineStr">
        <is>
          <t>f585a7f3cb7ee04f9a319a60fa601ef15e86636fadaaa8c1380ac0f28f75c58a</t>
        </is>
      </c>
      <c r="BE308" s="24" t="inlineStr">
        <is>
          <t>soccer-poisson-dc-v1</t>
        </is>
      </c>
      <c r="BF308" s="24" t="inlineStr">
        <is>
          <t>1</t>
        </is>
      </c>
      <c r="BG308" s="24" t="inlineStr">
        <is>
          <t>f585a7f3cb7ee04f9a319a60fa601ef15e86636fadaaa8c1380ac0f28f75c58a</t>
        </is>
      </c>
      <c r="BH308" s="24" t="inlineStr">
        <is>
          <t>2026-08-22T22:58:25.455403Z</t>
        </is>
      </c>
      <c r="BI308" s="24" t="inlineStr">
        <is>
          <t>["same_event","same_team_same_day","same_league_same_day"]</t>
        </is>
      </c>
      <c r="BJ308" s="25" t="n">
        <v>2.5</v>
      </c>
      <c r="BK308" s="26" t="n">
        <v>-150</v>
      </c>
      <c r="BL308" s="27" t="n">
        <v>1.666667</v>
      </c>
      <c r="BM308" s="28" t="n">
        <v>0.6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6648f1431acc478f</t>
        </is>
      </c>
      <c r="B309" s="24" t="inlineStr">
        <is>
          <t>2026-08-22T23:01:37.142187Z</t>
        </is>
      </c>
      <c r="C309" s="24" t="inlineStr">
        <is>
          <t>2026-08-23T00:30Z</t>
        </is>
      </c>
      <c r="D309" s="24" t="inlineStr">
        <is>
          <t>761746</t>
        </is>
      </c>
      <c r="E309" s="24" t="inlineStr">
        <is>
          <t>SOCCER</t>
        </is>
      </c>
      <c r="F309" s="24" t="inlineStr">
        <is>
          <t>Columbus Crew</t>
        </is>
      </c>
      <c r="G309" s="24" t="inlineStr">
        <is>
          <t>Nashville SC</t>
        </is>
      </c>
      <c r="H309" s="24" t="inlineStr">
        <is>
          <t>total</t>
        </is>
      </c>
      <c r="I309" s="24" t="inlineStr">
        <is>
          <t>over</t>
        </is>
      </c>
      <c r="J309" s="25" t="n">
        <v>2.5</v>
      </c>
      <c r="K309" s="24" t="inlineStr">
        <is>
          <t>polymarket_us</t>
        </is>
      </c>
      <c r="L309" s="26" t="n">
        <v>-127</v>
      </c>
      <c r="M309" s="27" t="n">
        <v>1.787402</v>
      </c>
      <c r="N309" s="28" t="n">
        <v>0.5594710000000001</v>
      </c>
      <c r="O309" s="28" t="n">
        <v>0.644255</v>
      </c>
      <c r="P309" s="28" t="n">
        <v>0.04</v>
      </c>
      <c r="Q309" s="28" t="n">
        <v>0.084784</v>
      </c>
      <c r="R309" s="26" t="n">
        <v>68</v>
      </c>
      <c r="S309" s="29" t="n">
        <v>1.25</v>
      </c>
      <c r="T309" s="24" t="inlineStr">
        <is>
          <t>soccer-poisson-dc-v1</t>
        </is>
      </c>
      <c r="U309" s="24" t="inlineStr">
        <is>
          <t>settled</t>
        </is>
      </c>
      <c r="V309" s="24" t="inlineStr">
        <is>
          <t>win</t>
        </is>
      </c>
      <c r="W309" s="26" t="n">
        <v>2</v>
      </c>
      <c r="X309" s="26" t="n">
        <v>3</v>
      </c>
      <c r="Y309" s="25" t="n"/>
      <c r="Z309" s="26" t="n"/>
      <c r="AA309" s="28" t="n"/>
      <c r="AB309" s="28" t="n"/>
      <c r="AC309" s="30" t="n">
        <v>0.9843</v>
      </c>
      <c r="AD309" s="24" t="inlineStr">
        <is>
          <t>2026-08-23T04:55:33.493408Z</t>
        </is>
      </c>
      <c r="AE309" s="31" t="inlineStr">
        <is>
          <t>Poisson-DC rates 2.26 (home) / 1.06 (away) from EWMA attack/defense strengths. Executable ask 0.5600 (tsc-mls-nas-clb-2026-08-22-2pt5).</t>
        </is>
      </c>
      <c r="AF309" s="31" t="inlineStr">
        <is>
          <t>Research-only soccer score model; draw-aware, but not yet locked-holdout qualified.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Columbus Crew</t>
        </is>
      </c>
      <c r="AQ309" s="24" t="inlineStr">
        <is>
          <t>Columbus Crew</t>
        </is>
      </c>
      <c r="AR309" s="24" t="inlineStr">
        <is>
          <t>Columbus Crew</t>
        </is>
      </c>
      <c r="AS309" s="24" t="inlineStr">
        <is>
          <t>Nashville SC</t>
        </is>
      </c>
      <c r="AT309" s="24" t="inlineStr">
        <is>
          <t>Nashville SC</t>
        </is>
      </c>
      <c r="AU309" s="24" t="inlineStr">
        <is>
          <t>Nashville SC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f585a7f3cb7ee04f9a319a60fa601ef15e86636fadaaa8c1380ac0f28f75c58a</t>
        </is>
      </c>
      <c r="BB309" s="24" t="inlineStr">
        <is>
          <t>poisson_dixon_coles</t>
        </is>
      </c>
      <c r="BC309" s="24" t="inlineStr">
        <is>
          <t>soccer-poisson-dc-v1</t>
        </is>
      </c>
      <c r="BD309" s="24" t="inlineStr">
        <is>
          <t>f585a7f3cb7ee04f9a319a60fa601ef15e86636fadaaa8c1380ac0f28f75c58a</t>
        </is>
      </c>
      <c r="BE309" s="24" t="inlineStr">
        <is>
          <t>soccer-poisson-dc-v1</t>
        </is>
      </c>
      <c r="BF309" s="24" t="inlineStr">
        <is>
          <t>1</t>
        </is>
      </c>
      <c r="BG309" s="24" t="inlineStr">
        <is>
          <t>f585a7f3cb7ee04f9a319a60fa601ef15e86636fadaaa8c1380ac0f28f75c58a</t>
        </is>
      </c>
      <c r="BH309" s="24" t="inlineStr">
        <is>
          <t>2026-08-22T22:58:25.514691Z</t>
        </is>
      </c>
      <c r="BI309" s="24" t="inlineStr">
        <is>
          <t>["same_event","same_team_same_day","same_league_same_day"]</t>
        </is>
      </c>
      <c r="BJ309" s="25" t="n">
        <v>2.5</v>
      </c>
      <c r="BK309" s="26" t="n">
        <v>-127</v>
      </c>
      <c r="BL309" s="27" t="n">
        <v>1.787402</v>
      </c>
      <c r="BM309" s="28" t="n">
        <v>0.5594710000000001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0.559471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57990c9984a8414b</t>
        </is>
      </c>
      <c r="B310" s="24" t="inlineStr">
        <is>
          <t>2026-08-22T23:01:37.142187Z</t>
        </is>
      </c>
      <c r="C310" s="24" t="inlineStr">
        <is>
          <t>2026-08-23T00:30Z</t>
        </is>
      </c>
      <c r="D310" s="24" t="inlineStr">
        <is>
          <t>761747</t>
        </is>
      </c>
      <c r="E310" s="24" t="inlineStr">
        <is>
          <t>SOCCER</t>
        </is>
      </c>
      <c r="F310" s="24" t="inlineStr">
        <is>
          <t>Houston Dynamo FC</t>
        </is>
      </c>
      <c r="G310" s="24" t="inlineStr">
        <is>
          <t>St. Louis CITY SC</t>
        </is>
      </c>
      <c r="H310" s="24" t="inlineStr">
        <is>
          <t>total</t>
        </is>
      </c>
      <c r="I310" s="24" t="inlineStr">
        <is>
          <t>over</t>
        </is>
      </c>
      <c r="J310" s="25" t="n">
        <v>2.5</v>
      </c>
      <c r="K310" s="24" t="inlineStr">
        <is>
          <t>polymarket_us</t>
        </is>
      </c>
      <c r="L310" s="26" t="n">
        <v>-117</v>
      </c>
      <c r="M310" s="27" t="n">
        <v>1.854701</v>
      </c>
      <c r="N310" s="28" t="n">
        <v>0.539171</v>
      </c>
      <c r="O310" s="28" t="n">
        <v>0.59785</v>
      </c>
      <c r="P310" s="28" t="n">
        <v>0.04</v>
      </c>
      <c r="Q310" s="28" t="n">
        <v>0.058679</v>
      </c>
      <c r="R310" s="26" t="n">
        <v>55</v>
      </c>
      <c r="S310" s="29" t="n">
        <v>1</v>
      </c>
      <c r="T310" s="24" t="inlineStr">
        <is>
          <t>soccer-poisson-dc-v1</t>
        </is>
      </c>
      <c r="U310" s="24" t="inlineStr">
        <is>
          <t>settled</t>
        </is>
      </c>
      <c r="V310" s="24" t="inlineStr">
        <is>
          <t>win</t>
        </is>
      </c>
      <c r="W310" s="26" t="n">
        <v>1</v>
      </c>
      <c r="X310" s="26" t="n">
        <v>2</v>
      </c>
      <c r="Y310" s="25" t="n"/>
      <c r="Z310" s="26" t="n"/>
      <c r="AA310" s="28" t="n"/>
      <c r="AB310" s="28" t="n"/>
      <c r="AC310" s="30" t="n">
        <v>0.8547</v>
      </c>
      <c r="AD310" s="24" t="inlineStr">
        <is>
          <t>2026-08-23T04:55:37.909108Z</t>
        </is>
      </c>
      <c r="AE310" s="31" t="inlineStr">
        <is>
          <t>Poisson-DC rates 1.86 (home) / 1.24 (away) from EWMA attack/defense strengths. Executable ask 0.5400 (tsc-mls-stl-hou-2026-08-22-2pt5).</t>
        </is>
      </c>
      <c r="AF310" s="31" t="inlineStr">
        <is>
          <t>Research-only soccer score model; draw-aware, but not yet locked-holdout qualified.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Houston Dynamo FC</t>
        </is>
      </c>
      <c r="AQ310" s="24" t="inlineStr">
        <is>
          <t>Houston Dynamo FC</t>
        </is>
      </c>
      <c r="AR310" s="24" t="inlineStr">
        <is>
          <t>Houston Dynamo FC</t>
        </is>
      </c>
      <c r="AS310" s="24" t="inlineStr">
        <is>
          <t>St. Louis CITY SC</t>
        </is>
      </c>
      <c r="AT310" s="24" t="inlineStr">
        <is>
          <t>St. Louis CITY SC</t>
        </is>
      </c>
      <c r="AU310" s="24" t="inlineStr">
        <is>
          <t>St. Louis CITY SC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f585a7f3cb7ee04f9a319a60fa601ef15e86636fadaaa8c1380ac0f28f75c58a</t>
        </is>
      </c>
      <c r="BB310" s="24" t="inlineStr">
        <is>
          <t>poisson_dixon_coles</t>
        </is>
      </c>
      <c r="BC310" s="24" t="inlineStr">
        <is>
          <t>soccer-poisson-dc-v1</t>
        </is>
      </c>
      <c r="BD310" s="24" t="inlineStr">
        <is>
          <t>f585a7f3cb7ee04f9a319a60fa601ef15e86636fadaaa8c1380ac0f28f75c58a</t>
        </is>
      </c>
      <c r="BE310" s="24" t="inlineStr">
        <is>
          <t>soccer-poisson-dc-v1</t>
        </is>
      </c>
      <c r="BF310" s="24" t="inlineStr">
        <is>
          <t>1</t>
        </is>
      </c>
      <c r="BG310" s="24" t="inlineStr">
        <is>
          <t>f585a7f3cb7ee04f9a319a60fa601ef15e86636fadaaa8c1380ac0f28f75c58a</t>
        </is>
      </c>
      <c r="BH310" s="24" t="inlineStr">
        <is>
          <t>2026-08-22T22:58:25.706836Z</t>
        </is>
      </c>
      <c r="BI310" s="24" t="inlineStr">
        <is>
          <t>["same_event","same_team_same_day","same_league_same_day"]</t>
        </is>
      </c>
      <c r="BJ310" s="25" t="n">
        <v>2.5</v>
      </c>
      <c r="BK310" s="26" t="n">
        <v>-117</v>
      </c>
      <c r="BL310" s="27" t="n">
        <v>1.854701</v>
      </c>
      <c r="BM310" s="28" t="n">
        <v>0.539171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0.539171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f0cc02f545e24afd</t>
        </is>
      </c>
      <c r="B311" s="24" t="inlineStr">
        <is>
          <t>2026-08-22T23:01:37.142187Z</t>
        </is>
      </c>
      <c r="C311" s="24" t="inlineStr">
        <is>
          <t>2026-08-23T01:30Z</t>
        </is>
      </c>
      <c r="D311" s="24" t="inlineStr">
        <is>
          <t>761749</t>
        </is>
      </c>
      <c r="E311" s="24" t="inlineStr">
        <is>
          <t>SOCCER</t>
        </is>
      </c>
      <c r="F311" s="24" t="inlineStr">
        <is>
          <t>FC Dallas</t>
        </is>
      </c>
      <c r="G311" s="24" t="inlineStr">
        <is>
          <t>Vancouver Whitecaps</t>
        </is>
      </c>
      <c r="H311" s="24" t="inlineStr">
        <is>
          <t>total</t>
        </is>
      </c>
      <c r="I311" s="24" t="inlineStr">
        <is>
          <t>over</t>
        </is>
      </c>
      <c r="J311" s="25" t="n">
        <v>2.5</v>
      </c>
      <c r="K311" s="24" t="inlineStr">
        <is>
          <t>polymarket_us</t>
        </is>
      </c>
      <c r="L311" s="26" t="n">
        <v>-194</v>
      </c>
      <c r="M311" s="27" t="n">
        <v>1.515464</v>
      </c>
      <c r="N311" s="28" t="n">
        <v>0.659864</v>
      </c>
      <c r="O311" s="28" t="n">
        <v>0.740093</v>
      </c>
      <c r="P311" s="28" t="n">
        <v>0.04</v>
      </c>
      <c r="Q311" s="28" t="n">
        <v>0.08022899999999999</v>
      </c>
      <c r="R311" s="26" t="n">
        <v>66</v>
      </c>
      <c r="S311" s="29" t="n">
        <v>1.25</v>
      </c>
      <c r="T311" s="24" t="inlineStr">
        <is>
          <t>soccer-poisson-dc-v1</t>
        </is>
      </c>
      <c r="U311" s="24" t="inlineStr">
        <is>
          <t>settled</t>
        </is>
      </c>
      <c r="V311" s="24" t="inlineStr">
        <is>
          <t>win</t>
        </is>
      </c>
      <c r="W311" s="26" t="n">
        <v>0</v>
      </c>
      <c r="X311" s="26" t="n">
        <v>5</v>
      </c>
      <c r="Y311" s="25" t="n"/>
      <c r="Z311" s="26" t="n"/>
      <c r="AA311" s="28" t="n"/>
      <c r="AB311" s="28" t="n"/>
      <c r="AC311" s="30" t="n">
        <v>0.6443</v>
      </c>
      <c r="AD311" s="24" t="inlineStr">
        <is>
          <t>2026-08-23T04:55:42.241443Z</t>
        </is>
      </c>
      <c r="AE311" s="31" t="inlineStr">
        <is>
          <t>Poisson-DC rates 2.61 (home) / 1.25 (away) from EWMA attack/defense strengths. Executable ask 0.6600 (tsc-mls-vwh-dal-2026-08-22-2pt5).</t>
        </is>
      </c>
      <c r="AF311" s="31" t="inlineStr">
        <is>
          <t>Research-only soccer score model; draw-aware, but not yet locked-holdout qualified.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FC Dallas</t>
        </is>
      </c>
      <c r="AQ311" s="24" t="inlineStr">
        <is>
          <t>FC Dallas</t>
        </is>
      </c>
      <c r="AR311" s="24" t="inlineStr">
        <is>
          <t>FC Dallas</t>
        </is>
      </c>
      <c r="AS311" s="24" t="inlineStr">
        <is>
          <t>Vancouver Whitecaps</t>
        </is>
      </c>
      <c r="AT311" s="24" t="inlineStr">
        <is>
          <t>Vancouver Whitecaps</t>
        </is>
      </c>
      <c r="AU311" s="24" t="inlineStr">
        <is>
          <t>Vancouver Whitecaps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f585a7f3cb7ee04f9a319a60fa601ef15e86636fadaaa8c1380ac0f28f75c58a</t>
        </is>
      </c>
      <c r="BB311" s="24" t="inlineStr">
        <is>
          <t>poisson_dixon_coles</t>
        </is>
      </c>
      <c r="BC311" s="24" t="inlineStr">
        <is>
          <t>soccer-poisson-dc-v1</t>
        </is>
      </c>
      <c r="BD311" s="24" t="inlineStr">
        <is>
          <t>f585a7f3cb7ee04f9a319a60fa601ef15e86636fadaaa8c1380ac0f28f75c58a</t>
        </is>
      </c>
      <c r="BE311" s="24" t="inlineStr">
        <is>
          <t>soccer-poisson-dc-v1</t>
        </is>
      </c>
      <c r="BF311" s="24" t="inlineStr">
        <is>
          <t>1</t>
        </is>
      </c>
      <c r="BG311" s="24" t="inlineStr">
        <is>
          <t>f585a7f3cb7ee04f9a319a60fa601ef15e86636fadaaa8c1380ac0f28f75c58a</t>
        </is>
      </c>
      <c r="BH311" s="24" t="inlineStr">
        <is>
          <t>2026-08-22T22:58:26.064711Z</t>
        </is>
      </c>
      <c r="BI311" s="24" t="inlineStr">
        <is>
          <t>["same_event","same_team_same_day","same_league_same_day"]</t>
        </is>
      </c>
      <c r="BJ311" s="25" t="n">
        <v>2.5</v>
      </c>
      <c r="BK311" s="26" t="n">
        <v>-194</v>
      </c>
      <c r="BL311" s="27" t="n">
        <v>1.515464</v>
      </c>
      <c r="BM311" s="28" t="n">
        <v>0.659864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0.659864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9fd1d6e446b140ed</t>
        </is>
      </c>
      <c r="B312" s="24" t="inlineStr">
        <is>
          <t>2026-08-22T23:01:37.142187Z</t>
        </is>
      </c>
      <c r="C312" s="24" t="inlineStr">
        <is>
          <t>2026-08-23T02:30Z</t>
        </is>
      </c>
      <c r="D312" s="24" t="inlineStr">
        <is>
          <t>761750</t>
        </is>
      </c>
      <c r="E312" s="24" t="inlineStr">
        <is>
          <t>SOCCER</t>
        </is>
      </c>
      <c r="F312" s="24" t="inlineStr">
        <is>
          <t>Colorado Rapids</t>
        </is>
      </c>
      <c r="G312" s="24" t="inlineStr">
        <is>
          <t>San Diego FC</t>
        </is>
      </c>
      <c r="H312" s="24" t="inlineStr">
        <is>
          <t>total</t>
        </is>
      </c>
      <c r="I312" s="24" t="inlineStr">
        <is>
          <t>over</t>
        </is>
      </c>
      <c r="J312" s="25" t="n">
        <v>2.5</v>
      </c>
      <c r="K312" s="24" t="inlineStr">
        <is>
          <t>polymarket_us</t>
        </is>
      </c>
      <c r="L312" s="26" t="n">
        <v>-170</v>
      </c>
      <c r="M312" s="27" t="n">
        <v>1.588235</v>
      </c>
      <c r="N312" s="28" t="n">
        <v>0.62963</v>
      </c>
      <c r="O312" s="28" t="n">
        <v>0.7616039999999999</v>
      </c>
      <c r="P312" s="28" t="n">
        <v>0.04</v>
      </c>
      <c r="Q312" s="28" t="n">
        <v>0.131974</v>
      </c>
      <c r="R312" s="26" t="n">
        <v>92</v>
      </c>
      <c r="S312" s="29" t="n">
        <v>1.5</v>
      </c>
      <c r="T312" s="24" t="inlineStr">
        <is>
          <t>soccer-poisson-dc-v1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3</v>
      </c>
      <c r="Y312" s="25" t="n"/>
      <c r="Z312" s="26" t="n"/>
      <c r="AA312" s="28" t="n"/>
      <c r="AB312" s="28" t="n"/>
      <c r="AC312" s="30" t="n">
        <v>0.8824</v>
      </c>
      <c r="AD312" s="24" t="inlineStr">
        <is>
          <t>2026-08-23T08:11:52.134802Z</t>
        </is>
      </c>
      <c r="AE312" s="31" t="inlineStr">
        <is>
          <t>Poisson-DC rates 2.54 (home) / 1.45 (away) from EWMA attack/defense strengths. Executable ask 0.6300 (tsc-mls-sdg-col-2026-08-22-2pt5).</t>
        </is>
      </c>
      <c r="AF312" s="31" t="inlineStr">
        <is>
          <t>Research-only soccer score model; draw-aware, but not yet locked-holdout qualified.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Colorado Rapids</t>
        </is>
      </c>
      <c r="AQ312" s="24" t="inlineStr">
        <is>
          <t>Colorado Rapids</t>
        </is>
      </c>
      <c r="AR312" s="24" t="inlineStr">
        <is>
          <t>Colorado Rapids</t>
        </is>
      </c>
      <c r="AS312" s="24" t="inlineStr">
        <is>
          <t>San Diego FC</t>
        </is>
      </c>
      <c r="AT312" s="24" t="inlineStr">
        <is>
          <t>San Diego FC</t>
        </is>
      </c>
      <c r="AU312" s="24" t="inlineStr">
        <is>
          <t>San Diego FC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f585a7f3cb7ee04f9a319a60fa601ef15e86636fadaaa8c1380ac0f28f75c58a</t>
        </is>
      </c>
      <c r="BB312" s="24" t="inlineStr">
        <is>
          <t>poisson_dixon_coles</t>
        </is>
      </c>
      <c r="BC312" s="24" t="inlineStr">
        <is>
          <t>soccer-poisson-dc-v1</t>
        </is>
      </c>
      <c r="BD312" s="24" t="inlineStr">
        <is>
          <t>f585a7f3cb7ee04f9a319a60fa601ef15e86636fadaaa8c1380ac0f28f75c58a</t>
        </is>
      </c>
      <c r="BE312" s="24" t="inlineStr">
        <is>
          <t>soccer-poisson-dc-v1</t>
        </is>
      </c>
      <c r="BF312" s="24" t="inlineStr">
        <is>
          <t>1</t>
        </is>
      </c>
      <c r="BG312" s="24" t="inlineStr">
        <is>
          <t>f585a7f3cb7ee04f9a319a60fa601ef15e86636fadaaa8c1380ac0f28f75c58a</t>
        </is>
      </c>
      <c r="BH312" s="24" t="inlineStr">
        <is>
          <t>2026-08-22T22:58:26.715275Z</t>
        </is>
      </c>
      <c r="BI312" s="24" t="inlineStr">
        <is>
          <t>["same_event","same_team_same_day","same_league_same_day"]</t>
        </is>
      </c>
      <c r="BJ312" s="25" t="n">
        <v>2.5</v>
      </c>
      <c r="BK312" s="26" t="n">
        <v>-170</v>
      </c>
      <c r="BL312" s="27" t="n">
        <v>1.588235</v>
      </c>
      <c r="BM312" s="28" t="n">
        <v>0.62963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0.62963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c8781cdcfc8640cf</t>
        </is>
      </c>
      <c r="B313" s="24" t="inlineStr">
        <is>
          <t>2026-08-22T23:01:37.142187Z</t>
        </is>
      </c>
      <c r="C313" s="24" t="inlineStr">
        <is>
          <t>2026-08-23T02:30Z</t>
        </is>
      </c>
      <c r="D313" s="24" t="inlineStr">
        <is>
          <t>761752</t>
        </is>
      </c>
      <c r="E313" s="24" t="inlineStr">
        <is>
          <t>SOCCER</t>
        </is>
      </c>
      <c r="F313" s="24" t="inlineStr">
        <is>
          <t>Minnesota United FC</t>
        </is>
      </c>
      <c r="G313" s="24" t="inlineStr">
        <is>
          <t>San Jose Earthquakes</t>
        </is>
      </c>
      <c r="H313" s="24" t="inlineStr">
        <is>
          <t>total</t>
        </is>
      </c>
      <c r="I313" s="24" t="inlineStr">
        <is>
          <t>over</t>
        </is>
      </c>
      <c r="J313" s="25" t="n">
        <v>2.5</v>
      </c>
      <c r="K313" s="24" t="inlineStr">
        <is>
          <t>polymarket_us</t>
        </is>
      </c>
      <c r="L313" s="26" t="n">
        <v>-194</v>
      </c>
      <c r="M313" s="27" t="n">
        <v>1.515464</v>
      </c>
      <c r="N313" s="28" t="n">
        <v>0.659864</v>
      </c>
      <c r="O313" s="28" t="n">
        <v>0.673799</v>
      </c>
      <c r="P313" s="28" t="n">
        <v>0.04</v>
      </c>
      <c r="Q313" s="28" t="n">
        <v>0.013935</v>
      </c>
      <c r="R313" s="26" t="n">
        <v>33</v>
      </c>
      <c r="S313" s="29" t="n">
        <v>1</v>
      </c>
      <c r="T313" s="24" t="inlineStr">
        <is>
          <t>soccer-poisson-dc-v1</t>
        </is>
      </c>
      <c r="U313" s="24" t="inlineStr">
        <is>
          <t>settled</t>
        </is>
      </c>
      <c r="V313" s="24" t="inlineStr">
        <is>
          <t>win</t>
        </is>
      </c>
      <c r="W313" s="26" t="n">
        <v>5</v>
      </c>
      <c r="X313" s="26" t="n">
        <v>1</v>
      </c>
      <c r="Y313" s="25" t="n"/>
      <c r="Z313" s="26" t="n"/>
      <c r="AA313" s="28" t="n"/>
      <c r="AB313" s="28" t="n"/>
      <c r="AC313" s="30" t="n">
        <v>0.5155</v>
      </c>
      <c r="AD313" s="24" t="inlineStr">
        <is>
          <t>2026-08-23T08:11:54.158190Z</t>
        </is>
      </c>
      <c r="AE313" s="31" t="inlineStr">
        <is>
          <t>Poisson-DC rates 2.26 (home) / 1.21 (away) from EWMA attack/defense strengths. Executable ask 0.6600 (tsc-mls-sje-min-2026-08-22-2pt5).</t>
        </is>
      </c>
      <c r="AF313" s="31" t="inlineStr">
        <is>
          <t>Research-only soccer score model; draw-aware, but not yet locked-holdout qualified.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Minnesota United FC</t>
        </is>
      </c>
      <c r="AQ313" s="24" t="inlineStr">
        <is>
          <t>Minnesota United FC</t>
        </is>
      </c>
      <c r="AR313" s="24" t="inlineStr">
        <is>
          <t>Minnesota United FC</t>
        </is>
      </c>
      <c r="AS313" s="24" t="inlineStr">
        <is>
          <t>San Jose Earthquakes</t>
        </is>
      </c>
      <c r="AT313" s="24" t="inlineStr">
        <is>
          <t>San Jose Earthquakes</t>
        </is>
      </c>
      <c r="AU313" s="24" t="inlineStr">
        <is>
          <t>San Jose Earthquakes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f585a7f3cb7ee04f9a319a60fa601ef15e86636fadaaa8c1380ac0f28f75c58a</t>
        </is>
      </c>
      <c r="BB313" s="24" t="inlineStr">
        <is>
          <t>poisson_dixon_coles</t>
        </is>
      </c>
      <c r="BC313" s="24" t="inlineStr">
        <is>
          <t>soccer-poisson-dc-v1</t>
        </is>
      </c>
      <c r="BD313" s="24" t="inlineStr">
        <is>
          <t>f585a7f3cb7ee04f9a319a60fa601ef15e86636fadaaa8c1380ac0f28f75c58a</t>
        </is>
      </c>
      <c r="BE313" s="24" t="inlineStr">
        <is>
          <t>soccer-poisson-dc-v1</t>
        </is>
      </c>
      <c r="BF313" s="24" t="inlineStr">
        <is>
          <t>1</t>
        </is>
      </c>
      <c r="BG313" s="24" t="inlineStr">
        <is>
          <t>f585a7f3cb7ee04f9a319a60fa601ef15e86636fadaaa8c1380ac0f28f75c58a</t>
        </is>
      </c>
      <c r="BH313" s="24" t="inlineStr">
        <is>
          <t>2026-08-22T22:58:26.847185Z</t>
        </is>
      </c>
      <c r="BI313" s="24" t="inlineStr">
        <is>
          <t>["same_event","same_team_same_day","same_league_same_day"]</t>
        </is>
      </c>
      <c r="BJ313" s="25" t="n">
        <v>2.5</v>
      </c>
      <c r="BK313" s="26" t="n">
        <v>-194</v>
      </c>
      <c r="BL313" s="27" t="n">
        <v>1.515464</v>
      </c>
      <c r="BM313" s="28" t="n">
        <v>0.659864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0.659864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157fb1d64dbc4c57</t>
        </is>
      </c>
      <c r="B314" s="24" t="inlineStr">
        <is>
          <t>2026-08-22T23:01:37.142187Z</t>
        </is>
      </c>
      <c r="C314" s="24" t="inlineStr">
        <is>
          <t>2026-08-22T23:30Z</t>
        </is>
      </c>
      <c r="D314" s="24" t="inlineStr">
        <is>
          <t>761741</t>
        </is>
      </c>
      <c r="E314" s="24" t="inlineStr">
        <is>
          <t>SOCCER</t>
        </is>
      </c>
      <c r="F314" s="24" t="inlineStr">
        <is>
          <t>D.C. United</t>
        </is>
      </c>
      <c r="G314" s="24" t="inlineStr">
        <is>
          <t>Charlotte FC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-117</v>
      </c>
      <c r="M314" s="27" t="n">
        <v>1.854701</v>
      </c>
      <c r="N314" s="28" t="n">
        <v>0.539171</v>
      </c>
      <c r="O314" s="28" t="n">
        <v>0.597437</v>
      </c>
      <c r="P314" s="28" t="n">
        <v>0.04</v>
      </c>
      <c r="Q314" s="28" t="n">
        <v>0.058266</v>
      </c>
      <c r="R314" s="26" t="n">
        <v>55</v>
      </c>
      <c r="S314" s="29" t="n">
        <v>1</v>
      </c>
      <c r="T314" s="24" t="inlineStr">
        <is>
          <t>soccer-poisson-dc-v1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3</v>
      </c>
      <c r="Y314" s="25" t="n"/>
      <c r="Z314" s="26" t="n"/>
      <c r="AA314" s="28" t="n"/>
      <c r="AB314" s="28" t="n"/>
      <c r="AC314" s="30" t="n">
        <v>0.8547</v>
      </c>
      <c r="AD314" s="24" t="inlineStr">
        <is>
          <t>2026-08-23T04:55:46.527055Z</t>
        </is>
      </c>
      <c r="AE314" s="31" t="inlineStr">
        <is>
          <t>Poisson-DC rates 2.20 (home) / 1.17 (away) from EWMA attack/defense strengths. Executable ask 0.5400 (atc-mls-clt-dcu-2026-08-22-clt).</t>
        </is>
      </c>
      <c r="AF314" s="31" t="inlineStr">
        <is>
          <t>Research-only soccer score model; draw-aware, but not yet locked-holdout qualified.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D.C. United</t>
        </is>
      </c>
      <c r="AQ314" s="24" t="inlineStr">
        <is>
          <t>D.C. United</t>
        </is>
      </c>
      <c r="AR314" s="24" t="inlineStr">
        <is>
          <t>D.C. United</t>
        </is>
      </c>
      <c r="AS314" s="24" t="inlineStr">
        <is>
          <t>Charlotte FC</t>
        </is>
      </c>
      <c r="AT314" s="24" t="inlineStr">
        <is>
          <t>Charlotte FC</t>
        </is>
      </c>
      <c r="AU314" s="24" t="inlineStr">
        <is>
          <t>Charlotte FC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f585a7f3cb7ee04f9a319a60fa601ef15e86636fadaaa8c1380ac0f28f75c58a</t>
        </is>
      </c>
      <c r="BB314" s="24" t="inlineStr">
        <is>
          <t>poisson_dixon_coles</t>
        </is>
      </c>
      <c r="BC314" s="24" t="inlineStr">
        <is>
          <t>soccer-poisson-dc-v1</t>
        </is>
      </c>
      <c r="BD314" s="24" t="inlineStr">
        <is>
          <t>f585a7f3cb7ee04f9a319a60fa601ef15e86636fadaaa8c1380ac0f28f75c58a</t>
        </is>
      </c>
      <c r="BE314" s="24" t="inlineStr">
        <is>
          <t>soccer-poisson-dc-v1</t>
        </is>
      </c>
      <c r="BF314" s="24" t="inlineStr">
        <is>
          <t>1</t>
        </is>
      </c>
      <c r="BG314" s="24" t="inlineStr">
        <is>
          <t>f585a7f3cb7ee04f9a319a60fa601ef15e86636fadaaa8c1380ac0f28f75c58a</t>
        </is>
      </c>
      <c r="BH314" s="24" t="inlineStr">
        <is>
          <t>2026-08-22T22:58:24.721481Z</t>
        </is>
      </c>
      <c r="BI314" s="24" t="inlineStr">
        <is>
          <t>["same_event","same_team_same_day","same_league_same_day"]</t>
        </is>
      </c>
      <c r="BJ314" s="25" t="n"/>
      <c r="BK314" s="26" t="n">
        <v>-117</v>
      </c>
      <c r="BL314" s="27" t="n">
        <v>1.854701</v>
      </c>
      <c r="BM314" s="28" t="n">
        <v>0.539171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0.539171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ac176cf1a4c14adb</t>
        </is>
      </c>
      <c r="B315" s="24" t="inlineStr">
        <is>
          <t>2026-08-22T23:01:37.142187Z</t>
        </is>
      </c>
      <c r="C315" s="24" t="inlineStr">
        <is>
          <t>2026-08-22T23:30Z</t>
        </is>
      </c>
      <c r="D315" s="24" t="inlineStr">
        <is>
          <t>761743</t>
        </is>
      </c>
      <c r="E315" s="24" t="inlineStr">
        <is>
          <t>SOCCER</t>
        </is>
      </c>
      <c r="F315" s="24" t="inlineStr">
        <is>
          <t>Seattle Sounders FC</t>
        </is>
      </c>
      <c r="G315" s="24" t="inlineStr">
        <is>
          <t>FC Cincinnati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-163</v>
      </c>
      <c r="M315" s="27" t="n">
        <v>1.613497</v>
      </c>
      <c r="N315" s="28" t="n">
        <v>0.619772</v>
      </c>
      <c r="O315" s="28" t="n">
        <v>0.504638</v>
      </c>
      <c r="P315" s="28" t="n">
        <v>0.04</v>
      </c>
      <c r="Q315" s="28" t="n">
        <v>-0.115134</v>
      </c>
      <c r="R315" s="26" t="n">
        <v>0</v>
      </c>
      <c r="S315" s="29" t="n">
        <v>1</v>
      </c>
      <c r="T315" s="24" t="inlineStr">
        <is>
          <t>soccer-poisson-dc-v1</t>
        </is>
      </c>
      <c r="U315" s="24" t="inlineStr">
        <is>
          <t>settled</t>
        </is>
      </c>
      <c r="V315" s="24" t="inlineStr">
        <is>
          <t>loss</t>
        </is>
      </c>
      <c r="W315" s="26" t="n">
        <v>1</v>
      </c>
      <c r="X315" s="26" t="n">
        <v>1</v>
      </c>
      <c r="Y315" s="25" t="n"/>
      <c r="Z315" s="26" t="n"/>
      <c r="AA315" s="28" t="n"/>
      <c r="AB315" s="28" t="n"/>
      <c r="AC315" s="30" t="n">
        <v>-1</v>
      </c>
      <c r="AD315" s="24" t="inlineStr">
        <is>
          <t>2026-08-23T04:55:50.967909Z</t>
        </is>
      </c>
      <c r="AE315" s="31" t="inlineStr">
        <is>
          <t>Poisson-DC rates 2.45 (home) / 1.87 (away) from EWMA attack/defense strengths. Executable ask 0.6200 (atc-mls-fcc-sea-2026-08-22-fcc).</t>
        </is>
      </c>
      <c r="AF315" s="31" t="inlineStr">
        <is>
          <t>Research-only soccer score model; draw-aware, but not yet locked-holdout qualified.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Seattle Sounders FC</t>
        </is>
      </c>
      <c r="AQ315" s="24" t="inlineStr">
        <is>
          <t>Seattle Sounders FC</t>
        </is>
      </c>
      <c r="AR315" s="24" t="inlineStr">
        <is>
          <t>Seattle Sounders FC</t>
        </is>
      </c>
      <c r="AS315" s="24" t="inlineStr">
        <is>
          <t>FC Cincinnati</t>
        </is>
      </c>
      <c r="AT315" s="24" t="inlineStr">
        <is>
          <t>FC Cincinnati</t>
        </is>
      </c>
      <c r="AU315" s="24" t="inlineStr">
        <is>
          <t>FC Cincinnati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f585a7f3cb7ee04f9a319a60fa601ef15e86636fadaaa8c1380ac0f28f75c58a</t>
        </is>
      </c>
      <c r="BB315" s="24" t="inlineStr">
        <is>
          <t>poisson_dixon_coles</t>
        </is>
      </c>
      <c r="BC315" s="24" t="inlineStr">
        <is>
          <t>soccer-poisson-dc-v1</t>
        </is>
      </c>
      <c r="BD315" s="24" t="inlineStr">
        <is>
          <t>f585a7f3cb7ee04f9a319a60fa601ef15e86636fadaaa8c1380ac0f28f75c58a</t>
        </is>
      </c>
      <c r="BE315" s="24" t="inlineStr">
        <is>
          <t>soccer-poisson-dc-v1</t>
        </is>
      </c>
      <c r="BF315" s="24" t="inlineStr">
        <is>
          <t>1</t>
        </is>
      </c>
      <c r="BG315" s="24" t="inlineStr">
        <is>
          <t>f585a7f3cb7ee04f9a319a60fa601ef15e86636fadaaa8c1380ac0f28f75c58a</t>
        </is>
      </c>
      <c r="BH315" s="24" t="inlineStr">
        <is>
          <t>2026-08-22T22:58:24.910637Z</t>
        </is>
      </c>
      <c r="BI315" s="24" t="inlineStr">
        <is>
          <t>["same_event","same_team_same_day","same_league_same_day"]</t>
        </is>
      </c>
      <c r="BJ315" s="25" t="n"/>
      <c r="BK315" s="26" t="n">
        <v>-163</v>
      </c>
      <c r="BL315" s="27" t="n">
        <v>1.613497</v>
      </c>
      <c r="BM315" s="28" t="n">
        <v>0.619772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0.619772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922f46a7332c42c0</t>
        </is>
      </c>
      <c r="B316" s="24" t="inlineStr">
        <is>
          <t>2026-08-22T23:01:37.142187Z</t>
        </is>
      </c>
      <c r="C316" s="24" t="inlineStr">
        <is>
          <t>2026-08-22T23:30Z</t>
        </is>
      </c>
      <c r="D316" s="24" t="inlineStr">
        <is>
          <t>761742</t>
        </is>
      </c>
      <c r="E316" s="24" t="inlineStr">
        <is>
          <t>SOCCER</t>
        </is>
      </c>
      <c r="F316" s="24" t="inlineStr">
        <is>
          <t>Toronto FC</t>
        </is>
      </c>
      <c r="G316" s="24" t="inlineStr">
        <is>
          <t>Inter Miami CF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-270</v>
      </c>
      <c r="M316" s="27" t="n">
        <v>1.37037</v>
      </c>
      <c r="N316" s="28" t="n">
        <v>0.72973</v>
      </c>
      <c r="O316" s="28" t="n">
        <v>0.798698</v>
      </c>
      <c r="P316" s="28" t="n">
        <v>0.04</v>
      </c>
      <c r="Q316" s="28" t="n">
        <v>0.068968</v>
      </c>
      <c r="R316" s="26" t="n">
        <v>60</v>
      </c>
      <c r="S316" s="29" t="n">
        <v>1.25</v>
      </c>
      <c r="T316" s="24" t="inlineStr">
        <is>
          <t>soccer-poisson-dc-v1</t>
        </is>
      </c>
      <c r="U316" s="24" t="inlineStr">
        <is>
          <t>settled</t>
        </is>
      </c>
      <c r="V316" s="24" t="inlineStr">
        <is>
          <t>loss</t>
        </is>
      </c>
      <c r="W316" s="26" t="n">
        <v>2</v>
      </c>
      <c r="X316" s="26" t="n">
        <v>1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2026-08-23T04:55:55.766074Z</t>
        </is>
      </c>
      <c r="AE316" s="31" t="inlineStr">
        <is>
          <t>Poisson-DC rates 3.79 (home) / 1.39 (away) from EWMA attack/defense strengths. Executable ask 0.7300 (atc-mls-mia-tor-2026-08-22-mia).</t>
        </is>
      </c>
      <c r="AF316" s="31" t="inlineStr">
        <is>
          <t>Research-only soccer score model; draw-aware, but not yet locked-holdout qualified.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Toronto FC</t>
        </is>
      </c>
      <c r="AQ316" s="24" t="inlineStr">
        <is>
          <t>Toronto FC</t>
        </is>
      </c>
      <c r="AR316" s="24" t="inlineStr">
        <is>
          <t>Toronto FC</t>
        </is>
      </c>
      <c r="AS316" s="24" t="inlineStr">
        <is>
          <t>Inter Miami CF</t>
        </is>
      </c>
      <c r="AT316" s="24" t="inlineStr">
        <is>
          <t>Inter Miami CF</t>
        </is>
      </c>
      <c r="AU316" s="24" t="inlineStr">
        <is>
          <t>Inter Miami CF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f585a7f3cb7ee04f9a319a60fa601ef15e86636fadaaa8c1380ac0f28f75c58a</t>
        </is>
      </c>
      <c r="BB316" s="24" t="inlineStr">
        <is>
          <t>poisson_dixon_coles</t>
        </is>
      </c>
      <c r="BC316" s="24" t="inlineStr">
        <is>
          <t>soccer-poisson-dc-v1</t>
        </is>
      </c>
      <c r="BD316" s="24" t="inlineStr">
        <is>
          <t>f585a7f3cb7ee04f9a319a60fa601ef15e86636fadaaa8c1380ac0f28f75c58a</t>
        </is>
      </c>
      <c r="BE316" s="24" t="inlineStr">
        <is>
          <t>soccer-poisson-dc-v1</t>
        </is>
      </c>
      <c r="BF316" s="24" t="inlineStr">
        <is>
          <t>1</t>
        </is>
      </c>
      <c r="BG316" s="24" t="inlineStr">
        <is>
          <t>f585a7f3cb7ee04f9a319a60fa601ef15e86636fadaaa8c1380ac0f28f75c58a</t>
        </is>
      </c>
      <c r="BH316" s="24" t="inlineStr">
        <is>
          <t>2026-08-22T22:58:25.011258Z</t>
        </is>
      </c>
      <c r="BI316" s="24" t="inlineStr">
        <is>
          <t>["same_event","same_team_same_day","same_league_same_day"]</t>
        </is>
      </c>
      <c r="BJ316" s="25" t="n"/>
      <c r="BK316" s="26" t="n">
        <v>-270</v>
      </c>
      <c r="BL316" s="27" t="n">
        <v>1.37037</v>
      </c>
      <c r="BM316" s="28" t="n">
        <v>0.72973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0.72973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ea256d8695a0426b</t>
        </is>
      </c>
      <c r="B317" s="24" t="inlineStr">
        <is>
          <t>2026-08-22T23:01:37.142187Z</t>
        </is>
      </c>
      <c r="C317" s="24" t="inlineStr">
        <is>
          <t>2026-08-22T23:30Z</t>
        </is>
      </c>
      <c r="D317" s="24" t="inlineStr">
        <is>
          <t>761740</t>
        </is>
      </c>
      <c r="E317" s="24" t="inlineStr">
        <is>
          <t>SOCCER</t>
        </is>
      </c>
      <c r="F317" s="24" t="inlineStr">
        <is>
          <t>Real Salt Lake</t>
        </is>
      </c>
      <c r="G317" s="24" t="inlineStr">
        <is>
          <t>Orlando City SC</t>
        </is>
      </c>
      <c r="H317" s="24" t="inlineStr">
        <is>
          <t>moneyline</t>
        </is>
      </c>
      <c r="I317" s="24" t="inlineStr">
        <is>
          <t>away</t>
        </is>
      </c>
      <c r="J317" s="25" t="n"/>
      <c r="K317" s="24" t="inlineStr">
        <is>
          <t>polymarket_us</t>
        </is>
      </c>
      <c r="L317" s="26" t="n">
        <v>317</v>
      </c>
      <c r="M317" s="27" t="n">
        <v>4.17</v>
      </c>
      <c r="N317" s="28" t="n">
        <v>0.239808</v>
      </c>
      <c r="O317" s="28" t="n">
        <v>0.470595</v>
      </c>
      <c r="P317" s="28" t="n">
        <v>0.04</v>
      </c>
      <c r="Q317" s="28" t="n">
        <v>0.230787</v>
      </c>
      <c r="R317" s="26" t="n">
        <v>100</v>
      </c>
      <c r="S317" s="29" t="n">
        <v>2</v>
      </c>
      <c r="T317" s="24" t="inlineStr">
        <is>
          <t>soccer-poisson-dc-v1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2</v>
      </c>
      <c r="Y317" s="25" t="n"/>
      <c r="Z317" s="26" t="n"/>
      <c r="AA317" s="28" t="n"/>
      <c r="AB317" s="28" t="n"/>
      <c r="AC317" s="30" t="n">
        <v>-2</v>
      </c>
      <c r="AD317" s="24" t="inlineStr">
        <is>
          <t>2026-08-23T05:11:22.768813Z</t>
        </is>
      </c>
      <c r="AE317" s="31" t="inlineStr">
        <is>
          <t>Poisson-DC rates 1.93 (home) / 2.33 (away) from EWMA attack/defense strengths. Executable ask 0.2400 (atc-mls-orl-rsl-2026-08-22-rsl).</t>
        </is>
      </c>
      <c r="AF317" s="31" t="inlineStr">
        <is>
          <t>Research-only soccer score model; draw-aware, but not yet locked-holdout qualified.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Real Salt Lake</t>
        </is>
      </c>
      <c r="AQ317" s="24" t="inlineStr">
        <is>
          <t>Real Salt Lake</t>
        </is>
      </c>
      <c r="AR317" s="24" t="inlineStr">
        <is>
          <t>Real Salt Lake</t>
        </is>
      </c>
      <c r="AS317" s="24" t="inlineStr">
        <is>
          <t>Orlando City SC</t>
        </is>
      </c>
      <c r="AT317" s="24" t="inlineStr">
        <is>
          <t>Orlando City SC</t>
        </is>
      </c>
      <c r="AU317" s="24" t="inlineStr">
        <is>
          <t>Orlando City SC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f585a7f3cb7ee04f9a319a60fa601ef15e86636fadaaa8c1380ac0f28f75c58a</t>
        </is>
      </c>
      <c r="BB317" s="24" t="inlineStr">
        <is>
          <t>poisson_dixon_coles</t>
        </is>
      </c>
      <c r="BC317" s="24" t="inlineStr">
        <is>
          <t>soccer-poisson-dc-v1</t>
        </is>
      </c>
      <c r="BD317" s="24" t="inlineStr">
        <is>
          <t>f585a7f3cb7ee04f9a319a60fa601ef15e86636fadaaa8c1380ac0f28f75c58a</t>
        </is>
      </c>
      <c r="BE317" s="24" t="inlineStr">
        <is>
          <t>soccer-poisson-dc-v1</t>
        </is>
      </c>
      <c r="BF317" s="24" t="inlineStr">
        <is>
          <t>1</t>
        </is>
      </c>
      <c r="BG317" s="24" t="inlineStr">
        <is>
          <t>f585a7f3cb7ee04f9a319a60fa601ef15e86636fadaaa8c1380ac0f28f75c58a</t>
        </is>
      </c>
      <c r="BH317" s="24" t="inlineStr">
        <is>
          <t>2026-08-22T22:58:25.272631Z</t>
        </is>
      </c>
      <c r="BI317" s="24" t="inlineStr">
        <is>
          <t>["same_event","same_team_same_day","same_league_same_day"]</t>
        </is>
      </c>
      <c r="BJ317" s="25" t="n"/>
      <c r="BK317" s="26" t="n">
        <v>317</v>
      </c>
      <c r="BL317" s="27" t="n">
        <v>4.17</v>
      </c>
      <c r="BM317" s="28" t="n">
        <v>0.239808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0.239808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0fc23b92452b4bff</t>
        </is>
      </c>
      <c r="B318" s="24" t="inlineStr">
        <is>
          <t>2026-08-22T23:01:37.142187Z</t>
        </is>
      </c>
      <c r="C318" s="24" t="inlineStr">
        <is>
          <t>2026-08-23T00:30Z</t>
        </is>
      </c>
      <c r="D318" s="24" t="inlineStr">
        <is>
          <t>761748</t>
        </is>
      </c>
      <c r="E318" s="24" t="inlineStr">
        <is>
          <t>SOCCER</t>
        </is>
      </c>
      <c r="F318" s="24" t="inlineStr">
        <is>
          <t>Philadelphia Union</t>
        </is>
      </c>
      <c r="G318" s="24" t="inlineStr">
        <is>
          <t>Austin FC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257</v>
      </c>
      <c r="M318" s="27" t="n">
        <v>3.57</v>
      </c>
      <c r="N318" s="28" t="n">
        <v>0.280112</v>
      </c>
      <c r="O318" s="28" t="n">
        <v>0.379922</v>
      </c>
      <c r="P318" s="28" t="n">
        <v>0.04</v>
      </c>
      <c r="Q318" s="28" t="n">
        <v>0.09981</v>
      </c>
      <c r="R318" s="26" t="n">
        <v>76</v>
      </c>
      <c r="S318" s="29" t="n">
        <v>1.5</v>
      </c>
      <c r="T318" s="24" t="inlineStr">
        <is>
          <t>soccer-poisson-dc-v1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1</v>
      </c>
      <c r="Y318" s="25" t="n"/>
      <c r="Z318" s="26" t="n"/>
      <c r="AA318" s="28" t="n"/>
      <c r="AB318" s="28" t="n"/>
      <c r="AC318" s="30" t="n">
        <v>-1.5</v>
      </c>
      <c r="AD318" s="24" t="inlineStr">
        <is>
          <t>2026-08-23T05:11:25.010761Z</t>
        </is>
      </c>
      <c r="AE318" s="31" t="inlineStr">
        <is>
          <t>Poisson-DC rates 1.76 (home) / 1.76 (away) from EWMA attack/defense strengths. Executable ask 0.2800 (atc-mls-aus-phi-2026-08-22-aus).</t>
        </is>
      </c>
      <c r="AF318" s="31" t="inlineStr">
        <is>
          <t>Research-only soccer score model; draw-aware, but not yet locked-holdout qualified.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Philadelphia Union</t>
        </is>
      </c>
      <c r="AQ318" s="24" t="inlineStr">
        <is>
          <t>Philadelphia Union</t>
        </is>
      </c>
      <c r="AR318" s="24" t="inlineStr">
        <is>
          <t>Philadelphia Union</t>
        </is>
      </c>
      <c r="AS318" s="24" t="inlineStr">
        <is>
          <t>Austin FC</t>
        </is>
      </c>
      <c r="AT318" s="24" t="inlineStr">
        <is>
          <t>Austin FC</t>
        </is>
      </c>
      <c r="AU318" s="24" t="inlineStr">
        <is>
          <t>Austin FC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f585a7f3cb7ee04f9a319a60fa601ef15e86636fadaaa8c1380ac0f28f75c58a</t>
        </is>
      </c>
      <c r="BB318" s="24" t="inlineStr">
        <is>
          <t>poisson_dixon_coles</t>
        </is>
      </c>
      <c r="BC318" s="24" t="inlineStr">
        <is>
          <t>soccer-poisson-dc-v1</t>
        </is>
      </c>
      <c r="BD318" s="24" t="inlineStr">
        <is>
          <t>f585a7f3cb7ee04f9a319a60fa601ef15e86636fadaaa8c1380ac0f28f75c58a</t>
        </is>
      </c>
      <c r="BE318" s="24" t="inlineStr">
        <is>
          <t>soccer-poisson-dc-v1</t>
        </is>
      </c>
      <c r="BF318" s="24" t="inlineStr">
        <is>
          <t>1</t>
        </is>
      </c>
      <c r="BG318" s="24" t="inlineStr">
        <is>
          <t>f585a7f3cb7ee04f9a319a60fa601ef15e86636fadaaa8c1380ac0f28f75c58a</t>
        </is>
      </c>
      <c r="BH318" s="24" t="inlineStr">
        <is>
          <t>2026-08-22T22:58:25.391856Z</t>
        </is>
      </c>
      <c r="BI318" s="24" t="inlineStr">
        <is>
          <t>["same_event","same_team_same_day","same_league_same_day"]</t>
        </is>
      </c>
      <c r="BJ318" s="25" t="n"/>
      <c r="BK318" s="26" t="n">
        <v>257</v>
      </c>
      <c r="BL318" s="27" t="n">
        <v>3.57</v>
      </c>
      <c r="BM318" s="28" t="n">
        <v>0.280112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0.280112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fe2d8e401a844954</t>
        </is>
      </c>
      <c r="B319" s="24" t="inlineStr">
        <is>
          <t>2026-08-22T23:01:37.142187Z</t>
        </is>
      </c>
      <c r="C319" s="24" t="inlineStr">
        <is>
          <t>2026-08-23T00:30Z</t>
        </is>
      </c>
      <c r="D319" s="24" t="inlineStr">
        <is>
          <t>761746</t>
        </is>
      </c>
      <c r="E319" s="24" t="inlineStr">
        <is>
          <t>SOCCER</t>
        </is>
      </c>
      <c r="F319" s="24" t="inlineStr">
        <is>
          <t>Columbus Crew</t>
        </is>
      </c>
      <c r="G319" s="24" t="inlineStr">
        <is>
          <t>Nashville SC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-144</v>
      </c>
      <c r="M319" s="27" t="n">
        <v>1.694444</v>
      </c>
      <c r="N319" s="28" t="n">
        <v>0.590164</v>
      </c>
      <c r="O319" s="28" t="n">
        <v>0.634638</v>
      </c>
      <c r="P319" s="28" t="n">
        <v>0.04</v>
      </c>
      <c r="Q319" s="28" t="n">
        <v>0.044474</v>
      </c>
      <c r="R319" s="26" t="n">
        <v>48</v>
      </c>
      <c r="S319" s="29" t="n">
        <v>1</v>
      </c>
      <c r="T319" s="24" t="inlineStr">
        <is>
          <t>soccer-poisson-dc-v1</t>
        </is>
      </c>
      <c r="U319" s="24" t="inlineStr">
        <is>
          <t>settled</t>
        </is>
      </c>
      <c r="V319" s="24" t="inlineStr">
        <is>
          <t>win</t>
        </is>
      </c>
      <c r="W319" s="26" t="n">
        <v>2</v>
      </c>
      <c r="X319" s="26" t="n">
        <v>3</v>
      </c>
      <c r="Y319" s="25" t="n"/>
      <c r="Z319" s="26" t="n"/>
      <c r="AA319" s="28" t="n"/>
      <c r="AB319" s="28" t="n"/>
      <c r="AC319" s="30" t="n">
        <v>0.6944</v>
      </c>
      <c r="AD319" s="24" t="inlineStr">
        <is>
          <t>2026-08-23T05:11:27.126985Z</t>
        </is>
      </c>
      <c r="AE319" s="31" t="inlineStr">
        <is>
          <t>Poisson-DC rates 2.26 (home) / 1.06 (away) from EWMA attack/defense strengths. Executable ask 0.5900 (atc-mls-nas-clb-2026-08-22-nas).</t>
        </is>
      </c>
      <c r="AF319" s="31" t="inlineStr">
        <is>
          <t>Research-only soccer score model; draw-aware, but not yet locked-holdout qualified.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Columbus Crew</t>
        </is>
      </c>
      <c r="AQ319" s="24" t="inlineStr">
        <is>
          <t>Columbus Crew</t>
        </is>
      </c>
      <c r="AR319" s="24" t="inlineStr">
        <is>
          <t>Columbus Crew</t>
        </is>
      </c>
      <c r="AS319" s="24" t="inlineStr">
        <is>
          <t>Nashville SC</t>
        </is>
      </c>
      <c r="AT319" s="24" t="inlineStr">
        <is>
          <t>Nashville SC</t>
        </is>
      </c>
      <c r="AU319" s="24" t="inlineStr">
        <is>
          <t>Nashville SC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f585a7f3cb7ee04f9a319a60fa601ef15e86636fadaaa8c1380ac0f28f75c58a</t>
        </is>
      </c>
      <c r="BB319" s="24" t="inlineStr">
        <is>
          <t>poisson_dixon_coles</t>
        </is>
      </c>
      <c r="BC319" s="24" t="inlineStr">
        <is>
          <t>soccer-poisson-dc-v1</t>
        </is>
      </c>
      <c r="BD319" s="24" t="inlineStr">
        <is>
          <t>f585a7f3cb7ee04f9a319a60fa601ef15e86636fadaaa8c1380ac0f28f75c58a</t>
        </is>
      </c>
      <c r="BE319" s="24" t="inlineStr">
        <is>
          <t>soccer-poisson-dc-v1</t>
        </is>
      </c>
      <c r="BF319" s="24" t="inlineStr">
        <is>
          <t>1</t>
        </is>
      </c>
      <c r="BG319" s="24" t="inlineStr">
        <is>
          <t>f585a7f3cb7ee04f9a319a60fa601ef15e86636fadaaa8c1380ac0f28f75c58a</t>
        </is>
      </c>
      <c r="BH319" s="24" t="inlineStr">
        <is>
          <t>2026-08-22T22:58:25.483680Z</t>
        </is>
      </c>
      <c r="BI319" s="24" t="inlineStr">
        <is>
          <t>["same_event","same_team_same_day","same_league_same_day"]</t>
        </is>
      </c>
      <c r="BJ319" s="25" t="n"/>
      <c r="BK319" s="26" t="n">
        <v>-144</v>
      </c>
      <c r="BL319" s="27" t="n">
        <v>1.694444</v>
      </c>
      <c r="BM319" s="28" t="n">
        <v>0.590164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0.590164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9e968d3980554454</t>
        </is>
      </c>
      <c r="B320" s="24" t="inlineStr">
        <is>
          <t>2026-08-22T23:01:37.142187Z</t>
        </is>
      </c>
      <c r="C320" s="24" t="inlineStr">
        <is>
          <t>2026-08-23T00:30Z</t>
        </is>
      </c>
      <c r="D320" s="24" t="inlineStr">
        <is>
          <t>761747</t>
        </is>
      </c>
      <c r="E320" s="24" t="inlineStr">
        <is>
          <t>SOCCER</t>
        </is>
      </c>
      <c r="F320" s="24" t="inlineStr">
        <is>
          <t>Houston Dynamo FC</t>
        </is>
      </c>
      <c r="G320" s="24" t="inlineStr">
        <is>
          <t>St. Louis CITY SC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113</v>
      </c>
      <c r="M320" s="27" t="n">
        <v>2.13</v>
      </c>
      <c r="N320" s="28" t="n">
        <v>0.469484</v>
      </c>
      <c r="O320" s="28" t="n">
        <v>0.509703</v>
      </c>
      <c r="P320" s="28" t="n">
        <v>0.04</v>
      </c>
      <c r="Q320" s="28" t="n">
        <v>0.040219</v>
      </c>
      <c r="R320" s="26" t="n">
        <v>46</v>
      </c>
      <c r="S320" s="29" t="n">
        <v>1</v>
      </c>
      <c r="T320" s="24" t="inlineStr">
        <is>
          <t>soccer-poisson-dc-v1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2</v>
      </c>
      <c r="Y320" s="25" t="n"/>
      <c r="Z320" s="26" t="n"/>
      <c r="AA320" s="28" t="n"/>
      <c r="AB320" s="28" t="n"/>
      <c r="AC320" s="30" t="n">
        <v>1.13</v>
      </c>
      <c r="AD320" s="24" t="inlineStr">
        <is>
          <t>2026-08-23T05:11:32.629069Z</t>
        </is>
      </c>
      <c r="AE320" s="31" t="inlineStr">
        <is>
          <t>Poisson-DC rates 1.86 (home) / 1.24 (away) from EWMA attack/defense strengths. Executable ask 0.4700 (atc-mls-stl-hou-2026-08-22-stl).</t>
        </is>
      </c>
      <c r="AF320" s="31" t="inlineStr">
        <is>
          <t>Research-only soccer score model; draw-aware, but not yet locked-holdout qualified.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Houston Dynamo FC</t>
        </is>
      </c>
      <c r="AQ320" s="24" t="inlineStr">
        <is>
          <t>Houston Dynamo FC</t>
        </is>
      </c>
      <c r="AR320" s="24" t="inlineStr">
        <is>
          <t>Houston Dynamo FC</t>
        </is>
      </c>
      <c r="AS320" s="24" t="inlineStr">
        <is>
          <t>St. Louis CITY SC</t>
        </is>
      </c>
      <c r="AT320" s="24" t="inlineStr">
        <is>
          <t>St. Louis CITY SC</t>
        </is>
      </c>
      <c r="AU320" s="24" t="inlineStr">
        <is>
          <t>St. Louis CITY SC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f585a7f3cb7ee04f9a319a60fa601ef15e86636fadaaa8c1380ac0f28f75c58a</t>
        </is>
      </c>
      <c r="BB320" s="24" t="inlineStr">
        <is>
          <t>poisson_dixon_coles</t>
        </is>
      </c>
      <c r="BC320" s="24" t="inlineStr">
        <is>
          <t>soccer-poisson-dc-v1</t>
        </is>
      </c>
      <c r="BD320" s="24" t="inlineStr">
        <is>
          <t>f585a7f3cb7ee04f9a319a60fa601ef15e86636fadaaa8c1380ac0f28f75c58a</t>
        </is>
      </c>
      <c r="BE320" s="24" t="inlineStr">
        <is>
          <t>soccer-poisson-dc-v1</t>
        </is>
      </c>
      <c r="BF320" s="24" t="inlineStr">
        <is>
          <t>1</t>
        </is>
      </c>
      <c r="BG320" s="24" t="inlineStr">
        <is>
          <t>f585a7f3cb7ee04f9a319a60fa601ef15e86636fadaaa8c1380ac0f28f75c58a</t>
        </is>
      </c>
      <c r="BH320" s="24" t="inlineStr">
        <is>
          <t>2026-08-22T22:58:25.671473Z</t>
        </is>
      </c>
      <c r="BI320" s="24" t="inlineStr">
        <is>
          <t>["same_event","same_team_same_day","same_league_same_day"]</t>
        </is>
      </c>
      <c r="BJ320" s="25" t="n"/>
      <c r="BK320" s="26" t="n">
        <v>113</v>
      </c>
      <c r="BL320" s="27" t="n">
        <v>2.13</v>
      </c>
      <c r="BM320" s="28" t="n">
        <v>0.469484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0.469484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2c42720cf7914618</t>
        </is>
      </c>
      <c r="B321" s="24" t="inlineStr">
        <is>
          <t>2026-08-22T23:01:37.142187Z</t>
        </is>
      </c>
      <c r="C321" s="24" t="inlineStr">
        <is>
          <t>2026-08-23T01:30Z</t>
        </is>
      </c>
      <c r="D321" s="24" t="inlineStr">
        <is>
          <t>761749</t>
        </is>
      </c>
      <c r="E321" s="24" t="inlineStr">
        <is>
          <t>SOCCER</t>
        </is>
      </c>
      <c r="F321" s="24" t="inlineStr">
        <is>
          <t>FC Dallas</t>
        </is>
      </c>
      <c r="G321" s="24" t="inlineStr">
        <is>
          <t>Vancouver Whitecaps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-178</v>
      </c>
      <c r="M321" s="27" t="n">
        <v>1.561798</v>
      </c>
      <c r="N321" s="28" t="n">
        <v>0.640288</v>
      </c>
      <c r="O321" s="28" t="n">
        <v>0.658314</v>
      </c>
      <c r="P321" s="28" t="n">
        <v>0.04</v>
      </c>
      <c r="Q321" s="28" t="n">
        <v>0.018026</v>
      </c>
      <c r="R321" s="26" t="n">
        <v>35</v>
      </c>
      <c r="S321" s="29" t="n">
        <v>1</v>
      </c>
      <c r="T321" s="24" t="inlineStr">
        <is>
          <t>soccer-poisson-dc-v1</t>
        </is>
      </c>
      <c r="U321" s="24" t="inlineStr">
        <is>
          <t>settled</t>
        </is>
      </c>
      <c r="V321" s="24" t="inlineStr">
        <is>
          <t>win</t>
        </is>
      </c>
      <c r="W321" s="26" t="n">
        <v>0</v>
      </c>
      <c r="X321" s="26" t="n">
        <v>5</v>
      </c>
      <c r="Y321" s="25" t="n"/>
      <c r="Z321" s="26" t="n"/>
      <c r="AA321" s="28" t="n"/>
      <c r="AB321" s="28" t="n"/>
      <c r="AC321" s="30" t="n">
        <v>0.5618</v>
      </c>
      <c r="AD321" s="24" t="inlineStr">
        <is>
          <t>2026-08-23T05:11:37.023685Z</t>
        </is>
      </c>
      <c r="AE321" s="31" t="inlineStr">
        <is>
          <t>Poisson-DC rates 2.61 (home) / 1.25 (away) from EWMA attack/defense strengths. Executable ask 0.6400 (atc-mls-vwh-dal-2026-08-22-vwh).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FC Dallas</t>
        </is>
      </c>
      <c r="AQ321" s="24" t="inlineStr">
        <is>
          <t>FC Dallas</t>
        </is>
      </c>
      <c r="AR321" s="24" t="inlineStr">
        <is>
          <t>FC Dallas</t>
        </is>
      </c>
      <c r="AS321" s="24" t="inlineStr">
        <is>
          <t>Vancouver Whitecaps</t>
        </is>
      </c>
      <c r="AT321" s="24" t="inlineStr">
        <is>
          <t>Vancouver Whitecaps</t>
        </is>
      </c>
      <c r="AU321" s="24" t="inlineStr">
        <is>
          <t>Vancouver Whitecaps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f585a7f3cb7ee04f9a319a60fa601ef15e86636fadaaa8c1380ac0f28f75c58a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f585a7f3cb7ee04f9a319a60fa601ef15e86636fadaaa8c1380ac0f28f75c58a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f585a7f3cb7ee04f9a319a60fa601ef15e86636fadaaa8c1380ac0f28f75c58a</t>
        </is>
      </c>
      <c r="BH321" s="24" t="inlineStr">
        <is>
          <t>2026-08-22T22:58:25.894040Z</t>
        </is>
      </c>
      <c r="BI321" s="24" t="inlineStr">
        <is>
          <t>["same_event","same_team_same_day","same_league_same_day"]</t>
        </is>
      </c>
      <c r="BJ321" s="25" t="n"/>
      <c r="BK321" s="26" t="n">
        <v>-178</v>
      </c>
      <c r="BL321" s="27" t="n">
        <v>1.561798</v>
      </c>
      <c r="BM321" s="28" t="n">
        <v>0.640288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0.640288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ad92869b40e94164</t>
        </is>
      </c>
      <c r="B322" s="24" t="inlineStr">
        <is>
          <t>2026-08-22T23:01:37.142187Z</t>
        </is>
      </c>
      <c r="C322" s="24" t="inlineStr">
        <is>
          <t>2026-08-23T02:30Z</t>
        </is>
      </c>
      <c r="D322" s="24" t="inlineStr">
        <is>
          <t>761750</t>
        </is>
      </c>
      <c r="E322" s="24" t="inlineStr">
        <is>
          <t>SOCCER</t>
        </is>
      </c>
      <c r="F322" s="24" t="inlineStr">
        <is>
          <t>Colorado Rapids</t>
        </is>
      </c>
      <c r="G322" s="24" t="inlineStr">
        <is>
          <t>San Diego FC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104</v>
      </c>
      <c r="M322" s="27" t="n">
        <v>2.04</v>
      </c>
      <c r="N322" s="28" t="n">
        <v>0.490196</v>
      </c>
      <c r="O322" s="28" t="n">
        <v>0.604692</v>
      </c>
      <c r="P322" s="28" t="n">
        <v>0.04</v>
      </c>
      <c r="Q322" s="28" t="n">
        <v>0.114496</v>
      </c>
      <c r="R322" s="26" t="n">
        <v>83</v>
      </c>
      <c r="S322" s="29" t="n">
        <v>1.5</v>
      </c>
      <c r="T322" s="24" t="inlineStr">
        <is>
          <t>soccer-poisson-dc-v1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3</v>
      </c>
      <c r="Y322" s="25" t="n"/>
      <c r="Z322" s="26" t="n"/>
      <c r="AA322" s="28" t="n"/>
      <c r="AB322" s="28" t="n"/>
      <c r="AC322" s="30" t="n">
        <v>1.56</v>
      </c>
      <c r="AD322" s="24" t="inlineStr">
        <is>
          <t>2026-08-23T08:11:57.805130Z</t>
        </is>
      </c>
      <c r="AE322" s="31" t="inlineStr">
        <is>
          <t>Poisson-DC rates 2.54 (home) / 1.45 (away) from EWMA attack/defense strengths. Executable ask 0.4900 (atc-mls-sdg-col-2026-08-22-sdg).</t>
        </is>
      </c>
      <c r="AF322" s="31" t="inlineStr">
        <is>
          <t>Research-only soccer score model; draw-aware, but not yet locked-holdout qualified.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Colorado Rapids</t>
        </is>
      </c>
      <c r="AQ322" s="24" t="inlineStr">
        <is>
          <t>Colorado Rapids</t>
        </is>
      </c>
      <c r="AR322" s="24" t="inlineStr">
        <is>
          <t>Colorado Rapids</t>
        </is>
      </c>
      <c r="AS322" s="24" t="inlineStr">
        <is>
          <t>San Diego FC</t>
        </is>
      </c>
      <c r="AT322" s="24" t="inlineStr">
        <is>
          <t>San Diego FC</t>
        </is>
      </c>
      <c r="AU322" s="24" t="inlineStr">
        <is>
          <t>San Diego FC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f585a7f3cb7ee04f9a319a60fa601ef15e86636fadaaa8c1380ac0f28f75c58a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f585a7f3cb7ee04f9a319a60fa601ef15e86636fadaaa8c1380ac0f28f75c58a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f585a7f3cb7ee04f9a319a60fa601ef15e86636fadaaa8c1380ac0f28f75c58a</t>
        </is>
      </c>
      <c r="BH322" s="24" t="inlineStr">
        <is>
          <t>2026-08-22T22:58:26.361160Z</t>
        </is>
      </c>
      <c r="BI322" s="24" t="inlineStr">
        <is>
          <t>["same_event","same_team_same_day","same_league_same_day"]</t>
        </is>
      </c>
      <c r="BJ322" s="25" t="n"/>
      <c r="BK322" s="26" t="n">
        <v>104</v>
      </c>
      <c r="BL322" s="27" t="n">
        <v>2.04</v>
      </c>
      <c r="BM322" s="28" t="n">
        <v>0.490196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0.490196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4d69969f57104661</t>
        </is>
      </c>
      <c r="B323" s="24" t="inlineStr">
        <is>
          <t>2026-08-22T23:01:37.142187Z</t>
        </is>
      </c>
      <c r="C323" s="24" t="inlineStr">
        <is>
          <t>2026-08-23T02:30Z</t>
        </is>
      </c>
      <c r="D323" s="24" t="inlineStr">
        <is>
          <t>761752</t>
        </is>
      </c>
      <c r="E323" s="24" t="inlineStr">
        <is>
          <t>SOCCER</t>
        </is>
      </c>
      <c r="F323" s="24" t="inlineStr">
        <is>
          <t>Minnesota United FC</t>
        </is>
      </c>
      <c r="G323" s="24" t="inlineStr">
        <is>
          <t>San Jose Earthquakes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133</v>
      </c>
      <c r="M323" s="27" t="n">
        <v>2.33</v>
      </c>
      <c r="N323" s="28" t="n">
        <v>0.429185</v>
      </c>
      <c r="O323" s="28" t="n">
        <v>0.602236</v>
      </c>
      <c r="P323" s="28" t="n">
        <v>0.04</v>
      </c>
      <c r="Q323" s="28" t="n">
        <v>0.173051</v>
      </c>
      <c r="R323" s="26" t="n">
        <v>100</v>
      </c>
      <c r="S323" s="29" t="n">
        <v>2</v>
      </c>
      <c r="T323" s="24" t="inlineStr">
        <is>
          <t>soccer-poisson-dc-v1</t>
        </is>
      </c>
      <c r="U323" s="24" t="inlineStr">
        <is>
          <t>settled</t>
        </is>
      </c>
      <c r="V323" s="24" t="inlineStr">
        <is>
          <t>loss</t>
        </is>
      </c>
      <c r="W323" s="26" t="n">
        <v>5</v>
      </c>
      <c r="X323" s="26" t="n">
        <v>1</v>
      </c>
      <c r="Y323" s="25" t="n"/>
      <c r="Z323" s="26" t="n"/>
      <c r="AA323" s="28" t="n"/>
      <c r="AB323" s="28" t="n"/>
      <c r="AC323" s="30" t="n">
        <v>-2</v>
      </c>
      <c r="AD323" s="24" t="inlineStr">
        <is>
          <t>2026-08-23T08:12:00.664901Z</t>
        </is>
      </c>
      <c r="AE323" s="31" t="inlineStr">
        <is>
          <t>Poisson-DC rates 2.26 (home) / 1.21 (away) from EWMA attack/defense strengths. Executable ask 0.4300 (atc-mls-sje-min-2026-08-22-sje).</t>
        </is>
      </c>
      <c r="AF323" s="31" t="inlineStr">
        <is>
          <t>Research-only soccer score model; draw-aware, but not yet locked-holdout qualified.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Minnesota United FC</t>
        </is>
      </c>
      <c r="AQ323" s="24" t="inlineStr">
        <is>
          <t>Minnesota United FC</t>
        </is>
      </c>
      <c r="AR323" s="24" t="inlineStr">
        <is>
          <t>Minnesota United FC</t>
        </is>
      </c>
      <c r="AS323" s="24" t="inlineStr">
        <is>
          <t>San Jose Earthquakes</t>
        </is>
      </c>
      <c r="AT323" s="24" t="inlineStr">
        <is>
          <t>San Jose Earthquakes</t>
        </is>
      </c>
      <c r="AU323" s="24" t="inlineStr">
        <is>
          <t>San Jose Earthquakes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f585a7f3cb7ee04f9a319a60fa601ef15e86636fadaaa8c1380ac0f28f75c58a</t>
        </is>
      </c>
      <c r="BB323" s="24" t="inlineStr">
        <is>
          <t>poisson_dixon_coles</t>
        </is>
      </c>
      <c r="BC323" s="24" t="inlineStr">
        <is>
          <t>soccer-poisson-dc-v1</t>
        </is>
      </c>
      <c r="BD323" s="24" t="inlineStr">
        <is>
          <t>f585a7f3cb7ee04f9a319a60fa601ef15e86636fadaaa8c1380ac0f28f75c58a</t>
        </is>
      </c>
      <c r="BE323" s="24" t="inlineStr">
        <is>
          <t>soccer-poisson-dc-v1</t>
        </is>
      </c>
      <c r="BF323" s="24" t="inlineStr">
        <is>
          <t>1</t>
        </is>
      </c>
      <c r="BG323" s="24" t="inlineStr">
        <is>
          <t>f585a7f3cb7ee04f9a319a60fa601ef15e86636fadaaa8c1380ac0f28f75c58a</t>
        </is>
      </c>
      <c r="BH323" s="24" t="inlineStr">
        <is>
          <t>2026-08-22T22:58:26.777001Z</t>
        </is>
      </c>
      <c r="BI323" s="24" t="inlineStr">
        <is>
          <t>["same_event","same_team_same_day","same_league_same_day"]</t>
        </is>
      </c>
      <c r="BJ323" s="25" t="n"/>
      <c r="BK323" s="26" t="n">
        <v>133</v>
      </c>
      <c r="BL323" s="27" t="n">
        <v>2.33</v>
      </c>
      <c r="BM323" s="28" t="n">
        <v>0.429185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0.429185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ff1c3ac975454f69</t>
        </is>
      </c>
      <c r="B324" s="24" t="inlineStr">
        <is>
          <t>2026-08-22T23:01:37.142187Z</t>
        </is>
      </c>
      <c r="C324" s="24" t="inlineStr">
        <is>
          <t>2026-08-22T23:30Z</t>
        </is>
      </c>
      <c r="D324" s="24" t="inlineStr">
        <is>
          <t>401841206</t>
        </is>
      </c>
      <c r="E324" s="24" t="inlineStr">
        <is>
          <t>SOCCER</t>
        </is>
      </c>
      <c r="F324" s="24" t="inlineStr">
        <is>
          <t>Flamengo</t>
        </is>
      </c>
      <c r="G324" s="24" t="inlineStr">
        <is>
          <t>Cruzeiro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270</v>
      </c>
      <c r="M324" s="27" t="n">
        <v>3.7</v>
      </c>
      <c r="N324" s="28" t="n">
        <v>0.27027</v>
      </c>
      <c r="O324" s="28" t="n">
        <v>0.456135</v>
      </c>
      <c r="P324" s="28" t="n">
        <v>0.2</v>
      </c>
      <c r="Q324" s="28" t="n">
        <v>0.185865</v>
      </c>
      <c r="R324" s="26" t="n">
        <v>23</v>
      </c>
      <c r="S324" s="29" t="n">
        <v>1</v>
      </c>
      <c r="T324" s="24" t="inlineStr">
        <is>
          <t>soccer-poisson-dc-v1</t>
        </is>
      </c>
      <c r="U324" s="24" t="inlineStr">
        <is>
          <t>settled</t>
        </is>
      </c>
      <c r="V324" s="24" t="inlineStr">
        <is>
          <t>win</t>
        </is>
      </c>
      <c r="W324" s="26" t="n">
        <v>1</v>
      </c>
      <c r="X324" s="26" t="n">
        <v>2</v>
      </c>
      <c r="Y324" s="25" t="n"/>
      <c r="Z324" s="26" t="n"/>
      <c r="AA324" s="28" t="n"/>
      <c r="AB324" s="28" t="n"/>
      <c r="AC324" s="30" t="n">
        <v>2.7</v>
      </c>
      <c r="AD324" s="24" t="inlineStr">
        <is>
          <t>2026-08-23T05:11:42.074937Z</t>
        </is>
      </c>
      <c r="AE324" s="31" t="inlineStr">
        <is>
          <t>Poisson-DC rates 1.64 (home) / 1.24 (away) from EWMA attack/defense strengths. Executable ask 0.2700 (atc-bra-cru-fla-2026-08-22-cru).</t>
        </is>
      </c>
      <c r="AF324" s="31" t="inlineStr">
        <is>
          <t>Research-only soccer score model; draw-aware, but not yet locked-holdout qualified.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Flamengo</t>
        </is>
      </c>
      <c r="AQ324" s="24" t="inlineStr">
        <is>
          <t>Flamengo</t>
        </is>
      </c>
      <c r="AR324" s="24" t="inlineStr">
        <is>
          <t>Flamengo</t>
        </is>
      </c>
      <c r="AS324" s="24" t="inlineStr">
        <is>
          <t>Cruzeiro</t>
        </is>
      </c>
      <c r="AT324" s="24" t="inlineStr">
        <is>
          <t>Cruzeiro</t>
        </is>
      </c>
      <c r="AU324" s="24" t="inlineStr">
        <is>
          <t>Cruzeiro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f585a7f3cb7ee04f9a319a60fa601ef15e86636fadaaa8c1380ac0f28f75c58a</t>
        </is>
      </c>
      <c r="BB324" s="24" t="inlineStr">
        <is>
          <t>poisson_dixon_coles</t>
        </is>
      </c>
      <c r="BC324" s="24" t="inlineStr">
        <is>
          <t>soccer-poisson-dc-v1</t>
        </is>
      </c>
      <c r="BD324" s="24" t="inlineStr">
        <is>
          <t>f585a7f3cb7ee04f9a319a60fa601ef15e86636fadaaa8c1380ac0f28f75c58a</t>
        </is>
      </c>
      <c r="BE324" s="24" t="inlineStr">
        <is>
          <t>soccer-poisson-dc-v1</t>
        </is>
      </c>
      <c r="BF324" s="24" t="inlineStr">
        <is>
          <t>1</t>
        </is>
      </c>
      <c r="BG324" s="24" t="inlineStr">
        <is>
          <t>f585a7f3cb7ee04f9a319a60fa601ef15e86636fadaaa8c1380ac0f28f75c58a</t>
        </is>
      </c>
      <c r="BH324" s="24" t="inlineStr">
        <is>
          <t>2026-08-22T22:58:26.980338Z</t>
        </is>
      </c>
      <c r="BI324" s="24" t="inlineStr">
        <is>
          <t>["same_event","same_team_same_day","same_league_same_day"]</t>
        </is>
      </c>
      <c r="BJ324" s="25" t="n"/>
      <c r="BK324" s="26" t="n">
        <v>270</v>
      </c>
      <c r="BL324" s="27" t="n">
        <v>3.7</v>
      </c>
      <c r="BM324" s="28" t="n">
        <v>0.27027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0.27027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72dff18cd5e54371</t>
        </is>
      </c>
      <c r="B325" s="24" t="inlineStr">
        <is>
          <t>2026-08-22T23:01:37.142187Z</t>
        </is>
      </c>
      <c r="C325" s="24" t="inlineStr">
        <is>
          <t>2026-08-23T00:00Z</t>
        </is>
      </c>
      <c r="D325" s="24" t="inlineStr">
        <is>
          <t>401841516</t>
        </is>
      </c>
      <c r="E325" s="24" t="inlineStr">
        <is>
          <t>SOCCER</t>
        </is>
      </c>
      <c r="F325" s="24" t="inlineStr">
        <is>
          <t>Banfield</t>
        </is>
      </c>
      <c r="G325" s="24" t="inlineStr">
        <is>
          <t>Newell's Old Boys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133</v>
      </c>
      <c r="M325" s="27" t="n">
        <v>2.33</v>
      </c>
      <c r="N325" s="28" t="n">
        <v>0.429185</v>
      </c>
      <c r="O325" s="28" t="n">
        <v>0.456135</v>
      </c>
      <c r="P325" s="28" t="n">
        <v>0.2</v>
      </c>
      <c r="Q325" s="28" t="n">
        <v>0.02695</v>
      </c>
      <c r="R325" s="26" t="n">
        <v>0</v>
      </c>
      <c r="S325" s="29" t="n">
        <v>1</v>
      </c>
      <c r="T325" s="24" t="inlineStr">
        <is>
          <t>soccer-poisson-dc-v1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2</v>
      </c>
      <c r="Y325" s="25" t="n"/>
      <c r="Z325" s="26" t="n"/>
      <c r="AA325" s="28" t="n"/>
      <c r="AB325" s="28" t="n"/>
      <c r="AC325" s="30" t="n">
        <v>1.33</v>
      </c>
      <c r="AD325" s="24" t="inlineStr">
        <is>
          <t>2026-08-23T05:11:47.415519Z</t>
        </is>
      </c>
      <c r="AE325" s="31" t="inlineStr">
        <is>
          <t>Poisson-DC rates 1.64 (home) / 1.24 (away) from EWMA attack/defense strengths. Executable ask 0.4300 (atc-lpa-new-ban-2026-08-22-new).</t>
        </is>
      </c>
      <c r="AF325" s="31" t="inlineStr">
        <is>
          <t>Research-only soccer score model; draw-aware, but not yet locked-holdout qualified.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Banfield</t>
        </is>
      </c>
      <c r="AQ325" s="24" t="inlineStr">
        <is>
          <t>Banfield</t>
        </is>
      </c>
      <c r="AR325" s="24" t="inlineStr">
        <is>
          <t>Banfield</t>
        </is>
      </c>
      <c r="AS325" s="24" t="inlineStr">
        <is>
          <t>Newell's Old Boys</t>
        </is>
      </c>
      <c r="AT325" s="24" t="inlineStr">
        <is>
          <t>Newell's Old Boys</t>
        </is>
      </c>
      <c r="AU325" s="24" t="inlineStr">
        <is>
          <t>Newell's Old Boys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f585a7f3cb7ee04f9a319a60fa601ef15e86636fadaaa8c1380ac0f28f75c58a</t>
        </is>
      </c>
      <c r="BB325" s="24" t="inlineStr">
        <is>
          <t>poisson_dixon_coles</t>
        </is>
      </c>
      <c r="BC325" s="24" t="inlineStr">
        <is>
          <t>soccer-poisson-dc-v1</t>
        </is>
      </c>
      <c r="BD325" s="24" t="inlineStr">
        <is>
          <t>f585a7f3cb7ee04f9a319a60fa601ef15e86636fadaaa8c1380ac0f28f75c58a</t>
        </is>
      </c>
      <c r="BE325" s="24" t="inlineStr">
        <is>
          <t>soccer-poisson-dc-v1</t>
        </is>
      </c>
      <c r="BF325" s="24" t="inlineStr">
        <is>
          <t>1</t>
        </is>
      </c>
      <c r="BG325" s="24" t="inlineStr">
        <is>
          <t>f585a7f3cb7ee04f9a319a60fa601ef15e86636fadaaa8c1380ac0f28f75c58a</t>
        </is>
      </c>
      <c r="BH325" s="24" t="inlineStr">
        <is>
          <t>2026-08-22T22:58:27.087158Z</t>
        </is>
      </c>
      <c r="BI325" s="24" t="inlineStr">
        <is>
          <t>["same_event","same_team_same_day","same_league_same_day"]</t>
        </is>
      </c>
      <c r="BJ325" s="25" t="n"/>
      <c r="BK325" s="26" t="n">
        <v>133</v>
      </c>
      <c r="BL325" s="27" t="n">
        <v>2.33</v>
      </c>
      <c r="BM325" s="28" t="n">
        <v>0.429185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0.429185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415848d7d8674386</t>
        </is>
      </c>
      <c r="B326" s="24" t="inlineStr">
        <is>
          <t>2026-08-22T23:01:37.142187Z</t>
        </is>
      </c>
      <c r="C326" s="24" t="inlineStr">
        <is>
          <t>2026-08-23T00:00Z</t>
        </is>
      </c>
      <c r="D326" s="24" t="inlineStr">
        <is>
          <t>401859661</t>
        </is>
      </c>
      <c r="E326" s="24" t="inlineStr">
        <is>
          <t>SOCCER</t>
        </is>
      </c>
      <c r="F326" s="24" t="inlineStr">
        <is>
          <t>Orense</t>
        </is>
      </c>
      <c r="G326" s="24" t="inlineStr">
        <is>
          <t>Barcelona SC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-108</v>
      </c>
      <c r="M326" s="27" t="n">
        <v>1.925926</v>
      </c>
      <c r="N326" s="28" t="n">
        <v>0.519231</v>
      </c>
      <c r="O326" s="28" t="n">
        <v>0.688985</v>
      </c>
      <c r="P326" s="28" t="n">
        <v>0.19</v>
      </c>
      <c r="Q326" s="28" t="n">
        <v>0.169754</v>
      </c>
      <c r="R326" s="26" t="n">
        <v>21</v>
      </c>
      <c r="S326" s="29" t="n">
        <v>1</v>
      </c>
      <c r="T326" s="24" t="inlineStr">
        <is>
          <t>soccer-poisson-dc-v1</t>
        </is>
      </c>
      <c r="U326" s="24" t="inlineStr">
        <is>
          <t>settled</t>
        </is>
      </c>
      <c r="V326" s="24" t="inlineStr">
        <is>
          <t>win</t>
        </is>
      </c>
      <c r="W326" s="26" t="n">
        <v>0</v>
      </c>
      <c r="X326" s="26" t="n">
        <v>3</v>
      </c>
      <c r="Y326" s="25" t="n"/>
      <c r="Z326" s="26" t="n"/>
      <c r="AA326" s="28" t="n"/>
      <c r="AB326" s="28" t="n"/>
      <c r="AC326" s="30" t="n">
        <v>0.9258999999999999</v>
      </c>
      <c r="AD326" s="24" t="inlineStr">
        <is>
          <t>2026-08-23T05:11:53.007984Z</t>
        </is>
      </c>
      <c r="AE326" s="31" t="inlineStr">
        <is>
          <t>Poisson-DC rates 2.42 (home) / 0.96 (away) from EWMA attack/defense strengths. Executable ask 0.5200 (atc-ecu1-bsc-ore-2026-08-22-bsc).</t>
        </is>
      </c>
      <c r="AF326" s="31" t="inlineStr">
        <is>
          <t>Research-only soccer score model; draw-aware, but not yet locked-holdout qualified.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Orense</t>
        </is>
      </c>
      <c r="AQ326" s="24" t="inlineStr">
        <is>
          <t>Orense</t>
        </is>
      </c>
      <c r="AR326" s="24" t="inlineStr">
        <is>
          <t>Orense</t>
        </is>
      </c>
      <c r="AS326" s="24" t="inlineStr">
        <is>
          <t>Barcelona SC</t>
        </is>
      </c>
      <c r="AT326" s="24" t="inlineStr">
        <is>
          <t>Barcelona SC</t>
        </is>
      </c>
      <c r="AU326" s="24" t="inlineStr">
        <is>
          <t>Barcelona SC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f585a7f3cb7ee04f9a319a60fa601ef15e86636fadaaa8c1380ac0f28f75c58a</t>
        </is>
      </c>
      <c r="BB326" s="24" t="inlineStr">
        <is>
          <t>poisson_dixon_coles</t>
        </is>
      </c>
      <c r="BC326" s="24" t="inlineStr">
        <is>
          <t>soccer-poisson-dc-v1</t>
        </is>
      </c>
      <c r="BD326" s="24" t="inlineStr">
        <is>
          <t>f585a7f3cb7ee04f9a319a60fa601ef15e86636fadaaa8c1380ac0f28f75c58a</t>
        </is>
      </c>
      <c r="BE326" s="24" t="inlineStr">
        <is>
          <t>soccer-poisson-dc-v1</t>
        </is>
      </c>
      <c r="BF326" s="24" t="inlineStr">
        <is>
          <t>1</t>
        </is>
      </c>
      <c r="BG326" s="24" t="inlineStr">
        <is>
          <t>f585a7f3cb7ee04f9a319a60fa601ef15e86636fadaaa8c1380ac0f28f75c58a</t>
        </is>
      </c>
      <c r="BH326" s="24" t="inlineStr">
        <is>
          <t>2026-08-22T22:58:27.414549Z</t>
        </is>
      </c>
      <c r="BI326" s="24" t="inlineStr">
        <is>
          <t>["same_event","same_team_same_day","same_league_same_day"]</t>
        </is>
      </c>
      <c r="BJ326" s="25" t="n"/>
      <c r="BK326" s="26" t="n">
        <v>-108</v>
      </c>
      <c r="BL326" s="27" t="n">
        <v>1.925926</v>
      </c>
      <c r="BM326" s="28" t="n">
        <v>0.519231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True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0.519231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fa410c1af02a489a</t>
        </is>
      </c>
      <c r="B327" s="24" t="inlineStr">
        <is>
          <t>2026-08-23T08:37:53.129823Z</t>
        </is>
      </c>
      <c r="C327" s="24" t="inlineStr">
        <is>
          <t>2026-08-23T13:00Z</t>
        </is>
      </c>
      <c r="D327" s="24" t="inlineStr">
        <is>
          <t>401879297</t>
        </is>
      </c>
      <c r="E327" s="24" t="inlineStr">
        <is>
          <t>SOCCER</t>
        </is>
      </c>
      <c r="F327" s="24" t="inlineStr">
        <is>
          <t>Aston Villa</t>
        </is>
      </c>
      <c r="G327" s="24" t="inlineStr">
        <is>
          <t>Brighton &amp; Hove Albion</t>
        </is>
      </c>
      <c r="H327" s="24" t="inlineStr">
        <is>
          <t>total</t>
        </is>
      </c>
      <c r="I327" s="24" t="inlineStr">
        <is>
          <t>over</t>
        </is>
      </c>
      <c r="J327" s="25" t="n">
        <v>2.5</v>
      </c>
      <c r="K327" s="24" t="inlineStr">
        <is>
          <t>polymarket_us</t>
        </is>
      </c>
      <c r="L327" s="26" t="n">
        <v>-117</v>
      </c>
      <c r="M327" s="27" t="n">
        <v>1.854701</v>
      </c>
      <c r="N327" s="28" t="n">
        <v>0.539171</v>
      </c>
      <c r="O327" s="28" t="n">
        <v>0.5270820000000001</v>
      </c>
      <c r="P327" s="28" t="n">
        <v>0.04</v>
      </c>
      <c r="Q327" s="28" t="n">
        <v>-0.012089</v>
      </c>
      <c r="R327" s="26" t="n">
        <v>20</v>
      </c>
      <c r="S327" s="29" t="n">
        <v>1</v>
      </c>
      <c r="T327" s="24" t="inlineStr">
        <is>
          <t>soccer-poisson-dc-v1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4</v>
      </c>
      <c r="Y327" s="25" t="n"/>
      <c r="Z327" s="26" t="n"/>
      <c r="AA327" s="28" t="n"/>
      <c r="AB327" s="28" t="n"/>
      <c r="AC327" s="30" t="n">
        <v>0.8547</v>
      </c>
      <c r="AD327" s="24" t="inlineStr">
        <is>
          <t>2026-08-23T15:48:44.271031Z</t>
        </is>
      </c>
      <c r="AE327" s="31" t="inlineStr">
        <is>
          <t>Poisson-DC rates 1.60 (home) / 1.18 (away) from EWMA attack/defense strengths. Executable ask 0.5400 (tsc-epl-bha-ast-2026-08-23-2pt5).</t>
        </is>
      </c>
      <c r="AF327" s="31" t="inlineStr">
        <is>
          <t>Research-only soccer score model; draw-aware, but not yet locked-holdout qualified.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Aston Villa</t>
        </is>
      </c>
      <c r="AQ327" s="24" t="inlineStr">
        <is>
          <t>Aston Villa</t>
        </is>
      </c>
      <c r="AR327" s="24" t="inlineStr">
        <is>
          <t>Aston Villa</t>
        </is>
      </c>
      <c r="AS327" s="24" t="inlineStr">
        <is>
          <t>Brighton &amp; Hove Albion</t>
        </is>
      </c>
      <c r="AT327" s="24" t="inlineStr">
        <is>
          <t>Brighton &amp; Hove Albion</t>
        </is>
      </c>
      <c r="AU327" s="24" t="inlineStr">
        <is>
          <t>Brighton &amp; Hove Albion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f585a7f3cb7ee04f9a319a60fa601ef15e86636fadaaa8c1380ac0f28f75c58a</t>
        </is>
      </c>
      <c r="BB327" s="24" t="inlineStr">
        <is>
          <t>poisson_dixon_coles</t>
        </is>
      </c>
      <c r="BC327" s="24" t="inlineStr">
        <is>
          <t>soccer-poisson-dc-v1</t>
        </is>
      </c>
      <c r="BD327" s="24" t="inlineStr">
        <is>
          <t>f585a7f3cb7ee04f9a319a60fa601ef15e86636fadaaa8c1380ac0f28f75c58a</t>
        </is>
      </c>
      <c r="BE327" s="24" t="inlineStr">
        <is>
          <t>soccer-poisson-dc-v1</t>
        </is>
      </c>
      <c r="BF327" s="24" t="inlineStr">
        <is>
          <t>1</t>
        </is>
      </c>
      <c r="BG327" s="24" t="inlineStr">
        <is>
          <t>f585a7f3cb7ee04f9a319a60fa601ef15e86636fadaaa8c1380ac0f28f75c58a</t>
        </is>
      </c>
      <c r="BH327" s="24" t="inlineStr">
        <is>
          <t>2026-08-23T08:34:27.923906Z</t>
        </is>
      </c>
      <c r="BI327" s="24" t="inlineStr">
        <is>
          <t>["same_event","same_team_same_day","same_league_same_day"]</t>
        </is>
      </c>
      <c r="BJ327" s="25" t="n">
        <v>2.5</v>
      </c>
      <c r="BK327" s="26" t="n">
        <v>-117</v>
      </c>
      <c r="BL327" s="27" t="n">
        <v>1.854701</v>
      </c>
      <c r="BM327" s="28" t="n">
        <v>0.539171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0.539171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69212a8be4ac4936</t>
        </is>
      </c>
      <c r="B328" s="24" t="inlineStr">
        <is>
          <t>2026-08-23T08:37:53.129823Z</t>
        </is>
      </c>
      <c r="C328" s="24" t="inlineStr">
        <is>
          <t>2026-08-23T13:00Z</t>
        </is>
      </c>
      <c r="D328" s="24" t="inlineStr">
        <is>
          <t>401879320</t>
        </is>
      </c>
      <c r="E328" s="24" t="inlineStr">
        <is>
          <t>SOCCER</t>
        </is>
      </c>
      <c r="F328" s="24" t="inlineStr">
        <is>
          <t>AFC Bournemouth</t>
        </is>
      </c>
      <c r="G328" s="24" t="inlineStr">
        <is>
          <t>Manchester City</t>
        </is>
      </c>
      <c r="H328" s="24" t="inlineStr">
        <is>
          <t>total</t>
        </is>
      </c>
      <c r="I328" s="24" t="inlineStr">
        <is>
          <t>over</t>
        </is>
      </c>
      <c r="J328" s="25" t="n">
        <v>2.5</v>
      </c>
      <c r="K328" s="24" t="inlineStr">
        <is>
          <t>polymarket_us</t>
        </is>
      </c>
      <c r="L328" s="26" t="n">
        <v>-213</v>
      </c>
      <c r="M328" s="27" t="n">
        <v>1.469484</v>
      </c>
      <c r="N328" s="28" t="n">
        <v>0.680511</v>
      </c>
      <c r="O328" s="28" t="n">
        <v>0.500513</v>
      </c>
      <c r="P328" s="28" t="n">
        <v>0.04</v>
      </c>
      <c r="Q328" s="28" t="n">
        <v>-0.179998</v>
      </c>
      <c r="R328" s="26" t="n">
        <v>0</v>
      </c>
      <c r="S328" s="29" t="n">
        <v>1</v>
      </c>
      <c r="T328" s="24" t="inlineStr">
        <is>
          <t>soccer-poisson-dc-v1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2</v>
      </c>
      <c r="Y328" s="25" t="n"/>
      <c r="Z328" s="26" t="n"/>
      <c r="AA328" s="28" t="n"/>
      <c r="AB328" s="28" t="n"/>
      <c r="AC328" s="30" t="n">
        <v>0.4695</v>
      </c>
      <c r="AD328" s="24" t="inlineStr">
        <is>
          <t>2026-08-23T15:48:46.672945Z</t>
        </is>
      </c>
      <c r="AE328" s="31" t="inlineStr">
        <is>
          <t>Poisson-DC rates 1.69 (home) / 0.98 (away) from EWMA attack/defense strengths. Executable ask 0.6800 (tsc-epl-mnc-bor-2026-08-23-2pt5).</t>
        </is>
      </c>
      <c r="AF328" s="31" t="inlineStr">
        <is>
          <t>Research-only soccer score model; draw-aware, but not yet locked-holdout qualified.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AFC Bournemouth</t>
        </is>
      </c>
      <c r="AQ328" s="24" t="inlineStr">
        <is>
          <t>AFC Bournemouth</t>
        </is>
      </c>
      <c r="AR328" s="24" t="inlineStr">
        <is>
          <t>AFC Bournemouth</t>
        </is>
      </c>
      <c r="AS328" s="24" t="inlineStr">
        <is>
          <t>Manchester City</t>
        </is>
      </c>
      <c r="AT328" s="24" t="inlineStr">
        <is>
          <t>Manchester City</t>
        </is>
      </c>
      <c r="AU328" s="24" t="inlineStr">
        <is>
          <t>Manchester City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f585a7f3cb7ee04f9a319a60fa601ef15e86636fadaaa8c1380ac0f28f75c58a</t>
        </is>
      </c>
      <c r="BB328" s="24" t="inlineStr">
        <is>
          <t>poisson_dixon_coles</t>
        </is>
      </c>
      <c r="BC328" s="24" t="inlineStr">
        <is>
          <t>soccer-poisson-dc-v1</t>
        </is>
      </c>
      <c r="BD328" s="24" t="inlineStr">
        <is>
          <t>f585a7f3cb7ee04f9a319a60fa601ef15e86636fadaaa8c1380ac0f28f75c58a</t>
        </is>
      </c>
      <c r="BE328" s="24" t="inlineStr">
        <is>
          <t>soccer-poisson-dc-v1</t>
        </is>
      </c>
      <c r="BF328" s="24" t="inlineStr">
        <is>
          <t>1</t>
        </is>
      </c>
      <c r="BG328" s="24" t="inlineStr">
        <is>
          <t>f585a7f3cb7ee04f9a319a60fa601ef15e86636fadaaa8c1380ac0f28f75c58a</t>
        </is>
      </c>
      <c r="BH328" s="24" t="inlineStr">
        <is>
          <t>2026-08-23T08:34:28.027051Z</t>
        </is>
      </c>
      <c r="BI328" s="24" t="inlineStr">
        <is>
          <t>["same_event","same_team_same_day","same_league_same_day"]</t>
        </is>
      </c>
      <c r="BJ328" s="25" t="n">
        <v>2.5</v>
      </c>
      <c r="BK328" s="26" t="n">
        <v>-213</v>
      </c>
      <c r="BL328" s="27" t="n">
        <v>1.469484</v>
      </c>
      <c r="BM328" s="28" t="n">
        <v>0.680511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0.680511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56dd9748e50745de</t>
        </is>
      </c>
      <c r="B329" s="24" t="inlineStr">
        <is>
          <t>2026-08-23T08:37:53.129823Z</t>
        </is>
      </c>
      <c r="C329" s="24" t="inlineStr">
        <is>
          <t>2026-08-23T15:30Z</t>
        </is>
      </c>
      <c r="D329" s="24" t="inlineStr">
        <is>
          <t>401879319</t>
        </is>
      </c>
      <c r="E329" s="24" t="inlineStr">
        <is>
          <t>SOCCER</t>
        </is>
      </c>
      <c r="F329" s="24" t="inlineStr">
        <is>
          <t>Liverpool</t>
        </is>
      </c>
      <c r="G329" s="24" t="inlineStr">
        <is>
          <t>Newcastle United</t>
        </is>
      </c>
      <c r="H329" s="24" t="inlineStr">
        <is>
          <t>total</t>
        </is>
      </c>
      <c r="I329" s="24" t="inlineStr">
        <is>
          <t>over</t>
        </is>
      </c>
      <c r="J329" s="25" t="n">
        <v>2.5</v>
      </c>
      <c r="K329" s="24" t="inlineStr">
        <is>
          <t>polymarket_us</t>
        </is>
      </c>
      <c r="L329" s="26" t="n">
        <v>-178</v>
      </c>
      <c r="M329" s="27" t="n">
        <v>1.561798</v>
      </c>
      <c r="N329" s="28" t="n">
        <v>0.640288</v>
      </c>
      <c r="O329" s="28" t="n">
        <v>0.677592</v>
      </c>
      <c r="P329" s="28" t="n">
        <v>0.04</v>
      </c>
      <c r="Q329" s="28" t="n">
        <v>0.037304</v>
      </c>
      <c r="R329" s="26" t="n">
        <v>45</v>
      </c>
      <c r="S329" s="29" t="n">
        <v>1</v>
      </c>
      <c r="T329" s="24" t="inlineStr">
        <is>
          <t>soccer-poisson-dc-v1</t>
        </is>
      </c>
      <c r="U329" s="24" t="inlineStr">
        <is>
          <t>settled</t>
        </is>
      </c>
      <c r="V329" s="24" t="inlineStr">
        <is>
          <t>win</t>
        </is>
      </c>
      <c r="W329" s="26" t="n">
        <v>2</v>
      </c>
      <c r="X329" s="26" t="n">
        <v>2</v>
      </c>
      <c r="Y329" s="25" t="n"/>
      <c r="Z329" s="26" t="n"/>
      <c r="AA329" s="28" t="n"/>
      <c r="AB329" s="28" t="n"/>
      <c r="AC329" s="30" t="n">
        <v>0.5618</v>
      </c>
      <c r="AD329" s="24" t="inlineStr">
        <is>
          <t>2026-08-23T17:37:37.263993Z</t>
        </is>
      </c>
      <c r="AE329" s="31" t="inlineStr">
        <is>
          <t>Poisson-DC rates 1.81 (home) / 1.68 (away) from EWMA attack/defense strengths. Executable ask 0.6400 (tsc-epl-new-liv-2026-08-23-2pt5).</t>
        </is>
      </c>
      <c r="AF329" s="31" t="inlineStr">
        <is>
          <t>Research-only soccer score model; draw-aware, but not yet locked-holdout qualified.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Liverpool</t>
        </is>
      </c>
      <c r="AQ329" s="24" t="inlineStr">
        <is>
          <t>Liverpool</t>
        </is>
      </c>
      <c r="AR329" s="24" t="inlineStr">
        <is>
          <t>Liverpool</t>
        </is>
      </c>
      <c r="AS329" s="24" t="inlineStr">
        <is>
          <t>Newcastle United</t>
        </is>
      </c>
      <c r="AT329" s="24" t="inlineStr">
        <is>
          <t>Newcastle United</t>
        </is>
      </c>
      <c r="AU329" s="24" t="inlineStr">
        <is>
          <t>Newcastle United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f585a7f3cb7ee04f9a319a60fa601ef15e86636fadaaa8c1380ac0f28f75c58a</t>
        </is>
      </c>
      <c r="BB329" s="24" t="inlineStr">
        <is>
          <t>poisson_dixon_coles</t>
        </is>
      </c>
      <c r="BC329" s="24" t="inlineStr">
        <is>
          <t>soccer-poisson-dc-v1</t>
        </is>
      </c>
      <c r="BD329" s="24" t="inlineStr">
        <is>
          <t>f585a7f3cb7ee04f9a319a60fa601ef15e86636fadaaa8c1380ac0f28f75c58a</t>
        </is>
      </c>
      <c r="BE329" s="24" t="inlineStr">
        <is>
          <t>soccer-poisson-dc-v1</t>
        </is>
      </c>
      <c r="BF329" s="24" t="inlineStr">
        <is>
          <t>1</t>
        </is>
      </c>
      <c r="BG329" s="24" t="inlineStr">
        <is>
          <t>f585a7f3cb7ee04f9a319a60fa601ef15e86636fadaaa8c1380ac0f28f75c58a</t>
        </is>
      </c>
      <c r="BH329" s="24" t="inlineStr">
        <is>
          <t>2026-08-23T08:34:28.156155Z</t>
        </is>
      </c>
      <c r="BI329" s="24" t="inlineStr">
        <is>
          <t>["same_event","same_team_same_day","same_league_same_day"]</t>
        </is>
      </c>
      <c r="BJ329" s="25" t="n">
        <v>2.5</v>
      </c>
      <c r="BK329" s="26" t="n">
        <v>-178</v>
      </c>
      <c r="BL329" s="27" t="n">
        <v>1.561798</v>
      </c>
      <c r="BM329" s="28" t="n">
        <v>0.640288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0.640288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aa22b580b4544540</t>
        </is>
      </c>
      <c r="B330" s="24" t="inlineStr">
        <is>
          <t>2026-08-23T08:37:53.129823Z</t>
        </is>
      </c>
      <c r="C330" s="24" t="inlineStr">
        <is>
          <t>2026-08-23T13:00Z</t>
        </is>
      </c>
      <c r="D330" s="24" t="inlineStr">
        <is>
          <t>401879297</t>
        </is>
      </c>
      <c r="E330" s="24" t="inlineStr">
        <is>
          <t>SOCCER</t>
        </is>
      </c>
      <c r="F330" s="24" t="inlineStr">
        <is>
          <t>Aston Villa</t>
        </is>
      </c>
      <c r="G330" s="24" t="inlineStr">
        <is>
          <t>Brighton &amp; Hove Albion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122</v>
      </c>
      <c r="M330" s="27" t="n">
        <v>2.22</v>
      </c>
      <c r="N330" s="28" t="n">
        <v>0.45045</v>
      </c>
      <c r="O330" s="28" t="n">
        <v>0.458453</v>
      </c>
      <c r="P330" s="28" t="n">
        <v>0.04</v>
      </c>
      <c r="Q330" s="28" t="n">
        <v>0.008003</v>
      </c>
      <c r="R330" s="26" t="n">
        <v>30</v>
      </c>
      <c r="S330" s="29" t="n">
        <v>1</v>
      </c>
      <c r="T330" s="24" t="inlineStr">
        <is>
          <t>soccer-poisson-dc-v1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4</v>
      </c>
      <c r="Y330" s="25" t="n"/>
      <c r="Z330" s="26" t="n"/>
      <c r="AA330" s="28" t="n"/>
      <c r="AB330" s="28" t="n"/>
      <c r="AC330" s="30" t="n">
        <v>1.22</v>
      </c>
      <c r="AD330" s="24" t="inlineStr">
        <is>
          <t>2026-08-23T15:48:49.048900Z</t>
        </is>
      </c>
      <c r="AE330" s="31" t="inlineStr">
        <is>
          <t>Poisson-DC rates 1.60 (home) / 1.18 (away) from EWMA attack/defense strengths. Executable ask 0.4500 (atc-epl-bha-ast-2026-08-23-bha).</t>
        </is>
      </c>
      <c r="AF330" s="31" t="inlineStr">
        <is>
          <t>Research-only soccer score model; draw-aware, but not yet locked-holdout qualified.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Aston Villa</t>
        </is>
      </c>
      <c r="AQ330" s="24" t="inlineStr">
        <is>
          <t>Aston Villa</t>
        </is>
      </c>
      <c r="AR330" s="24" t="inlineStr">
        <is>
          <t>Aston Villa</t>
        </is>
      </c>
      <c r="AS330" s="24" t="inlineStr">
        <is>
          <t>Brighton &amp; Hove Albion</t>
        </is>
      </c>
      <c r="AT330" s="24" t="inlineStr">
        <is>
          <t>Brighton &amp; Hove Albion</t>
        </is>
      </c>
      <c r="AU330" s="24" t="inlineStr">
        <is>
          <t>Brighton &amp; Hove Albion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f585a7f3cb7ee04f9a319a60fa601ef15e86636fadaaa8c1380ac0f28f75c58a</t>
        </is>
      </c>
      <c r="BB330" s="24" t="inlineStr">
        <is>
          <t>poisson_dixon_coles</t>
        </is>
      </c>
      <c r="BC330" s="24" t="inlineStr">
        <is>
          <t>soccer-poisson-dc-v1</t>
        </is>
      </c>
      <c r="BD330" s="24" t="inlineStr">
        <is>
          <t>f585a7f3cb7ee04f9a319a60fa601ef15e86636fadaaa8c1380ac0f28f75c58a</t>
        </is>
      </c>
      <c r="BE330" s="24" t="inlineStr">
        <is>
          <t>soccer-poisson-dc-v1</t>
        </is>
      </c>
      <c r="BF330" s="24" t="inlineStr">
        <is>
          <t>1</t>
        </is>
      </c>
      <c r="BG330" s="24" t="inlineStr">
        <is>
          <t>f585a7f3cb7ee04f9a319a60fa601ef15e86636fadaaa8c1380ac0f28f75c58a</t>
        </is>
      </c>
      <c r="BH330" s="24" t="inlineStr">
        <is>
          <t>2026-08-23T08:34:27.859995Z</t>
        </is>
      </c>
      <c r="BI330" s="24" t="inlineStr">
        <is>
          <t>["same_event","same_team_same_day","same_league_same_day"]</t>
        </is>
      </c>
      <c r="BJ330" s="25" t="n"/>
      <c r="BK330" s="26" t="n">
        <v>122</v>
      </c>
      <c r="BL330" s="27" t="n">
        <v>2.22</v>
      </c>
      <c r="BM330" s="28" t="n">
        <v>0.45045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0.45045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b6abba0cf83c4780</t>
        </is>
      </c>
      <c r="B331" s="24" t="inlineStr">
        <is>
          <t>2026-08-23T08:37:53.129823Z</t>
        </is>
      </c>
      <c r="C331" s="24" t="inlineStr">
        <is>
          <t>2026-08-23T13:00Z</t>
        </is>
      </c>
      <c r="D331" s="24" t="inlineStr">
        <is>
          <t>401879320</t>
        </is>
      </c>
      <c r="E331" s="24" t="inlineStr">
        <is>
          <t>SOCCER</t>
        </is>
      </c>
      <c r="F331" s="24" t="inlineStr">
        <is>
          <t>AFC Bournemouth</t>
        </is>
      </c>
      <c r="G331" s="24" t="inlineStr">
        <is>
          <t>Manchester City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-203</v>
      </c>
      <c r="M331" s="27" t="n">
        <v>1.492611</v>
      </c>
      <c r="N331" s="28" t="n">
        <v>0.669967</v>
      </c>
      <c r="O331" s="28" t="n">
        <v>0.5292790000000001</v>
      </c>
      <c r="P331" s="28" t="n">
        <v>0.04</v>
      </c>
      <c r="Q331" s="28" t="n">
        <v>-0.140688</v>
      </c>
      <c r="R331" s="26" t="n">
        <v>0</v>
      </c>
      <c r="S331" s="29" t="n">
        <v>1</v>
      </c>
      <c r="T331" s="24" t="inlineStr">
        <is>
          <t>soccer-poisson-dc-v1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2</v>
      </c>
      <c r="Y331" s="25" t="n"/>
      <c r="Z331" s="26" t="n"/>
      <c r="AA331" s="28" t="n"/>
      <c r="AB331" s="28" t="n"/>
      <c r="AC331" s="30" t="n">
        <v>0.4926</v>
      </c>
      <c r="AD331" s="24" t="inlineStr">
        <is>
          <t>2026-08-23T15:48:51.589523Z</t>
        </is>
      </c>
      <c r="AE331" s="31" t="inlineStr">
        <is>
          <t>Poisson-DC rates 1.69 (home) / 0.98 (away) from EWMA attack/defense strengths. Executable ask 0.6700 (atc-epl-mnc-bor-2026-08-23-mnc).</t>
        </is>
      </c>
      <c r="AF331" s="31" t="inlineStr">
        <is>
          <t>Research-only soccer score model; draw-aware, but not yet locked-holdout qualified.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AFC Bournemouth</t>
        </is>
      </c>
      <c r="AQ331" s="24" t="inlineStr">
        <is>
          <t>AFC Bournemouth</t>
        </is>
      </c>
      <c r="AR331" s="24" t="inlineStr">
        <is>
          <t>AFC Bournemouth</t>
        </is>
      </c>
      <c r="AS331" s="24" t="inlineStr">
        <is>
          <t>Manchester City</t>
        </is>
      </c>
      <c r="AT331" s="24" t="inlineStr">
        <is>
          <t>Manchester City</t>
        </is>
      </c>
      <c r="AU331" s="24" t="inlineStr">
        <is>
          <t>Manchester City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f585a7f3cb7ee04f9a319a60fa601ef15e86636fadaaa8c1380ac0f28f75c58a</t>
        </is>
      </c>
      <c r="BB331" s="24" t="inlineStr">
        <is>
          <t>poisson_dixon_coles</t>
        </is>
      </c>
      <c r="BC331" s="24" t="inlineStr">
        <is>
          <t>soccer-poisson-dc-v1</t>
        </is>
      </c>
      <c r="BD331" s="24" t="inlineStr">
        <is>
          <t>f585a7f3cb7ee04f9a319a60fa601ef15e86636fadaaa8c1380ac0f28f75c58a</t>
        </is>
      </c>
      <c r="BE331" s="24" t="inlineStr">
        <is>
          <t>soccer-poisson-dc-v1</t>
        </is>
      </c>
      <c r="BF331" s="24" t="inlineStr">
        <is>
          <t>1</t>
        </is>
      </c>
      <c r="BG331" s="24" t="inlineStr">
        <is>
          <t>f585a7f3cb7ee04f9a319a60fa601ef15e86636fadaaa8c1380ac0f28f75c58a</t>
        </is>
      </c>
      <c r="BH331" s="24" t="inlineStr">
        <is>
          <t>2026-08-23T08:34:27.958290Z</t>
        </is>
      </c>
      <c r="BI331" s="24" t="inlineStr">
        <is>
          <t>["same_event","same_team_same_day","same_league_same_day"]</t>
        </is>
      </c>
      <c r="BJ331" s="25" t="n"/>
      <c r="BK331" s="26" t="n">
        <v>-203</v>
      </c>
      <c r="BL331" s="27" t="n">
        <v>1.492611</v>
      </c>
      <c r="BM331" s="28" t="n">
        <v>0.669967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0.669967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15a0dd8e07a64a50</t>
        </is>
      </c>
      <c r="B332" s="24" t="inlineStr">
        <is>
          <t>2026-08-23T08:37:53.129823Z</t>
        </is>
      </c>
      <c r="C332" s="24" t="inlineStr">
        <is>
          <t>2026-08-23T15:30Z</t>
        </is>
      </c>
      <c r="D332" s="24" t="inlineStr">
        <is>
          <t>401879319</t>
        </is>
      </c>
      <c r="E332" s="24" t="inlineStr">
        <is>
          <t>SOCCER</t>
        </is>
      </c>
      <c r="F332" s="24" t="inlineStr">
        <is>
          <t>Liverpool</t>
        </is>
      </c>
      <c r="G332" s="24" t="inlineStr">
        <is>
          <t>Newcastle United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285</v>
      </c>
      <c r="M332" s="27" t="n">
        <v>3.85</v>
      </c>
      <c r="N332" s="28" t="n">
        <v>0.25974</v>
      </c>
      <c r="O332" s="28" t="n">
        <v>0.406821</v>
      </c>
      <c r="P332" s="28" t="n">
        <v>0.04</v>
      </c>
      <c r="Q332" s="28" t="n">
        <v>0.147081</v>
      </c>
      <c r="R332" s="26" t="n">
        <v>100</v>
      </c>
      <c r="S332" s="29" t="n">
        <v>1.75</v>
      </c>
      <c r="T332" s="24" t="inlineStr">
        <is>
          <t>soccer-poisson-dc-v1</t>
        </is>
      </c>
      <c r="U332" s="24" t="inlineStr">
        <is>
          <t>settled</t>
        </is>
      </c>
      <c r="V332" s="24" t="inlineStr">
        <is>
          <t>loss</t>
        </is>
      </c>
      <c r="W332" s="26" t="n">
        <v>2</v>
      </c>
      <c r="X332" s="26" t="n">
        <v>2</v>
      </c>
      <c r="Y332" s="25" t="n"/>
      <c r="Z332" s="26" t="n"/>
      <c r="AA332" s="28" t="n"/>
      <c r="AB332" s="28" t="n"/>
      <c r="AC332" s="30" t="n">
        <v>-1.75</v>
      </c>
      <c r="AD332" s="24" t="inlineStr">
        <is>
          <t>2026-08-23T17:37:40.294669Z</t>
        </is>
      </c>
      <c r="AE332" s="31" t="inlineStr">
        <is>
          <t>Poisson-DC rates 1.81 (home) / 1.68 (away) from EWMA attack/defense strengths. Executable ask 0.2600 (atc-epl-new-liv-2026-08-23-new).</t>
        </is>
      </c>
      <c r="AF332" s="31" t="inlineStr">
        <is>
          <t>Research-only soccer score model; draw-aware, but not yet locked-holdout qualified.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Liverpool</t>
        </is>
      </c>
      <c r="AQ332" s="24" t="inlineStr">
        <is>
          <t>Liverpool</t>
        </is>
      </c>
      <c r="AR332" s="24" t="inlineStr">
        <is>
          <t>Liverpool</t>
        </is>
      </c>
      <c r="AS332" s="24" t="inlineStr">
        <is>
          <t>Newcastle United</t>
        </is>
      </c>
      <c r="AT332" s="24" t="inlineStr">
        <is>
          <t>Newcastle United</t>
        </is>
      </c>
      <c r="AU332" s="24" t="inlineStr">
        <is>
          <t>Newcastle United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f585a7f3cb7ee04f9a319a60fa601ef15e86636fadaaa8c1380ac0f28f75c58a</t>
        </is>
      </c>
      <c r="BB332" s="24" t="inlineStr">
        <is>
          <t>poisson_dixon_coles</t>
        </is>
      </c>
      <c r="BC332" s="24" t="inlineStr">
        <is>
          <t>soccer-poisson-dc-v1</t>
        </is>
      </c>
      <c r="BD332" s="24" t="inlineStr">
        <is>
          <t>f585a7f3cb7ee04f9a319a60fa601ef15e86636fadaaa8c1380ac0f28f75c58a</t>
        </is>
      </c>
      <c r="BE332" s="24" t="inlineStr">
        <is>
          <t>soccer-poisson-dc-v1</t>
        </is>
      </c>
      <c r="BF332" s="24" t="inlineStr">
        <is>
          <t>1</t>
        </is>
      </c>
      <c r="BG332" s="24" t="inlineStr">
        <is>
          <t>f585a7f3cb7ee04f9a319a60fa601ef15e86636fadaaa8c1380ac0f28f75c58a</t>
        </is>
      </c>
      <c r="BH332" s="24" t="inlineStr">
        <is>
          <t>2026-08-23T08:34:28.096277Z</t>
        </is>
      </c>
      <c r="BI332" s="24" t="inlineStr">
        <is>
          <t>["same_event","same_team_same_day","same_league_same_day"]</t>
        </is>
      </c>
      <c r="BJ332" s="25" t="n"/>
      <c r="BK332" s="26" t="n">
        <v>285</v>
      </c>
      <c r="BL332" s="27" t="n">
        <v>3.85</v>
      </c>
      <c r="BM332" s="28" t="n">
        <v>0.25974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0.25974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ba15ee896ae24700</t>
        </is>
      </c>
      <c r="B333" s="24" t="inlineStr">
        <is>
          <t>2026-08-23T08:37:53.129823Z</t>
        </is>
      </c>
      <c r="C333" s="24" t="inlineStr">
        <is>
          <t>2026-08-23T14:00Z</t>
        </is>
      </c>
      <c r="D333" s="24" t="inlineStr">
        <is>
          <t>401909200</t>
        </is>
      </c>
      <c r="E333" s="24" t="inlineStr">
        <is>
          <t>SOCCER</t>
        </is>
      </c>
      <c r="F333" s="24" t="inlineStr">
        <is>
          <t>Racing (Montevideo)</t>
        </is>
      </c>
      <c r="G333" s="24" t="inlineStr">
        <is>
          <t>Danubio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257</v>
      </c>
      <c r="M333" s="27" t="n">
        <v>3.57</v>
      </c>
      <c r="N333" s="28" t="n">
        <v>0.280112</v>
      </c>
      <c r="O333" s="28" t="n">
        <v>0.456135</v>
      </c>
      <c r="P333" s="28" t="n">
        <v>0.2</v>
      </c>
      <c r="Q333" s="28" t="n">
        <v>0.176023</v>
      </c>
      <c r="R333" s="26" t="n">
        <v>18</v>
      </c>
      <c r="S333" s="29" t="n">
        <v>1</v>
      </c>
      <c r="T333" s="24" t="inlineStr">
        <is>
          <t>soccer-poisson-dc-v1</t>
        </is>
      </c>
      <c r="U333" s="24" t="inlineStr">
        <is>
          <t>settled</t>
        </is>
      </c>
      <c r="V333" s="24" t="inlineStr">
        <is>
          <t>loss</t>
        </is>
      </c>
      <c r="W333" s="26" t="n">
        <v>0</v>
      </c>
      <c r="X333" s="26" t="n">
        <v>0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2026-08-23T16:07:17.325392Z</t>
        </is>
      </c>
      <c r="AE333" s="31" t="inlineStr">
        <is>
          <t>Poisson-DC rates 1.64 (home) / 1.24 (away) from EWMA attack/defense strengths. Executable ask 0.2800 (atc-uru1-dan-rcm-2026-08-23-dan).</t>
        </is>
      </c>
      <c r="AF333" s="31" t="inlineStr">
        <is>
          <t>Research-only soccer score model; draw-aware, but not yet locked-holdout qualified.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Racing (Montevideo)</t>
        </is>
      </c>
      <c r="AQ333" s="24" t="inlineStr">
        <is>
          <t>Racing (Montevideo)</t>
        </is>
      </c>
      <c r="AR333" s="24" t="inlineStr">
        <is>
          <t>Racing (Montevideo)</t>
        </is>
      </c>
      <c r="AS333" s="24" t="inlineStr">
        <is>
          <t>Danubio</t>
        </is>
      </c>
      <c r="AT333" s="24" t="inlineStr">
        <is>
          <t>Danubio</t>
        </is>
      </c>
      <c r="AU333" s="24" t="inlineStr">
        <is>
          <t>Danubio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f585a7f3cb7ee04f9a319a60fa601ef15e86636fadaaa8c1380ac0f28f75c58a</t>
        </is>
      </c>
      <c r="BB333" s="24" t="inlineStr">
        <is>
          <t>poisson_dixon_coles</t>
        </is>
      </c>
      <c r="BC333" s="24" t="inlineStr">
        <is>
          <t>soccer-poisson-dc-v1</t>
        </is>
      </c>
      <c r="BD333" s="24" t="inlineStr">
        <is>
          <t>f585a7f3cb7ee04f9a319a60fa601ef15e86636fadaaa8c1380ac0f28f75c58a</t>
        </is>
      </c>
      <c r="BE333" s="24" t="inlineStr">
        <is>
          <t>soccer-poisson-dc-v1</t>
        </is>
      </c>
      <c r="BF333" s="24" t="inlineStr">
        <is>
          <t>1</t>
        </is>
      </c>
      <c r="BG333" s="24" t="inlineStr">
        <is>
          <t>f585a7f3cb7ee04f9a319a60fa601ef15e86636fadaaa8c1380ac0f28f75c58a</t>
        </is>
      </c>
      <c r="BH333" s="24" t="inlineStr">
        <is>
          <t>2026-08-23T08:34:29.012579Z</t>
        </is>
      </c>
      <c r="BI333" s="24" t="inlineStr">
        <is>
          <t>["same_event","same_team_same_day","same_league_same_day"]</t>
        </is>
      </c>
      <c r="BJ333" s="25" t="n"/>
      <c r="BK333" s="26" t="n">
        <v>257</v>
      </c>
      <c r="BL333" s="27" t="n">
        <v>3.57</v>
      </c>
      <c r="BM333" s="28" t="n">
        <v>0.280112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0.280112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d614115f548f4913</t>
        </is>
      </c>
      <c r="B334" s="24" t="inlineStr">
        <is>
          <t>2026-08-23T15:53:14.151461Z</t>
        </is>
      </c>
      <c r="C334" s="24" t="inlineStr">
        <is>
          <t>2026-08-23T16:00Z</t>
        </is>
      </c>
      <c r="D334" s="24" t="inlineStr">
        <is>
          <t>401850633</t>
        </is>
      </c>
      <c r="E334" s="24" t="inlineStr">
        <is>
          <t>SOCCER</t>
        </is>
      </c>
      <c r="F334" s="24" t="inlineStr">
        <is>
          <t>Cobresal</t>
        </is>
      </c>
      <c r="G334" s="24" t="inlineStr">
        <is>
          <t>La Serena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-163</v>
      </c>
      <c r="M334" s="27" t="n">
        <v>1.613497</v>
      </c>
      <c r="N334" s="28" t="n">
        <v>0.619772</v>
      </c>
      <c r="O334" s="28" t="n">
        <v>0.5359159999999999</v>
      </c>
      <c r="P334" s="28" t="n">
        <v>0.2</v>
      </c>
      <c r="Q334" s="28" t="n">
        <v>-0.083856</v>
      </c>
      <c r="R334" s="26" t="n">
        <v>0</v>
      </c>
      <c r="S334" s="29" t="n">
        <v>1</v>
      </c>
      <c r="T334" s="24" t="inlineStr">
        <is>
          <t>soccer-poisson-dc-v1</t>
        </is>
      </c>
      <c r="U334" s="24" t="inlineStr">
        <is>
          <t>settled</t>
        </is>
      </c>
      <c r="V334" s="24" t="inlineStr">
        <is>
          <t>loss</t>
        </is>
      </c>
      <c r="W334" s="26" t="n">
        <v>3</v>
      </c>
      <c r="X334" s="26" t="n">
        <v>3</v>
      </c>
      <c r="Y334" s="25" t="n"/>
      <c r="Z334" s="26" t="n"/>
      <c r="AA334" s="28" t="n"/>
      <c r="AB334" s="28" t="n"/>
      <c r="AC334" s="30" t="n">
        <v>-1</v>
      </c>
      <c r="AD334" s="24" t="inlineStr">
        <is>
          <t>2026-08-23T18:08:15.039379Z</t>
        </is>
      </c>
      <c r="AE334" s="31" t="inlineStr">
        <is>
          <t>Poisson-DC rates 1.84 (home) / 1.10 (away) from EWMA attack/defense strengths. Executable ask 0.6200 (atc-pdc-ser-cbs-2026-08-23-ser).</t>
        </is>
      </c>
      <c r="AF334" s="31" t="inlineStr">
        <is>
          <t>Research-only soccer score model; draw-aware, but not yet locked-holdout qualified.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Cobresal</t>
        </is>
      </c>
      <c r="AQ334" s="24" t="inlineStr">
        <is>
          <t>Cobresal</t>
        </is>
      </c>
      <c r="AR334" s="24" t="inlineStr">
        <is>
          <t>Cobresal</t>
        </is>
      </c>
      <c r="AS334" s="24" t="inlineStr">
        <is>
          <t>La Serena</t>
        </is>
      </c>
      <c r="AT334" s="24" t="inlineStr">
        <is>
          <t>La Serena</t>
        </is>
      </c>
      <c r="AU334" s="24" t="inlineStr">
        <is>
          <t>La Serena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f585a7f3cb7ee04f9a319a60fa601ef15e86636fadaaa8c1380ac0f28f75c58a</t>
        </is>
      </c>
      <c r="BB334" s="24" t="inlineStr">
        <is>
          <t>poisson_dixon_coles</t>
        </is>
      </c>
      <c r="BC334" s="24" t="inlineStr">
        <is>
          <t>soccer-poisson-dc-v1</t>
        </is>
      </c>
      <c r="BD334" s="24" t="inlineStr">
        <is>
          <t>f585a7f3cb7ee04f9a319a60fa601ef15e86636fadaaa8c1380ac0f28f75c58a</t>
        </is>
      </c>
      <c r="BE334" s="24" t="inlineStr">
        <is>
          <t>soccer-poisson-dc-v1</t>
        </is>
      </c>
      <c r="BF334" s="24" t="inlineStr">
        <is>
          <t>1</t>
        </is>
      </c>
      <c r="BG334" s="24" t="inlineStr">
        <is>
          <t>f585a7f3cb7ee04f9a319a60fa601ef15e86636fadaaa8c1380ac0f28f75c58a</t>
        </is>
      </c>
      <c r="BH334" s="24" t="inlineStr">
        <is>
          <t>2026-08-23T15:50:53.594945Z</t>
        </is>
      </c>
      <c r="BI334" s="24" t="inlineStr">
        <is>
          <t>["same_event","same_team_same_day","same_league_same_day"]</t>
        </is>
      </c>
      <c r="BJ334" s="25" t="n"/>
      <c r="BK334" s="26" t="n">
        <v>-163</v>
      </c>
      <c r="BL334" s="27" t="n">
        <v>1.613497</v>
      </c>
      <c r="BM334" s="28" t="n">
        <v>0.619772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0.619772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0160dc3b1eda4db1</t>
        </is>
      </c>
      <c r="B335" s="24" t="inlineStr">
        <is>
          <t>2026-08-23T16:11:24.374330Z</t>
        </is>
      </c>
      <c r="C335" s="24" t="inlineStr">
        <is>
          <t>2026-08-23T16:30Z</t>
        </is>
      </c>
      <c r="D335" s="24" t="inlineStr">
        <is>
          <t>401874930</t>
        </is>
      </c>
      <c r="E335" s="24" t="inlineStr">
        <is>
          <t>SOCCER</t>
        </is>
      </c>
      <c r="F335" s="24" t="inlineStr">
        <is>
          <t>Juventus</t>
        </is>
      </c>
      <c r="G335" s="24" t="inlineStr">
        <is>
          <t>Frosinone</t>
        </is>
      </c>
      <c r="H335" s="24" t="inlineStr">
        <is>
          <t>total</t>
        </is>
      </c>
      <c r="I335" s="24" t="inlineStr">
        <is>
          <t>under</t>
        </is>
      </c>
      <c r="J335" s="25" t="n">
        <v>2.5</v>
      </c>
      <c r="K335" s="24" t="inlineStr">
        <is>
          <t>polymarket_us</t>
        </is>
      </c>
      <c r="L335" s="26" t="n">
        <v>138</v>
      </c>
      <c r="M335" s="27" t="n">
        <v>2.38</v>
      </c>
      <c r="N335" s="28" t="n">
        <v>0.420168</v>
      </c>
      <c r="O335" s="28" t="n">
        <v>0.613534</v>
      </c>
      <c r="P335" s="28" t="n">
        <v>0.04</v>
      </c>
      <c r="Q335" s="28" t="n">
        <v>0.193366</v>
      </c>
      <c r="R335" s="26" t="n">
        <v>100</v>
      </c>
      <c r="S335" s="29" t="n">
        <v>2</v>
      </c>
      <c r="T335" s="24" t="inlineStr">
        <is>
          <t>soccer-poisson-dc-v1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/>
      <c r="AA335" s="28" t="n"/>
      <c r="AB335" s="28" t="n"/>
      <c r="AC335" s="30" t="n">
        <v>2.76</v>
      </c>
      <c r="AD335" s="24" t="inlineStr">
        <is>
          <t>2026-08-23T18:42:48.787127Z</t>
        </is>
      </c>
      <c r="AE335" s="31" t="inlineStr">
        <is>
          <t>Poisson-DC rates 0.85 (home) / 1.39 (away) from EWMA attack/defense strengths. Executable ask 0.4200 (tsc-sea-fro-juv-2026-08-23-2pt5).</t>
        </is>
      </c>
      <c r="AF335" s="31" t="inlineStr">
        <is>
          <t>Research-only soccer score model; draw-aware, but not yet locked-holdout qualified.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Juventus</t>
        </is>
      </c>
      <c r="AQ335" s="24" t="inlineStr">
        <is>
          <t>Juventus</t>
        </is>
      </c>
      <c r="AR335" s="24" t="inlineStr">
        <is>
          <t>Juventus</t>
        </is>
      </c>
      <c r="AS335" s="24" t="inlineStr">
        <is>
          <t>Frosinone</t>
        </is>
      </c>
      <c r="AT335" s="24" t="inlineStr">
        <is>
          <t>Frosinone</t>
        </is>
      </c>
      <c r="AU335" s="24" t="inlineStr">
        <is>
          <t>Frosinone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f585a7f3cb7ee04f9a319a60fa601ef15e86636fadaaa8c1380ac0f28f75c58a</t>
        </is>
      </c>
      <c r="BB335" s="24" t="inlineStr">
        <is>
          <t>poisson_dixon_coles</t>
        </is>
      </c>
      <c r="BC335" s="24" t="inlineStr">
        <is>
          <t>soccer-poisson-dc-v1</t>
        </is>
      </c>
      <c r="BD335" s="24" t="inlineStr">
        <is>
          <t>f585a7f3cb7ee04f9a319a60fa601ef15e86636fadaaa8c1380ac0f28f75c58a</t>
        </is>
      </c>
      <c r="BE335" s="24" t="inlineStr">
        <is>
          <t>soccer-poisson-dc-v1</t>
        </is>
      </c>
      <c r="BF335" s="24" t="inlineStr">
        <is>
          <t>1</t>
        </is>
      </c>
      <c r="BG335" s="24" t="inlineStr">
        <is>
          <t>f585a7f3cb7ee04f9a319a60fa601ef15e86636fadaaa8c1380ac0f28f75c58a</t>
        </is>
      </c>
      <c r="BH335" s="24" t="inlineStr">
        <is>
          <t>2026-08-23T16:08:38.762786Z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138</v>
      </c>
      <c r="BL335" s="27" t="n">
        <v>2.38</v>
      </c>
      <c r="BM335" s="28" t="n">
        <v>0.420168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0.420168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b0f989a739ea4651</t>
        </is>
      </c>
      <c r="B336" s="24" t="inlineStr">
        <is>
          <t>2026-08-23T16:11:24.374330Z</t>
        </is>
      </c>
      <c r="C336" s="24" t="inlineStr">
        <is>
          <t>2026-08-23T16:30Z</t>
        </is>
      </c>
      <c r="D336" s="24" t="inlineStr">
        <is>
          <t>401874946</t>
        </is>
      </c>
      <c r="E336" s="24" t="inlineStr">
        <is>
          <t>SOCCER</t>
        </is>
      </c>
      <c r="F336" s="24" t="inlineStr">
        <is>
          <t>Lecce</t>
        </is>
      </c>
      <c r="G336" s="24" t="inlineStr">
        <is>
          <t>Venezia</t>
        </is>
      </c>
      <c r="H336" s="24" t="inlineStr">
        <is>
          <t>total</t>
        </is>
      </c>
      <c r="I336" s="24" t="inlineStr">
        <is>
          <t>under</t>
        </is>
      </c>
      <c r="J336" s="25" t="n">
        <v>2.5</v>
      </c>
      <c r="K336" s="24" t="inlineStr">
        <is>
          <t>polymarket_us</t>
        </is>
      </c>
      <c r="L336" s="26" t="n">
        <v>-113</v>
      </c>
      <c r="M336" s="27" t="n">
        <v>1.884956</v>
      </c>
      <c r="N336" s="28" t="n">
        <v>0.530516</v>
      </c>
      <c r="O336" s="28" t="n">
        <v>0.740691</v>
      </c>
      <c r="P336" s="28" t="n">
        <v>0.04</v>
      </c>
      <c r="Q336" s="28" t="n">
        <v>0.210175</v>
      </c>
      <c r="R336" s="26" t="n">
        <v>100</v>
      </c>
      <c r="S336" s="29" t="n">
        <v>2</v>
      </c>
      <c r="T336" s="24" t="inlineStr">
        <is>
          <t>soccer-poisson-dc-v1</t>
        </is>
      </c>
      <c r="U336" s="24" t="inlineStr">
        <is>
          <t>settled</t>
        </is>
      </c>
      <c r="V336" s="24" t="inlineStr">
        <is>
          <t>win</t>
        </is>
      </c>
      <c r="W336" s="26" t="n">
        <v>2</v>
      </c>
      <c r="X336" s="26" t="n">
        <v>0</v>
      </c>
      <c r="Y336" s="25" t="n"/>
      <c r="Z336" s="26" t="n"/>
      <c r="AA336" s="28" t="n"/>
      <c r="AB336" s="28" t="n"/>
      <c r="AC336" s="30" t="n">
        <v>1.7699</v>
      </c>
      <c r="AD336" s="24" t="inlineStr">
        <is>
          <t>2026-08-23T18:42:51.698547Z</t>
        </is>
      </c>
      <c r="AE336" s="31" t="inlineStr">
        <is>
          <t>Poisson-DC rates 0.99 (home) / 0.77 (away) from EWMA attack/defense strengths. Executable ask 0.5300 (tsc-sea-ven-lec-2026-08-23-2pt5).</t>
        </is>
      </c>
      <c r="AF336" s="31" t="inlineStr">
        <is>
          <t>Research-only soccer score model; draw-aware, but not yet locked-holdout qualified.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Lecce</t>
        </is>
      </c>
      <c r="AQ336" s="24" t="inlineStr">
        <is>
          <t>Lecce</t>
        </is>
      </c>
      <c r="AR336" s="24" t="inlineStr">
        <is>
          <t>Lecce</t>
        </is>
      </c>
      <c r="AS336" s="24" t="inlineStr">
        <is>
          <t>Venezia</t>
        </is>
      </c>
      <c r="AT336" s="24" t="inlineStr">
        <is>
          <t>Venezia</t>
        </is>
      </c>
      <c r="AU336" s="24" t="inlineStr">
        <is>
          <t>Venezia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f585a7f3cb7ee04f9a319a60fa601ef15e86636fadaaa8c1380ac0f28f75c58a</t>
        </is>
      </c>
      <c r="BB336" s="24" t="inlineStr">
        <is>
          <t>poisson_dixon_coles</t>
        </is>
      </c>
      <c r="BC336" s="24" t="inlineStr">
        <is>
          <t>soccer-poisson-dc-v1</t>
        </is>
      </c>
      <c r="BD336" s="24" t="inlineStr">
        <is>
          <t>f585a7f3cb7ee04f9a319a60fa601ef15e86636fadaaa8c1380ac0f28f75c58a</t>
        </is>
      </c>
      <c r="BE336" s="24" t="inlineStr">
        <is>
          <t>soccer-poisson-dc-v1</t>
        </is>
      </c>
      <c r="BF336" s="24" t="inlineStr">
        <is>
          <t>1</t>
        </is>
      </c>
      <c r="BG336" s="24" t="inlineStr">
        <is>
          <t>f585a7f3cb7ee04f9a319a60fa601ef15e86636fadaaa8c1380ac0f28f75c58a</t>
        </is>
      </c>
      <c r="BH336" s="24" t="inlineStr">
        <is>
          <t>2026-08-23T16:08:38.773498Z</t>
        </is>
      </c>
      <c r="BI336" s="24" t="inlineStr">
        <is>
          <t>["same_event","same_team_same_day","same_league_same_day"]</t>
        </is>
      </c>
      <c r="BJ336" s="25" t="n">
        <v>2.5</v>
      </c>
      <c r="BK336" s="26" t="n">
        <v>-113</v>
      </c>
      <c r="BL336" s="27" t="n">
        <v>1.884956</v>
      </c>
      <c r="BM336" s="28" t="n">
        <v>0.530516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0.530516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4b24a4031e1141a4</t>
        </is>
      </c>
      <c r="B337" s="24" t="inlineStr">
        <is>
          <t>2026-08-23T16:11:24.374330Z</t>
        </is>
      </c>
      <c r="C337" s="24" t="inlineStr">
        <is>
          <t>2026-08-23T18:45Z</t>
        </is>
      </c>
      <c r="D337" s="24" t="inlineStr">
        <is>
          <t>401874748</t>
        </is>
      </c>
      <c r="E337" s="24" t="inlineStr">
        <is>
          <t>SOCCER</t>
        </is>
      </c>
      <c r="F337" s="24" t="inlineStr">
        <is>
          <t>Sassuolo</t>
        </is>
      </c>
      <c r="G337" s="24" t="inlineStr">
        <is>
          <t>Atalanta</t>
        </is>
      </c>
      <c r="H337" s="24" t="inlineStr">
        <is>
          <t>total</t>
        </is>
      </c>
      <c r="I337" s="24" t="inlineStr">
        <is>
          <t>under</t>
        </is>
      </c>
      <c r="J337" s="25" t="n">
        <v>2.5</v>
      </c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0.553816</v>
      </c>
      <c r="P337" s="28" t="n">
        <v>0.04</v>
      </c>
      <c r="Q337" s="28" t="n">
        <v>0.103366</v>
      </c>
      <c r="R337" s="26" t="n">
        <v>78</v>
      </c>
      <c r="S337" s="29" t="n">
        <v>1.5</v>
      </c>
      <c r="T337" s="24" t="inlineStr">
        <is>
          <t>soccer-poisson-dc-v1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2</v>
      </c>
      <c r="Y337" s="25" t="n"/>
      <c r="Z337" s="26" t="n"/>
      <c r="AA337" s="28" t="n"/>
      <c r="AB337" s="28" t="n"/>
      <c r="AC337" s="30" t="n">
        <v>-1.5</v>
      </c>
      <c r="AD337" s="24" t="inlineStr">
        <is>
          <t>2026-08-24T04:46:46.619138Z</t>
        </is>
      </c>
      <c r="AE337" s="31" t="inlineStr">
        <is>
          <t>Poisson-DC rates 1.48 (home) / 0.98 (away) from EWMA attack/defense strengths. Executable ask 0.4500 (tsc-sea-ata-sas-2026-08-23-2pt5).</t>
        </is>
      </c>
      <c r="AF337" s="31" t="inlineStr">
        <is>
          <t>Research-only soccer score model; draw-aware, but not yet locked-holdout qualified.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Sassuolo</t>
        </is>
      </c>
      <c r="AQ337" s="24" t="inlineStr">
        <is>
          <t>Sassuolo</t>
        </is>
      </c>
      <c r="AR337" s="24" t="inlineStr">
        <is>
          <t>Sassuolo</t>
        </is>
      </c>
      <c r="AS337" s="24" t="inlineStr">
        <is>
          <t>Atalanta</t>
        </is>
      </c>
      <c r="AT337" s="24" t="inlineStr">
        <is>
          <t>Atalanta</t>
        </is>
      </c>
      <c r="AU337" s="24" t="inlineStr">
        <is>
          <t>Atalanta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f585a7f3cb7ee04f9a319a60fa601ef15e86636fadaaa8c1380ac0f28f75c58a</t>
        </is>
      </c>
      <c r="BB337" s="24" t="inlineStr">
        <is>
          <t>poisson_dixon_coles</t>
        </is>
      </c>
      <c r="BC337" s="24" t="inlineStr">
        <is>
          <t>soccer-poisson-dc-v1</t>
        </is>
      </c>
      <c r="BD337" s="24" t="inlineStr">
        <is>
          <t>f585a7f3cb7ee04f9a319a60fa601ef15e86636fadaaa8c1380ac0f28f75c58a</t>
        </is>
      </c>
      <c r="BE337" s="24" t="inlineStr">
        <is>
          <t>soccer-poisson-dc-v1</t>
        </is>
      </c>
      <c r="BF337" s="24" t="inlineStr">
        <is>
          <t>1</t>
        </is>
      </c>
      <c r="BG337" s="24" t="inlineStr">
        <is>
          <t>f585a7f3cb7ee04f9a319a60fa601ef15e86636fadaaa8c1380ac0f28f75c58a</t>
        </is>
      </c>
      <c r="BH337" s="24" t="inlineStr">
        <is>
          <t>2026-08-23T16:08:38.837340Z</t>
        </is>
      </c>
      <c r="BI337" s="24" t="inlineStr">
        <is>
          <t>["same_event","same_team_same_day","same_league_same_day"]</t>
        </is>
      </c>
      <c r="BJ337" s="25" t="n">
        <v>2.5</v>
      </c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aa1987b00fa04f10</t>
        </is>
      </c>
      <c r="B338" s="24" t="inlineStr">
        <is>
          <t>2026-08-23T16:11:24.374330Z</t>
        </is>
      </c>
      <c r="C338" s="24" t="inlineStr">
        <is>
          <t>2026-08-23T18:45Z</t>
        </is>
      </c>
      <c r="D338" s="24" t="inlineStr">
        <is>
          <t>401874932</t>
        </is>
      </c>
      <c r="E338" s="24" t="inlineStr">
        <is>
          <t>SOCCER</t>
        </is>
      </c>
      <c r="F338" s="24" t="inlineStr">
        <is>
          <t>AC Milan</t>
        </is>
      </c>
      <c r="G338" s="24" t="inlineStr">
        <is>
          <t>Torino</t>
        </is>
      </c>
      <c r="H338" s="24" t="inlineStr">
        <is>
          <t>total</t>
        </is>
      </c>
      <c r="I338" s="24" t="inlineStr">
        <is>
          <t>under</t>
        </is>
      </c>
      <c r="J338" s="25" t="n">
        <v>2.5</v>
      </c>
      <c r="K338" s="24" t="inlineStr">
        <is>
          <t>polymarket_us</t>
        </is>
      </c>
      <c r="L338" s="26" t="n">
        <v>-127</v>
      </c>
      <c r="M338" s="27" t="n">
        <v>1.787402</v>
      </c>
      <c r="N338" s="28" t="n">
        <v>0.5594710000000001</v>
      </c>
      <c r="O338" s="28" t="n">
        <v>0.575033</v>
      </c>
      <c r="P338" s="28" t="n">
        <v>0.04</v>
      </c>
      <c r="Q338" s="28" t="n">
        <v>0.015562</v>
      </c>
      <c r="R338" s="26" t="n">
        <v>34</v>
      </c>
      <c r="S338" s="29" t="n">
        <v>1</v>
      </c>
      <c r="T338" s="24" t="inlineStr">
        <is>
          <t>soccer-poisson-dc-v1</t>
        </is>
      </c>
      <c r="U338" s="24" t="inlineStr">
        <is>
          <t>settled</t>
        </is>
      </c>
      <c r="V338" s="24" t="inlineStr">
        <is>
          <t>loss</t>
        </is>
      </c>
      <c r="W338" s="26" t="n">
        <v>2</v>
      </c>
      <c r="X338" s="26" t="n">
        <v>1</v>
      </c>
      <c r="Y338" s="25" t="n"/>
      <c r="Z338" s="26" t="n"/>
      <c r="AA338" s="28" t="n"/>
      <c r="AB338" s="28" t="n"/>
      <c r="AC338" s="30" t="n">
        <v>-1</v>
      </c>
      <c r="AD338" s="24" t="inlineStr">
        <is>
          <t>2026-08-24T04:46:48.502608Z</t>
        </is>
      </c>
      <c r="AE338" s="31" t="inlineStr">
        <is>
          <t>Poisson-DC rates 1.19 (home) / 1.19 (away) from EWMA attack/defense strengths. Executable ask 0.5600 (tsc-sea-tor-mil-2026-08-23-2pt5).</t>
        </is>
      </c>
      <c r="AF338" s="31" t="inlineStr">
        <is>
          <t>Research-only soccer score model; draw-aware, but not yet locked-holdout qualified.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AC Milan</t>
        </is>
      </c>
      <c r="AQ338" s="24" t="inlineStr">
        <is>
          <t>AC Milan</t>
        </is>
      </c>
      <c r="AR338" s="24" t="inlineStr">
        <is>
          <t>AC Milan</t>
        </is>
      </c>
      <c r="AS338" s="24" t="inlineStr">
        <is>
          <t>Torino</t>
        </is>
      </c>
      <c r="AT338" s="24" t="inlineStr">
        <is>
          <t>Torino</t>
        </is>
      </c>
      <c r="AU338" s="24" t="inlineStr">
        <is>
          <t>Torino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f585a7f3cb7ee04f9a319a60fa601ef15e86636fadaaa8c1380ac0f28f75c58a</t>
        </is>
      </c>
      <c r="BB338" s="24" t="inlineStr">
        <is>
          <t>poisson_dixon_coles</t>
        </is>
      </c>
      <c r="BC338" s="24" t="inlineStr">
        <is>
          <t>soccer-poisson-dc-v1</t>
        </is>
      </c>
      <c r="BD338" s="24" t="inlineStr">
        <is>
          <t>f585a7f3cb7ee04f9a319a60fa601ef15e86636fadaaa8c1380ac0f28f75c58a</t>
        </is>
      </c>
      <c r="BE338" s="24" t="inlineStr">
        <is>
          <t>soccer-poisson-dc-v1</t>
        </is>
      </c>
      <c r="BF338" s="24" t="inlineStr">
        <is>
          <t>1</t>
        </is>
      </c>
      <c r="BG338" s="24" t="inlineStr">
        <is>
          <t>f585a7f3cb7ee04f9a319a60fa601ef15e86636fadaaa8c1380ac0f28f75c58a</t>
        </is>
      </c>
      <c r="BH338" s="24" t="inlineStr">
        <is>
          <t>2026-08-23T16:08:38.917152Z</t>
        </is>
      </c>
      <c r="BI338" s="24" t="inlineStr">
        <is>
          <t>["same_event","same_team_same_day","same_league_same_day"]</t>
        </is>
      </c>
      <c r="BJ338" s="25" t="n">
        <v>2.5</v>
      </c>
      <c r="BK338" s="26" t="n">
        <v>-127</v>
      </c>
      <c r="BL338" s="27" t="n">
        <v>1.787402</v>
      </c>
      <c r="BM338" s="28" t="n">
        <v>0.5594710000000001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0.559471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70361e39bc8b48f6</t>
        </is>
      </c>
      <c r="B339" s="24" t="inlineStr">
        <is>
          <t>2026-08-23T16:11:24.374330Z</t>
        </is>
      </c>
      <c r="C339" s="24" t="inlineStr">
        <is>
          <t>2026-08-23T16:30Z</t>
        </is>
      </c>
      <c r="D339" s="24" t="inlineStr">
        <is>
          <t>401874930</t>
        </is>
      </c>
      <c r="E339" s="24" t="inlineStr">
        <is>
          <t>SOCCER</t>
        </is>
      </c>
      <c r="F339" s="24" t="inlineStr">
        <is>
          <t>Juventus</t>
        </is>
      </c>
      <c r="G339" s="24" t="inlineStr">
        <is>
          <t>Frosinone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-223</v>
      </c>
      <c r="M339" s="27" t="n">
        <v>1.44843</v>
      </c>
      <c r="N339" s="28" t="n">
        <v>0.690402</v>
      </c>
      <c r="O339" s="28" t="n">
        <v>0.48322</v>
      </c>
      <c r="P339" s="28" t="n">
        <v>0.04</v>
      </c>
      <c r="Q339" s="28" t="n">
        <v>-0.207182</v>
      </c>
      <c r="R339" s="26" t="n">
        <v>0</v>
      </c>
      <c r="S339" s="29" t="n">
        <v>1</v>
      </c>
      <c r="T339" s="24" t="inlineStr">
        <is>
          <t>soccer-poisson-dc-v1</t>
        </is>
      </c>
      <c r="U339" s="24" t="inlineStr">
        <is>
          <t>settled</t>
        </is>
      </c>
      <c r="V339" s="24" t="inlineStr">
        <is>
          <t>win</t>
        </is>
      </c>
      <c r="W339" s="26" t="n">
        <v>1</v>
      </c>
      <c r="X339" s="26" t="n">
        <v>0</v>
      </c>
      <c r="Y339" s="25" t="n"/>
      <c r="Z339" s="26" t="n"/>
      <c r="AA339" s="28" t="n"/>
      <c r="AB339" s="28" t="n"/>
      <c r="AC339" s="30" t="n">
        <v>0.4484</v>
      </c>
      <c r="AD339" s="24" t="inlineStr">
        <is>
          <t>2026-08-23T18:42:53.733331Z</t>
        </is>
      </c>
      <c r="AE339" s="31" t="inlineStr">
        <is>
          <t>Poisson-DC rates 0.85 (home) / 1.39 (away) from EWMA attack/defense strengths. Executable ask 0.6900 (atc-sea-fro-juv-2026-08-23-juv).</t>
        </is>
      </c>
      <c r="AF339" s="31" t="inlineStr">
        <is>
          <t>Research-only soccer score model; draw-aware, but not yet locked-holdout qualified.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Juventus</t>
        </is>
      </c>
      <c r="AQ339" s="24" t="inlineStr">
        <is>
          <t>Juventus</t>
        </is>
      </c>
      <c r="AR339" s="24" t="inlineStr">
        <is>
          <t>Juventus</t>
        </is>
      </c>
      <c r="AS339" s="24" t="inlineStr">
        <is>
          <t>Frosinone</t>
        </is>
      </c>
      <c r="AT339" s="24" t="inlineStr">
        <is>
          <t>Frosinone</t>
        </is>
      </c>
      <c r="AU339" s="24" t="inlineStr">
        <is>
          <t>Frosinone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f585a7f3cb7ee04f9a319a60fa601ef15e86636fadaaa8c1380ac0f28f75c58a</t>
        </is>
      </c>
      <c r="BB339" s="24" t="inlineStr">
        <is>
          <t>poisson_dixon_coles</t>
        </is>
      </c>
      <c r="BC339" s="24" t="inlineStr">
        <is>
          <t>soccer-poisson-dc-v1</t>
        </is>
      </c>
      <c r="BD339" s="24" t="inlineStr">
        <is>
          <t>f585a7f3cb7ee04f9a319a60fa601ef15e86636fadaaa8c1380ac0f28f75c58a</t>
        </is>
      </c>
      <c r="BE339" s="24" t="inlineStr">
        <is>
          <t>soccer-poisson-dc-v1</t>
        </is>
      </c>
      <c r="BF339" s="24" t="inlineStr">
        <is>
          <t>1</t>
        </is>
      </c>
      <c r="BG339" s="24" t="inlineStr">
        <is>
          <t>f585a7f3cb7ee04f9a319a60fa601ef15e86636fadaaa8c1380ac0f28f75c58a</t>
        </is>
      </c>
      <c r="BH339" s="24" t="inlineStr">
        <is>
          <t>2026-08-23T16:08:38.715921Z</t>
        </is>
      </c>
      <c r="BI339" s="24" t="inlineStr">
        <is>
          <t>["same_event","same_team_same_day","same_league_same_day"]</t>
        </is>
      </c>
      <c r="BJ339" s="25" t="n"/>
      <c r="BK339" s="26" t="n">
        <v>-223</v>
      </c>
      <c r="BL339" s="27" t="n">
        <v>1.44843</v>
      </c>
      <c r="BM339" s="28" t="n">
        <v>0.690402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0.690402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5243676621dc4228</t>
        </is>
      </c>
      <c r="B340" s="24" t="inlineStr">
        <is>
          <t>2026-08-23T16:11:24.374330Z</t>
        </is>
      </c>
      <c r="C340" s="24" t="inlineStr">
        <is>
          <t>2026-08-23T16:30Z</t>
        </is>
      </c>
      <c r="D340" s="24" t="inlineStr">
        <is>
          <t>401874946</t>
        </is>
      </c>
      <c r="E340" s="24" t="inlineStr">
        <is>
          <t>SOCCER</t>
        </is>
      </c>
      <c r="F340" s="24" t="inlineStr">
        <is>
          <t>Lecce</t>
        </is>
      </c>
      <c r="G340" s="24" t="inlineStr">
        <is>
          <t>Venezia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-117</v>
      </c>
      <c r="M340" s="27" t="n">
        <v>1.854701</v>
      </c>
      <c r="N340" s="28" t="n">
        <v>0.539171</v>
      </c>
      <c r="O340" s="28" t="n">
        <v>0.381147</v>
      </c>
      <c r="P340" s="28" t="n">
        <v>0.04</v>
      </c>
      <c r="Q340" s="28" t="n">
        <v>-0.158024</v>
      </c>
      <c r="R340" s="26" t="n">
        <v>0</v>
      </c>
      <c r="S340" s="29" t="n">
        <v>1</v>
      </c>
      <c r="T340" s="24" t="inlineStr">
        <is>
          <t>soccer-poisson-dc-v1</t>
        </is>
      </c>
      <c r="U340" s="24" t="inlineStr">
        <is>
          <t>settled</t>
        </is>
      </c>
      <c r="V340" s="24" t="inlineStr">
        <is>
          <t>loss</t>
        </is>
      </c>
      <c r="W340" s="26" t="n">
        <v>2</v>
      </c>
      <c r="X340" s="26" t="n">
        <v>0</v>
      </c>
      <c r="Y340" s="25" t="n"/>
      <c r="Z340" s="26" t="n"/>
      <c r="AA340" s="28" t="n"/>
      <c r="AB340" s="28" t="n"/>
      <c r="AC340" s="30" t="n">
        <v>-1</v>
      </c>
      <c r="AD340" s="24" t="inlineStr">
        <is>
          <t>2026-08-23T18:42:56.154320Z</t>
        </is>
      </c>
      <c r="AE340" s="31" t="inlineStr">
        <is>
          <t>Poisson-DC rates 0.99 (home) / 0.77 (away) from EWMA attack/defense strengths. Executable ask 0.5400 (atc-sea-ven-lec-2026-08-23-ven).</t>
        </is>
      </c>
      <c r="AF340" s="31" t="inlineStr">
        <is>
          <t>Research-only soccer score model; draw-aware, but not yet locked-holdout qualified.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Lecce</t>
        </is>
      </c>
      <c r="AQ340" s="24" t="inlineStr">
        <is>
          <t>Lecce</t>
        </is>
      </c>
      <c r="AR340" s="24" t="inlineStr">
        <is>
          <t>Lecce</t>
        </is>
      </c>
      <c r="AS340" s="24" t="inlineStr">
        <is>
          <t>Venezia</t>
        </is>
      </c>
      <c r="AT340" s="24" t="inlineStr">
        <is>
          <t>Venezia</t>
        </is>
      </c>
      <c r="AU340" s="24" t="inlineStr">
        <is>
          <t>Venezia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f585a7f3cb7ee04f9a319a60fa601ef15e86636fadaaa8c1380ac0f28f75c58a</t>
        </is>
      </c>
      <c r="BB340" s="24" t="inlineStr">
        <is>
          <t>poisson_dixon_coles</t>
        </is>
      </c>
      <c r="BC340" s="24" t="inlineStr">
        <is>
          <t>soccer-poisson-dc-v1</t>
        </is>
      </c>
      <c r="BD340" s="24" t="inlineStr">
        <is>
          <t>f585a7f3cb7ee04f9a319a60fa601ef15e86636fadaaa8c1380ac0f28f75c58a</t>
        </is>
      </c>
      <c r="BE340" s="24" t="inlineStr">
        <is>
          <t>soccer-poisson-dc-v1</t>
        </is>
      </c>
      <c r="BF340" s="24" t="inlineStr">
        <is>
          <t>1</t>
        </is>
      </c>
      <c r="BG340" s="24" t="inlineStr">
        <is>
          <t>f585a7f3cb7ee04f9a319a60fa601ef15e86636fadaaa8c1380ac0f28f75c58a</t>
        </is>
      </c>
      <c r="BH340" s="24" t="inlineStr">
        <is>
          <t>2026-08-23T16:08:38.771524Z</t>
        </is>
      </c>
      <c r="BI340" s="24" t="inlineStr">
        <is>
          <t>["same_event","same_team_same_day","same_league_same_day"]</t>
        </is>
      </c>
      <c r="BJ340" s="25" t="n"/>
      <c r="BK340" s="26" t="n">
        <v>-117</v>
      </c>
      <c r="BL340" s="27" t="n">
        <v>1.854701</v>
      </c>
      <c r="BM340" s="28" t="n">
        <v>0.539171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0.539171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d9c2f8156b5841dc</t>
        </is>
      </c>
      <c r="B341" s="24" t="inlineStr">
        <is>
          <t>2026-08-23T16:11:24.374330Z</t>
        </is>
      </c>
      <c r="C341" s="24" t="inlineStr">
        <is>
          <t>2026-08-23T18:45Z</t>
        </is>
      </c>
      <c r="D341" s="24" t="inlineStr">
        <is>
          <t>401874748</t>
        </is>
      </c>
      <c r="E341" s="24" t="inlineStr">
        <is>
          <t>SOCCER</t>
        </is>
      </c>
      <c r="F341" s="24" t="inlineStr">
        <is>
          <t>Sassuolo</t>
        </is>
      </c>
      <c r="G341" s="24" t="inlineStr">
        <is>
          <t>Atalanta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-170</v>
      </c>
      <c r="M341" s="27" t="n">
        <v>1.588235</v>
      </c>
      <c r="N341" s="28" t="n">
        <v>0.62963</v>
      </c>
      <c r="O341" s="28" t="n">
        <v>0.476841</v>
      </c>
      <c r="P341" s="28" t="n">
        <v>0.04</v>
      </c>
      <c r="Q341" s="28" t="n">
        <v>-0.152789</v>
      </c>
      <c r="R341" s="26" t="n">
        <v>0</v>
      </c>
      <c r="S341" s="29" t="n">
        <v>1</v>
      </c>
      <c r="T341" s="24" t="inlineStr">
        <is>
          <t>soccer-poisson-dc-v1</t>
        </is>
      </c>
      <c r="U341" s="24" t="inlineStr">
        <is>
          <t>settled</t>
        </is>
      </c>
      <c r="V341" s="24" t="inlineStr">
        <is>
          <t>win</t>
        </is>
      </c>
      <c r="W341" s="26" t="n">
        <v>1</v>
      </c>
      <c r="X341" s="26" t="n">
        <v>2</v>
      </c>
      <c r="Y341" s="25" t="n"/>
      <c r="Z341" s="26" t="n"/>
      <c r="AA341" s="28" t="n"/>
      <c r="AB341" s="28" t="n"/>
      <c r="AC341" s="30" t="n">
        <v>0.5881999999999999</v>
      </c>
      <c r="AD341" s="24" t="inlineStr">
        <is>
          <t>2026-08-24T04:46:54.814965Z</t>
        </is>
      </c>
      <c r="AE341" s="31" t="inlineStr">
        <is>
          <t>Poisson-DC rates 1.48 (home) / 0.98 (away) from EWMA attack/defense strengths. Executable ask 0.6300 (atc-sea-ata-sas-2026-08-23-ata).</t>
        </is>
      </c>
      <c r="AF341" s="31" t="inlineStr">
        <is>
          <t>Research-only soccer score model; draw-aware, but not yet locked-holdout qualified.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Sassuolo</t>
        </is>
      </c>
      <c r="AQ341" s="24" t="inlineStr">
        <is>
          <t>Sassuolo</t>
        </is>
      </c>
      <c r="AR341" s="24" t="inlineStr">
        <is>
          <t>Sassuolo</t>
        </is>
      </c>
      <c r="AS341" s="24" t="inlineStr">
        <is>
          <t>Atalanta</t>
        </is>
      </c>
      <c r="AT341" s="24" t="inlineStr">
        <is>
          <t>Atalanta</t>
        </is>
      </c>
      <c r="AU341" s="24" t="inlineStr">
        <is>
          <t>Atalanta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f585a7f3cb7ee04f9a319a60fa601ef15e86636fadaaa8c1380ac0f28f75c58a</t>
        </is>
      </c>
      <c r="BB341" s="24" t="inlineStr">
        <is>
          <t>poisson_dixon_coles</t>
        </is>
      </c>
      <c r="BC341" s="24" t="inlineStr">
        <is>
          <t>soccer-poisson-dc-v1</t>
        </is>
      </c>
      <c r="BD341" s="24" t="inlineStr">
        <is>
          <t>f585a7f3cb7ee04f9a319a60fa601ef15e86636fadaaa8c1380ac0f28f75c58a</t>
        </is>
      </c>
      <c r="BE341" s="24" t="inlineStr">
        <is>
          <t>soccer-poisson-dc-v1</t>
        </is>
      </c>
      <c r="BF341" s="24" t="inlineStr">
        <is>
          <t>1</t>
        </is>
      </c>
      <c r="BG341" s="24" t="inlineStr">
        <is>
          <t>f585a7f3cb7ee04f9a319a60fa601ef15e86636fadaaa8c1380ac0f28f75c58a</t>
        </is>
      </c>
      <c r="BH341" s="24" t="inlineStr">
        <is>
          <t>2026-08-23T16:08:38.814326Z</t>
        </is>
      </c>
      <c r="BI341" s="24" t="inlineStr">
        <is>
          <t>["same_event","same_team_same_day","same_league_same_day"]</t>
        </is>
      </c>
      <c r="BJ341" s="25" t="n"/>
      <c r="BK341" s="26" t="n">
        <v>-170</v>
      </c>
      <c r="BL341" s="27" t="n">
        <v>1.588235</v>
      </c>
      <c r="BM341" s="28" t="n">
        <v>0.62963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0.62963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cb213f3dbf674dc5</t>
        </is>
      </c>
      <c r="B342" s="24" t="inlineStr">
        <is>
          <t>2026-08-23T16:11:24.374330Z</t>
        </is>
      </c>
      <c r="C342" s="24" t="inlineStr">
        <is>
          <t>2026-08-23T18:45Z</t>
        </is>
      </c>
      <c r="D342" s="24" t="inlineStr">
        <is>
          <t>401874932</t>
        </is>
      </c>
      <c r="E342" s="24" t="inlineStr">
        <is>
          <t>SOCCER</t>
        </is>
      </c>
      <c r="F342" s="24" t="inlineStr">
        <is>
          <t>AC Milan</t>
        </is>
      </c>
      <c r="G342" s="24" t="inlineStr">
        <is>
          <t>Torino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-108</v>
      </c>
      <c r="M342" s="27" t="n">
        <v>1.925926</v>
      </c>
      <c r="N342" s="28" t="n">
        <v>0.519231</v>
      </c>
      <c r="O342" s="28" t="n">
        <v>0.350055</v>
      </c>
      <c r="P342" s="28" t="n">
        <v>0.04</v>
      </c>
      <c r="Q342" s="28" t="n">
        <v>-0.169176</v>
      </c>
      <c r="R342" s="26" t="n">
        <v>0</v>
      </c>
      <c r="S342" s="29" t="n">
        <v>1</v>
      </c>
      <c r="T342" s="24" t="inlineStr">
        <is>
          <t>soccer-poisson-dc-v1</t>
        </is>
      </c>
      <c r="U342" s="24" t="inlineStr">
        <is>
          <t>settled</t>
        </is>
      </c>
      <c r="V342" s="24" t="inlineStr">
        <is>
          <t>win</t>
        </is>
      </c>
      <c r="W342" s="26" t="n">
        <v>2</v>
      </c>
      <c r="X342" s="26" t="n">
        <v>1</v>
      </c>
      <c r="Y342" s="25" t="n"/>
      <c r="Z342" s="26" t="n"/>
      <c r="AA342" s="28" t="n"/>
      <c r="AB342" s="28" t="n"/>
      <c r="AC342" s="30" t="n">
        <v>0.9258999999999999</v>
      </c>
      <c r="AD342" s="24" t="inlineStr">
        <is>
          <t>2026-08-24T04:46:56.688709Z</t>
        </is>
      </c>
      <c r="AE342" s="31" t="inlineStr">
        <is>
          <t>Poisson-DC rates 1.19 (home) / 1.19 (away) from EWMA attack/defense strengths. Executable ask 0.5200 (atc-sea-tor-mil-2026-08-23-mil).</t>
        </is>
      </c>
      <c r="AF342" s="31" t="inlineStr">
        <is>
          <t>Research-only soccer score model; draw-aware, but not yet locked-holdout qualified.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AC Milan</t>
        </is>
      </c>
      <c r="AQ342" s="24" t="inlineStr">
        <is>
          <t>AC Milan</t>
        </is>
      </c>
      <c r="AR342" s="24" t="inlineStr">
        <is>
          <t>AC Milan</t>
        </is>
      </c>
      <c r="AS342" s="24" t="inlineStr">
        <is>
          <t>Torino</t>
        </is>
      </c>
      <c r="AT342" s="24" t="inlineStr">
        <is>
          <t>Torino</t>
        </is>
      </c>
      <c r="AU342" s="24" t="inlineStr">
        <is>
          <t>Torino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f585a7f3cb7ee04f9a319a60fa601ef15e86636fadaaa8c1380ac0f28f75c58a</t>
        </is>
      </c>
      <c r="BB342" s="24" t="inlineStr">
        <is>
          <t>poisson_dixon_coles</t>
        </is>
      </c>
      <c r="BC342" s="24" t="inlineStr">
        <is>
          <t>soccer-poisson-dc-v1</t>
        </is>
      </c>
      <c r="BD342" s="24" t="inlineStr">
        <is>
          <t>f585a7f3cb7ee04f9a319a60fa601ef15e86636fadaaa8c1380ac0f28f75c58a</t>
        </is>
      </c>
      <c r="BE342" s="24" t="inlineStr">
        <is>
          <t>soccer-poisson-dc-v1</t>
        </is>
      </c>
      <c r="BF342" s="24" t="inlineStr">
        <is>
          <t>1</t>
        </is>
      </c>
      <c r="BG342" s="24" t="inlineStr">
        <is>
          <t>f585a7f3cb7ee04f9a319a60fa601ef15e86636fadaaa8c1380ac0f28f75c58a</t>
        </is>
      </c>
      <c r="BH342" s="24" t="inlineStr">
        <is>
          <t>2026-08-23T16:08:38.862848Z</t>
        </is>
      </c>
      <c r="BI342" s="24" t="inlineStr">
        <is>
          <t>["same_event","same_team_same_day","same_league_same_day"]</t>
        </is>
      </c>
      <c r="BJ342" s="25" t="n"/>
      <c r="BK342" s="26" t="n">
        <v>-108</v>
      </c>
      <c r="BL342" s="27" t="n">
        <v>1.925926</v>
      </c>
      <c r="BM342" s="28" t="n">
        <v>0.519231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0.519231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79dfd0c798a04b01</t>
        </is>
      </c>
      <c r="B343" s="24" t="inlineStr">
        <is>
          <t>2026-08-23T16:11:24.374330Z</t>
        </is>
      </c>
      <c r="C343" s="24" t="inlineStr">
        <is>
          <t>2026-08-23T18:00Z</t>
        </is>
      </c>
      <c r="D343" s="24" t="inlineStr">
        <is>
          <t>401909198</t>
        </is>
      </c>
      <c r="E343" s="24" t="inlineStr">
        <is>
          <t>SOCCER</t>
        </is>
      </c>
      <c r="F343" s="24" t="inlineStr">
        <is>
          <t>Montevideo Wanderers</t>
        </is>
      </c>
      <c r="G343" s="24" t="inlineStr">
        <is>
          <t>Montevideo City Torque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108</v>
      </c>
      <c r="M343" s="27" t="n">
        <v>2.08</v>
      </c>
      <c r="N343" s="28" t="n">
        <v>0.480769</v>
      </c>
      <c r="O343" s="28" t="n">
        <v>0.440521</v>
      </c>
      <c r="P343" s="28" t="n">
        <v>0.2</v>
      </c>
      <c r="Q343" s="28" t="n">
        <v>-0.040248</v>
      </c>
      <c r="R343" s="26" t="n">
        <v>0</v>
      </c>
      <c r="S343" s="29" t="n">
        <v>1</v>
      </c>
      <c r="T343" s="24" t="inlineStr">
        <is>
          <t>soccer-poisson-dc-v1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5</v>
      </c>
      <c r="Y343" s="25" t="n"/>
      <c r="Z343" s="26" t="n"/>
      <c r="AA343" s="28" t="n"/>
      <c r="AB343" s="28" t="n"/>
      <c r="AC343" s="30" t="n">
        <v>1.08</v>
      </c>
      <c r="AD343" s="24" t="inlineStr">
        <is>
          <t>2026-08-24T04:47:16.716334Z</t>
        </is>
      </c>
      <c r="AE343" s="31" t="inlineStr">
        <is>
          <t>Poisson-DC rates 1.46 (home) / 1.10 (away) from EWMA attack/defense strengths. Executable ask 0.4800 (atc-uru1-tor-wan-2026-08-23-tor).</t>
        </is>
      </c>
      <c r="AF343" s="31" t="inlineStr">
        <is>
          <t>Research-only soccer score model; draw-aware, but not yet locked-holdout qualified.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Montevideo Wanderers</t>
        </is>
      </c>
      <c r="AQ343" s="24" t="inlineStr">
        <is>
          <t>Montevideo Wanderers</t>
        </is>
      </c>
      <c r="AR343" s="24" t="inlineStr">
        <is>
          <t>Montevideo Wanderers</t>
        </is>
      </c>
      <c r="AS343" s="24" t="inlineStr">
        <is>
          <t>Montevideo City Torque</t>
        </is>
      </c>
      <c r="AT343" s="24" t="inlineStr">
        <is>
          <t>Montevideo City Torque</t>
        </is>
      </c>
      <c r="AU343" s="24" t="inlineStr">
        <is>
          <t>Montevideo City Torque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f585a7f3cb7ee04f9a319a60fa601ef15e86636fadaaa8c1380ac0f28f75c58a</t>
        </is>
      </c>
      <c r="BB343" s="24" t="inlineStr">
        <is>
          <t>poisson_dixon_coles</t>
        </is>
      </c>
      <c r="BC343" s="24" t="inlineStr">
        <is>
          <t>soccer-poisson-dc-v1</t>
        </is>
      </c>
      <c r="BD343" s="24" t="inlineStr">
        <is>
          <t>f585a7f3cb7ee04f9a319a60fa601ef15e86636fadaaa8c1380ac0f28f75c58a</t>
        </is>
      </c>
      <c r="BE343" s="24" t="inlineStr">
        <is>
          <t>soccer-poisson-dc-v1</t>
        </is>
      </c>
      <c r="BF343" s="24" t="inlineStr">
        <is>
          <t>1</t>
        </is>
      </c>
      <c r="BG343" s="24" t="inlineStr">
        <is>
          <t>f585a7f3cb7ee04f9a319a60fa601ef15e86636fadaaa8c1380ac0f28f75c58a</t>
        </is>
      </c>
      <c r="BH343" s="24" t="inlineStr">
        <is>
          <t>2026-08-23T16:08:39.508163Z</t>
        </is>
      </c>
      <c r="BI343" s="24" t="inlineStr">
        <is>
          <t>["same_event","same_team_same_day","same_league_same_day"]</t>
        </is>
      </c>
      <c r="BJ343" s="25" t="n"/>
      <c r="BK343" s="26" t="n">
        <v>108</v>
      </c>
      <c r="BL343" s="27" t="n">
        <v>2.08</v>
      </c>
      <c r="BM343" s="28" t="n">
        <v>0.480769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0.480769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ae47f30da8c04c41</t>
        </is>
      </c>
      <c r="B344" s="24" t="inlineStr">
        <is>
          <t>2026-08-23T17:40:41.591506Z</t>
        </is>
      </c>
      <c r="C344" s="24" t="inlineStr">
        <is>
          <t>2026-08-23T17:45Z</t>
        </is>
      </c>
      <c r="D344" s="24" t="inlineStr">
        <is>
          <t>401841509</t>
        </is>
      </c>
      <c r="E344" s="24" t="inlineStr">
        <is>
          <t>SOCCER</t>
        </is>
      </c>
      <c r="F344" s="24" t="inlineStr">
        <is>
          <t>Platense</t>
        </is>
      </c>
      <c r="G344" s="24" t="inlineStr">
        <is>
          <t>Barracas Central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163</v>
      </c>
      <c r="M344" s="27" t="n">
        <v>2.63</v>
      </c>
      <c r="N344" s="28" t="n">
        <v>0.380228</v>
      </c>
      <c r="O344" s="28" t="n">
        <v>0.378182</v>
      </c>
      <c r="P344" s="28" t="n">
        <v>0.2</v>
      </c>
      <c r="Q344" s="28" t="n">
        <v>-0.002046</v>
      </c>
      <c r="R344" s="26" t="n">
        <v>0</v>
      </c>
      <c r="S344" s="29" t="n">
        <v>1</v>
      </c>
      <c r="T344" s="24" t="inlineStr">
        <is>
          <t>soccer-poisson-dc-v1</t>
        </is>
      </c>
      <c r="U344" s="24" t="inlineStr">
        <is>
          <t>settled</t>
        </is>
      </c>
      <c r="V344" s="24" t="inlineStr">
        <is>
          <t>loss</t>
        </is>
      </c>
      <c r="W344" s="26" t="n">
        <v>2</v>
      </c>
      <c r="X344" s="26" t="n">
        <v>1</v>
      </c>
      <c r="Y344" s="25" t="n"/>
      <c r="Z344" s="26" t="n"/>
      <c r="AA344" s="28" t="n"/>
      <c r="AB344" s="28" t="n"/>
      <c r="AC344" s="30" t="n">
        <v>-1</v>
      </c>
      <c r="AD344" s="24" t="inlineStr">
        <is>
          <t>2026-08-23T20:23:09.042040Z</t>
        </is>
      </c>
      <c r="AE344" s="31" t="inlineStr">
        <is>
          <t>Poisson-DC rates 1.46 (home) / 1.39 (away) from EWMA attack/defense strengths. Executable ask 0.3800 (atc-lpa-bar-pla-2026-08-23-bar).</t>
        </is>
      </c>
      <c r="AF344" s="31" t="inlineStr">
        <is>
          <t>Research-only soccer score model; draw-aware, but not yet locked-holdout qualified.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Platense</t>
        </is>
      </c>
      <c r="AQ344" s="24" t="inlineStr">
        <is>
          <t>Platense</t>
        </is>
      </c>
      <c r="AR344" s="24" t="inlineStr">
        <is>
          <t>Platense</t>
        </is>
      </c>
      <c r="AS344" s="24" t="inlineStr">
        <is>
          <t>Barracas Central</t>
        </is>
      </c>
      <c r="AT344" s="24" t="inlineStr">
        <is>
          <t>Barracas Central</t>
        </is>
      </c>
      <c r="AU344" s="24" t="inlineStr">
        <is>
          <t>Barracas Central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f585a7f3cb7ee04f9a319a60fa601ef15e86636fadaaa8c1380ac0f28f75c58a</t>
        </is>
      </c>
      <c r="BB344" s="24" t="inlineStr">
        <is>
          <t>poisson_dixon_coles</t>
        </is>
      </c>
      <c r="BC344" s="24" t="inlineStr">
        <is>
          <t>soccer-poisson-dc-v1</t>
        </is>
      </c>
      <c r="BD344" s="24" t="inlineStr">
        <is>
          <t>f585a7f3cb7ee04f9a319a60fa601ef15e86636fadaaa8c1380ac0f28f75c58a</t>
        </is>
      </c>
      <c r="BE344" s="24" t="inlineStr">
        <is>
          <t>soccer-poisson-dc-v1</t>
        </is>
      </c>
      <c r="BF344" s="24" t="inlineStr">
        <is>
          <t>1</t>
        </is>
      </c>
      <c r="BG344" s="24" t="inlineStr">
        <is>
          <t>f585a7f3cb7ee04f9a319a60fa601ef15e86636fadaaa8c1380ac0f28f75c58a</t>
        </is>
      </c>
      <c r="BH344" s="24" t="inlineStr">
        <is>
          <t>2026-08-23T17:38:58.124015Z</t>
        </is>
      </c>
      <c r="BI344" s="24" t="inlineStr">
        <is>
          <t>["same_event","same_team_same_day","same_league_same_day"]</t>
        </is>
      </c>
      <c r="BJ344" s="25" t="n"/>
      <c r="BK344" s="26" t="n">
        <v>163</v>
      </c>
      <c r="BL344" s="27" t="n">
        <v>2.63</v>
      </c>
      <c r="BM344" s="28" t="n">
        <v>0.380228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0.380228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6286845dc24a418d</t>
        </is>
      </c>
      <c r="B345" s="24" t="inlineStr">
        <is>
          <t>2026-08-23T18:48:17.484992Z</t>
        </is>
      </c>
      <c r="C345" s="24" t="inlineStr">
        <is>
          <t>2026-08-23T19:00Z</t>
        </is>
      </c>
      <c r="D345" s="24" t="inlineStr">
        <is>
          <t>401841203</t>
        </is>
      </c>
      <c r="E345" s="24" t="inlineStr">
        <is>
          <t>SOCCER</t>
        </is>
      </c>
      <c r="F345" s="24" t="inlineStr">
        <is>
          <t>Vasco da Gama</t>
        </is>
      </c>
      <c r="G345" s="24" t="inlineStr">
        <is>
          <t>Palmeiras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polymarket_us</t>
        </is>
      </c>
      <c r="L345" s="26" t="n">
        <v>-156</v>
      </c>
      <c r="M345" s="27" t="n">
        <v>1.641026</v>
      </c>
      <c r="N345" s="28" t="n">
        <v>0.609375</v>
      </c>
      <c r="O345" s="28" t="n">
        <v>0.456135</v>
      </c>
      <c r="P345" s="28" t="n">
        <v>0.2</v>
      </c>
      <c r="Q345" s="28" t="n">
        <v>-0.15324</v>
      </c>
      <c r="R345" s="26" t="n">
        <v>0</v>
      </c>
      <c r="S345" s="29" t="n">
        <v>1</v>
      </c>
      <c r="T345" s="24" t="inlineStr">
        <is>
          <t>soccer-poisson-dc-v1</t>
        </is>
      </c>
      <c r="U345" s="24" t="inlineStr">
        <is>
          <t>settled</t>
        </is>
      </c>
      <c r="V345" s="24" t="inlineStr">
        <is>
          <t>win</t>
        </is>
      </c>
      <c r="W345" s="26" t="n">
        <v>1</v>
      </c>
      <c r="X345" s="26" t="n">
        <v>4</v>
      </c>
      <c r="Y345" s="25" t="n"/>
      <c r="Z345" s="26" t="n"/>
      <c r="AA345" s="28" t="n"/>
      <c r="AB345" s="28" t="n"/>
      <c r="AC345" s="30" t="n">
        <v>0.641</v>
      </c>
      <c r="AD345" s="24" t="inlineStr">
        <is>
          <t>2026-08-23T22:27:52.669467Z</t>
        </is>
      </c>
      <c r="AE345" s="31" t="inlineStr">
        <is>
          <t>Poisson-DC rates 1.64 (home) / 1.24 (away) from EWMA attack/defense strengths. Executable ask 0.6100 (atc-bra-pal-vas-2026-08-23-pal).</t>
        </is>
      </c>
      <c r="AF345" s="31" t="inlineStr">
        <is>
          <t>Research-only soccer score model; draw-aware, but not yet locked-holdout qualified.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Vasco da Gama</t>
        </is>
      </c>
      <c r="AQ345" s="24" t="inlineStr">
        <is>
          <t>Vasco da Gama</t>
        </is>
      </c>
      <c r="AR345" s="24" t="inlineStr">
        <is>
          <t>Vasco da Gama</t>
        </is>
      </c>
      <c r="AS345" s="24" t="inlineStr">
        <is>
          <t>Palmeiras</t>
        </is>
      </c>
      <c r="AT345" s="24" t="inlineStr">
        <is>
          <t>Palmeiras</t>
        </is>
      </c>
      <c r="AU345" s="24" t="inlineStr">
        <is>
          <t>Palmeiras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f585a7f3cb7ee04f9a319a60fa601ef15e86636fadaaa8c1380ac0f28f75c58a</t>
        </is>
      </c>
      <c r="BB345" s="24" t="inlineStr">
        <is>
          <t>poisson_dixon_coles</t>
        </is>
      </c>
      <c r="BC345" s="24" t="inlineStr">
        <is>
          <t>soccer-poisson-dc-v1</t>
        </is>
      </c>
      <c r="BD345" s="24" t="inlineStr">
        <is>
          <t>f585a7f3cb7ee04f9a319a60fa601ef15e86636fadaaa8c1380ac0f28f75c58a</t>
        </is>
      </c>
      <c r="BE345" s="24" t="inlineStr">
        <is>
          <t>soccer-poisson-dc-v1</t>
        </is>
      </c>
      <c r="BF345" s="24" t="inlineStr">
        <is>
          <t>1</t>
        </is>
      </c>
      <c r="BG345" s="24" t="inlineStr">
        <is>
          <t>f585a7f3cb7ee04f9a319a60fa601ef15e86636fadaaa8c1380ac0f28f75c58a</t>
        </is>
      </c>
      <c r="BH345" s="24" t="inlineStr">
        <is>
          <t>2026-08-23T18:44:12.569060Z</t>
        </is>
      </c>
      <c r="BI345" s="24" t="inlineStr">
        <is>
          <t>["same_event","same_team_same_day","same_league_same_day"]</t>
        </is>
      </c>
      <c r="BJ345" s="25" t="n"/>
      <c r="BK345" s="26" t="n">
        <v>-156</v>
      </c>
      <c r="BL345" s="27" t="n">
        <v>1.641026</v>
      </c>
      <c r="BM345" s="28" t="n">
        <v>0.609375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0.609375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82bd1b943de94ab5</t>
        </is>
      </c>
      <c r="B346" s="24" t="inlineStr">
        <is>
          <t>2026-08-23T18:48:17.484992Z</t>
        </is>
      </c>
      <c r="C346" s="24" t="inlineStr">
        <is>
          <t>2026-08-23T19:00Z</t>
        </is>
      </c>
      <c r="D346" s="24" t="inlineStr">
        <is>
          <t>401860293</t>
        </is>
      </c>
      <c r="E346" s="24" t="inlineStr">
        <is>
          <t>SOCCER</t>
        </is>
      </c>
      <c r="F346" s="24" t="inlineStr">
        <is>
          <t>Avaí</t>
        </is>
      </c>
      <c r="G346" s="24" t="inlineStr">
        <is>
          <t>Ponte Preta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426</v>
      </c>
      <c r="M346" s="27" t="n">
        <v>5.26</v>
      </c>
      <c r="N346" s="28" t="n">
        <v>0.190114</v>
      </c>
      <c r="O346" s="28" t="n">
        <v>0.416467</v>
      </c>
      <c r="P346" s="28" t="n">
        <v>0.19</v>
      </c>
      <c r="Q346" s="28" t="n">
        <v>0.226353</v>
      </c>
      <c r="R346" s="26" t="n">
        <v>49</v>
      </c>
      <c r="S346" s="29" t="n">
        <v>1.25</v>
      </c>
      <c r="T346" s="24" t="inlineStr">
        <is>
          <t>soccer-poisson-dc-v1</t>
        </is>
      </c>
      <c r="U346" s="24" t="inlineStr">
        <is>
          <t>settled</t>
        </is>
      </c>
      <c r="V346" s="24" t="inlineStr">
        <is>
          <t>loss</t>
        </is>
      </c>
      <c r="W346" s="26" t="n">
        <v>2</v>
      </c>
      <c r="X346" s="26" t="n">
        <v>0</v>
      </c>
      <c r="Y346" s="25" t="n"/>
      <c r="Z346" s="26" t="n"/>
      <c r="AA346" s="28" t="n"/>
      <c r="AB346" s="28" t="n"/>
      <c r="AC346" s="30" t="n">
        <v>-1.25</v>
      </c>
      <c r="AD346" s="24" t="inlineStr">
        <is>
          <t>2026-08-23T22:27:55.495794Z</t>
        </is>
      </c>
      <c r="AE346" s="31" t="inlineStr">
        <is>
          <t>Poisson-DC rates 1.41 (home) / 1.15 (away) from EWMA attack/defense strengths. Executable ask 0.1900 (atc-brb-pop-ava-2026-08-23-pop).</t>
        </is>
      </c>
      <c r="AF346" s="31" t="inlineStr">
        <is>
          <t>Research-only soccer score model; draw-aware, but not yet locked-holdout qualified.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Avaí</t>
        </is>
      </c>
      <c r="AQ346" s="24" t="inlineStr">
        <is>
          <t>Avaí</t>
        </is>
      </c>
      <c r="AR346" s="24" t="inlineStr">
        <is>
          <t>Avaí</t>
        </is>
      </c>
      <c r="AS346" s="24" t="inlineStr">
        <is>
          <t>Ponte Preta</t>
        </is>
      </c>
      <c r="AT346" s="24" t="inlineStr">
        <is>
          <t>Ponte Preta</t>
        </is>
      </c>
      <c r="AU346" s="24" t="inlineStr">
        <is>
          <t>Ponte Preta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f585a7f3cb7ee04f9a319a60fa601ef15e86636fadaaa8c1380ac0f28f75c58a</t>
        </is>
      </c>
      <c r="BB346" s="24" t="inlineStr">
        <is>
          <t>poisson_dixon_coles</t>
        </is>
      </c>
      <c r="BC346" s="24" t="inlineStr">
        <is>
          <t>soccer-poisson-dc-v1</t>
        </is>
      </c>
      <c r="BD346" s="24" t="inlineStr">
        <is>
          <t>f585a7f3cb7ee04f9a319a60fa601ef15e86636fadaaa8c1380ac0f28f75c58a</t>
        </is>
      </c>
      <c r="BE346" s="24" t="inlineStr">
        <is>
          <t>soccer-poisson-dc-v1</t>
        </is>
      </c>
      <c r="BF346" s="24" t="inlineStr">
        <is>
          <t>1</t>
        </is>
      </c>
      <c r="BG346" s="24" t="inlineStr">
        <is>
          <t>f585a7f3cb7ee04f9a319a60fa601ef15e86636fadaaa8c1380ac0f28f75c58a</t>
        </is>
      </c>
      <c r="BH346" s="24" t="inlineStr">
        <is>
          <t>2026-08-23T18:44:12.704424Z</t>
        </is>
      </c>
      <c r="BI346" s="24" t="inlineStr">
        <is>
          <t>["same_event","same_team_same_day","same_league_same_day"]</t>
        </is>
      </c>
      <c r="BJ346" s="25" t="n"/>
      <c r="BK346" s="26" t="n">
        <v>426</v>
      </c>
      <c r="BL346" s="27" t="n">
        <v>5.26</v>
      </c>
      <c r="BM346" s="28" t="n">
        <v>0.190114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0.190114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a35a560d25c44fc8</t>
        </is>
      </c>
      <c r="B347" s="24" t="inlineStr">
        <is>
          <t>2026-08-23T18:48:17.484992Z</t>
        </is>
      </c>
      <c r="C347" s="24" t="inlineStr">
        <is>
          <t>2026-08-23T19:00Z</t>
        </is>
      </c>
      <c r="D347" s="24" t="inlineStr">
        <is>
          <t>401844075</t>
        </is>
      </c>
      <c r="E347" s="24" t="inlineStr">
        <is>
          <t>SOCCER</t>
        </is>
      </c>
      <c r="F347" s="24" t="inlineStr">
        <is>
          <t>Midland</t>
        </is>
      </c>
      <c r="G347" s="24" t="inlineStr">
        <is>
          <t>Temperley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144</v>
      </c>
      <c r="M347" s="27" t="n">
        <v>2.44</v>
      </c>
      <c r="N347" s="28" t="n">
        <v>0.409836</v>
      </c>
      <c r="O347" s="28" t="n">
        <v>0.456135</v>
      </c>
      <c r="P347" s="28" t="n">
        <v>0.2</v>
      </c>
      <c r="Q347" s="28" t="n">
        <v>0.046299</v>
      </c>
      <c r="R347" s="26" t="n">
        <v>0</v>
      </c>
      <c r="S347" s="29" t="n">
        <v>1</v>
      </c>
      <c r="T347" s="24" t="inlineStr">
        <is>
          <t>soccer-poisson-dc-v1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2</v>
      </c>
      <c r="Y347" s="25" t="n"/>
      <c r="Z347" s="26" t="n"/>
      <c r="AA347" s="28" t="n"/>
      <c r="AB347" s="28" t="n"/>
      <c r="AC347" s="30" t="n">
        <v>1.44</v>
      </c>
      <c r="AD347" s="24" t="inlineStr">
        <is>
          <t>2026-08-23T22:27:58.369751Z</t>
        </is>
      </c>
      <c r="AE347" s="31" t="inlineStr">
        <is>
          <t>Poisson-DC rates 1.64 (home) / 1.24 (away) from EWMA attack/defense strengths. Executable ask 0.4100 (atc-arg2-cat-afm-2026-08-22-cat).</t>
        </is>
      </c>
      <c r="AF347" s="31" t="inlineStr">
        <is>
          <t>Research-only soccer score model; draw-aware, but not yet locked-holdout qualified.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Midland</t>
        </is>
      </c>
      <c r="AQ347" s="24" t="inlineStr">
        <is>
          <t>Midland</t>
        </is>
      </c>
      <c r="AR347" s="24" t="inlineStr">
        <is>
          <t>Midland</t>
        </is>
      </c>
      <c r="AS347" s="24" t="inlineStr">
        <is>
          <t>Temperley</t>
        </is>
      </c>
      <c r="AT347" s="24" t="inlineStr">
        <is>
          <t>Temperley</t>
        </is>
      </c>
      <c r="AU347" s="24" t="inlineStr">
        <is>
          <t>Temperley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f585a7f3cb7ee04f9a319a60fa601ef15e86636fadaaa8c1380ac0f28f75c58a</t>
        </is>
      </c>
      <c r="BB347" s="24" t="inlineStr">
        <is>
          <t>poisson_dixon_coles</t>
        </is>
      </c>
      <c r="BC347" s="24" t="inlineStr">
        <is>
          <t>soccer-poisson-dc-v1</t>
        </is>
      </c>
      <c r="BD347" s="24" t="inlineStr">
        <is>
          <t>f585a7f3cb7ee04f9a319a60fa601ef15e86636fadaaa8c1380ac0f28f75c58a</t>
        </is>
      </c>
      <c r="BE347" s="24" t="inlineStr">
        <is>
          <t>soccer-poisson-dc-v1</t>
        </is>
      </c>
      <c r="BF347" s="24" t="inlineStr">
        <is>
          <t>1</t>
        </is>
      </c>
      <c r="BG347" s="24" t="inlineStr">
        <is>
          <t>f585a7f3cb7ee04f9a319a60fa601ef15e86636fadaaa8c1380ac0f28f75c58a</t>
        </is>
      </c>
      <c r="BH347" s="24" t="inlineStr">
        <is>
          <t>2026-08-23T18:44:12.901546Z</t>
        </is>
      </c>
      <c r="BI347" s="24" t="inlineStr">
        <is>
          <t>["same_event","same_team_same_day","same_league_same_day"]</t>
        </is>
      </c>
      <c r="BJ347" s="25" t="n"/>
      <c r="BK347" s="26" t="n">
        <v>144</v>
      </c>
      <c r="BL347" s="27" t="n">
        <v>2.44</v>
      </c>
      <c r="BM347" s="28" t="n">
        <v>0.409836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0.409836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04dc2c0df6b74f01</t>
        </is>
      </c>
      <c r="B348" s="24" t="inlineStr">
        <is>
          <t>2026-08-23T18:48:17.484992Z</t>
        </is>
      </c>
      <c r="C348" s="24" t="inlineStr">
        <is>
          <t>2026-08-23T19:00Z</t>
        </is>
      </c>
      <c r="D348" s="24" t="inlineStr">
        <is>
          <t>401850630</t>
        </is>
      </c>
      <c r="E348" s="24" t="inlineStr">
        <is>
          <t>SOCCER</t>
        </is>
      </c>
      <c r="F348" s="24" t="inlineStr">
        <is>
          <t>Colo Colo</t>
        </is>
      </c>
      <c r="G348" s="24" t="inlineStr">
        <is>
          <t>Universidad de Chile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127</v>
      </c>
      <c r="M348" s="27" t="n">
        <v>2.27</v>
      </c>
      <c r="N348" s="28" t="n">
        <v>0.440529</v>
      </c>
      <c r="O348" s="28" t="n">
        <v>0.447172</v>
      </c>
      <c r="P348" s="28" t="n">
        <v>0.19</v>
      </c>
      <c r="Q348" s="28" t="n">
        <v>0.006643</v>
      </c>
      <c r="R348" s="26" t="n">
        <v>0</v>
      </c>
      <c r="S348" s="29" t="n">
        <v>1</v>
      </c>
      <c r="T348" s="24" t="inlineStr">
        <is>
          <t>soccer-poisson-dc-v1</t>
        </is>
      </c>
      <c r="U348" s="24" t="inlineStr">
        <is>
          <t>settled</t>
        </is>
      </c>
      <c r="V348" s="24" t="inlineStr">
        <is>
          <t>loss</t>
        </is>
      </c>
      <c r="W348" s="26" t="n">
        <v>2</v>
      </c>
      <c r="X348" s="26" t="n">
        <v>1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2026-08-23T22:28:01.086948Z</t>
        </is>
      </c>
      <c r="AE348" s="31" t="inlineStr">
        <is>
          <t>Poisson-DC rates 1.53 (home) / 1.16 (away) from EWMA attack/defense strengths. Executable ask 0.4400 (atc-pdc-unc-col-2026-08-23-unc).</t>
        </is>
      </c>
      <c r="AF348" s="31" t="inlineStr">
        <is>
          <t>Research-only soccer score model; draw-aware, but not yet locked-holdout qualified.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Colo Colo</t>
        </is>
      </c>
      <c r="AQ348" s="24" t="inlineStr">
        <is>
          <t>Colo Colo</t>
        </is>
      </c>
      <c r="AR348" s="24" t="inlineStr">
        <is>
          <t>Colo Colo</t>
        </is>
      </c>
      <c r="AS348" s="24" t="inlineStr">
        <is>
          <t>Universidad de Chile</t>
        </is>
      </c>
      <c r="AT348" s="24" t="inlineStr">
        <is>
          <t>Universidad de Chile</t>
        </is>
      </c>
      <c r="AU348" s="24" t="inlineStr">
        <is>
          <t>Universidad de Chile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f585a7f3cb7ee04f9a319a60fa601ef15e86636fadaaa8c1380ac0f28f75c58a</t>
        </is>
      </c>
      <c r="BB348" s="24" t="inlineStr">
        <is>
          <t>poisson_dixon_coles</t>
        </is>
      </c>
      <c r="BC348" s="24" t="inlineStr">
        <is>
          <t>soccer-poisson-dc-v1</t>
        </is>
      </c>
      <c r="BD348" s="24" t="inlineStr">
        <is>
          <t>f585a7f3cb7ee04f9a319a60fa601ef15e86636fadaaa8c1380ac0f28f75c58a</t>
        </is>
      </c>
      <c r="BE348" s="24" t="inlineStr">
        <is>
          <t>soccer-poisson-dc-v1</t>
        </is>
      </c>
      <c r="BF348" s="24" t="inlineStr">
        <is>
          <t>1</t>
        </is>
      </c>
      <c r="BG348" s="24" t="inlineStr">
        <is>
          <t>f585a7f3cb7ee04f9a319a60fa601ef15e86636fadaaa8c1380ac0f28f75c58a</t>
        </is>
      </c>
      <c r="BH348" s="24" t="inlineStr">
        <is>
          <t>2026-08-23T18:44:13.053029Z</t>
        </is>
      </c>
      <c r="BI348" s="24" t="inlineStr">
        <is>
          <t>["same_event","same_team_same_day","same_league_same_day"]</t>
        </is>
      </c>
      <c r="BJ348" s="25" t="n"/>
      <c r="BK348" s="26" t="n">
        <v>127</v>
      </c>
      <c r="BL348" s="27" t="n">
        <v>2.27</v>
      </c>
      <c r="BM348" s="28" t="n">
        <v>0.440529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0.440529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adf752026f7e42a2</t>
        </is>
      </c>
      <c r="B349" s="24" t="inlineStr">
        <is>
          <t>2026-08-23T19:19:48.564144Z</t>
        </is>
      </c>
      <c r="C349" s="24" t="inlineStr">
        <is>
          <t>2026-08-23T19:30Z</t>
        </is>
      </c>
      <c r="D349" s="24" t="inlineStr">
        <is>
          <t>401882913</t>
        </is>
      </c>
      <c r="E349" s="24" t="inlineStr">
        <is>
          <t>SOCCER</t>
        </is>
      </c>
      <c r="F349" s="24" t="inlineStr">
        <is>
          <t>Barcelona</t>
        </is>
      </c>
      <c r="G349" s="24" t="inlineStr">
        <is>
          <t>Elche</t>
        </is>
      </c>
      <c r="H349" s="24" t="inlineStr">
        <is>
          <t>total</t>
        </is>
      </c>
      <c r="I349" s="24" t="inlineStr">
        <is>
          <t>over</t>
        </is>
      </c>
      <c r="J349" s="25" t="n">
        <v>2.5</v>
      </c>
      <c r="K349" s="24" t="inlineStr">
        <is>
          <t>polymarket_us</t>
        </is>
      </c>
      <c r="L349" s="26" t="n">
        <v>-194</v>
      </c>
      <c r="M349" s="27" t="n">
        <v>1.515464</v>
      </c>
      <c r="N349" s="28" t="n">
        <v>0.659864</v>
      </c>
      <c r="O349" s="28" t="n">
        <v>0.605896</v>
      </c>
      <c r="P349" s="28" t="n">
        <v>0.04</v>
      </c>
      <c r="Q349" s="28" t="n">
        <v>-0.053968</v>
      </c>
      <c r="R349" s="26" t="n">
        <v>0</v>
      </c>
      <c r="S349" s="29" t="n">
        <v>1</v>
      </c>
      <c r="T349" s="24" t="inlineStr">
        <is>
          <t>soccer-poisson-dc-v1</t>
        </is>
      </c>
      <c r="U349" s="24" t="inlineStr">
        <is>
          <t>settled</t>
        </is>
      </c>
      <c r="V349" s="24" t="inlineStr">
        <is>
          <t>win</t>
        </is>
      </c>
      <c r="W349" s="26" t="n">
        <v>5</v>
      </c>
      <c r="X349" s="26" t="n">
        <v>0</v>
      </c>
      <c r="Y349" s="25" t="n"/>
      <c r="Z349" s="26" t="n"/>
      <c r="AA349" s="28" t="n"/>
      <c r="AB349" s="28" t="n"/>
      <c r="AC349" s="30" t="n">
        <v>0.5155</v>
      </c>
      <c r="AD349" s="24" t="inlineStr">
        <is>
          <t>2026-08-23T22:28:44.495815Z</t>
        </is>
      </c>
      <c r="AE349" s="31" t="inlineStr">
        <is>
          <t>Poisson-DC rates 1.13 (home) / 2.01 (away) from EWMA attack/defense strengths. Executable ask 0.6600 (tsc-lal-elc-fcb-2026-08-23-2pt5).</t>
        </is>
      </c>
      <c r="AF349" s="31" t="inlineStr">
        <is>
          <t>Research-only soccer score model; draw-aware, but not yet locked-holdout qualified.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Barcelona</t>
        </is>
      </c>
      <c r="AQ349" s="24" t="inlineStr">
        <is>
          <t>Barcelona</t>
        </is>
      </c>
      <c r="AR349" s="24" t="inlineStr">
        <is>
          <t>Barcelona</t>
        </is>
      </c>
      <c r="AS349" s="24" t="inlineStr">
        <is>
          <t>Elche</t>
        </is>
      </c>
      <c r="AT349" s="24" t="inlineStr">
        <is>
          <t>Elche</t>
        </is>
      </c>
      <c r="AU349" s="24" t="inlineStr">
        <is>
          <t>Elche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f585a7f3cb7ee04f9a319a60fa601ef15e86636fadaaa8c1380ac0f28f75c58a</t>
        </is>
      </c>
      <c r="BB349" s="24" t="inlineStr">
        <is>
          <t>poisson_dixon_coles</t>
        </is>
      </c>
      <c r="BC349" s="24" t="inlineStr">
        <is>
          <t>soccer-poisson-dc-v1</t>
        </is>
      </c>
      <c r="BD349" s="24" t="inlineStr">
        <is>
          <t>f585a7f3cb7ee04f9a319a60fa601ef15e86636fadaaa8c1380ac0f28f75c58a</t>
        </is>
      </c>
      <c r="BE349" s="24" t="inlineStr">
        <is>
          <t>soccer-poisson-dc-v1</t>
        </is>
      </c>
      <c r="BF349" s="24" t="inlineStr">
        <is>
          <t>1</t>
        </is>
      </c>
      <c r="BG349" s="24" t="inlineStr">
        <is>
          <t>f585a7f3cb7ee04f9a319a60fa601ef15e86636fadaaa8c1380ac0f28f75c58a</t>
        </is>
      </c>
      <c r="BH349" s="24" t="inlineStr">
        <is>
          <t>2026-08-23T19:16:36.818965Z</t>
        </is>
      </c>
      <c r="BI349" s="24" t="inlineStr">
        <is>
          <t>["same_event","same_team_same_day","same_league_same_day"]</t>
        </is>
      </c>
      <c r="BJ349" s="25" t="n">
        <v>2.5</v>
      </c>
      <c r="BK349" s="26" t="n">
        <v>-194</v>
      </c>
      <c r="BL349" s="27" t="n">
        <v>1.515464</v>
      </c>
      <c r="BM349" s="28" t="n">
        <v>0.659864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0.659864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8928d838970d46ce</t>
        </is>
      </c>
      <c r="B350" s="24" t="inlineStr">
        <is>
          <t>2026-08-23T19:19:48.564144Z</t>
        </is>
      </c>
      <c r="C350" s="24" t="inlineStr">
        <is>
          <t>2026-08-23T19:30Z</t>
        </is>
      </c>
      <c r="D350" s="24" t="inlineStr">
        <is>
          <t>401882913</t>
        </is>
      </c>
      <c r="E350" s="24" t="inlineStr">
        <is>
          <t>SOCCER</t>
        </is>
      </c>
      <c r="F350" s="24" t="inlineStr">
        <is>
          <t>Barcelona</t>
        </is>
      </c>
      <c r="G350" s="24" t="inlineStr">
        <is>
          <t>Elche</t>
        </is>
      </c>
      <c r="H350" s="24" t="inlineStr">
        <is>
          <t>moneyline</t>
        </is>
      </c>
      <c r="I350" s="24" t="inlineStr">
        <is>
          <t>away</t>
        </is>
      </c>
      <c r="J350" s="25" t="n"/>
      <c r="K350" s="24" t="inlineStr">
        <is>
          <t>polymarket_us</t>
        </is>
      </c>
      <c r="L350" s="26" t="n">
        <v>-285</v>
      </c>
      <c r="M350" s="27" t="n">
        <v>1.350877</v>
      </c>
      <c r="N350" s="28" t="n">
        <v>0.74026</v>
      </c>
      <c r="O350" s="28" t="n">
        <v>0.5669380000000001</v>
      </c>
      <c r="P350" s="28" t="n">
        <v>0.04</v>
      </c>
      <c r="Q350" s="28" t="n">
        <v>-0.173322</v>
      </c>
      <c r="R350" s="26" t="n">
        <v>0</v>
      </c>
      <c r="S350" s="29" t="n">
        <v>1</v>
      </c>
      <c r="T350" s="24" t="inlineStr">
        <is>
          <t>soccer-poisson-dc-v1</t>
        </is>
      </c>
      <c r="U350" s="24" t="inlineStr">
        <is>
          <t>settled</t>
        </is>
      </c>
      <c r="V350" s="24" t="inlineStr">
        <is>
          <t>win</t>
        </is>
      </c>
      <c r="W350" s="26" t="n">
        <v>5</v>
      </c>
      <c r="X350" s="26" t="n">
        <v>0</v>
      </c>
      <c r="Y350" s="25" t="n"/>
      <c r="Z350" s="26" t="n"/>
      <c r="AA350" s="28" t="n"/>
      <c r="AB350" s="28" t="n"/>
      <c r="AC350" s="30" t="n">
        <v>0.3509</v>
      </c>
      <c r="AD350" s="24" t="inlineStr">
        <is>
          <t>2026-08-23T22:28:46.861156Z</t>
        </is>
      </c>
      <c r="AE350" s="31" t="inlineStr">
        <is>
          <t>Poisson-DC rates 1.13 (home) / 2.01 (away) from EWMA attack/defense strengths. Executable ask 0.7400 (atc-lal-elc-fcb-2026-08-23-fcb).</t>
        </is>
      </c>
      <c r="AF350" s="31" t="inlineStr">
        <is>
          <t>Research-only soccer score model; draw-aware, but not yet locked-holdout qualified.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Barcelona</t>
        </is>
      </c>
      <c r="AQ350" s="24" t="inlineStr">
        <is>
          <t>Barcelona</t>
        </is>
      </c>
      <c r="AR350" s="24" t="inlineStr">
        <is>
          <t>Barcelona</t>
        </is>
      </c>
      <c r="AS350" s="24" t="inlineStr">
        <is>
          <t>Elche</t>
        </is>
      </c>
      <c r="AT350" s="24" t="inlineStr">
        <is>
          <t>Elche</t>
        </is>
      </c>
      <c r="AU350" s="24" t="inlineStr">
        <is>
          <t>Elche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f585a7f3cb7ee04f9a319a60fa601ef15e86636fadaaa8c1380ac0f28f75c58a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f585a7f3cb7ee04f9a319a60fa601ef15e86636fadaaa8c1380ac0f28f75c58a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f585a7f3cb7ee04f9a319a60fa601ef15e86636fadaaa8c1380ac0f28f75c58a</t>
        </is>
      </c>
      <c r="BH350" s="24" t="inlineStr">
        <is>
          <t>2026-08-23T19:16:36.800560Z</t>
        </is>
      </c>
      <c r="BI350" s="24" t="inlineStr">
        <is>
          <t>["same_event","same_team_same_day","same_league_same_day"]</t>
        </is>
      </c>
      <c r="BJ350" s="25" t="n"/>
      <c r="BK350" s="26" t="n">
        <v>-285</v>
      </c>
      <c r="BL350" s="27" t="n">
        <v>1.350877</v>
      </c>
      <c r="BM350" s="28" t="n">
        <v>0.74026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0.74026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c0058fed0a7d4e38</t>
        </is>
      </c>
      <c r="B351" s="24" t="inlineStr">
        <is>
          <t>2026-08-23T20:27:44.723876Z</t>
        </is>
      </c>
      <c r="C351" s="24" t="inlineStr">
        <is>
          <t>2026-08-23T20:30Z</t>
        </is>
      </c>
      <c r="D351" s="24" t="inlineStr">
        <is>
          <t>761753</t>
        </is>
      </c>
      <c r="E351" s="24" t="inlineStr">
        <is>
          <t>SOCCER</t>
        </is>
      </c>
      <c r="F351" s="24" t="inlineStr">
        <is>
          <t>New York City FC</t>
        </is>
      </c>
      <c r="G351" s="24" t="inlineStr">
        <is>
          <t>New England Revolution</t>
        </is>
      </c>
      <c r="H351" s="24" t="inlineStr">
        <is>
          <t>total</t>
        </is>
      </c>
      <c r="I351" s="24" t="inlineStr">
        <is>
          <t>over</t>
        </is>
      </c>
      <c r="J351" s="25" t="n">
        <v>2.5</v>
      </c>
      <c r="K351" s="24" t="inlineStr">
        <is>
          <t>polymarket_us</t>
        </is>
      </c>
      <c r="L351" s="26" t="n">
        <v>-138</v>
      </c>
      <c r="M351" s="27" t="n">
        <v>1.724638</v>
      </c>
      <c r="N351" s="28" t="n">
        <v>0.579832</v>
      </c>
      <c r="O351" s="28" t="n">
        <v>0.552643</v>
      </c>
      <c r="P351" s="28" t="n">
        <v>0.04</v>
      </c>
      <c r="Q351" s="28" t="n">
        <v>-0.027189</v>
      </c>
      <c r="R351" s="26" t="n">
        <v>12</v>
      </c>
      <c r="S351" s="29" t="n">
        <v>1</v>
      </c>
      <c r="T351" s="24" t="inlineStr">
        <is>
          <t>soccer-poisson-dc-v1</t>
        </is>
      </c>
      <c r="U351" s="24" t="inlineStr">
        <is>
          <t>settled</t>
        </is>
      </c>
      <c r="V351" s="24" t="inlineStr">
        <is>
          <t>loss</t>
        </is>
      </c>
      <c r="W351" s="26" t="n">
        <v>1</v>
      </c>
      <c r="X351" s="26" t="n">
        <v>1</v>
      </c>
      <c r="Y351" s="25" t="n"/>
      <c r="Z351" s="26" t="n"/>
      <c r="AA351" s="28" t="n"/>
      <c r="AB351" s="28" t="n"/>
      <c r="AC351" s="30" t="n">
        <v>-1</v>
      </c>
      <c r="AD351" s="24" t="inlineStr">
        <is>
          <t>2026-08-24T01:34:48.201480Z</t>
        </is>
      </c>
      <c r="AE351" s="31" t="inlineStr">
        <is>
          <t>Poisson-DC rates 1.59 (home) / 1.31 (away) from EWMA attack/defense strengths. Executable ask 0.5800 (tsc-mls-ner-nyc-2026-08-23-2pt5).</t>
        </is>
      </c>
      <c r="AF351" s="31" t="inlineStr">
        <is>
          <t>Research-only soccer score model; draw-aware, but not yet locked-holdout qualified.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New York City FC</t>
        </is>
      </c>
      <c r="AQ351" s="24" t="inlineStr">
        <is>
          <t>New York City FC</t>
        </is>
      </c>
      <c r="AR351" s="24" t="inlineStr">
        <is>
          <t>New York City FC</t>
        </is>
      </c>
      <c r="AS351" s="24" t="inlineStr">
        <is>
          <t>New England Revolution</t>
        </is>
      </c>
      <c r="AT351" s="24" t="inlineStr">
        <is>
          <t>New England Revolution</t>
        </is>
      </c>
      <c r="AU351" s="24" t="inlineStr">
        <is>
          <t>New England Revolution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f585a7f3cb7ee04f9a319a60fa601ef15e86636fadaaa8c1380ac0f28f75c58a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f585a7f3cb7ee04f9a319a60fa601ef15e86636fadaaa8c1380ac0f28f75c58a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f585a7f3cb7ee04f9a319a60fa601ef15e86636fadaaa8c1380ac0f28f75c58a</t>
        </is>
      </c>
      <c r="BH351" s="24" t="inlineStr">
        <is>
          <t>2026-08-23T20:25:02.041668Z</t>
        </is>
      </c>
      <c r="BI351" s="24" t="inlineStr">
        <is>
          <t>["same_event","same_team_same_day","same_league_same_day"]</t>
        </is>
      </c>
      <c r="BJ351" s="25" t="n">
        <v>2.5</v>
      </c>
      <c r="BK351" s="26" t="n">
        <v>-138</v>
      </c>
      <c r="BL351" s="27" t="n">
        <v>1.724638</v>
      </c>
      <c r="BM351" s="28" t="n">
        <v>0.579832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0.579832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92a3f4f991c64c31</t>
        </is>
      </c>
      <c r="B352" s="24" t="inlineStr">
        <is>
          <t>2026-08-23T20:27:44.723876Z</t>
        </is>
      </c>
      <c r="C352" s="24" t="inlineStr">
        <is>
          <t>2026-08-23T20:30Z</t>
        </is>
      </c>
      <c r="D352" s="24" t="inlineStr">
        <is>
          <t>761753</t>
        </is>
      </c>
      <c r="E352" s="24" t="inlineStr">
        <is>
          <t>SOCCER</t>
        </is>
      </c>
      <c r="F352" s="24" t="inlineStr">
        <is>
          <t>New York City FC</t>
        </is>
      </c>
      <c r="G352" s="24" t="inlineStr">
        <is>
          <t>New England Revolution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122</v>
      </c>
      <c r="M352" s="27" t="n">
        <v>2.22</v>
      </c>
      <c r="N352" s="28" t="n">
        <v>0.45045</v>
      </c>
      <c r="O352" s="28" t="n">
        <v>0.427638</v>
      </c>
      <c r="P352" s="28" t="n">
        <v>0.04</v>
      </c>
      <c r="Q352" s="28" t="n">
        <v>-0.022812</v>
      </c>
      <c r="R352" s="26" t="n">
        <v>15</v>
      </c>
      <c r="S352" s="29" t="n">
        <v>1</v>
      </c>
      <c r="T352" s="24" t="inlineStr">
        <is>
          <t>soccer-poisson-dc-v1</t>
        </is>
      </c>
      <c r="U352" s="24" t="inlineStr">
        <is>
          <t>settled</t>
        </is>
      </c>
      <c r="V352" s="24" t="inlineStr">
        <is>
          <t>loss</t>
        </is>
      </c>
      <c r="W352" s="26" t="n">
        <v>1</v>
      </c>
      <c r="X352" s="26" t="n">
        <v>1</v>
      </c>
      <c r="Y352" s="25" t="n"/>
      <c r="Z352" s="26" t="n"/>
      <c r="AA352" s="28" t="n"/>
      <c r="AB352" s="28" t="n"/>
      <c r="AC352" s="30" t="n">
        <v>-1</v>
      </c>
      <c r="AD352" s="24" t="inlineStr">
        <is>
          <t>2026-08-24T01:34:50.658194Z</t>
        </is>
      </c>
      <c r="AE352" s="31" t="inlineStr">
        <is>
          <t>Poisson-DC rates 1.59 (home) / 1.31 (away) from EWMA attack/defense strengths. Executable ask 0.4500 (atc-mls-ner-nyc-2026-08-23-ner).</t>
        </is>
      </c>
      <c r="AF352" s="31" t="inlineStr">
        <is>
          <t>Research-only soccer score model; draw-aware, but not yet locked-holdout qualified.</t>
        </is>
      </c>
      <c r="AG352" s="24" t="inlineStr">
        <is>
          <t>review_required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New York City FC</t>
        </is>
      </c>
      <c r="AQ352" s="24" t="inlineStr">
        <is>
          <t>New York City FC</t>
        </is>
      </c>
      <c r="AR352" s="24" t="inlineStr">
        <is>
          <t>New York City FC</t>
        </is>
      </c>
      <c r="AS352" s="24" t="inlineStr">
        <is>
          <t>New England Revolution</t>
        </is>
      </c>
      <c r="AT352" s="24" t="inlineStr">
        <is>
          <t>New England Revolution</t>
        </is>
      </c>
      <c r="AU352" s="24" t="inlineStr">
        <is>
          <t>New England Revolution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f585a7f3cb7ee04f9a319a60fa601ef15e86636fadaaa8c1380ac0f28f75c58a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f585a7f3cb7ee04f9a319a60fa601ef15e86636fadaaa8c1380ac0f28f75c58a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f585a7f3cb7ee04f9a319a60fa601ef15e86636fadaaa8c1380ac0f28f75c58a</t>
        </is>
      </c>
      <c r="BH352" s="24" t="inlineStr">
        <is>
          <t>2026-08-23T20:25:01.954436Z</t>
        </is>
      </c>
      <c r="BI352" s="24" t="inlineStr">
        <is>
          <t>["same_event","same_team_same_day","same_league_same_day"]</t>
        </is>
      </c>
      <c r="BJ352" s="25" t="n"/>
      <c r="BK352" s="26" t="n">
        <v>122</v>
      </c>
      <c r="BL352" s="27" t="n">
        <v>2.22</v>
      </c>
      <c r="BM352" s="28" t="n">
        <v>0.45045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0.45045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d7c1c34d505248a6</t>
        </is>
      </c>
      <c r="B353" s="24" t="inlineStr">
        <is>
          <t>2026-08-23T20:27:44.723876Z</t>
        </is>
      </c>
      <c r="C353" s="24" t="inlineStr">
        <is>
          <t>2026-08-23T21:30Z</t>
        </is>
      </c>
      <c r="D353" s="24" t="inlineStr">
        <is>
          <t>401841199</t>
        </is>
      </c>
      <c r="E353" s="24" t="inlineStr">
        <is>
          <t>SOCCER</t>
        </is>
      </c>
      <c r="F353" s="24" t="inlineStr">
        <is>
          <t>São Paulo</t>
        </is>
      </c>
      <c r="G353" s="24" t="inlineStr">
        <is>
          <t>Chapecoense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300</v>
      </c>
      <c r="M353" s="27" t="n">
        <v>4</v>
      </c>
      <c r="N353" s="28" t="n">
        <v>0.25</v>
      </c>
      <c r="O353" s="28" t="n">
        <v>0.451659</v>
      </c>
      <c r="P353" s="28" t="n">
        <v>0.2</v>
      </c>
      <c r="Q353" s="28" t="n">
        <v>0.201659</v>
      </c>
      <c r="R353" s="26" t="n">
        <v>31</v>
      </c>
      <c r="S353" s="29" t="n">
        <v>1</v>
      </c>
      <c r="T353" s="24" t="inlineStr">
        <is>
          <t>soccer-poisson-dc-v1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/>
      <c r="AA353" s="28" t="n"/>
      <c r="AB353" s="28" t="n"/>
      <c r="AC353" s="30" t="n">
        <v>3</v>
      </c>
      <c r="AD353" s="24" t="inlineStr">
        <is>
          <t>2026-08-24T01:34:53.274430Z</t>
        </is>
      </c>
      <c r="AE353" s="31" t="inlineStr">
        <is>
          <t>Poisson-DC rates 1.59 (home) / 1.20 (away) from EWMA attack/defense strengths. Executable ask 0.2500 (atc-bra-cha-sao-2026-08-23-cha).</t>
        </is>
      </c>
      <c r="AF353" s="31" t="inlineStr">
        <is>
          <t>Research-only soccer score model; draw-aware, but not yet locked-holdout qualified.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São Paulo</t>
        </is>
      </c>
      <c r="AQ353" s="24" t="inlineStr">
        <is>
          <t>São Paulo</t>
        </is>
      </c>
      <c r="AR353" s="24" t="inlineStr">
        <is>
          <t>São Paulo</t>
        </is>
      </c>
      <c r="AS353" s="24" t="inlineStr">
        <is>
          <t>Chapecoense</t>
        </is>
      </c>
      <c r="AT353" s="24" t="inlineStr">
        <is>
          <t>Chapecoense</t>
        </is>
      </c>
      <c r="AU353" s="24" t="inlineStr">
        <is>
          <t>Chapecoense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f585a7f3cb7ee04f9a319a60fa601ef15e86636fadaaa8c1380ac0f28f75c58a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f585a7f3cb7ee04f9a319a60fa601ef15e86636fadaaa8c1380ac0f28f75c58a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f585a7f3cb7ee04f9a319a60fa601ef15e86636fadaaa8c1380ac0f28f75c58a</t>
        </is>
      </c>
      <c r="BH353" s="24" t="inlineStr">
        <is>
          <t>2026-08-23T20:25:02.214419Z</t>
        </is>
      </c>
      <c r="BI353" s="24" t="inlineStr">
        <is>
          <t>["same_event","same_team_same_day","same_league_same_day"]</t>
        </is>
      </c>
      <c r="BJ353" s="25" t="n"/>
      <c r="BK353" s="26" t="n">
        <v>300</v>
      </c>
      <c r="BL353" s="27" t="n">
        <v>4</v>
      </c>
      <c r="BM353" s="28" t="n">
        <v>0.25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0.25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06afd5f6d0e141eb</t>
        </is>
      </c>
      <c r="B354" s="24" t="inlineStr">
        <is>
          <t>2026-08-23T20:27:44.723876Z</t>
        </is>
      </c>
      <c r="C354" s="24" t="inlineStr">
        <is>
          <t>2026-08-23T21:30Z</t>
        </is>
      </c>
      <c r="D354" s="24" t="inlineStr">
        <is>
          <t>401841201</t>
        </is>
      </c>
      <c r="E354" s="24" t="inlineStr">
        <is>
          <t>SOCCER</t>
        </is>
      </c>
      <c r="F354" s="24" t="inlineStr">
        <is>
          <t>Mirassol</t>
        </is>
      </c>
      <c r="G354" s="24" t="inlineStr">
        <is>
          <t>Santos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-113</v>
      </c>
      <c r="M354" s="27" t="n">
        <v>1.884956</v>
      </c>
      <c r="N354" s="28" t="n">
        <v>0.530516</v>
      </c>
      <c r="O354" s="28" t="n">
        <v>0.440521</v>
      </c>
      <c r="P354" s="28" t="n">
        <v>0.2</v>
      </c>
      <c r="Q354" s="28" t="n">
        <v>-0.08999500000000001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1</v>
      </c>
      <c r="Y354" s="25" t="n"/>
      <c r="Z354" s="26" t="n"/>
      <c r="AA354" s="28" t="n"/>
      <c r="AB354" s="28" t="n"/>
      <c r="AC354" s="30" t="n">
        <v>-1</v>
      </c>
      <c r="AD354" s="24" t="inlineStr">
        <is>
          <t>2026-08-24T01:34:55.718636Z</t>
        </is>
      </c>
      <c r="AE354" s="31" t="inlineStr">
        <is>
          <t>Poisson-DC rates 1.46 (home) / 1.10 (away) from EWMA attack/defense strengths. Executable ask 0.5300 (atc-bra-san-mir-2026-08-23-san).</t>
        </is>
      </c>
      <c r="AF354" s="31" t="inlineStr">
        <is>
          <t>Research-only soccer score model; draw-aware, but not yet locked-holdout qualified.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Mirassol</t>
        </is>
      </c>
      <c r="AQ354" s="24" t="inlineStr">
        <is>
          <t>Mirassol</t>
        </is>
      </c>
      <c r="AR354" s="24" t="inlineStr">
        <is>
          <t>Mirassol</t>
        </is>
      </c>
      <c r="AS354" s="24" t="inlineStr">
        <is>
          <t>Santos</t>
        </is>
      </c>
      <c r="AT354" s="24" t="inlineStr">
        <is>
          <t>Santos</t>
        </is>
      </c>
      <c r="AU354" s="24" t="inlineStr">
        <is>
          <t>Santos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f585a7f3cb7ee04f9a319a60fa601ef15e86636fadaaa8c1380ac0f28f75c58a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f585a7f3cb7ee04f9a319a60fa601ef15e86636fadaaa8c1380ac0f28f75c58a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f585a7f3cb7ee04f9a319a60fa601ef15e86636fadaaa8c1380ac0f28f75c58a</t>
        </is>
      </c>
      <c r="BH354" s="24" t="inlineStr">
        <is>
          <t>2026-08-23T20:25:02.222308Z</t>
        </is>
      </c>
      <c r="BI354" s="24" t="inlineStr">
        <is>
          <t>["same_event","same_team_same_day","same_league_same_day"]</t>
        </is>
      </c>
      <c r="BJ354" s="25" t="n"/>
      <c r="BK354" s="26" t="n">
        <v>-113</v>
      </c>
      <c r="BL354" s="27" t="n">
        <v>1.884956</v>
      </c>
      <c r="BM354" s="28" t="n">
        <v>0.530516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0.530516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a5541813414648ab</t>
        </is>
      </c>
      <c r="B355" s="24" t="inlineStr">
        <is>
          <t>2026-08-23T20:27:44.723876Z</t>
        </is>
      </c>
      <c r="C355" s="24" t="inlineStr">
        <is>
          <t>2026-08-23T22:30Z</t>
        </is>
      </c>
      <c r="D355" s="24" t="inlineStr">
        <is>
          <t>401841207</t>
        </is>
      </c>
      <c r="E355" s="24" t="inlineStr">
        <is>
          <t>SOCCER</t>
        </is>
      </c>
      <c r="F355" s="24" t="inlineStr">
        <is>
          <t>Corinthians</t>
        </is>
      </c>
      <c r="G355" s="24" t="inlineStr">
        <is>
          <t>Coritiba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212</v>
      </c>
      <c r="M355" s="27" t="n">
        <v>3.12</v>
      </c>
      <c r="N355" s="28" t="n">
        <v>0.320513</v>
      </c>
      <c r="O355" s="28" t="n">
        <v>0.456135</v>
      </c>
      <c r="P355" s="28" t="n">
        <v>0.2</v>
      </c>
      <c r="Q355" s="28" t="n">
        <v>0.135622</v>
      </c>
      <c r="R355" s="26" t="n">
        <v>0</v>
      </c>
      <c r="S355" s="29" t="n">
        <v>1</v>
      </c>
      <c r="T355" s="24" t="inlineStr">
        <is>
          <t>soccer-poisson-dc-v1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2</v>
      </c>
      <c r="Y355" s="25" t="n"/>
      <c r="Z355" s="26" t="n"/>
      <c r="AA355" s="28" t="n"/>
      <c r="AB355" s="28" t="n"/>
      <c r="AC355" s="30" t="n">
        <v>2.12</v>
      </c>
      <c r="AD355" s="24" t="inlineStr">
        <is>
          <t>2026-08-24T01:34:58.323336Z</t>
        </is>
      </c>
      <c r="AE355" s="31" t="inlineStr">
        <is>
          <t>Poisson-DC rates 1.64 (home) / 1.24 (away) from EWMA attack/defense strengths. Executable ask 0.3200 (atc-bra-cor-scp-2026-08-23-cor).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PAPER_CALL_MODEL_UNVALIDATED</t>
        </is>
      </c>
      <c r="AP355" s="24" t="inlineStr">
        <is>
          <t>Corinthians</t>
        </is>
      </c>
      <c r="AQ355" s="24" t="inlineStr">
        <is>
          <t>Corinthians</t>
        </is>
      </c>
      <c r="AR355" s="24" t="inlineStr">
        <is>
          <t>Corinthians</t>
        </is>
      </c>
      <c r="AS355" s="24" t="inlineStr">
        <is>
          <t>Coritiba</t>
        </is>
      </c>
      <c r="AT355" s="24" t="inlineStr">
        <is>
          <t>Coritiba</t>
        </is>
      </c>
      <c r="AU355" s="24" t="inlineStr">
        <is>
          <t>Coritiba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f585a7f3cb7ee04f9a319a60fa601ef15e86636fadaaa8c1380ac0f28f75c58a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f585a7f3cb7ee04f9a319a60fa601ef15e86636fadaaa8c1380ac0f28f75c58a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f585a7f3cb7ee04f9a319a60fa601ef15e86636fadaaa8c1380ac0f28f75c58a</t>
        </is>
      </c>
      <c r="BH355" s="24" t="inlineStr">
        <is>
          <t>2026-08-23T20:25:02.218568Z</t>
        </is>
      </c>
      <c r="BI355" s="24" t="inlineStr">
        <is>
          <t>["same_event","same_team_same_day","same_league_same_day"]</t>
        </is>
      </c>
      <c r="BJ355" s="25" t="n"/>
      <c r="BK355" s="26" t="n">
        <v>212</v>
      </c>
      <c r="BL355" s="27" t="n">
        <v>3.12</v>
      </c>
      <c r="BM355" s="28" t="n">
        <v>0.320513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0.320513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2ec8f6a76684421e</t>
        </is>
      </c>
      <c r="B356" s="24" t="inlineStr">
        <is>
          <t>2026-08-23T20:27:44.723876Z</t>
        </is>
      </c>
      <c r="C356" s="24" t="inlineStr">
        <is>
          <t>2026-08-23T21:30Z</t>
        </is>
      </c>
      <c r="D356" s="24" t="inlineStr">
        <is>
          <t>401909199</t>
        </is>
      </c>
      <c r="E356" s="24" t="inlineStr">
        <is>
          <t>SOCCER</t>
        </is>
      </c>
      <c r="F356" s="24" t="inlineStr">
        <is>
          <t>Progreso</t>
        </is>
      </c>
      <c r="G356" s="24" t="inlineStr">
        <is>
          <t>Nacional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-213</v>
      </c>
      <c r="M356" s="27" t="n">
        <v>1.469484</v>
      </c>
      <c r="N356" s="28" t="n">
        <v>0.680511</v>
      </c>
      <c r="O356" s="28" t="n">
        <v>0.405579</v>
      </c>
      <c r="P356" s="28" t="n">
        <v>0.2</v>
      </c>
      <c r="Q356" s="28" t="n">
        <v>-0.274932</v>
      </c>
      <c r="R356" s="26" t="n">
        <v>0</v>
      </c>
      <c r="S356" s="29" t="n">
        <v>1</v>
      </c>
      <c r="T356" s="24" t="inlineStr">
        <is>
          <t>soccer-poisson-dc-v1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/>
      <c r="AA356" s="28" t="n"/>
      <c r="AB356" s="28" t="n"/>
      <c r="AC356" s="30" t="n">
        <v>0.4695</v>
      </c>
      <c r="AD356" s="24" t="inlineStr">
        <is>
          <t>2026-08-24T01:35:01.143942Z</t>
        </is>
      </c>
      <c r="AE356" s="31" t="inlineStr">
        <is>
          <t>Poisson-DC rates 1.31 (home) / 1.08 (away) from EWMA attack/defense strengths. Executable ask 0.6800 (atc-uru1-nac-pro-2026-08-23-nac).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PAPER_CALL_MODEL_UNVALIDATED</t>
        </is>
      </c>
      <c r="AP356" s="24" t="inlineStr">
        <is>
          <t>Progreso</t>
        </is>
      </c>
      <c r="AQ356" s="24" t="inlineStr">
        <is>
          <t>Progreso</t>
        </is>
      </c>
      <c r="AR356" s="24" t="inlineStr">
        <is>
          <t>Progreso</t>
        </is>
      </c>
      <c r="AS356" s="24" t="inlineStr">
        <is>
          <t>Nacional</t>
        </is>
      </c>
      <c r="AT356" s="24" t="inlineStr">
        <is>
          <t>Nacional</t>
        </is>
      </c>
      <c r="AU356" s="24" t="inlineStr">
        <is>
          <t>Nacional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f585a7f3cb7ee04f9a319a60fa601ef15e86636fadaaa8c1380ac0f28f75c58a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f585a7f3cb7ee04f9a319a60fa601ef15e86636fadaaa8c1380ac0f28f75c58a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f585a7f3cb7ee04f9a319a60fa601ef15e86636fadaaa8c1380ac0f28f75c58a</t>
        </is>
      </c>
      <c r="BH356" s="24" t="inlineStr">
        <is>
          <t>2026-08-23T20:25:02.449634Z</t>
        </is>
      </c>
      <c r="BI356" s="24" t="inlineStr">
        <is>
          <t>["same_event","same_team_same_day","same_league_same_day"]</t>
        </is>
      </c>
      <c r="BJ356" s="25" t="n"/>
      <c r="BK356" s="26" t="n">
        <v>-213</v>
      </c>
      <c r="BL356" s="27" t="n">
        <v>1.469484</v>
      </c>
      <c r="BM356" s="28" t="n">
        <v>0.680511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0.680511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faecce6ba80148cf</t>
        </is>
      </c>
      <c r="B357" s="24" t="inlineStr">
        <is>
          <t>2026-08-23T20:27:44.723876Z</t>
        </is>
      </c>
      <c r="C357" s="24" t="inlineStr">
        <is>
          <t>2026-08-23T20:30Z</t>
        </is>
      </c>
      <c r="D357" s="24" t="inlineStr">
        <is>
          <t>401886225</t>
        </is>
      </c>
      <c r="E357" s="24" t="inlineStr">
        <is>
          <t>SOCCER</t>
        </is>
      </c>
      <c r="F357" s="24" t="inlineStr">
        <is>
          <t>Alianza Lima</t>
        </is>
      </c>
      <c r="G357" s="24" t="inlineStr">
        <is>
          <t>Melgar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117</v>
      </c>
      <c r="M357" s="27" t="n">
        <v>2.17</v>
      </c>
      <c r="N357" s="28" t="n">
        <v>0.460829</v>
      </c>
      <c r="O357" s="28" t="n">
        <v>0.456135</v>
      </c>
      <c r="P357" s="28" t="n">
        <v>0.2</v>
      </c>
      <c r="Q357" s="28" t="n">
        <v>-0.004694</v>
      </c>
      <c r="R357" s="26" t="n">
        <v>0</v>
      </c>
      <c r="S357" s="29" t="n">
        <v>1</v>
      </c>
      <c r="T357" s="24" t="inlineStr">
        <is>
          <t>soccer-poisson-dc-v1</t>
        </is>
      </c>
      <c r="U357" s="24" t="inlineStr">
        <is>
          <t>settled</t>
        </is>
      </c>
      <c r="V357" s="24" t="inlineStr">
        <is>
          <t>loss</t>
        </is>
      </c>
      <c r="W357" s="26" t="n">
        <v>1</v>
      </c>
      <c r="X357" s="26" t="n">
        <v>1</v>
      </c>
      <c r="Y357" s="25" t="n"/>
      <c r="Z357" s="26" t="n"/>
      <c r="AA357" s="28" t="n"/>
      <c r="AB357" s="28" t="n"/>
      <c r="AC357" s="30" t="n">
        <v>-1</v>
      </c>
      <c r="AD357" s="24" t="inlineStr">
        <is>
          <t>2026-08-24T01:35:04.022366Z</t>
        </is>
      </c>
      <c r="AE357" s="31" t="inlineStr">
        <is>
          <t>Poisson-DC rates 1.64 (home) / 1.24 (away) from EWMA attack/defense strengths. Executable ask 0.4600 (atc-pl1-mel-ali-2026-08-23-mel).</t>
        </is>
      </c>
      <c r="AF357" s="31" t="inlineStr">
        <is>
          <t>Research-only soccer score model; draw-aware, but not yet locked-holdout qualified.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PAPER_CALL_MODEL_UNVALIDATED</t>
        </is>
      </c>
      <c r="AP357" s="24" t="inlineStr">
        <is>
          <t>Alianza Lima</t>
        </is>
      </c>
      <c r="AQ357" s="24" t="inlineStr">
        <is>
          <t>Alianza Lima</t>
        </is>
      </c>
      <c r="AR357" s="24" t="inlineStr">
        <is>
          <t>Alianza Lima</t>
        </is>
      </c>
      <c r="AS357" s="24" t="inlineStr">
        <is>
          <t>Melgar</t>
        </is>
      </c>
      <c r="AT357" s="24" t="inlineStr">
        <is>
          <t>Melgar</t>
        </is>
      </c>
      <c r="AU357" s="24" t="inlineStr">
        <is>
          <t>Melgar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f585a7f3cb7ee04f9a319a60fa601ef15e86636fadaaa8c1380ac0f28f75c58a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f585a7f3cb7ee04f9a319a60fa601ef15e86636fadaaa8c1380ac0f28f75c58a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f585a7f3cb7ee04f9a319a60fa601ef15e86636fadaaa8c1380ac0f28f75c58a</t>
        </is>
      </c>
      <c r="BH357" s="24" t="inlineStr">
        <is>
          <t>2026-08-23T20:25:02.494225Z</t>
        </is>
      </c>
      <c r="BI357" s="24" t="inlineStr">
        <is>
          <t>["same_event","same_team_same_day","same_league_same_day"]</t>
        </is>
      </c>
      <c r="BJ357" s="25" t="n"/>
      <c r="BK357" s="26" t="n">
        <v>117</v>
      </c>
      <c r="BL357" s="27" t="n">
        <v>2.17</v>
      </c>
      <c r="BM357" s="28" t="n">
        <v>0.460829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0.460829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5ffe4d4b8f2b46e3</t>
        </is>
      </c>
      <c r="B358" s="24" t="inlineStr">
        <is>
          <t>2026-08-23T22:31:14.918987Z</t>
        </is>
      </c>
      <c r="C358" s="24" t="inlineStr">
        <is>
          <t>2026-08-23T23:00Z</t>
        </is>
      </c>
      <c r="D358" s="24" t="inlineStr">
        <is>
          <t>761754</t>
        </is>
      </c>
      <c r="E358" s="24" t="inlineStr">
        <is>
          <t>SOCCER</t>
        </is>
      </c>
      <c r="F358" s="24" t="inlineStr">
        <is>
          <t>Sporting Kansas City</t>
        </is>
      </c>
      <c r="G358" s="24" t="inlineStr">
        <is>
          <t>Atlanta United FC</t>
        </is>
      </c>
      <c r="H358" s="24" t="inlineStr">
        <is>
          <t>total</t>
        </is>
      </c>
      <c r="I358" s="24" t="inlineStr">
        <is>
          <t>over</t>
        </is>
      </c>
      <c r="J358" s="25" t="n">
        <v>2.5</v>
      </c>
      <c r="K358" s="24" t="inlineStr">
        <is>
          <t>polymarket_us</t>
        </is>
      </c>
      <c r="L358" s="26" t="n">
        <v>-178</v>
      </c>
      <c r="M358" s="27" t="n">
        <v>1.561798</v>
      </c>
      <c r="N358" s="28" t="n">
        <v>0.640288</v>
      </c>
      <c r="O358" s="28" t="n">
        <v>0.59797</v>
      </c>
      <c r="P358" s="28" t="n">
        <v>0.04</v>
      </c>
      <c r="Q358" s="28" t="n">
        <v>-0.042318</v>
      </c>
      <c r="R358" s="26" t="n">
        <v>5</v>
      </c>
      <c r="S358" s="29" t="n">
        <v>1</v>
      </c>
      <c r="T358" s="24" t="inlineStr">
        <is>
          <t>soccer-poisson-dc-v1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2</v>
      </c>
      <c r="Y358" s="25" t="n"/>
      <c r="Z358" s="26" t="n"/>
      <c r="AA358" s="28" t="n"/>
      <c r="AB358" s="28" t="n"/>
      <c r="AC358" s="30" t="n">
        <v>0.5618</v>
      </c>
      <c r="AD358" s="24" t="inlineStr">
        <is>
          <t>2026-08-24T01:36:09.026468Z</t>
        </is>
      </c>
      <c r="AE358" s="31" t="inlineStr">
        <is>
          <t>Poisson-DC rates 1.91 (home) / 1.18 (away) from EWMA attack/defense strengths. Executable ask 0.6400 (tsc-mls-atl-skc-2026-08-23-2pt5).</t>
        </is>
      </c>
      <c r="AF358" s="31" t="inlineStr">
        <is>
          <t>Research-only soccer score model; draw-aware, but not yet locked-holdout qualified.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Sporting Kansas City</t>
        </is>
      </c>
      <c r="AQ358" s="24" t="inlineStr">
        <is>
          <t>Sporting Kansas City</t>
        </is>
      </c>
      <c r="AR358" s="24" t="inlineStr">
        <is>
          <t>Sporting Kansas City</t>
        </is>
      </c>
      <c r="AS358" s="24" t="inlineStr">
        <is>
          <t>Atlanta United FC</t>
        </is>
      </c>
      <c r="AT358" s="24" t="inlineStr">
        <is>
          <t>Atlanta United FC</t>
        </is>
      </c>
      <c r="AU358" s="24" t="inlineStr">
        <is>
          <t>Atlanta United FC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f585a7f3cb7ee04f9a319a60fa601ef15e86636fadaaa8c1380ac0f28f75c58a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f585a7f3cb7ee04f9a319a60fa601ef15e86636fadaaa8c1380ac0f28f75c58a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f585a7f3cb7ee04f9a319a60fa601ef15e86636fadaaa8c1380ac0f28f75c58a</t>
        </is>
      </c>
      <c r="BH358" s="24" t="inlineStr">
        <is>
          <t>2026-08-23T22:30:32.512344Z</t>
        </is>
      </c>
      <c r="BI358" s="24" t="inlineStr">
        <is>
          <t>["same_event","same_team_same_day","same_league_same_day"]</t>
        </is>
      </c>
      <c r="BJ358" s="25" t="n">
        <v>2.5</v>
      </c>
      <c r="BK358" s="26" t="n">
        <v>-178</v>
      </c>
      <c r="BL358" s="27" t="n">
        <v>1.561798</v>
      </c>
      <c r="BM358" s="28" t="n">
        <v>0.640288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0.640288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985d7b3bbafc47a5</t>
        </is>
      </c>
      <c r="B359" s="24" t="inlineStr">
        <is>
          <t>2026-08-23T22:31:14.918987Z</t>
        </is>
      </c>
      <c r="C359" s="24" t="inlineStr">
        <is>
          <t>2026-08-23T23:00Z</t>
        </is>
      </c>
      <c r="D359" s="24" t="inlineStr">
        <is>
          <t>761754</t>
        </is>
      </c>
      <c r="E359" s="24" t="inlineStr">
        <is>
          <t>SOCCER</t>
        </is>
      </c>
      <c r="F359" s="24" t="inlineStr">
        <is>
          <t>Sporting Kansas City</t>
        </is>
      </c>
      <c r="G359" s="24" t="inlineStr">
        <is>
          <t>Atlanta United FC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-138</v>
      </c>
      <c r="M359" s="27" t="n">
        <v>1.724638</v>
      </c>
      <c r="N359" s="28" t="n">
        <v>0.579832</v>
      </c>
      <c r="O359" s="28" t="n">
        <v>0.533311</v>
      </c>
      <c r="P359" s="28" t="n">
        <v>0.04</v>
      </c>
      <c r="Q359" s="28" t="n">
        <v>-0.046521</v>
      </c>
      <c r="R359" s="26" t="n">
        <v>3</v>
      </c>
      <c r="S359" s="29" t="n">
        <v>1</v>
      </c>
      <c r="T359" s="24" t="inlineStr">
        <is>
          <t>soccer-poisson-dc-v1</t>
        </is>
      </c>
      <c r="U359" s="24" t="inlineStr">
        <is>
          <t>settled</t>
        </is>
      </c>
      <c r="V359" s="24" t="inlineStr">
        <is>
          <t>win</t>
        </is>
      </c>
      <c r="W359" s="26" t="n">
        <v>1</v>
      </c>
      <c r="X359" s="26" t="n">
        <v>2</v>
      </c>
      <c r="Y359" s="25" t="n"/>
      <c r="Z359" s="26" t="n"/>
      <c r="AA359" s="28" t="n"/>
      <c r="AB359" s="28" t="n"/>
      <c r="AC359" s="30" t="n">
        <v>0.7246</v>
      </c>
      <c r="AD359" s="24" t="inlineStr">
        <is>
          <t>2026-08-24T01:36:12.839645Z</t>
        </is>
      </c>
      <c r="AE359" s="31" t="inlineStr">
        <is>
          <t>Poisson-DC rates 1.91 (home) / 1.18 (away) from EWMA attack/defense strengths. Executable ask 0.5800 (atc-mls-atl-skc-2026-08-23-atl).</t>
        </is>
      </c>
      <c r="AF359" s="31" t="inlineStr">
        <is>
          <t>Research-only soccer score model; draw-aware, but not yet locked-holdout qualified.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Sporting Kansas City</t>
        </is>
      </c>
      <c r="AQ359" s="24" t="inlineStr">
        <is>
          <t>Sporting Kansas City</t>
        </is>
      </c>
      <c r="AR359" s="24" t="inlineStr">
        <is>
          <t>Sporting Kansas City</t>
        </is>
      </c>
      <c r="AS359" s="24" t="inlineStr">
        <is>
          <t>Atlanta United FC</t>
        </is>
      </c>
      <c r="AT359" s="24" t="inlineStr">
        <is>
          <t>Atlanta United FC</t>
        </is>
      </c>
      <c r="AU359" s="24" t="inlineStr">
        <is>
          <t>Atlanta United FC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f585a7f3cb7ee04f9a319a60fa601ef15e86636fadaaa8c1380ac0f28f75c58a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f585a7f3cb7ee04f9a319a60fa601ef15e86636fadaaa8c1380ac0f28f75c58a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f585a7f3cb7ee04f9a319a60fa601ef15e86636fadaaa8c1380ac0f28f75c58a</t>
        </is>
      </c>
      <c r="BH359" s="24" t="inlineStr">
        <is>
          <t>2026-08-23T22:30:32.421227Z</t>
        </is>
      </c>
      <c r="BI359" s="24" t="inlineStr">
        <is>
          <t>["same_event","same_team_same_day","same_league_same_day"]</t>
        </is>
      </c>
      <c r="BJ359" s="25" t="n"/>
      <c r="BK359" s="26" t="n">
        <v>-138</v>
      </c>
      <c r="BL359" s="27" t="n">
        <v>1.724638</v>
      </c>
      <c r="BM359" s="28" t="n">
        <v>0.579832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0.579832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c6b3a63f956647dd</t>
        </is>
      </c>
      <c r="B360" s="24" t="inlineStr">
        <is>
          <t>2026-08-23T22:31:14.918987Z</t>
        </is>
      </c>
      <c r="C360" s="24" t="inlineStr">
        <is>
          <t>2026-08-24T00:30Z</t>
        </is>
      </c>
      <c r="D360" s="24" t="inlineStr">
        <is>
          <t>401841517</t>
        </is>
      </c>
      <c r="E360" s="24" t="inlineStr">
        <is>
          <t>SOCCER</t>
        </is>
      </c>
      <c r="F360" s="24" t="inlineStr">
        <is>
          <t>Boca Juniors</t>
        </is>
      </c>
      <c r="G360" s="24" t="inlineStr">
        <is>
          <t>Racing Club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233</v>
      </c>
      <c r="M360" s="27" t="n">
        <v>3.33</v>
      </c>
      <c r="N360" s="28" t="n">
        <v>0.3003</v>
      </c>
      <c r="O360" s="28" t="n">
        <v>0.42394</v>
      </c>
      <c r="P360" s="28" t="n">
        <v>0.19</v>
      </c>
      <c r="Q360" s="28" t="n">
        <v>0.12364</v>
      </c>
      <c r="R360" s="26" t="n">
        <v>0</v>
      </c>
      <c r="S360" s="29" t="n">
        <v>1</v>
      </c>
      <c r="T360" s="24" t="inlineStr">
        <is>
          <t>soccer-poisson-dc-v1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1</v>
      </c>
      <c r="Y360" s="25" t="n"/>
      <c r="Z360" s="26" t="n"/>
      <c r="AA360" s="28" t="n"/>
      <c r="AB360" s="28" t="n"/>
      <c r="AC360" s="30" t="n">
        <v>-1</v>
      </c>
      <c r="AD360" s="24" t="inlineStr">
        <is>
          <t>2026-08-24T03:20:09.245022Z</t>
        </is>
      </c>
      <c r="AE360" s="31" t="inlineStr">
        <is>
          <t>Poisson-DC rates 1.52 (home) / 1.25 (away) from EWMA attack/defense strengths. Executable ask 0.3000 (atc-lpa-rac-boc-2026-08-23-rac).</t>
        </is>
      </c>
      <c r="AF360" s="31" t="inlineStr">
        <is>
          <t>Research-only soccer score model; draw-aware, but not yet locked-holdout qualified.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PAPER_CALL_MODEL_UNVALIDATED</t>
        </is>
      </c>
      <c r="AP360" s="24" t="inlineStr">
        <is>
          <t>Boca Juniors</t>
        </is>
      </c>
      <c r="AQ360" s="24" t="inlineStr">
        <is>
          <t>Boca Juniors</t>
        </is>
      </c>
      <c r="AR360" s="24" t="inlineStr">
        <is>
          <t>Boca Juniors</t>
        </is>
      </c>
      <c r="AS360" s="24" t="inlineStr">
        <is>
          <t>Racing Club</t>
        </is>
      </c>
      <c r="AT360" s="24" t="inlineStr">
        <is>
          <t>Racing Club</t>
        </is>
      </c>
      <c r="AU360" s="24" t="inlineStr">
        <is>
          <t>Racing Club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f585a7f3cb7ee04f9a319a60fa601ef15e86636fadaaa8c1380ac0f28f75c58a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f585a7f3cb7ee04f9a319a60fa601ef15e86636fadaaa8c1380ac0f28f75c58a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f585a7f3cb7ee04f9a319a60fa601ef15e86636fadaaa8c1380ac0f28f75c58a</t>
        </is>
      </c>
      <c r="BH360" s="24" t="inlineStr">
        <is>
          <t>2026-08-23T22:30:32.593235Z</t>
        </is>
      </c>
      <c r="BI360" s="24" t="inlineStr">
        <is>
          <t>["same_event","same_team_same_day","same_league_same_day"]</t>
        </is>
      </c>
      <c r="BJ360" s="25" t="n"/>
      <c r="BK360" s="26" t="n">
        <v>233</v>
      </c>
      <c r="BL360" s="27" t="n">
        <v>3.33</v>
      </c>
      <c r="BM360" s="28" t="n">
        <v>0.3003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0.3003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d27403548bde4605</t>
        </is>
      </c>
      <c r="B361" s="24" t="inlineStr">
        <is>
          <t>2026-08-23T22:31:14.918987Z</t>
        </is>
      </c>
      <c r="C361" s="24" t="inlineStr">
        <is>
          <t>2026-08-23T23:00Z</t>
        </is>
      </c>
      <c r="D361" s="24" t="inlineStr">
        <is>
          <t>401850632</t>
        </is>
      </c>
      <c r="E361" s="24" t="inlineStr">
        <is>
          <t>SOCCER</t>
        </is>
      </c>
      <c r="F361" s="24" t="inlineStr">
        <is>
          <t>Palestino</t>
        </is>
      </c>
      <c r="G361" s="24" t="inlineStr">
        <is>
          <t>O'Higgins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285</v>
      </c>
      <c r="M361" s="27" t="n">
        <v>3.85</v>
      </c>
      <c r="N361" s="28" t="n">
        <v>0.25974</v>
      </c>
      <c r="O361" s="28" t="n">
        <v>0.396866</v>
      </c>
      <c r="P361" s="28" t="n">
        <v>0.19</v>
      </c>
      <c r="Q361" s="28" t="n">
        <v>0.137126</v>
      </c>
      <c r="R361" s="26" t="n">
        <v>5</v>
      </c>
      <c r="S361" s="29" t="n">
        <v>1</v>
      </c>
      <c r="T361" s="24" t="inlineStr">
        <is>
          <t>soccer-poisson-dc-v1</t>
        </is>
      </c>
      <c r="U361" s="24" t="inlineStr">
        <is>
          <t>settled</t>
        </is>
      </c>
      <c r="V361" s="24" t="inlineStr">
        <is>
          <t>win</t>
        </is>
      </c>
      <c r="W361" s="26" t="n">
        <v>1</v>
      </c>
      <c r="X361" s="26" t="n">
        <v>0</v>
      </c>
      <c r="Y361" s="25" t="n"/>
      <c r="Z361" s="26" t="n"/>
      <c r="AA361" s="28" t="n"/>
      <c r="AB361" s="28" t="n"/>
      <c r="AC361" s="30" t="n">
        <v>2.85</v>
      </c>
      <c r="AD361" s="24" t="inlineStr">
        <is>
          <t>2026-08-24T01:36:16.370902Z</t>
        </is>
      </c>
      <c r="AE361" s="31" t="inlineStr">
        <is>
          <t>Poisson-DC rates 1.30 (home) / 1.46 (away) from EWMA attack/defense strengths. Executable ask 0.2600 (atc-pdc-ohi-pal-2026-08-23-pal).</t>
        </is>
      </c>
      <c r="AF361" s="31" t="inlineStr">
        <is>
          <t>Research-only soccer score model; draw-aware, but not yet locked-holdout qualified.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Palestino</t>
        </is>
      </c>
      <c r="AQ361" s="24" t="inlineStr">
        <is>
          <t>Palestino</t>
        </is>
      </c>
      <c r="AR361" s="24" t="inlineStr">
        <is>
          <t>Palestino</t>
        </is>
      </c>
      <c r="AS361" s="24" t="inlineStr">
        <is>
          <t>O'Higgins</t>
        </is>
      </c>
      <c r="AT361" s="24" t="inlineStr">
        <is>
          <t>O'Higgins</t>
        </is>
      </c>
      <c r="AU361" s="24" t="inlineStr">
        <is>
          <t>O'Higgins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f585a7f3cb7ee04f9a319a60fa601ef15e86636fadaaa8c1380ac0f28f75c58a</t>
        </is>
      </c>
      <c r="BB361" s="24" t="inlineStr">
        <is>
          <t>poisson_dixon_coles</t>
        </is>
      </c>
      <c r="BC361" s="24" t="inlineStr">
        <is>
          <t>soccer-poisson-dc-v1</t>
        </is>
      </c>
      <c r="BD361" s="24" t="inlineStr">
        <is>
          <t>f585a7f3cb7ee04f9a319a60fa601ef15e86636fadaaa8c1380ac0f28f75c58a</t>
        </is>
      </c>
      <c r="BE361" s="24" t="inlineStr">
        <is>
          <t>soccer-poisson-dc-v1</t>
        </is>
      </c>
      <c r="BF361" s="24" t="inlineStr">
        <is>
          <t>1</t>
        </is>
      </c>
      <c r="BG361" s="24" t="inlineStr">
        <is>
          <t>f585a7f3cb7ee04f9a319a60fa601ef15e86636fadaaa8c1380ac0f28f75c58a</t>
        </is>
      </c>
      <c r="BH361" s="24" t="inlineStr">
        <is>
          <t>2026-08-23T22:30:32.649708Z</t>
        </is>
      </c>
      <c r="BI361" s="24" t="inlineStr">
        <is>
          <t>["same_event","same_team_same_day","same_league_same_day"]</t>
        </is>
      </c>
      <c r="BJ361" s="25" t="n"/>
      <c r="BK361" s="26" t="n">
        <v>285</v>
      </c>
      <c r="BL361" s="27" t="n">
        <v>3.85</v>
      </c>
      <c r="BM361" s="28" t="n">
        <v>0.25974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0.25974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990c70d1da53444c</t>
        </is>
      </c>
      <c r="B362" s="24" t="inlineStr">
        <is>
          <t>2026-08-23T22:31:14.918987Z</t>
        </is>
      </c>
      <c r="C362" s="24" t="inlineStr">
        <is>
          <t>2026-08-23T23:30Z</t>
        </is>
      </c>
      <c r="D362" s="24" t="inlineStr">
        <is>
          <t>401886216</t>
        </is>
      </c>
      <c r="E362" s="24" t="inlineStr">
        <is>
          <t>SOCCER</t>
        </is>
      </c>
      <c r="F362" s="24" t="inlineStr">
        <is>
          <t>Los Chankas</t>
        </is>
      </c>
      <c r="G362" s="24" t="inlineStr">
        <is>
          <t>Universitario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-376</v>
      </c>
      <c r="M362" s="27" t="n">
        <v>1.265957</v>
      </c>
      <c r="N362" s="28" t="n">
        <v>0.789916</v>
      </c>
      <c r="O362" s="28" t="n">
        <v>0.483295</v>
      </c>
      <c r="P362" s="28" t="n">
        <v>0.2</v>
      </c>
      <c r="Q362" s="28" t="n">
        <v>-0.306621</v>
      </c>
      <c r="R362" s="26" t="n">
        <v>0</v>
      </c>
      <c r="S362" s="29" t="n">
        <v>1</v>
      </c>
      <c r="T362" s="24" t="inlineStr">
        <is>
          <t>soccer-poisson-dc-v1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3</v>
      </c>
      <c r="Y362" s="25" t="n"/>
      <c r="Z362" s="26" t="n"/>
      <c r="AA362" s="28" t="n"/>
      <c r="AB362" s="28" t="n"/>
      <c r="AC362" s="30" t="n">
        <v>0.266</v>
      </c>
      <c r="AD362" s="24" t="inlineStr">
        <is>
          <t>2026-08-24T01:36:19.817273Z</t>
        </is>
      </c>
      <c r="AE362" s="31" t="inlineStr">
        <is>
          <t>Poisson-DC rates 1.72 (home) / 1.20 (away) from EWMA attack/defense strengths. Executable ask 0.7900 (atc-pl1-uni-cha-2026-08-23-uni).</t>
        </is>
      </c>
      <c r="AF362" s="31" t="inlineStr">
        <is>
          <t>Research-only soccer score model; draw-aware, but not yet locked-holdout qualified.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Los Chankas</t>
        </is>
      </c>
      <c r="AQ362" s="24" t="inlineStr">
        <is>
          <t>Los Chankas</t>
        </is>
      </c>
      <c r="AR362" s="24" t="inlineStr">
        <is>
          <t>Los Chankas</t>
        </is>
      </c>
      <c r="AS362" s="24" t="inlineStr">
        <is>
          <t>Universitario</t>
        </is>
      </c>
      <c r="AT362" s="24" t="inlineStr">
        <is>
          <t>Universitario</t>
        </is>
      </c>
      <c r="AU362" s="24" t="inlineStr">
        <is>
          <t>Universitario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f585a7f3cb7ee04f9a319a60fa601ef15e86636fadaaa8c1380ac0f28f75c58a</t>
        </is>
      </c>
      <c r="BB362" s="24" t="inlineStr">
        <is>
          <t>poisson_dixon_coles</t>
        </is>
      </c>
      <c r="BC362" s="24" t="inlineStr">
        <is>
          <t>soccer-poisson-dc-v1</t>
        </is>
      </c>
      <c r="BD362" s="24" t="inlineStr">
        <is>
          <t>f585a7f3cb7ee04f9a319a60fa601ef15e86636fadaaa8c1380ac0f28f75c58a</t>
        </is>
      </c>
      <c r="BE362" s="24" t="inlineStr">
        <is>
          <t>soccer-poisson-dc-v1</t>
        </is>
      </c>
      <c r="BF362" s="24" t="inlineStr">
        <is>
          <t>1</t>
        </is>
      </c>
      <c r="BG362" s="24" t="inlineStr">
        <is>
          <t>f585a7f3cb7ee04f9a319a60fa601ef15e86636fadaaa8c1380ac0f28f75c58a</t>
        </is>
      </c>
      <c r="BH362" s="24" t="inlineStr">
        <is>
          <t>2026-08-23T22:30:32.698381Z</t>
        </is>
      </c>
      <c r="BI362" s="24" t="inlineStr">
        <is>
          <t>["same_event","same_team_same_day","same_league_same_day"]</t>
        </is>
      </c>
      <c r="BJ362" s="25" t="n"/>
      <c r="BK362" s="26" t="n">
        <v>-376</v>
      </c>
      <c r="BL362" s="27" t="n">
        <v>1.265957</v>
      </c>
      <c r="BM362" s="28" t="n">
        <v>0.789916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0.789916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a3de853106f846c2</t>
        </is>
      </c>
      <c r="B363" s="24" t="inlineStr">
        <is>
          <t>2026-08-24T16:28:03.673401Z</t>
        </is>
      </c>
      <c r="C363" s="24" t="inlineStr">
        <is>
          <t>2026-08-24T16:30Z</t>
        </is>
      </c>
      <c r="D363" s="24" t="inlineStr">
        <is>
          <t>401874927</t>
        </is>
      </c>
      <c r="E363" s="24" t="inlineStr">
        <is>
          <t>SOCCER</t>
        </is>
      </c>
      <c r="F363" s="24" t="inlineStr">
        <is>
          <t>Lazio</t>
        </is>
      </c>
      <c r="G363" s="24" t="inlineStr">
        <is>
          <t>Bologna</t>
        </is>
      </c>
      <c r="H363" s="24" t="inlineStr">
        <is>
          <t>total</t>
        </is>
      </c>
      <c r="I363" s="24" t="inlineStr">
        <is>
          <t>under</t>
        </is>
      </c>
      <c r="J363" s="25" t="n">
        <v>2.5</v>
      </c>
      <c r="K363" s="24" t="inlineStr">
        <is>
          <t>polymarket_us</t>
        </is>
      </c>
      <c r="L363" s="26" t="n">
        <v>-156</v>
      </c>
      <c r="M363" s="27" t="n">
        <v>1.641026</v>
      </c>
      <c r="N363" s="28" t="n">
        <v>0.609375</v>
      </c>
      <c r="O363" s="28" t="n">
        <v>0.621844</v>
      </c>
      <c r="P363" s="28" t="n">
        <v>0.04</v>
      </c>
      <c r="Q363" s="28" t="n">
        <v>0.012469</v>
      </c>
      <c r="R363" s="26" t="n">
        <v>32</v>
      </c>
      <c r="S363" s="29" t="n">
        <v>1</v>
      </c>
      <c r="T363" s="24" t="inlineStr">
        <is>
          <t>soccer-poisson-dc-v1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/>
      <c r="AA363" s="28" t="n"/>
      <c r="AB363" s="28" t="n"/>
      <c r="AC363" s="30" t="n">
        <v>0.641</v>
      </c>
      <c r="AD363" s="24" t="inlineStr">
        <is>
          <t>2026-08-24T20:36:37.919871Z</t>
        </is>
      </c>
      <c r="AE363" s="31" t="inlineStr">
        <is>
          <t>Poisson-DC rates 1.28 (home) / 0.92 (away) from EWMA attack/defense strengths. Executable ask 0.6100 (tsc-sea-bol-laz-2026-08-24-2pt5).</t>
        </is>
      </c>
      <c r="AF363" s="31" t="inlineStr">
        <is>
          <t>Research-only soccer score model; draw-aware, but not yet locked-holdout qualified.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Lazio</t>
        </is>
      </c>
      <c r="AQ363" s="24" t="inlineStr">
        <is>
          <t>Lazio</t>
        </is>
      </c>
      <c r="AR363" s="24" t="inlineStr">
        <is>
          <t>Lazio</t>
        </is>
      </c>
      <c r="AS363" s="24" t="inlineStr">
        <is>
          <t>Bologna</t>
        </is>
      </c>
      <c r="AT363" s="24" t="inlineStr">
        <is>
          <t>Bologna</t>
        </is>
      </c>
      <c r="AU363" s="24" t="inlineStr">
        <is>
          <t>Bologna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f585a7f3cb7ee04f9a319a60fa601ef15e86636fadaaa8c1380ac0f28f75c58a</t>
        </is>
      </c>
      <c r="BB363" s="24" t="inlineStr">
        <is>
          <t>poisson_dixon_coles</t>
        </is>
      </c>
      <c r="BC363" s="24" t="inlineStr">
        <is>
          <t>soccer-poisson-dc-v1</t>
        </is>
      </c>
      <c r="BD363" s="24" t="inlineStr">
        <is>
          <t>f585a7f3cb7ee04f9a319a60fa601ef15e86636fadaaa8c1380ac0f28f75c58a</t>
        </is>
      </c>
      <c r="BE363" s="24" t="inlineStr">
        <is>
          <t>soccer-poisson-dc-v1</t>
        </is>
      </c>
      <c r="BF363" s="24" t="inlineStr">
        <is>
          <t>1</t>
        </is>
      </c>
      <c r="BG363" s="24" t="inlineStr">
        <is>
          <t>f585a7f3cb7ee04f9a319a60fa601ef15e86636fadaaa8c1380ac0f28f75c58a</t>
        </is>
      </c>
      <c r="BH363" s="24" t="inlineStr">
        <is>
          <t>2026-08-24T16:27:00.922278Z</t>
        </is>
      </c>
      <c r="BI363" s="24" t="inlineStr">
        <is>
          <t>["same_event","same_team_same_day","same_league_same_day"]</t>
        </is>
      </c>
      <c r="BJ363" s="25" t="n">
        <v>2.5</v>
      </c>
      <c r="BK363" s="26" t="n">
        <v>-156</v>
      </c>
      <c r="BL363" s="27" t="n">
        <v>1.641026</v>
      </c>
      <c r="BM363" s="28" t="n">
        <v>0.609375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0.609375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0c50f59eebde455a</t>
        </is>
      </c>
      <c r="B364" s="24" t="inlineStr">
        <is>
          <t>2026-08-24T16:28:03.673401Z</t>
        </is>
      </c>
      <c r="C364" s="24" t="inlineStr">
        <is>
          <t>2026-08-24T16:30Z</t>
        </is>
      </c>
      <c r="D364" s="24" t="inlineStr">
        <is>
          <t>401874927</t>
        </is>
      </c>
      <c r="E364" s="24" t="inlineStr">
        <is>
          <t>SOCCER</t>
        </is>
      </c>
      <c r="F364" s="24" t="inlineStr">
        <is>
          <t>Lazio</t>
        </is>
      </c>
      <c r="G364" s="24" t="inlineStr">
        <is>
          <t>Bologna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156</v>
      </c>
      <c r="M364" s="27" t="n">
        <v>2.56</v>
      </c>
      <c r="N364" s="28" t="n">
        <v>0.390625</v>
      </c>
      <c r="O364" s="28" t="n">
        <v>0.432827</v>
      </c>
      <c r="P364" s="28" t="n">
        <v>0.04</v>
      </c>
      <c r="Q364" s="28" t="n">
        <v>0.042202</v>
      </c>
      <c r="R364" s="26" t="n">
        <v>47</v>
      </c>
      <c r="S364" s="29" t="n">
        <v>1</v>
      </c>
      <c r="T364" s="24" t="inlineStr">
        <is>
          <t>soccer-poisson-dc-v1</t>
        </is>
      </c>
      <c r="U364" s="24" t="inlineStr">
        <is>
          <t>settled</t>
        </is>
      </c>
      <c r="V364" s="24" t="inlineStr">
        <is>
          <t>loss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-1</v>
      </c>
      <c r="AD364" s="24" t="inlineStr">
        <is>
          <t>2026-08-24T20:36:39.770845Z</t>
        </is>
      </c>
      <c r="AE364" s="31" t="inlineStr">
        <is>
          <t>Poisson-DC rates 1.28 (home) / 0.92 (away) from EWMA attack/defense strengths. Executable ask 0.3900 (atc-sea-bol-laz-2026-08-24-bol).</t>
        </is>
      </c>
      <c r="AF364" s="31" t="inlineStr">
        <is>
          <t>Research-only soccer score model; draw-aware, but not yet locked-holdout qualified.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Lazio</t>
        </is>
      </c>
      <c r="AQ364" s="24" t="inlineStr">
        <is>
          <t>Lazio</t>
        </is>
      </c>
      <c r="AR364" s="24" t="inlineStr">
        <is>
          <t>Lazio</t>
        </is>
      </c>
      <c r="AS364" s="24" t="inlineStr">
        <is>
          <t>Bologna</t>
        </is>
      </c>
      <c r="AT364" s="24" t="inlineStr">
        <is>
          <t>Bologna</t>
        </is>
      </c>
      <c r="AU364" s="24" t="inlineStr">
        <is>
          <t>Bologna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f585a7f3cb7ee04f9a319a60fa601ef15e86636fadaaa8c1380ac0f28f75c58a</t>
        </is>
      </c>
      <c r="BB364" s="24" t="inlineStr">
        <is>
          <t>poisson_dixon_coles</t>
        </is>
      </c>
      <c r="BC364" s="24" t="inlineStr">
        <is>
          <t>soccer-poisson-dc-v1</t>
        </is>
      </c>
      <c r="BD364" s="24" t="inlineStr">
        <is>
          <t>f585a7f3cb7ee04f9a319a60fa601ef15e86636fadaaa8c1380ac0f28f75c58a</t>
        </is>
      </c>
      <c r="BE364" s="24" t="inlineStr">
        <is>
          <t>soccer-poisson-dc-v1</t>
        </is>
      </c>
      <c r="BF364" s="24" t="inlineStr">
        <is>
          <t>1</t>
        </is>
      </c>
      <c r="BG364" s="24" t="inlineStr">
        <is>
          <t>f585a7f3cb7ee04f9a319a60fa601ef15e86636fadaaa8c1380ac0f28f75c58a</t>
        </is>
      </c>
      <c r="BH364" s="24" t="inlineStr">
        <is>
          <t>2026-08-24T16:27:00.879462Z</t>
        </is>
      </c>
      <c r="BI364" s="24" t="inlineStr">
        <is>
          <t>["same_event","same_team_same_day","same_league_same_day"]</t>
        </is>
      </c>
      <c r="BJ364" s="25" t="n"/>
      <c r="BK364" s="26" t="n">
        <v>156</v>
      </c>
      <c r="BL364" s="27" t="n">
        <v>2.56</v>
      </c>
      <c r="BM364" s="28" t="n">
        <v>0.390625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0.390625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49a5cfd1c5c746ab</t>
        </is>
      </c>
      <c r="B365" s="24" t="inlineStr">
        <is>
          <t>2026-08-24T17:02:06.003206Z</t>
        </is>
      </c>
      <c r="C365" s="24" t="inlineStr">
        <is>
          <t>2026-08-24T17:30Z</t>
        </is>
      </c>
      <c r="D365" s="24" t="inlineStr">
        <is>
          <t>401882909</t>
        </is>
      </c>
      <c r="E365" s="24" t="inlineStr">
        <is>
          <t>SOCCER</t>
        </is>
      </c>
      <c r="F365" s="24" t="inlineStr">
        <is>
          <t>Levante</t>
        </is>
      </c>
      <c r="G365" s="24" t="inlineStr">
        <is>
          <t>Osasuna</t>
        </is>
      </c>
      <c r="H365" s="24" t="inlineStr">
        <is>
          <t>total</t>
        </is>
      </c>
      <c r="I365" s="24" t="inlineStr">
        <is>
          <t>over</t>
        </is>
      </c>
      <c r="J365" s="25" t="n">
        <v>2.5</v>
      </c>
      <c r="K365" s="24" t="inlineStr">
        <is>
          <t>polymarket_us</t>
        </is>
      </c>
      <c r="L365" s="26" t="n">
        <v>127</v>
      </c>
      <c r="M365" s="27" t="n">
        <v>2.27</v>
      </c>
      <c r="N365" s="28" t="n">
        <v>0.440529</v>
      </c>
      <c r="O365" s="28" t="n">
        <v>0.501587</v>
      </c>
      <c r="P365" s="28" t="n">
        <v>0.04</v>
      </c>
      <c r="Q365" s="28" t="n">
        <v>0.061058</v>
      </c>
      <c r="R365" s="26" t="n">
        <v>57</v>
      </c>
      <c r="S365" s="29" t="n">
        <v>1.25</v>
      </c>
      <c r="T365" s="24" t="inlineStr">
        <is>
          <t>soccer-poisson-dc-v1</t>
        </is>
      </c>
      <c r="U365" s="24" t="inlineStr">
        <is>
          <t>settled</t>
        </is>
      </c>
      <c r="V365" s="24" t="inlineStr">
        <is>
          <t>loss</t>
        </is>
      </c>
      <c r="W365" s="26" t="n">
        <v>0</v>
      </c>
      <c r="X365" s="26" t="n">
        <v>0</v>
      </c>
      <c r="Y365" s="25" t="n"/>
      <c r="Z365" s="26" t="n"/>
      <c r="AA365" s="28" t="n"/>
      <c r="AB365" s="28" t="n"/>
      <c r="AC365" s="30" t="n">
        <v>-1.25</v>
      </c>
      <c r="AD365" s="24" t="inlineStr">
        <is>
          <t>2026-08-24T20:37:08.181897Z</t>
        </is>
      </c>
      <c r="AE365" s="31" t="inlineStr">
        <is>
          <t>Poisson-DC rates 1.46 (home) / 1.22 (away) from EWMA attack/defense strengths. Executable ask 0.4400 (tsc-lal-osa-lev-2026-08-24-2pt5).</t>
        </is>
      </c>
      <c r="AF365" s="31" t="inlineStr">
        <is>
          <t>Research-only soccer score model; draw-aware, but not yet locked-holdout qualified.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Levante</t>
        </is>
      </c>
      <c r="AQ365" s="24" t="inlineStr">
        <is>
          <t>Levante</t>
        </is>
      </c>
      <c r="AR365" s="24" t="inlineStr">
        <is>
          <t>Levante</t>
        </is>
      </c>
      <c r="AS365" s="24" t="inlineStr">
        <is>
          <t>Osasuna</t>
        </is>
      </c>
      <c r="AT365" s="24" t="inlineStr">
        <is>
          <t>Osasuna</t>
        </is>
      </c>
      <c r="AU365" s="24" t="inlineStr">
        <is>
          <t>Osasuna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f585a7f3cb7ee04f9a319a60fa601ef15e86636fadaaa8c1380ac0f28f75c58a</t>
        </is>
      </c>
      <c r="BB365" s="24" t="inlineStr">
        <is>
          <t>poisson_dixon_coles</t>
        </is>
      </c>
      <c r="BC365" s="24" t="inlineStr">
        <is>
          <t>soccer-poisson-dc-v1</t>
        </is>
      </c>
      <c r="BD365" s="24" t="inlineStr">
        <is>
          <t>f585a7f3cb7ee04f9a319a60fa601ef15e86636fadaaa8c1380ac0f28f75c58a</t>
        </is>
      </c>
      <c r="BE365" s="24" t="inlineStr">
        <is>
          <t>soccer-poisson-dc-v1</t>
        </is>
      </c>
      <c r="BF365" s="24" t="inlineStr">
        <is>
          <t>1</t>
        </is>
      </c>
      <c r="BG365" s="24" t="inlineStr">
        <is>
          <t>f585a7f3cb7ee04f9a319a60fa601ef15e86636fadaaa8c1380ac0f28f75c58a</t>
        </is>
      </c>
      <c r="BH365" s="24" t="inlineStr">
        <is>
          <t>2026-08-24T17:01:09.132673Z</t>
        </is>
      </c>
      <c r="BI365" s="24" t="inlineStr">
        <is>
          <t>["same_event","same_team_same_day","same_league_same_day"]</t>
        </is>
      </c>
      <c r="BJ365" s="25" t="n">
        <v>2.5</v>
      </c>
      <c r="BK365" s="26" t="n">
        <v>127</v>
      </c>
      <c r="BL365" s="27" t="n">
        <v>2.27</v>
      </c>
      <c r="BM365" s="28" t="n">
        <v>0.440529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0.440529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95bf4c38bce14b96</t>
        </is>
      </c>
      <c r="B366" s="24" t="inlineStr">
        <is>
          <t>2026-08-24T17:02:06.003206Z</t>
        </is>
      </c>
      <c r="C366" s="24" t="inlineStr">
        <is>
          <t>2026-08-24T17:30Z</t>
        </is>
      </c>
      <c r="D366" s="24" t="inlineStr">
        <is>
          <t>401882909</t>
        </is>
      </c>
      <c r="E366" s="24" t="inlineStr">
        <is>
          <t>SOCCER</t>
        </is>
      </c>
      <c r="F366" s="24" t="inlineStr">
        <is>
          <t>Levante</t>
        </is>
      </c>
      <c r="G366" s="24" t="inlineStr">
        <is>
          <t>Osasuna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0.414732</v>
      </c>
      <c r="P366" s="28" t="n">
        <v>0.04</v>
      </c>
      <c r="Q366" s="28" t="n">
        <v>-0.104499</v>
      </c>
      <c r="R366" s="26" t="n">
        <v>0</v>
      </c>
      <c r="S366" s="29" t="n">
        <v>1</v>
      </c>
      <c r="T366" s="24" t="inlineStr">
        <is>
          <t>soccer-poisson-dc-v1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0</v>
      </c>
      <c r="Y366" s="25" t="n"/>
      <c r="Z366" s="26" t="n"/>
      <c r="AA366" s="28" t="n"/>
      <c r="AB366" s="28" t="n"/>
      <c r="AC366" s="30" t="n">
        <v>-1</v>
      </c>
      <c r="AD366" s="24" t="inlineStr">
        <is>
          <t>2026-08-24T20:37:10.200698Z</t>
        </is>
      </c>
      <c r="AE366" s="31" t="inlineStr">
        <is>
          <t>Poisson-DC rates 1.46 (home) / 1.22 (away) from EWMA attack/defense strengths. Executable ask 0.5200 (atc-lal-osa-lev-2026-08-24-osa).</t>
        </is>
      </c>
      <c r="AF366" s="31" t="inlineStr">
        <is>
          <t>Research-only soccer score model; draw-aware, but not yet locked-holdout qualified.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Levante</t>
        </is>
      </c>
      <c r="AQ366" s="24" t="inlineStr">
        <is>
          <t>Levante</t>
        </is>
      </c>
      <c r="AR366" s="24" t="inlineStr">
        <is>
          <t>Levante</t>
        </is>
      </c>
      <c r="AS366" s="24" t="inlineStr">
        <is>
          <t>Osasuna</t>
        </is>
      </c>
      <c r="AT366" s="24" t="inlineStr">
        <is>
          <t>Osasuna</t>
        </is>
      </c>
      <c r="AU366" s="24" t="inlineStr">
        <is>
          <t>Osasuna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f585a7f3cb7ee04f9a319a60fa601ef15e86636fadaaa8c1380ac0f28f75c58a</t>
        </is>
      </c>
      <c r="BB366" s="24" t="inlineStr">
        <is>
          <t>poisson_dixon_coles</t>
        </is>
      </c>
      <c r="BC366" s="24" t="inlineStr">
        <is>
          <t>soccer-poisson-dc-v1</t>
        </is>
      </c>
      <c r="BD366" s="24" t="inlineStr">
        <is>
          <t>f585a7f3cb7ee04f9a319a60fa601ef15e86636fadaaa8c1380ac0f28f75c58a</t>
        </is>
      </c>
      <c r="BE366" s="24" t="inlineStr">
        <is>
          <t>soccer-poisson-dc-v1</t>
        </is>
      </c>
      <c r="BF366" s="24" t="inlineStr">
        <is>
          <t>1</t>
        </is>
      </c>
      <c r="BG366" s="24" t="inlineStr">
        <is>
          <t>f585a7f3cb7ee04f9a319a60fa601ef15e86636fadaaa8c1380ac0f28f75c58a</t>
        </is>
      </c>
      <c r="BH366" s="24" t="inlineStr">
        <is>
          <t>2026-08-24T17:01:09.107961Z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c56ea8e9dad44717</t>
        </is>
      </c>
      <c r="B367" s="24" t="inlineStr">
        <is>
          <t>2026-08-24T18:08:52.427987Z</t>
        </is>
      </c>
      <c r="C367" s="24" t="inlineStr">
        <is>
          <t>2026-08-24T19:00Z</t>
        </is>
      </c>
      <c r="D367" s="24" t="inlineStr">
        <is>
          <t>401879318</t>
        </is>
      </c>
      <c r="E367" s="24" t="inlineStr">
        <is>
          <t>SOCCER</t>
        </is>
      </c>
      <c r="F367" s="24" t="inlineStr">
        <is>
          <t>Chelsea</t>
        </is>
      </c>
      <c r="G367" s="24" t="inlineStr">
        <is>
          <t>Fulham</t>
        </is>
      </c>
      <c r="H367" s="24" t="inlineStr">
        <is>
          <t>total</t>
        </is>
      </c>
      <c r="I367" s="24" t="inlineStr">
        <is>
          <t>under</t>
        </is>
      </c>
      <c r="J367" s="25" t="n">
        <v>2.5</v>
      </c>
      <c r="K367" s="24" t="inlineStr">
        <is>
          <t>polymarket_us</t>
        </is>
      </c>
      <c r="L367" s="26" t="n">
        <v>104</v>
      </c>
      <c r="M367" s="27" t="n">
        <v>2.04</v>
      </c>
      <c r="N367" s="28" t="n">
        <v>0.490196</v>
      </c>
      <c r="O367" s="28" t="n">
        <v>0.523556</v>
      </c>
      <c r="P367" s="28" t="n">
        <v>0.04</v>
      </c>
      <c r="Q367" s="28" t="n">
        <v>0.03336</v>
      </c>
      <c r="R367" s="26" t="n">
        <v>43</v>
      </c>
      <c r="S367" s="29" t="n">
        <v>1</v>
      </c>
      <c r="T367" s="24" t="inlineStr">
        <is>
          <t>soccer-poisson-dc-v1</t>
        </is>
      </c>
      <c r="U367" s="24" t="inlineStr">
        <is>
          <t>settled</t>
        </is>
      </c>
      <c r="V367" s="24" t="inlineStr">
        <is>
          <t>loss</t>
        </is>
      </c>
      <c r="W367" s="26" t="n">
        <v>3</v>
      </c>
      <c r="X367" s="26" t="n">
        <v>2</v>
      </c>
      <c r="Y367" s="25" t="n"/>
      <c r="Z367" s="26" t="n"/>
      <c r="AA367" s="28" t="n"/>
      <c r="AB367" s="28" t="n"/>
      <c r="AC367" s="30" t="n">
        <v>-1</v>
      </c>
      <c r="AD367" s="24" t="inlineStr">
        <is>
          <t>2026-08-24T21:13:18.387893Z</t>
        </is>
      </c>
      <c r="AE367" s="31" t="inlineStr">
        <is>
          <t>Poisson-DC rates 1.61 (home) / 0.97 (away) from EWMA attack/defense strengths. Executable ask 0.4900 (tsc-epl-ful-cfc-2026-08-24-2pt5).</t>
        </is>
      </c>
      <c r="AF367" s="31" t="inlineStr">
        <is>
          <t>Research-only soccer score model; draw-aware, but not yet locked-holdout qualified.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Chelsea</t>
        </is>
      </c>
      <c r="AQ367" s="24" t="inlineStr">
        <is>
          <t>Chelsea</t>
        </is>
      </c>
      <c r="AR367" s="24" t="inlineStr">
        <is>
          <t>Chelsea</t>
        </is>
      </c>
      <c r="AS367" s="24" t="inlineStr">
        <is>
          <t>Fulham</t>
        </is>
      </c>
      <c r="AT367" s="24" t="inlineStr">
        <is>
          <t>Fulham</t>
        </is>
      </c>
      <c r="AU367" s="24" t="inlineStr">
        <is>
          <t>Fulham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f585a7f3cb7ee04f9a319a60fa601ef15e86636fadaaa8c1380ac0f28f75c58a</t>
        </is>
      </c>
      <c r="BB367" s="24" t="inlineStr">
        <is>
          <t>poisson_dixon_coles</t>
        </is>
      </c>
      <c r="BC367" s="24" t="inlineStr">
        <is>
          <t>soccer-poisson-dc-v1</t>
        </is>
      </c>
      <c r="BD367" s="24" t="inlineStr">
        <is>
          <t>f585a7f3cb7ee04f9a319a60fa601ef15e86636fadaaa8c1380ac0f28f75c58a</t>
        </is>
      </c>
      <c r="BE367" s="24" t="inlineStr">
        <is>
          <t>soccer-poisson-dc-v1</t>
        </is>
      </c>
      <c r="BF367" s="24" t="inlineStr">
        <is>
          <t>1</t>
        </is>
      </c>
      <c r="BG367" s="24" t="inlineStr">
        <is>
          <t>f585a7f3cb7ee04f9a319a60fa601ef15e86636fadaaa8c1380ac0f28f75c58a</t>
        </is>
      </c>
      <c r="BH367" s="24" t="inlineStr">
        <is>
          <t>2026-08-24T18:07:56.916962Z</t>
        </is>
      </c>
      <c r="BI367" s="24" t="inlineStr">
        <is>
          <t>["same_event","same_team_same_day","same_league_same_day"]</t>
        </is>
      </c>
      <c r="BJ367" s="25" t="n">
        <v>2.5</v>
      </c>
      <c r="BK367" s="26" t="n">
        <v>104</v>
      </c>
      <c r="BL367" s="27" t="n">
        <v>2.04</v>
      </c>
      <c r="BM367" s="28" t="n">
        <v>0.490196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0.490196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31d711e80a334a9b</t>
        </is>
      </c>
      <c r="B368" s="24" t="inlineStr">
        <is>
          <t>2026-08-24T18:08:52.427987Z</t>
        </is>
      </c>
      <c r="C368" s="24" t="inlineStr">
        <is>
          <t>2026-08-24T18:45Z</t>
        </is>
      </c>
      <c r="D368" s="24" t="inlineStr">
        <is>
          <t>401874928</t>
        </is>
      </c>
      <c r="E368" s="24" t="inlineStr">
        <is>
          <t>SOCCER</t>
        </is>
      </c>
      <c r="F368" s="24" t="inlineStr">
        <is>
          <t>Fiorentina</t>
        </is>
      </c>
      <c r="G368" s="24" t="inlineStr">
        <is>
          <t>AS Roma</t>
        </is>
      </c>
      <c r="H368" s="24" t="inlineStr">
        <is>
          <t>total</t>
        </is>
      </c>
      <c r="I368" s="24" t="inlineStr">
        <is>
          <t>under</t>
        </is>
      </c>
      <c r="J368" s="25" t="n">
        <v>2.5</v>
      </c>
      <c r="K368" s="24" t="inlineStr">
        <is>
          <t>polymarket_us</t>
        </is>
      </c>
      <c r="L368" s="26" t="n">
        <v>-113</v>
      </c>
      <c r="M368" s="27" t="n">
        <v>1.884956</v>
      </c>
      <c r="N368" s="28" t="n">
        <v>0.530516</v>
      </c>
      <c r="O368" s="28" t="n">
        <v>0.598447</v>
      </c>
      <c r="P368" s="28" t="n">
        <v>0.04</v>
      </c>
      <c r="Q368" s="28" t="n">
        <v>0.06793100000000001</v>
      </c>
      <c r="R368" s="26" t="n">
        <v>60</v>
      </c>
      <c r="S368" s="29" t="n">
        <v>1.25</v>
      </c>
      <c r="T368" s="24" t="inlineStr">
        <is>
          <t>soccer-poisson-dc-v1</t>
        </is>
      </c>
      <c r="U368" s="24" t="inlineStr">
        <is>
          <t>settled</t>
        </is>
      </c>
      <c r="V368" s="24" t="inlineStr">
        <is>
          <t>loss</t>
        </is>
      </c>
      <c r="W368" s="26" t="n">
        <v>0</v>
      </c>
      <c r="X368" s="26" t="n">
        <v>4</v>
      </c>
      <c r="Y368" s="25" t="n"/>
      <c r="Z368" s="26" t="n"/>
      <c r="AA368" s="28" t="n"/>
      <c r="AB368" s="28" t="n"/>
      <c r="AC368" s="30" t="n">
        <v>-1.25</v>
      </c>
      <c r="AD368" s="24" t="inlineStr">
        <is>
          <t>2026-08-24T21:13:20.449222Z</t>
        </is>
      </c>
      <c r="AE368" s="31" t="inlineStr">
        <is>
          <t>Poisson-DC rates 1.66 (home) / 0.64 (away) from EWMA attack/defense strengths. Executable ask 0.5300 (tsc-sea-rom-fio-2026-08-24-2pt5).</t>
        </is>
      </c>
      <c r="AF368" s="31" t="inlineStr">
        <is>
          <t>Research-only soccer score model; draw-aware, but not yet locked-holdout qualified.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Fiorentina</t>
        </is>
      </c>
      <c r="AQ368" s="24" t="inlineStr">
        <is>
          <t>Fiorentina</t>
        </is>
      </c>
      <c r="AR368" s="24" t="inlineStr">
        <is>
          <t>Fiorentina</t>
        </is>
      </c>
      <c r="AS368" s="24" t="inlineStr">
        <is>
          <t>AS Roma</t>
        </is>
      </c>
      <c r="AT368" s="24" t="inlineStr">
        <is>
          <t>AS Roma</t>
        </is>
      </c>
      <c r="AU368" s="24" t="inlineStr">
        <is>
          <t>AS Roma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f585a7f3cb7ee04f9a319a60fa601ef15e86636fadaaa8c1380ac0f28f75c58a</t>
        </is>
      </c>
      <c r="BB368" s="24" t="inlineStr">
        <is>
          <t>poisson_dixon_coles</t>
        </is>
      </c>
      <c r="BC368" s="24" t="inlineStr">
        <is>
          <t>soccer-poisson-dc-v1</t>
        </is>
      </c>
      <c r="BD368" s="24" t="inlineStr">
        <is>
          <t>f585a7f3cb7ee04f9a319a60fa601ef15e86636fadaaa8c1380ac0f28f75c58a</t>
        </is>
      </c>
      <c r="BE368" s="24" t="inlineStr">
        <is>
          <t>soccer-poisson-dc-v1</t>
        </is>
      </c>
      <c r="BF368" s="24" t="inlineStr">
        <is>
          <t>1</t>
        </is>
      </c>
      <c r="BG368" s="24" t="inlineStr">
        <is>
          <t>f585a7f3cb7ee04f9a319a60fa601ef15e86636fadaaa8c1380ac0f28f75c58a</t>
        </is>
      </c>
      <c r="BH368" s="24" t="inlineStr">
        <is>
          <t>2026-08-24T18:07:57.156583Z</t>
        </is>
      </c>
      <c r="BI368" s="24" t="inlineStr">
        <is>
          <t>["same_event","same_team_same_day","same_league_same_day"]</t>
        </is>
      </c>
      <c r="BJ368" s="25" t="n">
        <v>2.5</v>
      </c>
      <c r="BK368" s="26" t="n">
        <v>-113</v>
      </c>
      <c r="BL368" s="27" t="n">
        <v>1.884956</v>
      </c>
      <c r="BM368" s="28" t="n">
        <v>0.530516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0.530516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19819ae9eb9b4bf2</t>
        </is>
      </c>
      <c r="B369" s="24" t="inlineStr">
        <is>
          <t>2026-08-24T18:08:52.427987Z</t>
        </is>
      </c>
      <c r="C369" s="24" t="inlineStr">
        <is>
          <t>2026-08-24T19:00Z</t>
        </is>
      </c>
      <c r="D369" s="24" t="inlineStr">
        <is>
          <t>401879318</t>
        </is>
      </c>
      <c r="E369" s="24" t="inlineStr">
        <is>
          <t>SOCCER</t>
        </is>
      </c>
      <c r="F369" s="24" t="inlineStr">
        <is>
          <t>Chelsea</t>
        </is>
      </c>
      <c r="G369" s="24" t="inlineStr">
        <is>
          <t>Fulham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285</v>
      </c>
      <c r="M369" s="27" t="n">
        <v>3.85</v>
      </c>
      <c r="N369" s="28" t="n">
        <v>0.25974</v>
      </c>
      <c r="O369" s="28" t="n">
        <v>0.510659</v>
      </c>
      <c r="P369" s="28" t="n">
        <v>0.04</v>
      </c>
      <c r="Q369" s="28" t="n">
        <v>0.250919</v>
      </c>
      <c r="R369" s="26" t="n">
        <v>100</v>
      </c>
      <c r="S369" s="29" t="n">
        <v>2</v>
      </c>
      <c r="T369" s="24" t="inlineStr">
        <is>
          <t>soccer-poisson-dc-v1</t>
        </is>
      </c>
      <c r="U369" s="24" t="inlineStr">
        <is>
          <t>settled</t>
        </is>
      </c>
      <c r="V369" s="24" t="inlineStr">
        <is>
          <t>loss</t>
        </is>
      </c>
      <c r="W369" s="26" t="n">
        <v>3</v>
      </c>
      <c r="X369" s="26" t="n">
        <v>2</v>
      </c>
      <c r="Y369" s="25" t="n"/>
      <c r="Z369" s="26" t="n"/>
      <c r="AA369" s="28" t="n"/>
      <c r="AB369" s="28" t="n"/>
      <c r="AC369" s="30" t="n">
        <v>-2</v>
      </c>
      <c r="AD369" s="24" t="inlineStr">
        <is>
          <t>2026-08-24T21:13:22.282818Z</t>
        </is>
      </c>
      <c r="AE369" s="31" t="inlineStr">
        <is>
          <t>Poisson-DC rates 1.61 (home) / 0.97 (away) from EWMA attack/defense strengths. Executable ask 0.2600 (atc-epl-ful-cfc-2026-08-24-ful).</t>
        </is>
      </c>
      <c r="AF369" s="31" t="inlineStr">
        <is>
          <t>Research-only soccer score model; draw-aware, but not yet locked-holdout qualified.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Chelsea</t>
        </is>
      </c>
      <c r="AQ369" s="24" t="inlineStr">
        <is>
          <t>Chelsea</t>
        </is>
      </c>
      <c r="AR369" s="24" t="inlineStr">
        <is>
          <t>Chelsea</t>
        </is>
      </c>
      <c r="AS369" s="24" t="inlineStr">
        <is>
          <t>Fulham</t>
        </is>
      </c>
      <c r="AT369" s="24" t="inlineStr">
        <is>
          <t>Fulham</t>
        </is>
      </c>
      <c r="AU369" s="24" t="inlineStr">
        <is>
          <t>Fulham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f585a7f3cb7ee04f9a319a60fa601ef15e86636fadaaa8c1380ac0f28f75c58a</t>
        </is>
      </c>
      <c r="BB369" s="24" t="inlineStr">
        <is>
          <t>poisson_dixon_coles</t>
        </is>
      </c>
      <c r="BC369" s="24" t="inlineStr">
        <is>
          <t>soccer-poisson-dc-v1</t>
        </is>
      </c>
      <c r="BD369" s="24" t="inlineStr">
        <is>
          <t>f585a7f3cb7ee04f9a319a60fa601ef15e86636fadaaa8c1380ac0f28f75c58a</t>
        </is>
      </c>
      <c r="BE369" s="24" t="inlineStr">
        <is>
          <t>soccer-poisson-dc-v1</t>
        </is>
      </c>
      <c r="BF369" s="24" t="inlineStr">
        <is>
          <t>1</t>
        </is>
      </c>
      <c r="BG369" s="24" t="inlineStr">
        <is>
          <t>f585a7f3cb7ee04f9a319a60fa601ef15e86636fadaaa8c1380ac0f28f75c58a</t>
        </is>
      </c>
      <c r="BH369" s="24" t="inlineStr">
        <is>
          <t>2026-08-24T18:07:56.867962Z</t>
        </is>
      </c>
      <c r="BI369" s="24" t="inlineStr">
        <is>
          <t>["same_event","same_team_same_day","same_league_same_day"]</t>
        </is>
      </c>
      <c r="BJ369" s="25" t="n"/>
      <c r="BK369" s="26" t="n">
        <v>285</v>
      </c>
      <c r="BL369" s="27" t="n">
        <v>3.85</v>
      </c>
      <c r="BM369" s="28" t="n">
        <v>0.25974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0.25974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7306a201712141f6</t>
        </is>
      </c>
      <c r="B370" s="24" t="inlineStr">
        <is>
          <t>2026-08-24T18:08:52.427987Z</t>
        </is>
      </c>
      <c r="C370" s="24" t="inlineStr">
        <is>
          <t>2026-08-24T18:45Z</t>
        </is>
      </c>
      <c r="D370" s="24" t="inlineStr">
        <is>
          <t>401874928</t>
        </is>
      </c>
      <c r="E370" s="24" t="inlineStr">
        <is>
          <t>SOCCER</t>
        </is>
      </c>
      <c r="F370" s="24" t="inlineStr">
        <is>
          <t>Fiorentina</t>
        </is>
      </c>
      <c r="G370" s="24" t="inlineStr">
        <is>
          <t>AS Roma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-133</v>
      </c>
      <c r="M370" s="27" t="n">
        <v>1.75188</v>
      </c>
      <c r="N370" s="28" t="n">
        <v>0.570815</v>
      </c>
      <c r="O370" s="28" t="n">
        <v>0.610572</v>
      </c>
      <c r="P370" s="28" t="n">
        <v>0.04</v>
      </c>
      <c r="Q370" s="28" t="n">
        <v>0.039757</v>
      </c>
      <c r="R370" s="26" t="n">
        <v>46</v>
      </c>
      <c r="S370" s="29" t="n">
        <v>1</v>
      </c>
      <c r="T370" s="24" t="inlineStr">
        <is>
          <t>soccer-poisson-dc-v1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4</v>
      </c>
      <c r="Y370" s="25" t="n"/>
      <c r="Z370" s="26" t="n"/>
      <c r="AA370" s="28" t="n"/>
      <c r="AB370" s="28" t="n"/>
      <c r="AC370" s="30" t="n">
        <v>0.7519</v>
      </c>
      <c r="AD370" s="24" t="inlineStr">
        <is>
          <t>2026-08-24T21:13:24.182385Z</t>
        </is>
      </c>
      <c r="AE370" s="31" t="inlineStr">
        <is>
          <t>Poisson-DC rates 1.66 (home) / 0.64 (away) from EWMA attack/defense strengths. Executable ask 0.5700 (atc-sea-rom-fio-2026-08-24-rom).</t>
        </is>
      </c>
      <c r="AF370" s="31" t="inlineStr">
        <is>
          <t>Research-only soccer score model; draw-aware, but not yet locked-holdout qualified.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Fiorentina</t>
        </is>
      </c>
      <c r="AQ370" s="24" t="inlineStr">
        <is>
          <t>Fiorentina</t>
        </is>
      </c>
      <c r="AR370" s="24" t="inlineStr">
        <is>
          <t>Fiorentina</t>
        </is>
      </c>
      <c r="AS370" s="24" t="inlineStr">
        <is>
          <t>AS Roma</t>
        </is>
      </c>
      <c r="AT370" s="24" t="inlineStr">
        <is>
          <t>AS Roma</t>
        </is>
      </c>
      <c r="AU370" s="24" t="inlineStr">
        <is>
          <t>AS Roma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f585a7f3cb7ee04f9a319a60fa601ef15e86636fadaaa8c1380ac0f28f75c58a</t>
        </is>
      </c>
      <c r="BB370" s="24" t="inlineStr">
        <is>
          <t>poisson_dixon_coles</t>
        </is>
      </c>
      <c r="BC370" s="24" t="inlineStr">
        <is>
          <t>soccer-poisson-dc-v1</t>
        </is>
      </c>
      <c r="BD370" s="24" t="inlineStr">
        <is>
          <t>f585a7f3cb7ee04f9a319a60fa601ef15e86636fadaaa8c1380ac0f28f75c58a</t>
        </is>
      </c>
      <c r="BE370" s="24" t="inlineStr">
        <is>
          <t>soccer-poisson-dc-v1</t>
        </is>
      </c>
      <c r="BF370" s="24" t="inlineStr">
        <is>
          <t>1</t>
        </is>
      </c>
      <c r="BG370" s="24" t="inlineStr">
        <is>
          <t>f585a7f3cb7ee04f9a319a60fa601ef15e86636fadaaa8c1380ac0f28f75c58a</t>
        </is>
      </c>
      <c r="BH370" s="24" t="inlineStr">
        <is>
          <t>2026-08-24T18:07:57.155308Z</t>
        </is>
      </c>
      <c r="BI370" s="24" t="inlineStr">
        <is>
          <t>["same_event","same_team_same_day","same_league_same_day"]</t>
        </is>
      </c>
      <c r="BJ370" s="25" t="n"/>
      <c r="BK370" s="26" t="n">
        <v>-133</v>
      </c>
      <c r="BL370" s="27" t="n">
        <v>1.75188</v>
      </c>
      <c r="BM370" s="28" t="n">
        <v>0.570815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0.570815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610c0f2ab5124e74</t>
        </is>
      </c>
      <c r="B371" s="24" t="inlineStr">
        <is>
          <t>2026-08-24T21:15:26.417003Z</t>
        </is>
      </c>
      <c r="C371" s="24" t="inlineStr">
        <is>
          <t>2026-08-24T22:30Z</t>
        </is>
      </c>
      <c r="D371" s="24" t="inlineStr">
        <is>
          <t>401860301</t>
        </is>
      </c>
      <c r="E371" s="24" t="inlineStr">
        <is>
          <t>SOCCER</t>
        </is>
      </c>
      <c r="F371" s="24" t="inlineStr">
        <is>
          <t>Novorizontino</t>
        </is>
      </c>
      <c r="G371" s="24" t="inlineStr">
        <is>
          <t>Athletic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245</v>
      </c>
      <c r="M371" s="27" t="n">
        <v>3.45</v>
      </c>
      <c r="N371" s="28" t="n">
        <v>0.289855</v>
      </c>
      <c r="O371" s="28" t="n">
        <v>0.440521</v>
      </c>
      <c r="P371" s="28" t="n">
        <v>0.2</v>
      </c>
      <c r="Q371" s="28" t="n">
        <v>0.150666</v>
      </c>
      <c r="R371" s="26" t="n">
        <v>5</v>
      </c>
      <c r="S371" s="29" t="n">
        <v>1</v>
      </c>
      <c r="T371" s="24" t="inlineStr">
        <is>
          <t>soccer-poisson-dc-v1</t>
        </is>
      </c>
      <c r="U371" s="24" t="inlineStr">
        <is>
          <t>settled</t>
        </is>
      </c>
      <c r="V371" s="24" t="inlineStr">
        <is>
          <t>loss</t>
        </is>
      </c>
      <c r="W371" s="26" t="n">
        <v>4</v>
      </c>
      <c r="X371" s="26" t="n">
        <v>1</v>
      </c>
      <c r="Y371" s="25" t="n"/>
      <c r="Z371" s="26" t="n"/>
      <c r="AA371" s="28" t="n"/>
      <c r="AB371" s="28" t="n"/>
      <c r="AC371" s="30" t="n">
        <v>-1</v>
      </c>
      <c r="AD371" s="24" t="inlineStr">
        <is>
          <t>2026-08-25T01:12:51.770859Z</t>
        </is>
      </c>
      <c r="AE371" s="31" t="inlineStr">
        <is>
          <t>Poisson-DC rates 1.46 (home) / 1.10 (away) from EWMA attack/defense strengths. Executable ask 0.2900 (atc-brb-ath-nov-2026-08-24-ath).</t>
        </is>
      </c>
      <c r="AF371" s="31" t="inlineStr">
        <is>
          <t>Research-only soccer score model; draw-aware, but not yet locked-holdout qualified.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Novorizontino</t>
        </is>
      </c>
      <c r="AQ371" s="24" t="inlineStr">
        <is>
          <t>Novorizontino</t>
        </is>
      </c>
      <c r="AR371" s="24" t="inlineStr">
        <is>
          <t>Novorizontino</t>
        </is>
      </c>
      <c r="AS371" s="24" t="inlineStr">
        <is>
          <t>Athletic</t>
        </is>
      </c>
      <c r="AT371" s="24" t="inlineStr">
        <is>
          <t>Athletic</t>
        </is>
      </c>
      <c r="AU371" s="24" t="inlineStr">
        <is>
          <t>Athletic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f585a7f3cb7ee04f9a319a60fa601ef15e86636fadaaa8c1380ac0f28f75c58a</t>
        </is>
      </c>
      <c r="BB371" s="24" t="inlineStr">
        <is>
          <t>poisson_dixon_coles</t>
        </is>
      </c>
      <c r="BC371" s="24" t="inlineStr">
        <is>
          <t>soccer-poisson-dc-v1</t>
        </is>
      </c>
      <c r="BD371" s="24" t="inlineStr">
        <is>
          <t>f585a7f3cb7ee04f9a319a60fa601ef15e86636fadaaa8c1380ac0f28f75c58a</t>
        </is>
      </c>
      <c r="BE371" s="24" t="inlineStr">
        <is>
          <t>soccer-poisson-dc-v1</t>
        </is>
      </c>
      <c r="BF371" s="24" t="inlineStr">
        <is>
          <t>1</t>
        </is>
      </c>
      <c r="BG371" s="24" t="inlineStr">
        <is>
          <t>f585a7f3cb7ee04f9a319a60fa601ef15e86636fadaaa8c1380ac0f28f75c58a</t>
        </is>
      </c>
      <c r="BH371" s="24" t="inlineStr">
        <is>
          <t>2026-08-24T21:14:33.520830Z</t>
        </is>
      </c>
      <c r="BI371" s="24" t="inlineStr">
        <is>
          <t>["same_event","same_team_same_day","same_league_same_day"]</t>
        </is>
      </c>
      <c r="BJ371" s="25" t="n"/>
      <c r="BK371" s="26" t="n">
        <v>245</v>
      </c>
      <c r="BL371" s="27" t="n">
        <v>3.45</v>
      </c>
      <c r="BM371" s="28" t="n">
        <v>0.289855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0.289855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191979740c304d69</t>
        </is>
      </c>
      <c r="B372" s="24" t="inlineStr">
        <is>
          <t>2026-08-24T21:15:26.417003Z</t>
        </is>
      </c>
      <c r="C372" s="24" t="inlineStr">
        <is>
          <t>2026-08-24T23:00Z</t>
        </is>
      </c>
      <c r="D372" s="24" t="inlineStr">
        <is>
          <t>401844082</t>
        </is>
      </c>
      <c r="E372" s="24" t="inlineStr">
        <is>
          <t>SOCCER</t>
        </is>
      </c>
      <c r="F372" s="24" t="inlineStr">
        <is>
          <t>All Boys</t>
        </is>
      </c>
      <c r="G372" s="24" t="inlineStr">
        <is>
          <t>Ferro Carril Oeste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-156</v>
      </c>
      <c r="M372" s="27" t="n">
        <v>1.641026</v>
      </c>
      <c r="N372" s="28" t="n">
        <v>0.609375</v>
      </c>
      <c r="O372" s="28" t="n">
        <v>0.456135</v>
      </c>
      <c r="P372" s="28" t="n">
        <v>0.2</v>
      </c>
      <c r="Q372" s="28" t="n">
        <v>-0.15324</v>
      </c>
      <c r="R372" s="26" t="n">
        <v>0</v>
      </c>
      <c r="S372" s="29" t="n">
        <v>1</v>
      </c>
      <c r="T372" s="24" t="inlineStr">
        <is>
          <t>soccer-poisson-dc-v1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/>
      <c r="AA372" s="28" t="n"/>
      <c r="AB372" s="28" t="n"/>
      <c r="AC372" s="30" t="n">
        <v>0.641</v>
      </c>
      <c r="AD372" s="24" t="inlineStr">
        <is>
          <t>2026-08-25T02:04:03.724011Z</t>
        </is>
      </c>
      <c r="AE372" s="31" t="inlineStr">
        <is>
          <t>Poisson-DC rates 1.64 (home) / 1.24 (away) from EWMA attack/defense strengths. Executable ask 0.6100 (atc-arg2-fco-abo-2026-08-22-fco).</t>
        </is>
      </c>
      <c r="AF372" s="31" t="inlineStr">
        <is>
          <t>Research-only soccer score model; draw-aware, but not yet locked-holdout qualified.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All Boys</t>
        </is>
      </c>
      <c r="AQ372" s="24" t="inlineStr">
        <is>
          <t>All Boys</t>
        </is>
      </c>
      <c r="AR372" s="24" t="inlineStr">
        <is>
          <t>All Boys</t>
        </is>
      </c>
      <c r="AS372" s="24" t="inlineStr">
        <is>
          <t>Ferro Carril Oeste</t>
        </is>
      </c>
      <c r="AT372" s="24" t="inlineStr">
        <is>
          <t>Ferro Carril Oeste</t>
        </is>
      </c>
      <c r="AU372" s="24" t="inlineStr">
        <is>
          <t>Ferro Carril Oeste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f585a7f3cb7ee04f9a319a60fa601ef15e86636fadaaa8c1380ac0f28f75c58a</t>
        </is>
      </c>
      <c r="BB372" s="24" t="inlineStr">
        <is>
          <t>poisson_dixon_coles</t>
        </is>
      </c>
      <c r="BC372" s="24" t="inlineStr">
        <is>
          <t>soccer-poisson-dc-v1</t>
        </is>
      </c>
      <c r="BD372" s="24" t="inlineStr">
        <is>
          <t>f585a7f3cb7ee04f9a319a60fa601ef15e86636fadaaa8c1380ac0f28f75c58a</t>
        </is>
      </c>
      <c r="BE372" s="24" t="inlineStr">
        <is>
          <t>soccer-poisson-dc-v1</t>
        </is>
      </c>
      <c r="BF372" s="24" t="inlineStr">
        <is>
          <t>1</t>
        </is>
      </c>
      <c r="BG372" s="24" t="inlineStr">
        <is>
          <t>f585a7f3cb7ee04f9a319a60fa601ef15e86636fadaaa8c1380ac0f28f75c58a</t>
        </is>
      </c>
      <c r="BH372" s="24" t="inlineStr">
        <is>
          <t>2026-08-24T21:14:33.587814Z</t>
        </is>
      </c>
      <c r="BI372" s="24" t="inlineStr">
        <is>
          <t>["same_event","same_team_same_day","same_league_same_day"]</t>
        </is>
      </c>
      <c r="BJ372" s="25" t="n"/>
      <c r="BK372" s="26" t="n">
        <v>-156</v>
      </c>
      <c r="BL372" s="27" t="n">
        <v>1.641026</v>
      </c>
      <c r="BM372" s="28" t="n">
        <v>0.609375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0.609375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eb9f5afa8702470e</t>
        </is>
      </c>
      <c r="B373" s="24" t="inlineStr">
        <is>
          <t>2026-08-25T13:31:47.072010Z</t>
        </is>
      </c>
      <c r="C373" s="24" t="inlineStr">
        <is>
          <t>2026-08-25T19:00Z</t>
        </is>
      </c>
      <c r="D373" s="24" t="inlineStr">
        <is>
          <t>401882917</t>
        </is>
      </c>
      <c r="E373" s="24" t="inlineStr">
        <is>
          <t>SOCCER</t>
        </is>
      </c>
      <c r="F373" s="24" t="inlineStr">
        <is>
          <t>Real Betis</t>
        </is>
      </c>
      <c r="G373" s="24" t="inlineStr">
        <is>
          <t>Valencia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194</v>
      </c>
      <c r="M373" s="27" t="n">
        <v>2.94</v>
      </c>
      <c r="N373" s="28" t="n">
        <v>0.340136</v>
      </c>
      <c r="O373" s="28" t="n">
        <v>0.416274</v>
      </c>
      <c r="P373" s="28" t="n">
        <v>0.04</v>
      </c>
      <c r="Q373" s="28" t="n">
        <v>0.076138</v>
      </c>
      <c r="R373" s="26" t="n">
        <v>64</v>
      </c>
      <c r="S373" s="29" t="n">
        <v>1.25</v>
      </c>
      <c r="T373" s="24" t="inlineStr">
        <is>
          <t>soccer-poisson-dc-v1</t>
        </is>
      </c>
      <c r="U373" s="24" t="inlineStr">
        <is>
          <t>settled</t>
        </is>
      </c>
      <c r="V373" s="24" t="inlineStr">
        <is>
          <t>loss</t>
        </is>
      </c>
      <c r="W373" s="26" t="n">
        <v>1</v>
      </c>
      <c r="X373" s="26" t="n">
        <v>0</v>
      </c>
      <c r="Y373" s="25" t="n"/>
      <c r="Z373" s="26" t="n"/>
      <c r="AA373" s="28" t="n"/>
      <c r="AB373" s="28" t="n"/>
      <c r="AC373" s="30" t="n">
        <v>-1.25</v>
      </c>
      <c r="AD373" s="24" t="inlineStr">
        <is>
          <t>2026-08-26T12:35:33.472306Z</t>
        </is>
      </c>
      <c r="AE373" s="31" t="inlineStr">
        <is>
          <t>Poisson-DC rates 1.53 (home) / 1.30 (away) from EWMA attack/defense strengths. Executable ask 0.3400 (atc-lal-val-bet-2026-08-25-val).</t>
        </is>
      </c>
      <c r="AF373" s="31" t="inlineStr">
        <is>
          <t>Research-only soccer score model; draw-aware, but not yet locked-holdout qualified.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PAPER_CALL_LOW_EDGE</t>
        </is>
      </c>
      <c r="AP373" s="24" t="inlineStr">
        <is>
          <t>Real Betis</t>
        </is>
      </c>
      <c r="AQ373" s="24" t="inlineStr">
        <is>
          <t>Real Betis</t>
        </is>
      </c>
      <c r="AR373" s="24" t="inlineStr">
        <is>
          <t>Real Betis</t>
        </is>
      </c>
      <c r="AS373" s="24" t="inlineStr">
        <is>
          <t>Valencia</t>
        </is>
      </c>
      <c r="AT373" s="24" t="inlineStr">
        <is>
          <t>Valencia</t>
        </is>
      </c>
      <c r="AU373" s="24" t="inlineStr">
        <is>
          <t>Valencia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f585a7f3cb7ee04f9a319a60fa601ef15e86636fadaaa8c1380ac0f28f75c58a</t>
        </is>
      </c>
      <c r="BB373" s="24" t="inlineStr">
        <is>
          <t>poisson_dixon_coles</t>
        </is>
      </c>
      <c r="BC373" s="24" t="inlineStr">
        <is>
          <t>soccer-poisson-dc-v1</t>
        </is>
      </c>
      <c r="BD373" s="24" t="inlineStr">
        <is>
          <t>f585a7f3cb7ee04f9a319a60fa601ef15e86636fadaaa8c1380ac0f28f75c58a</t>
        </is>
      </c>
      <c r="BE373" s="24" t="inlineStr">
        <is>
          <t>soccer-poisson-dc-v1</t>
        </is>
      </c>
      <c r="BF373" s="24" t="inlineStr">
        <is>
          <t>1</t>
        </is>
      </c>
      <c r="BG373" s="24" t="inlineStr">
        <is>
          <t>f585a7f3cb7ee04f9a319a60fa601ef15e86636fadaaa8c1380ac0f28f75c58a</t>
        </is>
      </c>
      <c r="BH373" s="24" t="inlineStr">
        <is>
          <t>2026-08-25T13:29:43.158873Z</t>
        </is>
      </c>
      <c r="BI373" s="24" t="inlineStr">
        <is>
          <t>["same_event","same_team_same_day","same_league_same_day"]</t>
        </is>
      </c>
      <c r="BJ373" s="25" t="n"/>
      <c r="BK373" s="26" t="n">
        <v>194</v>
      </c>
      <c r="BL373" s="27" t="n">
        <v>2.94</v>
      </c>
      <c r="BM373" s="28" t="n">
        <v>0.340136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0.340136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6a4121b7b2734441</t>
        </is>
      </c>
      <c r="B374" s="24" t="inlineStr">
        <is>
          <t>2026-08-26T16:35:11.867033Z</t>
        </is>
      </c>
      <c r="C374" s="24" t="inlineStr">
        <is>
          <t>2026-08-26T19:00Z</t>
        </is>
      </c>
      <c r="D374" s="24" t="inlineStr">
        <is>
          <t>401882919</t>
        </is>
      </c>
      <c r="E374" s="24" t="inlineStr">
        <is>
          <t>SOCCER</t>
        </is>
      </c>
      <c r="F374" s="24" t="inlineStr">
        <is>
          <t>Real Sociedad</t>
        </is>
      </c>
      <c r="G374" s="24" t="inlineStr">
        <is>
          <t>Real Madrid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-426</v>
      </c>
      <c r="M374" s="27" t="n">
        <v>1.234742</v>
      </c>
      <c r="N374" s="28" t="n">
        <v>0.809886</v>
      </c>
      <c r="O374" s="28" t="n">
        <v>0.690265</v>
      </c>
      <c r="P374" s="28" t="n">
        <v>0.04</v>
      </c>
      <c r="Q374" s="28" t="n">
        <v>-0.119621</v>
      </c>
      <c r="R374" s="26" t="n">
        <v>0</v>
      </c>
      <c r="S374" s="29" t="n">
        <v>1</v>
      </c>
      <c r="T374" s="24" t="inlineStr">
        <is>
          <t>soccer-poisson-dc-v1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4</v>
      </c>
      <c r="Y374" s="25" t="n"/>
      <c r="Z374" s="26" t="n"/>
      <c r="AA374" s="28" t="n"/>
      <c r="AB374" s="28" t="n"/>
      <c r="AC374" s="30" t="n">
        <v>0.2347</v>
      </c>
      <c r="AD374" s="24" t="inlineStr">
        <is>
          <t>2026-08-26T22:14:02.963902Z</t>
        </is>
      </c>
      <c r="AE374" s="31" t="inlineStr">
        <is>
          <t>Poisson-DC rates 2.67 (home) / 1.15 (away) from EWMA attack/defense strengths. Executable ask 0.8100 (atc-lal-rma-rso-2026-08-26-rma).</t>
        </is>
      </c>
      <c r="AF374" s="31" t="inlineStr">
        <is>
          <t>Research-only soccer score model; draw-aware, but not yet locked-holdout qualified.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Real Sociedad</t>
        </is>
      </c>
      <c r="AQ374" s="24" t="inlineStr">
        <is>
          <t>Real Sociedad</t>
        </is>
      </c>
      <c r="AR374" s="24" t="inlineStr">
        <is>
          <t>Real Sociedad</t>
        </is>
      </c>
      <c r="AS374" s="24" t="inlineStr">
        <is>
          <t>Real Madrid</t>
        </is>
      </c>
      <c r="AT374" s="24" t="inlineStr">
        <is>
          <t>Real Madrid</t>
        </is>
      </c>
      <c r="AU374" s="24" t="inlineStr">
        <is>
          <t>Real Madrid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f585a7f3cb7ee04f9a319a60fa601ef15e86636fadaaa8c1380ac0f28f75c58a</t>
        </is>
      </c>
      <c r="BB374" s="24" t="inlineStr">
        <is>
          <t>poisson_dixon_coles</t>
        </is>
      </c>
      <c r="BC374" s="24" t="inlineStr">
        <is>
          <t>soccer-poisson-dc-v1</t>
        </is>
      </c>
      <c r="BD374" s="24" t="inlineStr">
        <is>
          <t>f585a7f3cb7ee04f9a319a60fa601ef15e86636fadaaa8c1380ac0f28f75c58a</t>
        </is>
      </c>
      <c r="BE374" s="24" t="inlineStr">
        <is>
          <t>soccer-poisson-dc-v1</t>
        </is>
      </c>
      <c r="BF374" s="24" t="inlineStr">
        <is>
          <t>1</t>
        </is>
      </c>
      <c r="BG374" s="24" t="inlineStr">
        <is>
          <t>f585a7f3cb7ee04f9a319a60fa601ef15e86636fadaaa8c1380ac0f28f75c58a</t>
        </is>
      </c>
      <c r="BH374" s="24" t="inlineStr">
        <is>
          <t>2026-08-26T16:31:16.435912Z</t>
        </is>
      </c>
      <c r="BI374" s="24" t="inlineStr">
        <is>
          <t>["same_event","same_team_same_day","same_league_same_day"]</t>
        </is>
      </c>
      <c r="BJ374" s="25" t="n"/>
      <c r="BK374" s="26" t="n">
        <v>-426</v>
      </c>
      <c r="BL374" s="27" t="n">
        <v>1.234742</v>
      </c>
      <c r="BM374" s="28" t="n">
        <v>0.809886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0.809886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e3037b10dfec45fc</t>
        </is>
      </c>
      <c r="B375" s="24" t="inlineStr">
        <is>
          <t>2026-08-26T16:35:11.867033Z</t>
        </is>
      </c>
      <c r="C375" s="24" t="inlineStr">
        <is>
          <t>2026-08-26T18:00Z</t>
        </is>
      </c>
      <c r="D375" s="24" t="inlineStr">
        <is>
          <t>401843982</t>
        </is>
      </c>
      <c r="E375" s="24" t="inlineStr">
        <is>
          <t>SOCCER</t>
        </is>
      </c>
      <c r="F375" s="24" t="inlineStr">
        <is>
          <t>San Telmo</t>
        </is>
      </c>
      <c r="G375" s="24" t="inlineStr">
        <is>
          <t>Acassuso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150</v>
      </c>
      <c r="M375" s="27" t="n">
        <v>2.5</v>
      </c>
      <c r="N375" s="28" t="n">
        <v>0.4</v>
      </c>
      <c r="O375" s="28" t="n">
        <v>0.456135</v>
      </c>
      <c r="P375" s="28" t="n">
        <v>0.2</v>
      </c>
      <c r="Q375" s="28" t="n">
        <v>0.056135</v>
      </c>
      <c r="R375" s="26" t="n">
        <v>0</v>
      </c>
      <c r="S375" s="29" t="n">
        <v>1</v>
      </c>
      <c r="T375" s="24" t="inlineStr">
        <is>
          <t>soccer-poisson-dc-v1</t>
        </is>
      </c>
      <c r="U375" s="24" t="inlineStr">
        <is>
          <t>settled</t>
        </is>
      </c>
      <c r="V375" s="24" t="inlineStr">
        <is>
          <t>loss</t>
        </is>
      </c>
      <c r="W375" s="26" t="n">
        <v>2</v>
      </c>
      <c r="X375" s="26" t="n">
        <v>1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2026-08-26T22:14:05.059407Z</t>
        </is>
      </c>
      <c r="AE375" s="31" t="inlineStr">
        <is>
          <t>Poisson-DC rates 1.64 (home) / 1.24 (away) from EWMA attack/defense strengths. Executable ask 0.4000 (atc-arg2-aca-ste-2026-08-26-aca).</t>
        </is>
      </c>
      <c r="AF375" s="31" t="inlineStr">
        <is>
          <t>Research-only soccer score model; draw-aware, but not yet locked-holdout qualified.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San Telmo</t>
        </is>
      </c>
      <c r="AQ375" s="24" t="inlineStr">
        <is>
          <t>San Telmo</t>
        </is>
      </c>
      <c r="AR375" s="24" t="inlineStr">
        <is>
          <t>San Telmo</t>
        </is>
      </c>
      <c r="AS375" s="24" t="inlineStr">
        <is>
          <t>Acassuso</t>
        </is>
      </c>
      <c r="AT375" s="24" t="inlineStr">
        <is>
          <t>Acassuso</t>
        </is>
      </c>
      <c r="AU375" s="24" t="inlineStr">
        <is>
          <t>Acassuso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f585a7f3cb7ee04f9a319a60fa601ef15e86636fadaaa8c1380ac0f28f75c58a</t>
        </is>
      </c>
      <c r="BB375" s="24" t="inlineStr">
        <is>
          <t>poisson_dixon_coles</t>
        </is>
      </c>
      <c r="BC375" s="24" t="inlineStr">
        <is>
          <t>soccer-poisson-dc-v1</t>
        </is>
      </c>
      <c r="BD375" s="24" t="inlineStr">
        <is>
          <t>f585a7f3cb7ee04f9a319a60fa601ef15e86636fadaaa8c1380ac0f28f75c58a</t>
        </is>
      </c>
      <c r="BE375" s="24" t="inlineStr">
        <is>
          <t>soccer-poisson-dc-v1</t>
        </is>
      </c>
      <c r="BF375" s="24" t="inlineStr">
        <is>
          <t>1</t>
        </is>
      </c>
      <c r="BG375" s="24" t="inlineStr">
        <is>
          <t>f585a7f3cb7ee04f9a319a60fa601ef15e86636fadaaa8c1380ac0f28f75c58a</t>
        </is>
      </c>
      <c r="BH375" s="24" t="inlineStr">
        <is>
          <t>2026-08-26T16:31:16.899858Z</t>
        </is>
      </c>
      <c r="BI375" s="24" t="inlineStr">
        <is>
          <t>["same_event","same_team_same_day","same_league_same_day"]</t>
        </is>
      </c>
      <c r="BJ375" s="25" t="n"/>
      <c r="BK375" s="26" t="n">
        <v>150</v>
      </c>
      <c r="BL375" s="27" t="n">
        <v>2.5</v>
      </c>
      <c r="BM375" s="28" t="n">
        <v>0.4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0.4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3c9ccd75637740fb</t>
        </is>
      </c>
      <c r="B376" s="24" t="inlineStr">
        <is>
          <t>2026-08-26T16:35:11.867033Z</t>
        </is>
      </c>
      <c r="C376" s="24" t="inlineStr">
        <is>
          <t>2026-08-26T18:00Z</t>
        </is>
      </c>
      <c r="D376" s="24" t="inlineStr">
        <is>
          <t>401843977</t>
        </is>
      </c>
      <c r="E376" s="24" t="inlineStr">
        <is>
          <t>SOCCER</t>
        </is>
      </c>
      <c r="F376" s="24" t="inlineStr">
        <is>
          <t>San Miguel</t>
        </is>
      </c>
      <c r="G376" s="24" t="inlineStr">
        <is>
          <t>Chaco For Ever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144</v>
      </c>
      <c r="M376" s="27" t="n">
        <v>2.44</v>
      </c>
      <c r="N376" s="28" t="n">
        <v>0.409836</v>
      </c>
      <c r="O376" s="28" t="n">
        <v>0.456135</v>
      </c>
      <c r="P376" s="28" t="n">
        <v>0.2</v>
      </c>
      <c r="Q376" s="28" t="n">
        <v>0.046299</v>
      </c>
      <c r="R376" s="26" t="n">
        <v>0</v>
      </c>
      <c r="S376" s="29" t="n">
        <v>1</v>
      </c>
      <c r="T376" s="24" t="inlineStr">
        <is>
          <t>soccer-poisson-dc-v1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3</v>
      </c>
      <c r="Y376" s="25" t="n"/>
      <c r="Z376" s="26" t="n"/>
      <c r="AA376" s="28" t="n"/>
      <c r="AB376" s="28" t="n"/>
      <c r="AC376" s="30" t="n">
        <v>1.44</v>
      </c>
      <c r="AD376" s="24" t="inlineStr">
        <is>
          <t>2026-08-26T22:14:06.440906Z</t>
        </is>
      </c>
      <c r="AE376" s="31" t="inlineStr">
        <is>
          <t>Poisson-DC rates 1.64 (home) / 1.24 (away) from EWMA attack/defense strengths. Executable ask 0.4100 (atc-arg2-cfe-casm-2026-08-26-cfe).</t>
        </is>
      </c>
      <c r="AF376" s="31" t="inlineStr">
        <is>
          <t>Research-only soccer score model; draw-aware, but not yet locked-holdout qualified.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San Miguel</t>
        </is>
      </c>
      <c r="AQ376" s="24" t="inlineStr">
        <is>
          <t>San Miguel</t>
        </is>
      </c>
      <c r="AR376" s="24" t="inlineStr">
        <is>
          <t>San Miguel</t>
        </is>
      </c>
      <c r="AS376" s="24" t="inlineStr">
        <is>
          <t>Chaco For Ever</t>
        </is>
      </c>
      <c r="AT376" s="24" t="inlineStr">
        <is>
          <t>Chaco For Ever</t>
        </is>
      </c>
      <c r="AU376" s="24" t="inlineStr">
        <is>
          <t>Chaco For Ever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f585a7f3cb7ee04f9a319a60fa601ef15e86636fadaaa8c1380ac0f28f75c58a</t>
        </is>
      </c>
      <c r="BB376" s="24" t="inlineStr">
        <is>
          <t>poisson_dixon_coles</t>
        </is>
      </c>
      <c r="BC376" s="24" t="inlineStr">
        <is>
          <t>soccer-poisson-dc-v1</t>
        </is>
      </c>
      <c r="BD376" s="24" t="inlineStr">
        <is>
          <t>f585a7f3cb7ee04f9a319a60fa601ef15e86636fadaaa8c1380ac0f28f75c58a</t>
        </is>
      </c>
      <c r="BE376" s="24" t="inlineStr">
        <is>
          <t>soccer-poisson-dc-v1</t>
        </is>
      </c>
      <c r="BF376" s="24" t="inlineStr">
        <is>
          <t>1</t>
        </is>
      </c>
      <c r="BG376" s="24" t="inlineStr">
        <is>
          <t>f585a7f3cb7ee04f9a319a60fa601ef15e86636fadaaa8c1380ac0f28f75c58a</t>
        </is>
      </c>
      <c r="BH376" s="24" t="inlineStr">
        <is>
          <t>2026-08-26T16:31:16.889306Z</t>
        </is>
      </c>
      <c r="BI376" s="24" t="inlineStr">
        <is>
          <t>["same_event","same_team_same_day","same_league_same_day"]</t>
        </is>
      </c>
      <c r="BJ376" s="25" t="n"/>
      <c r="BK376" s="26" t="n">
        <v>144</v>
      </c>
      <c r="BL376" s="27" t="n">
        <v>2.44</v>
      </c>
      <c r="BM376" s="28" t="n">
        <v>0.409836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0.409836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3745fafe4f6b422d</t>
        </is>
      </c>
      <c r="B377" s="24" t="inlineStr">
        <is>
          <t>2026-08-26T16:35:11.867033Z</t>
        </is>
      </c>
      <c r="C377" s="24" t="inlineStr">
        <is>
          <t>2026-08-26T18:30Z</t>
        </is>
      </c>
      <c r="D377" s="24" t="inlineStr">
        <is>
          <t>401843989</t>
        </is>
      </c>
      <c r="E377" s="24" t="inlineStr">
        <is>
          <t>SOCCER</t>
        </is>
      </c>
      <c r="F377" s="24" t="inlineStr">
        <is>
          <t>Atlanta</t>
        </is>
      </c>
      <c r="G377" s="24" t="inlineStr">
        <is>
          <t>Patronato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138</v>
      </c>
      <c r="M377" s="27" t="n">
        <v>2.38</v>
      </c>
      <c r="N377" s="28" t="n">
        <v>0.420168</v>
      </c>
      <c r="O377" s="28" t="n">
        <v>0.456135</v>
      </c>
      <c r="P377" s="28" t="n">
        <v>0.2</v>
      </c>
      <c r="Q377" s="28" t="n">
        <v>0.035967</v>
      </c>
      <c r="R377" s="26" t="n">
        <v>0</v>
      </c>
      <c r="S377" s="29" t="n">
        <v>1</v>
      </c>
      <c r="T377" s="24" t="inlineStr">
        <is>
          <t>soccer-poisson-dc-v1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2</v>
      </c>
      <c r="Y377" s="25" t="n"/>
      <c r="Z377" s="26" t="n"/>
      <c r="AA377" s="28" t="n"/>
      <c r="AB377" s="28" t="n"/>
      <c r="AC377" s="30" t="n">
        <v>1.38</v>
      </c>
      <c r="AD377" s="24" t="inlineStr">
        <is>
          <t>2026-08-26T22:14:07.900619Z</t>
        </is>
      </c>
      <c r="AE377" s="31" t="inlineStr">
        <is>
          <t>Poisson-DC rates 1.64 (home) / 1.24 (away) from EWMA attack/defense strengths. Executable ask 0.4200 (atc-arg2-cap-atl-2026-08-26-cap).</t>
        </is>
      </c>
      <c r="AF377" s="31" t="inlineStr">
        <is>
          <t>Research-only soccer score model; draw-aware, but not yet locked-holdout qualified.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Atlanta</t>
        </is>
      </c>
      <c r="AQ377" s="24" t="inlineStr">
        <is>
          <t>Atlanta</t>
        </is>
      </c>
      <c r="AR377" s="24" t="inlineStr">
        <is>
          <t>Atlanta</t>
        </is>
      </c>
      <c r="AS377" s="24" t="inlineStr">
        <is>
          <t>Patronato</t>
        </is>
      </c>
      <c r="AT377" s="24" t="inlineStr">
        <is>
          <t>Patronato</t>
        </is>
      </c>
      <c r="AU377" s="24" t="inlineStr">
        <is>
          <t>Patronato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f585a7f3cb7ee04f9a319a60fa601ef15e86636fadaaa8c1380ac0f28f75c58a</t>
        </is>
      </c>
      <c r="BB377" s="24" t="inlineStr">
        <is>
          <t>poisson_dixon_coles</t>
        </is>
      </c>
      <c r="BC377" s="24" t="inlineStr">
        <is>
          <t>soccer-poisson-dc-v1</t>
        </is>
      </c>
      <c r="BD377" s="24" t="inlineStr">
        <is>
          <t>f585a7f3cb7ee04f9a319a60fa601ef15e86636fadaaa8c1380ac0f28f75c58a</t>
        </is>
      </c>
      <c r="BE377" s="24" t="inlineStr">
        <is>
          <t>soccer-poisson-dc-v1</t>
        </is>
      </c>
      <c r="BF377" s="24" t="inlineStr">
        <is>
          <t>1</t>
        </is>
      </c>
      <c r="BG377" s="24" t="inlineStr">
        <is>
          <t>f585a7f3cb7ee04f9a319a60fa601ef15e86636fadaaa8c1380ac0f28f75c58a</t>
        </is>
      </c>
      <c r="BH377" s="24" t="inlineStr">
        <is>
          <t>2026-08-26T16:31:16.912144Z</t>
        </is>
      </c>
      <c r="BI377" s="24" t="inlineStr">
        <is>
          <t>["same_event","same_team_same_day","same_league_same_day"]</t>
        </is>
      </c>
      <c r="BJ377" s="25" t="n"/>
      <c r="BK377" s="26" t="n">
        <v>138</v>
      </c>
      <c r="BL377" s="27" t="n">
        <v>2.38</v>
      </c>
      <c r="BM377" s="28" t="n">
        <v>0.420168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0.420168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60e87f045bc34e08</t>
        </is>
      </c>
      <c r="B378" s="24" t="inlineStr">
        <is>
          <t>2026-08-26T22:17:59.923991Z</t>
        </is>
      </c>
      <c r="C378" s="24" t="inlineStr">
        <is>
          <t>2026-08-27T00:30Z</t>
        </is>
      </c>
      <c r="D378" s="24" t="inlineStr">
        <is>
          <t>401903295</t>
        </is>
      </c>
      <c r="E378" s="24" t="inlineStr">
        <is>
          <t>SOCCER</t>
        </is>
      </c>
      <c r="F378" s="24" t="inlineStr">
        <is>
          <t>Independiente Santa Fe</t>
        </is>
      </c>
      <c r="G378" s="24" t="inlineStr">
        <is>
          <t>River Plate</t>
        </is>
      </c>
      <c r="H378" s="24" t="inlineStr">
        <is>
          <t>total</t>
        </is>
      </c>
      <c r="I378" s="24" t="inlineStr">
        <is>
          <t>over</t>
        </is>
      </c>
      <c r="J378" s="25" t="n">
        <v>2.5</v>
      </c>
      <c r="K378" s="24" t="inlineStr">
        <is>
          <t>polymarket_us</t>
        </is>
      </c>
      <c r="L378" s="26" t="n">
        <v>122</v>
      </c>
      <c r="M378" s="27" t="n">
        <v>2.22</v>
      </c>
      <c r="N378" s="28" t="n">
        <v>0.45045</v>
      </c>
      <c r="O378" s="28" t="n">
        <v>0.564816</v>
      </c>
      <c r="P378" s="28" t="n">
        <v>0.2</v>
      </c>
      <c r="Q378" s="28" t="n">
        <v>0.114366</v>
      </c>
      <c r="R378" s="26" t="n">
        <v>0</v>
      </c>
      <c r="S378" s="29" t="n">
        <v>1</v>
      </c>
      <c r="T378" s="24" t="inlineStr">
        <is>
          <t>soccer-poisson-dc-v1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1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2026-08-27T03:43:47.213917Z</t>
        </is>
      </c>
      <c r="AE378" s="31" t="inlineStr">
        <is>
          <t>Poisson-DC rates 1.84 (home) / 1.10 (away) from EWMA attack/defense strengths. Executable ask 0.4500 (tsc-sud-riv-isf-2026-08-26-2pt5).</t>
        </is>
      </c>
      <c r="AF378" s="31" t="inlineStr">
        <is>
          <t>Research-only soccer score model; draw-aware, but not yet locked-holdout qualified.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Independiente Santa Fe</t>
        </is>
      </c>
      <c r="AQ378" s="24" t="inlineStr">
        <is>
          <t>Independiente Santa Fe</t>
        </is>
      </c>
      <c r="AR378" s="24" t="inlineStr">
        <is>
          <t>Independiente Santa Fe</t>
        </is>
      </c>
      <c r="AS378" s="24" t="inlineStr">
        <is>
          <t>River Plate</t>
        </is>
      </c>
      <c r="AT378" s="24" t="inlineStr">
        <is>
          <t>River Plate</t>
        </is>
      </c>
      <c r="AU378" s="24" t="inlineStr">
        <is>
          <t>River Plate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f585a7f3cb7ee04f9a319a60fa601ef15e86636fadaaa8c1380ac0f28f75c58a</t>
        </is>
      </c>
      <c r="BB378" s="24" t="inlineStr">
        <is>
          <t>poisson_dixon_coles</t>
        </is>
      </c>
      <c r="BC378" s="24" t="inlineStr">
        <is>
          <t>soccer-poisson-dc-v1</t>
        </is>
      </c>
      <c r="BD378" s="24" t="inlineStr">
        <is>
          <t>f585a7f3cb7ee04f9a319a60fa601ef15e86636fadaaa8c1380ac0f28f75c58a</t>
        </is>
      </c>
      <c r="BE378" s="24" t="inlineStr">
        <is>
          <t>soccer-poisson-dc-v1</t>
        </is>
      </c>
      <c r="BF378" s="24" t="inlineStr">
        <is>
          <t>1</t>
        </is>
      </c>
      <c r="BG378" s="24" t="inlineStr">
        <is>
          <t>f585a7f3cb7ee04f9a319a60fa601ef15e86636fadaaa8c1380ac0f28f75c58a</t>
        </is>
      </c>
      <c r="BH378" s="24" t="inlineStr">
        <is>
          <t>2026-08-26T22:16:54.700994Z</t>
        </is>
      </c>
      <c r="BI378" s="24" t="inlineStr">
        <is>
          <t>["same_event","same_team_same_day","same_league_same_day"]</t>
        </is>
      </c>
      <c r="BJ378" s="25" t="n">
        <v>2.5</v>
      </c>
      <c r="BK378" s="26" t="n">
        <v>122</v>
      </c>
      <c r="BL378" s="27" t="n">
        <v>2.22</v>
      </c>
      <c r="BM378" s="28" t="n">
        <v>0.45045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0.45045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9d5f5d44bfc44fb8</t>
        </is>
      </c>
      <c r="B379" s="24" t="inlineStr">
        <is>
          <t>2026-08-26T22:17:59.923991Z</t>
        </is>
      </c>
      <c r="C379" s="24" t="inlineStr">
        <is>
          <t>2026-08-27T00:30Z</t>
        </is>
      </c>
      <c r="D379" s="24" t="inlineStr">
        <is>
          <t>401903295</t>
        </is>
      </c>
      <c r="E379" s="24" t="inlineStr">
        <is>
          <t>SOCCER</t>
        </is>
      </c>
      <c r="F379" s="24" t="inlineStr">
        <is>
          <t>Independiente Santa Fe</t>
        </is>
      </c>
      <c r="G379" s="24" t="inlineStr">
        <is>
          <t>River Plate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-300</v>
      </c>
      <c r="M379" s="27" t="n">
        <v>1.333333</v>
      </c>
      <c r="N379" s="28" t="n">
        <v>0.75</v>
      </c>
      <c r="O379" s="28" t="n">
        <v>0.5359159999999999</v>
      </c>
      <c r="P379" s="28" t="n">
        <v>0.2</v>
      </c>
      <c r="Q379" s="28" t="n">
        <v>-0.214084</v>
      </c>
      <c r="R379" s="26" t="n">
        <v>0</v>
      </c>
      <c r="S379" s="29" t="n">
        <v>1</v>
      </c>
      <c r="T379" s="24" t="inlineStr">
        <is>
          <t>soccer-poisson-dc-v1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1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2026-08-27T03:43:50.165760Z</t>
        </is>
      </c>
      <c r="AE379" s="31" t="inlineStr">
        <is>
          <t>Poisson-DC rates 1.84 (home) / 1.10 (away) from EWMA attack/defense strengths. Executable ask 0.7500 (atc-sud-riv-isf-2026-08-26-riv).</t>
        </is>
      </c>
      <c r="AF379" s="31" t="inlineStr">
        <is>
          <t>Research-only soccer score model; draw-aware, but not yet locked-holdout qualified.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PAPER_CALL_MODEL_UNVALIDATED</t>
        </is>
      </c>
      <c r="AP379" s="24" t="inlineStr">
        <is>
          <t>Independiente Santa Fe</t>
        </is>
      </c>
      <c r="AQ379" s="24" t="inlineStr">
        <is>
          <t>Independiente Santa Fe</t>
        </is>
      </c>
      <c r="AR379" s="24" t="inlineStr">
        <is>
          <t>Independiente Santa Fe</t>
        </is>
      </c>
      <c r="AS379" s="24" t="inlineStr">
        <is>
          <t>River Plate</t>
        </is>
      </c>
      <c r="AT379" s="24" t="inlineStr">
        <is>
          <t>River Plate</t>
        </is>
      </c>
      <c r="AU379" s="24" t="inlineStr">
        <is>
          <t>River Plate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f585a7f3cb7ee04f9a319a60fa601ef15e86636fadaaa8c1380ac0f28f75c58a</t>
        </is>
      </c>
      <c r="BB379" s="24" t="inlineStr">
        <is>
          <t>poisson_dixon_coles</t>
        </is>
      </c>
      <c r="BC379" s="24" t="inlineStr">
        <is>
          <t>soccer-poisson-dc-v1</t>
        </is>
      </c>
      <c r="BD379" s="24" t="inlineStr">
        <is>
          <t>f585a7f3cb7ee04f9a319a60fa601ef15e86636fadaaa8c1380ac0f28f75c58a</t>
        </is>
      </c>
      <c r="BE379" s="24" t="inlineStr">
        <is>
          <t>soccer-poisson-dc-v1</t>
        </is>
      </c>
      <c r="BF379" s="24" t="inlineStr">
        <is>
          <t>1</t>
        </is>
      </c>
      <c r="BG379" s="24" t="inlineStr">
        <is>
          <t>f585a7f3cb7ee04f9a319a60fa601ef15e86636fadaaa8c1380ac0f28f75c58a</t>
        </is>
      </c>
      <c r="BH379" s="24" t="inlineStr">
        <is>
          <t>2026-08-26T22:16:54.661176Z</t>
        </is>
      </c>
      <c r="BI379" s="24" t="inlineStr">
        <is>
          <t>["same_event","same_team_same_day","same_league_same_day"]</t>
        </is>
      </c>
      <c r="BJ379" s="25" t="n"/>
      <c r="BK379" s="26" t="n">
        <v>-300</v>
      </c>
      <c r="BL379" s="27" t="n">
        <v>1.333333</v>
      </c>
      <c r="BM379" s="28" t="n">
        <v>0.75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ff3d8a7d13084b5f</t>
        </is>
      </c>
      <c r="B380" s="24" t="inlineStr">
        <is>
          <t>2026-08-27T13:58:22.555559Z</t>
        </is>
      </c>
      <c r="C380" s="24" t="inlineStr">
        <is>
          <t>2026-08-27T19:00Z</t>
        </is>
      </c>
      <c r="D380" s="24" t="inlineStr">
        <is>
          <t>401882921</t>
        </is>
      </c>
      <c r="E380" s="24" t="inlineStr">
        <is>
          <t>SOCCER</t>
        </is>
      </c>
      <c r="F380" s="24" t="inlineStr">
        <is>
          <t>Athletic Club</t>
        </is>
      </c>
      <c r="G380" s="24" t="inlineStr">
        <is>
          <t>Barcelona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-426</v>
      </c>
      <c r="M380" s="27" t="n">
        <v>1.234742</v>
      </c>
      <c r="N380" s="28" t="n">
        <v>0.809886</v>
      </c>
      <c r="O380" s="28" t="n">
        <v>0.796816</v>
      </c>
      <c r="P380" s="28" t="n">
        <v>0.04</v>
      </c>
      <c r="Q380" s="28" t="n">
        <v>-0.01307</v>
      </c>
      <c r="R380" s="26" t="n">
        <v>19</v>
      </c>
      <c r="S380" s="29" t="n">
        <v>1</v>
      </c>
      <c r="T380" s="24" t="inlineStr">
        <is>
          <t>soccer-poisson-dc-v1</t>
        </is>
      </c>
      <c r="U380" s="24" t="inlineStr">
        <is>
          <t>settled</t>
        </is>
      </c>
      <c r="V380" s="24" t="inlineStr">
        <is>
          <t>win</t>
        </is>
      </c>
      <c r="W380" s="26" t="n">
        <v>0</v>
      </c>
      <c r="X380" s="26" t="n">
        <v>2</v>
      </c>
      <c r="Y380" s="25" t="n"/>
      <c r="Z380" s="26" t="n"/>
      <c r="AA380" s="28" t="n"/>
      <c r="AB380" s="28" t="n"/>
      <c r="AC380" s="30" t="n">
        <v>0.2347</v>
      </c>
      <c r="AD380" s="24" t="inlineStr">
        <is>
          <t>2026-08-27T21:48:00.018196Z</t>
        </is>
      </c>
      <c r="AE380" s="31" t="inlineStr">
        <is>
          <t>Poisson-DC rates 2.96 (home) / 0.83 (away) from EWMA attack/defense strengths. Executable ask 0.8100 (atc-lal-fcb-ath-2026-08-27-fcb).</t>
        </is>
      </c>
      <c r="AF380" s="31" t="inlineStr">
        <is>
          <t>Research-only soccer score model; draw-aware, but not yet locked-holdout qualified.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Athletic Club</t>
        </is>
      </c>
      <c r="AQ380" s="24" t="inlineStr">
        <is>
          <t>Athletic Club</t>
        </is>
      </c>
      <c r="AR380" s="24" t="inlineStr">
        <is>
          <t>Athletic Club</t>
        </is>
      </c>
      <c r="AS380" s="24" t="inlineStr">
        <is>
          <t>Barcelona</t>
        </is>
      </c>
      <c r="AT380" s="24" t="inlineStr">
        <is>
          <t>Barcelona</t>
        </is>
      </c>
      <c r="AU380" s="24" t="inlineStr">
        <is>
          <t>Barcelona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f585a7f3cb7ee04f9a319a60fa601ef15e86636fadaaa8c1380ac0f28f75c58a</t>
        </is>
      </c>
      <c r="BB380" s="24" t="inlineStr">
        <is>
          <t>poisson_dixon_coles</t>
        </is>
      </c>
      <c r="BC380" s="24" t="inlineStr">
        <is>
          <t>soccer-poisson-dc-v1</t>
        </is>
      </c>
      <c r="BD380" s="24" t="inlineStr">
        <is>
          <t>f585a7f3cb7ee04f9a319a60fa601ef15e86636fadaaa8c1380ac0f28f75c58a</t>
        </is>
      </c>
      <c r="BE380" s="24" t="inlineStr">
        <is>
          <t>soccer-poisson-dc-v1</t>
        </is>
      </c>
      <c r="BF380" s="24" t="inlineStr">
        <is>
          <t>1</t>
        </is>
      </c>
      <c r="BG380" s="24" t="inlineStr">
        <is>
          <t>f585a7f3cb7ee04f9a319a60fa601ef15e86636fadaaa8c1380ac0f28f75c58a</t>
        </is>
      </c>
      <c r="BH380" s="24" t="inlineStr">
        <is>
          <t>2026-08-27T13:56:37.901224Z</t>
        </is>
      </c>
      <c r="BI380" s="24" t="inlineStr">
        <is>
          <t>["same_event","same_team_same_day","same_league_same_day"]</t>
        </is>
      </c>
      <c r="BJ380" s="25" t="n"/>
      <c r="BK380" s="26" t="n">
        <v>-426</v>
      </c>
      <c r="BL380" s="27" t="n">
        <v>1.234742</v>
      </c>
      <c r="BM380" s="28" t="n">
        <v>0.809886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0.809886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8d3ca83740c64865</t>
        </is>
      </c>
      <c r="B381" s="24" t="inlineStr">
        <is>
          <t>2026-08-27T22:19:14.878680Z</t>
        </is>
      </c>
      <c r="C381" s="24" t="inlineStr">
        <is>
          <t>2026-08-27T23:10Z</t>
        </is>
      </c>
      <c r="D381" s="24" t="inlineStr">
        <is>
          <t>401877881</t>
        </is>
      </c>
      <c r="E381" s="24" t="inlineStr">
        <is>
          <t>SOCCER</t>
        </is>
      </c>
      <c r="F381" s="24" t="inlineStr">
        <is>
          <t>Millonarios</t>
        </is>
      </c>
      <c r="G381" s="24" t="inlineStr">
        <is>
          <t>Llaneros FC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270</v>
      </c>
      <c r="M381" s="27" t="n">
        <v>3.7</v>
      </c>
      <c r="N381" s="28" t="n">
        <v>0.27027</v>
      </c>
      <c r="O381" s="28" t="n">
        <v>0.440521</v>
      </c>
      <c r="P381" s="28" t="n">
        <v>0.2</v>
      </c>
      <c r="Q381" s="28" t="n">
        <v>0.170251</v>
      </c>
      <c r="R381" s="26" t="n">
        <v>15</v>
      </c>
      <c r="S381" s="29" t="n">
        <v>1</v>
      </c>
      <c r="T381" s="24" t="inlineStr">
        <is>
          <t>soccer-poisson-dc-v1</t>
        </is>
      </c>
      <c r="U381" s="24" t="inlineStr">
        <is>
          <t>settled</t>
        </is>
      </c>
      <c r="V381" s="24" t="inlineStr">
        <is>
          <t>loss</t>
        </is>
      </c>
      <c r="W381" s="26" t="n">
        <v>2</v>
      </c>
      <c r="X381" s="26" t="n">
        <v>0</v>
      </c>
      <c r="Y381" s="25" t="n"/>
      <c r="Z381" s="26" t="n"/>
      <c r="AA381" s="28" t="n"/>
      <c r="AB381" s="28" t="n"/>
      <c r="AC381" s="30" t="n">
        <v>-1</v>
      </c>
      <c r="AD381" s="24" t="inlineStr">
        <is>
          <t>2026-08-28T02:39:28.689348Z</t>
        </is>
      </c>
      <c r="AE381" s="31" t="inlineStr">
        <is>
          <t>Poisson-DC rates 1.46 (home) / 1.10 (away) from EWMA attack/defense strengths. Executable ask 0.2700 (atc-lco-lla-mil-2026-08-27-lla).</t>
        </is>
      </c>
      <c r="AF381" s="31" t="inlineStr">
        <is>
          <t>Research-only soccer score model; draw-aware, but not yet locked-holdout qualified.</t>
        </is>
      </c>
      <c r="AG381" s="24" t="inlineStr">
        <is>
          <t>review_required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PAPER_CALL_MODEL_UNVALIDATED</t>
        </is>
      </c>
      <c r="AP381" s="24" t="inlineStr">
        <is>
          <t>Millonarios</t>
        </is>
      </c>
      <c r="AQ381" s="24" t="inlineStr">
        <is>
          <t>Millonarios</t>
        </is>
      </c>
      <c r="AR381" s="24" t="inlineStr">
        <is>
          <t>Millonarios</t>
        </is>
      </c>
      <c r="AS381" s="24" t="inlineStr">
        <is>
          <t>Llaneros FC</t>
        </is>
      </c>
      <c r="AT381" s="24" t="inlineStr">
        <is>
          <t>Llaneros FC</t>
        </is>
      </c>
      <c r="AU381" s="24" t="inlineStr">
        <is>
          <t>Llaneros FC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f585a7f3cb7ee04f9a319a60fa601ef15e86636fadaaa8c1380ac0f28f75c58a</t>
        </is>
      </c>
      <c r="BB381" s="24" t="inlineStr">
        <is>
          <t>poisson_dixon_coles</t>
        </is>
      </c>
      <c r="BC381" s="24" t="inlineStr">
        <is>
          <t>soccer-poisson-dc-v1</t>
        </is>
      </c>
      <c r="BD381" s="24" t="inlineStr">
        <is>
          <t>f585a7f3cb7ee04f9a319a60fa601ef15e86636fadaaa8c1380ac0f28f75c58a</t>
        </is>
      </c>
      <c r="BE381" s="24" t="inlineStr">
        <is>
          <t>soccer-poisson-dc-v1</t>
        </is>
      </c>
      <c r="BF381" s="24" t="inlineStr">
        <is>
          <t>1</t>
        </is>
      </c>
      <c r="BG381" s="24" t="inlineStr">
        <is>
          <t>f585a7f3cb7ee04f9a319a60fa601ef15e86636fadaaa8c1380ac0f28f75c58a</t>
        </is>
      </c>
      <c r="BH381" s="24" t="inlineStr">
        <is>
          <t>2026-08-27T22:17:27.428966Z</t>
        </is>
      </c>
      <c r="BI381" s="24" t="inlineStr">
        <is>
          <t>["same_event","same_team_same_day","same_league_same_day"]</t>
        </is>
      </c>
      <c r="BJ381" s="25" t="n"/>
      <c r="BK381" s="26" t="n">
        <v>270</v>
      </c>
      <c r="BL381" s="27" t="n">
        <v>3.7</v>
      </c>
      <c r="BM381" s="28" t="n">
        <v>0.27027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0.27027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f15466b7ff83485e</t>
        </is>
      </c>
      <c r="B382" s="24" t="inlineStr">
        <is>
          <t>2026-08-28T12:35:00.420703Z</t>
        </is>
      </c>
      <c r="C382" s="24" t="inlineStr">
        <is>
          <t>2026-08-28T19:00Z</t>
        </is>
      </c>
      <c r="D382" s="24" t="inlineStr">
        <is>
          <t>401879294</t>
        </is>
      </c>
      <c r="E382" s="24" t="inlineStr">
        <is>
          <t>SOCCER</t>
        </is>
      </c>
      <c r="F382" s="24" t="inlineStr">
        <is>
          <t>Manchester City</t>
        </is>
      </c>
      <c r="G382" s="24" t="inlineStr">
        <is>
          <t>Crystal Palace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0.481635</v>
      </c>
      <c r="P382" s="28" t="n">
        <v>0.04</v>
      </c>
      <c r="Q382" s="28" t="n">
        <v>-0.108529</v>
      </c>
      <c r="R382" s="26" t="n">
        <v>0</v>
      </c>
      <c r="S382" s="29" t="n">
        <v>1</v>
      </c>
      <c r="T382" s="24" t="inlineStr">
        <is>
          <t>soccer-poisson-dc-v1</t>
        </is>
      </c>
      <c r="U382" s="24" t="inlineStr">
        <is>
          <t>settled</t>
        </is>
      </c>
      <c r="V382" s="24" t="inlineStr">
        <is>
          <t>win</t>
        </is>
      </c>
      <c r="W382" s="26" t="n">
        <v>4</v>
      </c>
      <c r="X382" s="26" t="n">
        <v>1</v>
      </c>
      <c r="Y382" s="25" t="n"/>
      <c r="Z382" s="26" t="n"/>
      <c r="AA382" s="28" t="n"/>
      <c r="AB382" s="28" t="n"/>
      <c r="AC382" s="30" t="n">
        <v>0.6944</v>
      </c>
      <c r="AD382" s="24" t="inlineStr">
        <is>
          <t>2026-08-29T12:36:30.420335Z</t>
        </is>
      </c>
      <c r="AE382" s="31" t="inlineStr">
        <is>
          <t>Poisson-DC rates 1.19 (home) / 1.70 (away) from EWMA attack/defense strengths. Executable ask 0.5900 (atc-epl-cry-mnc-2026-08-28-mnc).</t>
        </is>
      </c>
      <c r="AF382" s="31" t="inlineStr">
        <is>
          <t>Research-only soccer score model; draw-aware, but not yet locked-holdout qualified.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Manchester City</t>
        </is>
      </c>
      <c r="AQ382" s="24" t="inlineStr">
        <is>
          <t>Manchester City</t>
        </is>
      </c>
      <c r="AR382" s="24" t="inlineStr">
        <is>
          <t>Manchester City</t>
        </is>
      </c>
      <c r="AS382" s="24" t="inlineStr">
        <is>
          <t>Crystal Palace</t>
        </is>
      </c>
      <c r="AT382" s="24" t="inlineStr">
        <is>
          <t>Crystal Palace</t>
        </is>
      </c>
      <c r="AU382" s="24" t="inlineStr">
        <is>
          <t>Crystal Palace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f585a7f3cb7ee04f9a319a60fa601ef15e86636fadaaa8c1380ac0f28f75c58a</t>
        </is>
      </c>
      <c r="BB382" s="24" t="inlineStr">
        <is>
          <t>poisson_dixon_coles</t>
        </is>
      </c>
      <c r="BC382" s="24" t="inlineStr">
        <is>
          <t>soccer-poisson-dc-v1</t>
        </is>
      </c>
      <c r="BD382" s="24" t="inlineStr">
        <is>
          <t>f585a7f3cb7ee04f9a319a60fa601ef15e86636fadaaa8c1380ac0f28f75c58a</t>
        </is>
      </c>
      <c r="BE382" s="24" t="inlineStr">
        <is>
          <t>soccer-poisson-dc-v1</t>
        </is>
      </c>
      <c r="BF382" s="24" t="inlineStr">
        <is>
          <t>1</t>
        </is>
      </c>
      <c r="BG382" s="24" t="inlineStr">
        <is>
          <t>f585a7f3cb7ee04f9a319a60fa601ef15e86636fadaaa8c1380ac0f28f75c58a</t>
        </is>
      </c>
      <c r="BH382" s="24" t="inlineStr">
        <is>
          <t>2026-08-28T12:33:30.528919Z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b0253ec77c4e422d</t>
        </is>
      </c>
      <c r="B383" s="24" t="inlineStr">
        <is>
          <t>2026-08-28T12:35:00.420703Z</t>
        </is>
      </c>
      <c r="C383" s="24" t="inlineStr">
        <is>
          <t>2026-08-28T18:45Z</t>
        </is>
      </c>
      <c r="D383" s="24" t="inlineStr">
        <is>
          <t>401874758</t>
        </is>
      </c>
      <c r="E383" s="24" t="inlineStr">
        <is>
          <t>SOCCER</t>
        </is>
      </c>
      <c r="F383" s="24" t="inlineStr">
        <is>
          <t>Venezia</t>
        </is>
      </c>
      <c r="G383" s="24" t="inlineStr">
        <is>
          <t>AC Milan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-203</v>
      </c>
      <c r="M383" s="27" t="n">
        <v>1.492611</v>
      </c>
      <c r="N383" s="28" t="n">
        <v>0.669967</v>
      </c>
      <c r="O383" s="28" t="n">
        <v>0.548899</v>
      </c>
      <c r="P383" s="28" t="n">
        <v>0.04</v>
      </c>
      <c r="Q383" s="28" t="n">
        <v>-0.121068</v>
      </c>
      <c r="R383" s="26" t="n">
        <v>0</v>
      </c>
      <c r="S383" s="29" t="n">
        <v>1</v>
      </c>
      <c r="T383" s="24" t="inlineStr">
        <is>
          <t>soccer-poisson-dc-v1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2</v>
      </c>
      <c r="Y383" s="25" t="n"/>
      <c r="Z383" s="26" t="n"/>
      <c r="AA383" s="28" t="n"/>
      <c r="AB383" s="28" t="n"/>
      <c r="AC383" s="30" t="n">
        <v>0.4926</v>
      </c>
      <c r="AD383" s="24" t="inlineStr">
        <is>
          <t>2026-08-29T12:36:32.002252Z</t>
        </is>
      </c>
      <c r="AE383" s="31" t="inlineStr">
        <is>
          <t>Poisson-DC rates 1.46 (home) / 0.68 (away) from EWMA attack/defense strengths. Executable ask 0.6700 (atc-sea-mil-ven-2026-08-28-mil).</t>
        </is>
      </c>
      <c r="AF383" s="31" t="inlineStr">
        <is>
          <t>Research-only soccer score model; draw-aware, but not yet locked-holdout qualified.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Venezia</t>
        </is>
      </c>
      <c r="AQ383" s="24" t="inlineStr">
        <is>
          <t>Venezia</t>
        </is>
      </c>
      <c r="AR383" s="24" t="inlineStr">
        <is>
          <t>Venezia</t>
        </is>
      </c>
      <c r="AS383" s="24" t="inlineStr">
        <is>
          <t>AC Milan</t>
        </is>
      </c>
      <c r="AT383" s="24" t="inlineStr">
        <is>
          <t>AC Milan</t>
        </is>
      </c>
      <c r="AU383" s="24" t="inlineStr">
        <is>
          <t>AC Milan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f585a7f3cb7ee04f9a319a60fa601ef15e86636fadaaa8c1380ac0f28f75c58a</t>
        </is>
      </c>
      <c r="BB383" s="24" t="inlineStr">
        <is>
          <t>poisson_dixon_coles</t>
        </is>
      </c>
      <c r="BC383" s="24" t="inlineStr">
        <is>
          <t>soccer-poisson-dc-v1</t>
        </is>
      </c>
      <c r="BD383" s="24" t="inlineStr">
        <is>
          <t>f585a7f3cb7ee04f9a319a60fa601ef15e86636fadaaa8c1380ac0f28f75c58a</t>
        </is>
      </c>
      <c r="BE383" s="24" t="inlineStr">
        <is>
          <t>soccer-poisson-dc-v1</t>
        </is>
      </c>
      <c r="BF383" s="24" t="inlineStr">
        <is>
          <t>1</t>
        </is>
      </c>
      <c r="BG383" s="24" t="inlineStr">
        <is>
          <t>f585a7f3cb7ee04f9a319a60fa601ef15e86636fadaaa8c1380ac0f28f75c58a</t>
        </is>
      </c>
      <c r="BH383" s="24" t="inlineStr">
        <is>
          <t>2026-08-28T12:33:31.007249Z</t>
        </is>
      </c>
      <c r="BI383" s="24" t="inlineStr">
        <is>
          <t>["same_event","same_team_same_day","same_league_same_day"]</t>
        </is>
      </c>
      <c r="BJ383" s="25" t="n"/>
      <c r="BK383" s="26" t="n">
        <v>-203</v>
      </c>
      <c r="BL383" s="27" t="n">
        <v>1.492611</v>
      </c>
      <c r="BM383" s="28" t="n">
        <v>0.669967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0.669967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9410e655b54b41b7</t>
        </is>
      </c>
      <c r="B384" s="24" t="inlineStr">
        <is>
          <t>2026-08-28T12:35:00.420703Z</t>
        </is>
      </c>
      <c r="C384" s="24" t="inlineStr">
        <is>
          <t>2026-08-29T01:00Z</t>
        </is>
      </c>
      <c r="D384" s="24" t="inlineStr">
        <is>
          <t>401844097</t>
        </is>
      </c>
      <c r="E384" s="24" t="inlineStr">
        <is>
          <t>SOCCER</t>
        </is>
      </c>
      <c r="F384" s="24" t="inlineStr">
        <is>
          <t>Chacarita Juniors</t>
        </is>
      </c>
      <c r="G384" s="24" t="inlineStr">
        <is>
          <t>Gimnasia y Tiro (Salta)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108</v>
      </c>
      <c r="M384" s="27" t="n">
        <v>2.08</v>
      </c>
      <c r="N384" s="28" t="n">
        <v>0.480769</v>
      </c>
      <c r="O384" s="28" t="n">
        <v>0.456135</v>
      </c>
      <c r="P384" s="28" t="n">
        <v>0.2</v>
      </c>
      <c r="Q384" s="28" t="n">
        <v>-0.024634</v>
      </c>
      <c r="R384" s="26" t="n">
        <v>0</v>
      </c>
      <c r="S384" s="29" t="n">
        <v>1</v>
      </c>
      <c r="T384" s="24" t="inlineStr">
        <is>
          <t>soccer-poisson-dc-v1</t>
        </is>
      </c>
      <c r="U384" s="24" t="inlineStr">
        <is>
          <t>settled</t>
        </is>
      </c>
      <c r="V384" s="24" t="inlineStr">
        <is>
          <t>win</t>
        </is>
      </c>
      <c r="W384" s="26" t="n">
        <v>0</v>
      </c>
      <c r="X384" s="26" t="n">
        <v>1</v>
      </c>
      <c r="Y384" s="25" t="n"/>
      <c r="Z384" s="26" t="n"/>
      <c r="AA384" s="28" t="n"/>
      <c r="AB384" s="28" t="n"/>
      <c r="AC384" s="30" t="n">
        <v>1.08</v>
      </c>
      <c r="AD384" s="24" t="inlineStr">
        <is>
          <t>2026-08-29T12:36:33.834103Z</t>
        </is>
      </c>
      <c r="AE384" s="31" t="inlineStr">
        <is>
          <t>Poisson-DC rates 1.64 (home) / 1.24 (away) from EWMA attack/defense strengths. Executable ask 0.4800 (atc-arg2-gyt-cjh-2026-08-28-gyt).</t>
        </is>
      </c>
      <c r="AF384" s="31" t="inlineStr">
        <is>
          <t>Research-only soccer score model; draw-aware, but not yet locked-holdout qualified.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Chacarita Juniors</t>
        </is>
      </c>
      <c r="AQ384" s="24" t="inlineStr">
        <is>
          <t>Chacarita Juniors</t>
        </is>
      </c>
      <c r="AR384" s="24" t="inlineStr">
        <is>
          <t>Chacarita Juniors</t>
        </is>
      </c>
      <c r="AS384" s="24" t="inlineStr">
        <is>
          <t>Gimnasia y Tiro (Salta)</t>
        </is>
      </c>
      <c r="AT384" s="24" t="inlineStr">
        <is>
          <t>Gimnasia y Tiro (Salta)</t>
        </is>
      </c>
      <c r="AU384" s="24" t="inlineStr">
        <is>
          <t>Gimnasia y Tiro (Salta)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f585a7f3cb7ee04f9a319a60fa601ef15e86636fadaaa8c1380ac0f28f75c58a</t>
        </is>
      </c>
      <c r="BB384" s="24" t="inlineStr">
        <is>
          <t>poisson_dixon_coles</t>
        </is>
      </c>
      <c r="BC384" s="24" t="inlineStr">
        <is>
          <t>soccer-poisson-dc-v1</t>
        </is>
      </c>
      <c r="BD384" s="24" t="inlineStr">
        <is>
          <t>f585a7f3cb7ee04f9a319a60fa601ef15e86636fadaaa8c1380ac0f28f75c58a</t>
        </is>
      </c>
      <c r="BE384" s="24" t="inlineStr">
        <is>
          <t>soccer-poisson-dc-v1</t>
        </is>
      </c>
      <c r="BF384" s="24" t="inlineStr">
        <is>
          <t>1</t>
        </is>
      </c>
      <c r="BG384" s="24" t="inlineStr">
        <is>
          <t>f585a7f3cb7ee04f9a319a60fa601ef15e86636fadaaa8c1380ac0f28f75c58a</t>
        </is>
      </c>
      <c r="BH384" s="24" t="inlineStr">
        <is>
          <t>2026-08-28T12:33:31.200581Z</t>
        </is>
      </c>
      <c r="BI384" s="24" t="inlineStr">
        <is>
          <t>["same_event","same_team_same_day","same_league_same_day"]</t>
        </is>
      </c>
      <c r="BJ384" s="25" t="n"/>
      <c r="BK384" s="26" t="n">
        <v>108</v>
      </c>
      <c r="BL384" s="27" t="n">
        <v>2.08</v>
      </c>
      <c r="BM384" s="28" t="n">
        <v>0.480769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0.480769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f2d2387943df45a1</t>
        </is>
      </c>
      <c r="B385" s="24" t="inlineStr">
        <is>
          <t>2026-08-28T12:35:00.420703Z</t>
        </is>
      </c>
      <c r="C385" s="24" t="inlineStr">
        <is>
          <t>2026-08-28T22:30Z</t>
        </is>
      </c>
      <c r="D385" s="24" t="inlineStr">
        <is>
          <t>401850636</t>
        </is>
      </c>
      <c r="E385" s="24" t="inlineStr">
        <is>
          <t>SOCCER</t>
        </is>
      </c>
      <c r="F385" s="24" t="inlineStr">
        <is>
          <t>Palestino</t>
        </is>
      </c>
      <c r="G385" s="24" t="inlineStr">
        <is>
          <t>Cobresal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156</v>
      </c>
      <c r="M385" s="27" t="n">
        <v>2.56</v>
      </c>
      <c r="N385" s="28" t="n">
        <v>0.390625</v>
      </c>
      <c r="O385" s="28" t="n">
        <v>0.396866</v>
      </c>
      <c r="P385" s="28" t="n">
        <v>0.19</v>
      </c>
      <c r="Q385" s="28" t="n">
        <v>0.006241</v>
      </c>
      <c r="R385" s="26" t="n">
        <v>0</v>
      </c>
      <c r="S385" s="29" t="n">
        <v>1</v>
      </c>
      <c r="T385" s="24" t="inlineStr">
        <is>
          <t>soccer-poisson-dc-v1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2</v>
      </c>
      <c r="Y385" s="25" t="n"/>
      <c r="Z385" s="26" t="n"/>
      <c r="AA385" s="28" t="n"/>
      <c r="AB385" s="28" t="n"/>
      <c r="AC385" s="30" t="n">
        <v>-1</v>
      </c>
      <c r="AD385" s="24" t="inlineStr">
        <is>
          <t>2026-08-29T12:36:35.339263Z</t>
        </is>
      </c>
      <c r="AE385" s="31" t="inlineStr">
        <is>
          <t>Poisson-DC rates 1.30 (home) / 1.46 (away) from EWMA attack/defense strengths. Executable ask 0.3900 (atc-pdc-cbs-pal-2026-08-28-pal).</t>
        </is>
      </c>
      <c r="AF385" s="31" t="inlineStr">
        <is>
          <t>Research-only soccer score model; draw-aware, but not yet locked-holdout qualified.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Palestino</t>
        </is>
      </c>
      <c r="AQ385" s="24" t="inlineStr">
        <is>
          <t>Palestino</t>
        </is>
      </c>
      <c r="AR385" s="24" t="inlineStr">
        <is>
          <t>Palestino</t>
        </is>
      </c>
      <c r="AS385" s="24" t="inlineStr">
        <is>
          <t>Cobresal</t>
        </is>
      </c>
      <c r="AT385" s="24" t="inlineStr">
        <is>
          <t>Cobresal</t>
        </is>
      </c>
      <c r="AU385" s="24" t="inlineStr">
        <is>
          <t>Cobresal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f585a7f3cb7ee04f9a319a60fa601ef15e86636fadaaa8c1380ac0f28f75c58a</t>
        </is>
      </c>
      <c r="BB385" s="24" t="inlineStr">
        <is>
          <t>poisson_dixon_coles</t>
        </is>
      </c>
      <c r="BC385" s="24" t="inlineStr">
        <is>
          <t>soccer-poisson-dc-v1</t>
        </is>
      </c>
      <c r="BD385" s="24" t="inlineStr">
        <is>
          <t>f585a7f3cb7ee04f9a319a60fa601ef15e86636fadaaa8c1380ac0f28f75c58a</t>
        </is>
      </c>
      <c r="BE385" s="24" t="inlineStr">
        <is>
          <t>soccer-poisson-dc-v1</t>
        </is>
      </c>
      <c r="BF385" s="24" t="inlineStr">
        <is>
          <t>1</t>
        </is>
      </c>
      <c r="BG385" s="24" t="inlineStr">
        <is>
          <t>f585a7f3cb7ee04f9a319a60fa601ef15e86636fadaaa8c1380ac0f28f75c58a</t>
        </is>
      </c>
      <c r="BH385" s="24" t="inlineStr">
        <is>
          <t>2026-08-28T12:33:31.207618Z</t>
        </is>
      </c>
      <c r="BI385" s="24" t="inlineStr">
        <is>
          <t>["same_event","same_team_same_day","same_league_same_day"]</t>
        </is>
      </c>
      <c r="BJ385" s="25" t="n"/>
      <c r="BK385" s="26" t="n">
        <v>156</v>
      </c>
      <c r="BL385" s="27" t="n">
        <v>2.56</v>
      </c>
      <c r="BM385" s="28" t="n">
        <v>0.390625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0.390625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f475fa726c334e72</t>
        </is>
      </c>
      <c r="B386" s="24" t="inlineStr">
        <is>
          <t>2026-08-28T12:35:00.420703Z</t>
        </is>
      </c>
      <c r="C386" s="24" t="inlineStr">
        <is>
          <t>2026-08-28T20:00Z</t>
        </is>
      </c>
      <c r="D386" s="24" t="inlineStr">
        <is>
          <t>401886193</t>
        </is>
      </c>
      <c r="E386" s="24" t="inlineStr">
        <is>
          <t>SOCCER</t>
        </is>
      </c>
      <c r="F386" s="24" t="inlineStr">
        <is>
          <t>FC Cajamarca</t>
        </is>
      </c>
      <c r="G386" s="24" t="inlineStr">
        <is>
          <t>Comerciantes Unidos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-150</v>
      </c>
      <c r="M386" s="27" t="n">
        <v>1.666667</v>
      </c>
      <c r="N386" s="28" t="n">
        <v>0.6</v>
      </c>
      <c r="O386" s="28" t="n">
        <v>0.461873</v>
      </c>
      <c r="P386" s="28" t="n">
        <v>0.2</v>
      </c>
      <c r="Q386" s="28" t="n">
        <v>-0.138127</v>
      </c>
      <c r="R386" s="26" t="n">
        <v>0</v>
      </c>
      <c r="S386" s="29" t="n">
        <v>1</v>
      </c>
      <c r="T386" s="24" t="inlineStr">
        <is>
          <t>soccer-poisson-dc-v1</t>
        </is>
      </c>
      <c r="U386" s="24" t="inlineStr">
        <is>
          <t>settled</t>
        </is>
      </c>
      <c r="V386" s="24" t="inlineStr">
        <is>
          <t>loss</t>
        </is>
      </c>
      <c r="W386" s="26" t="n">
        <v>3</v>
      </c>
      <c r="X386" s="26" t="n">
        <v>2</v>
      </c>
      <c r="Y386" s="25" t="n"/>
      <c r="Z386" s="26" t="n"/>
      <c r="AA386" s="28" t="n"/>
      <c r="AB386" s="28" t="n"/>
      <c r="AC386" s="30" t="n">
        <v>-1</v>
      </c>
      <c r="AD386" s="24" t="inlineStr">
        <is>
          <t>2026-08-29T12:36:36.982893Z</t>
        </is>
      </c>
      <c r="AE386" s="31" t="inlineStr">
        <is>
          <t>Poisson-DC rates 1.72 (home) / 1.30 (away) from EWMA attack/defense strengths. Executable ask 0.6000 (atc-pl1-cou-caj-2026-08-28-cou).</t>
        </is>
      </c>
      <c r="AF386" s="31" t="inlineStr">
        <is>
          <t>Research-only soccer score model; draw-aware, but not yet locked-holdout qualified.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PAPER_CALL_MODEL_UNVALIDATED</t>
        </is>
      </c>
      <c r="AP386" s="24" t="inlineStr">
        <is>
          <t>FC Cajamarca</t>
        </is>
      </c>
      <c r="AQ386" s="24" t="inlineStr">
        <is>
          <t>FC Cajamarca</t>
        </is>
      </c>
      <c r="AR386" s="24" t="inlineStr">
        <is>
          <t>FC Cajamarca</t>
        </is>
      </c>
      <c r="AS386" s="24" t="inlineStr">
        <is>
          <t>Comerciantes Unidos</t>
        </is>
      </c>
      <c r="AT386" s="24" t="inlineStr">
        <is>
          <t>Comerciantes Unidos</t>
        </is>
      </c>
      <c r="AU386" s="24" t="inlineStr">
        <is>
          <t>Comerciantes Unidos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f585a7f3cb7ee04f9a319a60fa601ef15e86636fadaaa8c1380ac0f28f75c58a</t>
        </is>
      </c>
      <c r="BB386" s="24" t="inlineStr">
        <is>
          <t>poisson_dixon_coles</t>
        </is>
      </c>
      <c r="BC386" s="24" t="inlineStr">
        <is>
          <t>soccer-poisson-dc-v1</t>
        </is>
      </c>
      <c r="BD386" s="24" t="inlineStr">
        <is>
          <t>f585a7f3cb7ee04f9a319a60fa601ef15e86636fadaaa8c1380ac0f28f75c58a</t>
        </is>
      </c>
      <c r="BE386" s="24" t="inlineStr">
        <is>
          <t>soccer-poisson-dc-v1</t>
        </is>
      </c>
      <c r="BF386" s="24" t="inlineStr">
        <is>
          <t>1</t>
        </is>
      </c>
      <c r="BG386" s="24" t="inlineStr">
        <is>
          <t>f585a7f3cb7ee04f9a319a60fa601ef15e86636fadaaa8c1380ac0f28f75c58a</t>
        </is>
      </c>
      <c r="BH386" s="24" t="inlineStr">
        <is>
          <t>2026-08-28T12:33:31.265108Z</t>
        </is>
      </c>
      <c r="BI386" s="24" t="inlineStr">
        <is>
          <t>["same_event","same_team_same_day","same_league_same_day"]</t>
        </is>
      </c>
      <c r="BJ386" s="25" t="n"/>
      <c r="BK386" s="26" t="n">
        <v>-150</v>
      </c>
      <c r="BL386" s="27" t="n">
        <v>1.666667</v>
      </c>
      <c r="BM386" s="28" t="n">
        <v>0.6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0.6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ffb51c765d7342c5</t>
        </is>
      </c>
      <c r="B387" s="24" t="inlineStr">
        <is>
          <t>2026-08-29T12:42:16.008350Z</t>
        </is>
      </c>
      <c r="C387" s="24" t="inlineStr">
        <is>
          <t>2026-08-29T14:00Z</t>
        </is>
      </c>
      <c r="D387" s="24" t="inlineStr">
        <is>
          <t>401879296</t>
        </is>
      </c>
      <c r="E387" s="24" t="inlineStr">
        <is>
          <t>SOCCER</t>
        </is>
      </c>
      <c r="F387" s="24" t="inlineStr">
        <is>
          <t>Everton</t>
        </is>
      </c>
      <c r="G387" s="24" t="inlineStr">
        <is>
          <t>AFC Bournemouth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113</v>
      </c>
      <c r="M387" s="27" t="n">
        <v>2.13</v>
      </c>
      <c r="N387" s="28" t="n">
        <v>0.469484</v>
      </c>
      <c r="O387" s="28" t="n">
        <v>0.5553169999999999</v>
      </c>
      <c r="P387" s="28" t="n">
        <v>0.04</v>
      </c>
      <c r="Q387" s="28" t="n">
        <v>0.08583300000000001</v>
      </c>
      <c r="R387" s="26" t="n">
        <v>69</v>
      </c>
      <c r="S387" s="29" t="n">
        <v>1.25</v>
      </c>
      <c r="T387" s="24" t="inlineStr">
        <is>
          <t>soccer-poisson-dc-v1</t>
        </is>
      </c>
      <c r="U387" s="24" t="inlineStr">
        <is>
          <t>settled</t>
        </is>
      </c>
      <c r="V387" s="24" t="inlineStr">
        <is>
          <t>loss</t>
        </is>
      </c>
      <c r="W387" s="26" t="n">
        <v>1</v>
      </c>
      <c r="X387" s="26" t="n">
        <v>1</v>
      </c>
      <c r="Y387" s="25" t="n"/>
      <c r="Z387" s="26" t="n"/>
      <c r="AA387" s="28" t="n"/>
      <c r="AB387" s="28" t="n"/>
      <c r="AC387" s="30" t="n">
        <v>-1.25</v>
      </c>
      <c r="AD387" s="24" t="inlineStr">
        <is>
          <t>2026-08-29T16:00:19.665402Z</t>
        </is>
      </c>
      <c r="AE387" s="31" t="inlineStr">
        <is>
          <t>Poisson-DC rates 1.76 (home) / 0.95 (away) from EWMA attack/defense strengths. Executable ask 0.4700 (atc-epl-bor-eve-2026-08-29-bor).</t>
        </is>
      </c>
      <c r="AF387" s="31" t="inlineStr">
        <is>
          <t>Research-only soccer score model; draw-aware, but not yet locked-holdout qualified.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Everton</t>
        </is>
      </c>
      <c r="AQ387" s="24" t="inlineStr">
        <is>
          <t>Everton</t>
        </is>
      </c>
      <c r="AR387" s="24" t="inlineStr">
        <is>
          <t>Everton</t>
        </is>
      </c>
      <c r="AS387" s="24" t="inlineStr">
        <is>
          <t>AFC Bournemouth</t>
        </is>
      </c>
      <c r="AT387" s="24" t="inlineStr">
        <is>
          <t>AFC Bournemouth</t>
        </is>
      </c>
      <c r="AU387" s="24" t="inlineStr">
        <is>
          <t>AFC Bournemouth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f585a7f3cb7ee04f9a319a60fa601ef15e86636fadaaa8c1380ac0f28f75c58a</t>
        </is>
      </c>
      <c r="BB387" s="24" t="inlineStr">
        <is>
          <t>poisson_dixon_coles</t>
        </is>
      </c>
      <c r="BC387" s="24" t="inlineStr">
        <is>
          <t>soccer-poisson-dc-v1</t>
        </is>
      </c>
      <c r="BD387" s="24" t="inlineStr">
        <is>
          <t>f585a7f3cb7ee04f9a319a60fa601ef15e86636fadaaa8c1380ac0f28f75c58a</t>
        </is>
      </c>
      <c r="BE387" s="24" t="inlineStr">
        <is>
          <t>soccer-poisson-dc-v1</t>
        </is>
      </c>
      <c r="BF387" s="24" t="inlineStr">
        <is>
          <t>1</t>
        </is>
      </c>
      <c r="BG387" s="24" t="inlineStr">
        <is>
          <t>f585a7f3cb7ee04f9a319a60fa601ef15e86636fadaaa8c1380ac0f28f75c58a</t>
        </is>
      </c>
      <c r="BH387" s="24" t="inlineStr">
        <is>
          <t>2026-08-29T12:40:47.451458Z</t>
        </is>
      </c>
      <c r="BI387" s="24" t="inlineStr">
        <is>
          <t>["same_event","same_team_same_day","same_league_same_day"]</t>
        </is>
      </c>
      <c r="BJ387" s="25" t="n"/>
      <c r="BK387" s="26" t="n">
        <v>113</v>
      </c>
      <c r="BL387" s="27" t="n">
        <v>2.13</v>
      </c>
      <c r="BM387" s="28" t="n">
        <v>0.469484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True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0.469484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b6d2aefb1d74487e</t>
        </is>
      </c>
      <c r="B388" s="24" t="inlineStr">
        <is>
          <t>2026-08-29T12:42:16.008350Z</t>
        </is>
      </c>
      <c r="C388" s="24" t="inlineStr">
        <is>
          <t>2026-08-29T14:00Z</t>
        </is>
      </c>
      <c r="D388" s="24" t="inlineStr">
        <is>
          <t>401879316</t>
        </is>
      </c>
      <c r="E388" s="24" t="inlineStr">
        <is>
          <t>SOCCER</t>
        </is>
      </c>
      <c r="F388" s="24" t="inlineStr">
        <is>
          <t>Hull City</t>
        </is>
      </c>
      <c r="G388" s="24" t="inlineStr">
        <is>
          <t>Coventry City</t>
        </is>
      </c>
      <c r="H388" s="24" t="inlineStr">
        <is>
          <t>moneyline</t>
        </is>
      </c>
      <c r="I388" s="24" t="inlineStr">
        <is>
          <t>home</t>
        </is>
      </c>
      <c r="J388" s="25" t="n"/>
      <c r="K388" s="24" t="inlineStr">
        <is>
          <t>polymarket_us</t>
        </is>
      </c>
      <c r="L388" s="26" t="n">
        <v>-122</v>
      </c>
      <c r="M388" s="27" t="n">
        <v>1.819672</v>
      </c>
      <c r="N388" s="28" t="n">
        <v>0.54955</v>
      </c>
      <c r="O388" s="28" t="n">
        <v>0.636521</v>
      </c>
      <c r="P388" s="28" t="n">
        <v>0.04</v>
      </c>
      <c r="Q388" s="28" t="n">
        <v>0.08697100000000001</v>
      </c>
      <c r="R388" s="26" t="n">
        <v>69</v>
      </c>
      <c r="S388" s="29" t="n">
        <v>1.25</v>
      </c>
      <c r="T388" s="24" t="inlineStr">
        <is>
          <t>soccer-poisson-dc-v1</t>
        </is>
      </c>
      <c r="U388" s="24" t="inlineStr">
        <is>
          <t>settled</t>
        </is>
      </c>
      <c r="V388" s="24" t="inlineStr">
        <is>
          <t>loss</t>
        </is>
      </c>
      <c r="W388" s="26" t="n">
        <v>1</v>
      </c>
      <c r="X388" s="26" t="n">
        <v>0</v>
      </c>
      <c r="Y388" s="25" t="n"/>
      <c r="Z388" s="26" t="n"/>
      <c r="AA388" s="28" t="n"/>
      <c r="AB388" s="28" t="n"/>
      <c r="AC388" s="30" t="n">
        <v>-1.25</v>
      </c>
      <c r="AD388" s="24" t="inlineStr">
        <is>
          <t>2026-08-29T16:00:21.167478Z</t>
        </is>
      </c>
      <c r="AE388" s="31" t="inlineStr">
        <is>
          <t>Poisson-DC rates 1.87 (home) / 0.72 (away) from EWMA attack/defense strengths. Executable ask 0.5500 (atc-epl-cov-hul-2026-08-29-cov).</t>
        </is>
      </c>
      <c r="AF388" s="31" t="inlineStr">
        <is>
          <t>Research-only soccer score model; draw-aware, but not yet locked-holdout qualified.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Hull City</t>
        </is>
      </c>
      <c r="AQ388" s="24" t="inlineStr">
        <is>
          <t>Hull City</t>
        </is>
      </c>
      <c r="AR388" s="24" t="inlineStr">
        <is>
          <t>Hull City</t>
        </is>
      </c>
      <c r="AS388" s="24" t="inlineStr">
        <is>
          <t>Coventry City</t>
        </is>
      </c>
      <c r="AT388" s="24" t="inlineStr">
        <is>
          <t>Coventry City</t>
        </is>
      </c>
      <c r="AU388" s="24" t="inlineStr">
        <is>
          <t>Coventry City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f585a7f3cb7ee04f9a319a60fa601ef15e86636fadaaa8c1380ac0f28f75c58a</t>
        </is>
      </c>
      <c r="BB388" s="24" t="inlineStr">
        <is>
          <t>poisson_dixon_coles</t>
        </is>
      </c>
      <c r="BC388" s="24" t="inlineStr">
        <is>
          <t>soccer-poisson-dc-v1</t>
        </is>
      </c>
      <c r="BD388" s="24" t="inlineStr">
        <is>
          <t>f585a7f3cb7ee04f9a319a60fa601ef15e86636fadaaa8c1380ac0f28f75c58a</t>
        </is>
      </c>
      <c r="BE388" s="24" t="inlineStr">
        <is>
          <t>soccer-poisson-dc-v1</t>
        </is>
      </c>
      <c r="BF388" s="24" t="inlineStr">
        <is>
          <t>1</t>
        </is>
      </c>
      <c r="BG388" s="24" t="inlineStr">
        <is>
          <t>f585a7f3cb7ee04f9a319a60fa601ef15e86636fadaaa8c1380ac0f28f75c58a</t>
        </is>
      </c>
      <c r="BH388" s="24" t="inlineStr">
        <is>
          <t>2026-08-29T12:40:47.555445Z</t>
        </is>
      </c>
      <c r="BI388" s="24" t="inlineStr">
        <is>
          <t>["same_event","same_team_same_day","same_league_same_day"]</t>
        </is>
      </c>
      <c r="BJ388" s="25" t="n"/>
      <c r="BK388" s="26" t="n">
        <v>-122</v>
      </c>
      <c r="BL388" s="27" t="n">
        <v>1.819672</v>
      </c>
      <c r="BM388" s="28" t="n">
        <v>0.54955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0.54955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ab2f8e2fdb9a42ca</t>
        </is>
      </c>
      <c r="B389" s="24" t="inlineStr">
        <is>
          <t>2026-08-29T12:42:16.008350Z</t>
        </is>
      </c>
      <c r="C389" s="24" t="inlineStr">
        <is>
          <t>2026-08-29T15:00Z</t>
        </is>
      </c>
      <c r="D389" s="24" t="inlineStr">
        <is>
          <t>401882902</t>
        </is>
      </c>
      <c r="E389" s="24" t="inlineStr">
        <is>
          <t>SOCCER</t>
        </is>
      </c>
      <c r="F389" s="24" t="inlineStr">
        <is>
          <t>Real Betis</t>
        </is>
      </c>
      <c r="G389" s="24" t="inlineStr">
        <is>
          <t>Levante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245</v>
      </c>
      <c r="M389" s="27" t="n">
        <v>3.45</v>
      </c>
      <c r="N389" s="28" t="n">
        <v>0.289855</v>
      </c>
      <c r="O389" s="28" t="n">
        <v>0.376006</v>
      </c>
      <c r="P389" s="28" t="n">
        <v>0.04</v>
      </c>
      <c r="Q389" s="28" t="n">
        <v>0.08615100000000001</v>
      </c>
      <c r="R389" s="26" t="n">
        <v>69</v>
      </c>
      <c r="S389" s="29" t="n">
        <v>1.25</v>
      </c>
      <c r="T389" s="24" t="inlineStr">
        <is>
          <t>soccer-poisson-dc-v1</t>
        </is>
      </c>
      <c r="U389" s="24" t="inlineStr">
        <is>
          <t>settled</t>
        </is>
      </c>
      <c r="V389" s="24" t="inlineStr">
        <is>
          <t>win</t>
        </is>
      </c>
      <c r="W389" s="26" t="n">
        <v>2</v>
      </c>
      <c r="X389" s="26" t="n">
        <v>5</v>
      </c>
      <c r="Y389" s="25" t="n"/>
      <c r="Z389" s="26" t="n"/>
      <c r="AA389" s="28" t="n"/>
      <c r="AB389" s="28" t="n"/>
      <c r="AC389" s="30" t="n">
        <v>3.0625</v>
      </c>
      <c r="AD389" s="24" t="inlineStr">
        <is>
          <t>2026-08-30T03:26:57.130613Z</t>
        </is>
      </c>
      <c r="AE389" s="31" t="inlineStr">
        <is>
          <t>Poisson-DC rates 1.49 (home) / 1.44 (away) from EWMA attack/defense strengths. Executable ask 0.2900 (atc-lal-lev-bet-2026-08-29-lev).</t>
        </is>
      </c>
      <c r="AF389" s="31" t="inlineStr">
        <is>
          <t>Research-only soccer score model; draw-aware, but not yet locked-holdout qualified.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Real Betis</t>
        </is>
      </c>
      <c r="AQ389" s="24" t="inlineStr">
        <is>
          <t>Real Betis</t>
        </is>
      </c>
      <c r="AR389" s="24" t="inlineStr">
        <is>
          <t>Real Betis</t>
        </is>
      </c>
      <c r="AS389" s="24" t="inlineStr">
        <is>
          <t>Levante</t>
        </is>
      </c>
      <c r="AT389" s="24" t="inlineStr">
        <is>
          <t>Levante</t>
        </is>
      </c>
      <c r="AU389" s="24" t="inlineStr">
        <is>
          <t>Levante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f585a7f3cb7ee04f9a319a60fa601ef15e86636fadaaa8c1380ac0f28f75c58a</t>
        </is>
      </c>
      <c r="BB389" s="24" t="inlineStr">
        <is>
          <t>poisson_dixon_coles</t>
        </is>
      </c>
      <c r="BC389" s="24" t="inlineStr">
        <is>
          <t>soccer-poisson-dc-v1</t>
        </is>
      </c>
      <c r="BD389" s="24" t="inlineStr">
        <is>
          <t>f585a7f3cb7ee04f9a319a60fa601ef15e86636fadaaa8c1380ac0f28f75c58a</t>
        </is>
      </c>
      <c r="BE389" s="24" t="inlineStr">
        <is>
          <t>soccer-poisson-dc-v1</t>
        </is>
      </c>
      <c r="BF389" s="24" t="inlineStr">
        <is>
          <t>1</t>
        </is>
      </c>
      <c r="BG389" s="24" t="inlineStr">
        <is>
          <t>f585a7f3cb7ee04f9a319a60fa601ef15e86636fadaaa8c1380ac0f28f75c58a</t>
        </is>
      </c>
      <c r="BH389" s="24" t="inlineStr">
        <is>
          <t>2026-08-29T12:40:47.774305Z</t>
        </is>
      </c>
      <c r="BI389" s="24" t="inlineStr">
        <is>
          <t>["same_event","same_team_same_day","same_league_same_day"]</t>
        </is>
      </c>
      <c r="BJ389" s="25" t="n"/>
      <c r="BK389" s="26" t="n">
        <v>245</v>
      </c>
      <c r="BL389" s="27" t="n">
        <v>3.45</v>
      </c>
      <c r="BM389" s="28" t="n">
        <v>0.289855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0.289855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f42f38e0bced4dfb</t>
        </is>
      </c>
      <c r="B390" s="24" t="inlineStr">
        <is>
          <t>2026-08-29T12:42:16.008350Z</t>
        </is>
      </c>
      <c r="C390" s="24" t="inlineStr">
        <is>
          <t>2026-08-29T13:30Z</t>
        </is>
      </c>
      <c r="D390" s="24" t="inlineStr">
        <is>
          <t>401884811</t>
        </is>
      </c>
      <c r="E390" s="24" t="inlineStr">
        <is>
          <t>SOCCER</t>
        </is>
      </c>
      <c r="F390" s="24" t="inlineStr">
        <is>
          <t>Eintracht Frankfurt</t>
        </is>
      </c>
      <c r="G390" s="24" t="inlineStr">
        <is>
          <t>1. FC Union Berlin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170</v>
      </c>
      <c r="M390" s="27" t="n">
        <v>2.7</v>
      </c>
      <c r="N390" s="28" t="n">
        <v>0.37037</v>
      </c>
      <c r="O390" s="28" t="n">
        <v>0.483617</v>
      </c>
      <c r="P390" s="28" t="n">
        <v>0.04</v>
      </c>
      <c r="Q390" s="28" t="n">
        <v>0.113247</v>
      </c>
      <c r="R390" s="26" t="n">
        <v>83</v>
      </c>
      <c r="S390" s="29" t="n">
        <v>1.5</v>
      </c>
      <c r="T390" s="24" t="inlineStr">
        <is>
          <t>soccer-poisson-dc-v1</t>
        </is>
      </c>
      <c r="U390" s="24" t="inlineStr">
        <is>
          <t>settled</t>
        </is>
      </c>
      <c r="V390" s="24" t="inlineStr">
        <is>
          <t>loss</t>
        </is>
      </c>
      <c r="W390" s="26" t="n">
        <v>3</v>
      </c>
      <c r="X390" s="26" t="n">
        <v>3</v>
      </c>
      <c r="Y390" s="25" t="n"/>
      <c r="Z390" s="26" t="n"/>
      <c r="AA390" s="28" t="n"/>
      <c r="AB390" s="28" t="n"/>
      <c r="AC390" s="30" t="n">
        <v>-1.5</v>
      </c>
      <c r="AD390" s="24" t="inlineStr">
        <is>
          <t>2026-08-29T16:00:22.742136Z</t>
        </is>
      </c>
      <c r="AE390" s="31" t="inlineStr">
        <is>
          <t>Poisson-DC rates 2.05 (home) / 1.56 (away) from EWMA attack/defense strengths. Executable ask 0.3700 (atc-bun-unb-fra-2026-08-29-unb).</t>
        </is>
      </c>
      <c r="AF390" s="31" t="inlineStr">
        <is>
          <t>Research-only soccer score model; draw-aware, but not yet locked-holdout qualified.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Eintracht Frankfurt</t>
        </is>
      </c>
      <c r="AQ390" s="24" t="inlineStr">
        <is>
          <t>Eintracht Frankfurt</t>
        </is>
      </c>
      <c r="AR390" s="24" t="inlineStr">
        <is>
          <t>Eintracht Frankfurt</t>
        </is>
      </c>
      <c r="AS390" s="24" t="inlineStr">
        <is>
          <t>1. FC Union Berlin</t>
        </is>
      </c>
      <c r="AT390" s="24" t="inlineStr">
        <is>
          <t>1. FC Union Berlin</t>
        </is>
      </c>
      <c r="AU390" s="24" t="inlineStr">
        <is>
          <t>1. FC Union Berlin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f585a7f3cb7ee04f9a319a60fa601ef15e86636fadaaa8c1380ac0f28f75c58a</t>
        </is>
      </c>
      <c r="BB390" s="24" t="inlineStr">
        <is>
          <t>poisson_dixon_coles</t>
        </is>
      </c>
      <c r="BC390" s="24" t="inlineStr">
        <is>
          <t>soccer-poisson-dc-v1</t>
        </is>
      </c>
      <c r="BD390" s="24" t="inlineStr">
        <is>
          <t>f585a7f3cb7ee04f9a319a60fa601ef15e86636fadaaa8c1380ac0f28f75c58a</t>
        </is>
      </c>
      <c r="BE390" s="24" t="inlineStr">
        <is>
          <t>soccer-poisson-dc-v1</t>
        </is>
      </c>
      <c r="BF390" s="24" t="inlineStr">
        <is>
          <t>1</t>
        </is>
      </c>
      <c r="BG390" s="24" t="inlineStr">
        <is>
          <t>f585a7f3cb7ee04f9a319a60fa601ef15e86636fadaaa8c1380ac0f28f75c58a</t>
        </is>
      </c>
      <c r="BH390" s="24" t="inlineStr">
        <is>
          <t>2026-08-29T12:40:48.209027Z</t>
        </is>
      </c>
      <c r="BI390" s="24" t="inlineStr">
        <is>
          <t>["same_event","same_team_same_day","same_league_same_day"]</t>
        </is>
      </c>
      <c r="BJ390" s="25" t="n"/>
      <c r="BK390" s="26" t="n">
        <v>170</v>
      </c>
      <c r="BL390" s="27" t="n">
        <v>2.7</v>
      </c>
      <c r="BM390" s="28" t="n">
        <v>0.37037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0.37037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8aad111bbc99412c</t>
        </is>
      </c>
      <c r="B391" s="24" t="inlineStr">
        <is>
          <t>2026-08-29T12:42:16.008350Z</t>
        </is>
      </c>
      <c r="C391" s="24" t="inlineStr">
        <is>
          <t>2026-08-29T13:30Z</t>
        </is>
      </c>
      <c r="D391" s="24" t="inlineStr">
        <is>
          <t>401884812</t>
        </is>
      </c>
      <c r="E391" s="24" t="inlineStr">
        <is>
          <t>SOCCER</t>
        </is>
      </c>
      <c r="F391" s="24" t="inlineStr">
        <is>
          <t>SC Paderborn 07</t>
        </is>
      </c>
      <c r="G391" s="24" t="inlineStr">
        <is>
          <t>Mainz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-178</v>
      </c>
      <c r="M391" s="27" t="n">
        <v>1.561798</v>
      </c>
      <c r="N391" s="28" t="n">
        <v>0.640288</v>
      </c>
      <c r="O391" s="28" t="n">
        <v>0.461842</v>
      </c>
      <c r="P391" s="28" t="n">
        <v>0.2</v>
      </c>
      <c r="Q391" s="28" t="n">
        <v>-0.178446</v>
      </c>
      <c r="R391" s="26" t="n">
        <v>0</v>
      </c>
      <c r="S391" s="29" t="n">
        <v>1</v>
      </c>
      <c r="T391" s="24" t="inlineStr">
        <is>
          <t>soccer-poisson-dc-v1</t>
        </is>
      </c>
      <c r="U391" s="24" t="inlineStr">
        <is>
          <t>settled</t>
        </is>
      </c>
      <c r="V391" s="24" t="inlineStr">
        <is>
          <t>loss</t>
        </is>
      </c>
      <c r="W391" s="26" t="n">
        <v>0</v>
      </c>
      <c r="X391" s="26" t="n">
        <v>0</v>
      </c>
      <c r="Y391" s="25" t="n"/>
      <c r="Z391" s="26" t="n"/>
      <c r="AA391" s="28" t="n"/>
      <c r="AB391" s="28" t="n"/>
      <c r="AC391" s="30" t="n">
        <v>-1</v>
      </c>
      <c r="AD391" s="24" t="inlineStr">
        <is>
          <t>2026-08-29T16:00:24.256551Z</t>
        </is>
      </c>
      <c r="AE391" s="31" t="inlineStr">
        <is>
          <t>Poisson-DC rates 1.70 (home) / 1.28 (away) from EWMA attack/defense strengths. Executable ask 0.6400 (atc-bun-mai-scp-2026-08-29-mai).</t>
        </is>
      </c>
      <c r="AF391" s="31" t="inlineStr">
        <is>
          <t>Research-only soccer score model; draw-aware, but not yet locked-holdout qualified.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SC Paderborn 07</t>
        </is>
      </c>
      <c r="AQ391" s="24" t="inlineStr">
        <is>
          <t>SC Paderborn 07</t>
        </is>
      </c>
      <c r="AR391" s="24" t="inlineStr">
        <is>
          <t>SC Paderborn 07</t>
        </is>
      </c>
      <c r="AS391" s="24" t="inlineStr">
        <is>
          <t>Mainz</t>
        </is>
      </c>
      <c r="AT391" s="24" t="inlineStr">
        <is>
          <t>Mainz</t>
        </is>
      </c>
      <c r="AU391" s="24" t="inlineStr">
        <is>
          <t>Mainz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f585a7f3cb7ee04f9a319a60fa601ef15e86636fadaaa8c1380ac0f28f75c58a</t>
        </is>
      </c>
      <c r="BB391" s="24" t="inlineStr">
        <is>
          <t>poisson_dixon_coles</t>
        </is>
      </c>
      <c r="BC391" s="24" t="inlineStr">
        <is>
          <t>soccer-poisson-dc-v1</t>
        </is>
      </c>
      <c r="BD391" s="24" t="inlineStr">
        <is>
          <t>f585a7f3cb7ee04f9a319a60fa601ef15e86636fadaaa8c1380ac0f28f75c58a</t>
        </is>
      </c>
      <c r="BE391" s="24" t="inlineStr">
        <is>
          <t>soccer-poisson-dc-v1</t>
        </is>
      </c>
      <c r="BF391" s="24" t="inlineStr">
        <is>
          <t>1</t>
        </is>
      </c>
      <c r="BG391" s="24" t="inlineStr">
        <is>
          <t>f585a7f3cb7ee04f9a319a60fa601ef15e86636fadaaa8c1380ac0f28f75c58a</t>
        </is>
      </c>
      <c r="BH391" s="24" t="inlineStr">
        <is>
          <t>2026-08-29T12:40:48.305995Z</t>
        </is>
      </c>
      <c r="BI391" s="24" t="inlineStr">
        <is>
          <t>["same_event","same_team_same_day","same_league_same_day"]</t>
        </is>
      </c>
      <c r="BJ391" s="25" t="n"/>
      <c r="BK391" s="26" t="n">
        <v>-178</v>
      </c>
      <c r="BL391" s="27" t="n">
        <v>1.561798</v>
      </c>
      <c r="BM391" s="28" t="n">
        <v>0.640288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0.640288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273e112048c5445f</t>
        </is>
      </c>
      <c r="B392" s="24" t="inlineStr">
        <is>
          <t>2026-08-29T12:42:16.008350Z</t>
        </is>
      </c>
      <c r="C392" s="24" t="inlineStr">
        <is>
          <t>2026-08-29T13:30Z</t>
        </is>
      </c>
      <c r="D392" s="24" t="inlineStr">
        <is>
          <t>401884809</t>
        </is>
      </c>
      <c r="E392" s="24" t="inlineStr">
        <is>
          <t>SOCCER</t>
        </is>
      </c>
      <c r="F392" s="24" t="inlineStr">
        <is>
          <t>Bayer Leverkusen</t>
        </is>
      </c>
      <c r="G392" s="24" t="inlineStr">
        <is>
          <t>SV ELVERSBERG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456</v>
      </c>
      <c r="M392" s="27" t="n">
        <v>5.56</v>
      </c>
      <c r="N392" s="28" t="n">
        <v>0.179856</v>
      </c>
      <c r="O392" s="28" t="n">
        <v>0.382661</v>
      </c>
      <c r="P392" s="28" t="n">
        <v>0.2</v>
      </c>
      <c r="Q392" s="28" t="n">
        <v>0.202805</v>
      </c>
      <c r="R392" s="26" t="n">
        <v>31</v>
      </c>
      <c r="S392" s="29" t="n">
        <v>1</v>
      </c>
      <c r="T392" s="24" t="inlineStr">
        <is>
          <t>soccer-poisson-dc-v1</t>
        </is>
      </c>
      <c r="U392" s="24" t="inlineStr">
        <is>
          <t>settled</t>
        </is>
      </c>
      <c r="V392" s="24" t="inlineStr">
        <is>
          <t>win</t>
        </is>
      </c>
      <c r="W392" s="26" t="n">
        <v>2</v>
      </c>
      <c r="X392" s="26" t="n">
        <v>3</v>
      </c>
      <c r="Y392" s="25" t="n"/>
      <c r="Z392" s="26" t="n"/>
      <c r="AA392" s="28" t="n"/>
      <c r="AB392" s="28" t="n"/>
      <c r="AC392" s="30" t="n">
        <v>4.56</v>
      </c>
      <c r="AD392" s="24" t="inlineStr">
        <is>
          <t>2026-08-29T16:00:25.778843Z</t>
        </is>
      </c>
      <c r="AE392" s="31" t="inlineStr">
        <is>
          <t>Poisson-DC rates 1.60 (home) / 1.55 (away) from EWMA attack/defense strengths. Executable ask 0.1800 (atc-bun-elv-lev-2026-08-29-elv).</t>
        </is>
      </c>
      <c r="AF392" s="31" t="inlineStr">
        <is>
          <t>Research-only soccer score model; draw-aware, but not yet locked-holdout qualified.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Bayer Leverkusen</t>
        </is>
      </c>
      <c r="AQ392" s="24" t="inlineStr">
        <is>
          <t>Bayer Leverkusen</t>
        </is>
      </c>
      <c r="AR392" s="24" t="inlineStr">
        <is>
          <t>Bayer Leverkusen</t>
        </is>
      </c>
      <c r="AS392" s="24" t="inlineStr">
        <is>
          <t>SV ELVERSBERG</t>
        </is>
      </c>
      <c r="AT392" s="24" t="inlineStr">
        <is>
          <t>SV ELVERSBERG</t>
        </is>
      </c>
      <c r="AU392" s="24" t="inlineStr">
        <is>
          <t>SV ELVERSBERG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f585a7f3cb7ee04f9a319a60fa601ef15e86636fadaaa8c1380ac0f28f75c58a</t>
        </is>
      </c>
      <c r="BB392" s="24" t="inlineStr">
        <is>
          <t>poisson_dixon_coles</t>
        </is>
      </c>
      <c r="BC392" s="24" t="inlineStr">
        <is>
          <t>soccer-poisson-dc-v1</t>
        </is>
      </c>
      <c r="BD392" s="24" t="inlineStr">
        <is>
          <t>f585a7f3cb7ee04f9a319a60fa601ef15e86636fadaaa8c1380ac0f28f75c58a</t>
        </is>
      </c>
      <c r="BE392" s="24" t="inlineStr">
        <is>
          <t>soccer-poisson-dc-v1</t>
        </is>
      </c>
      <c r="BF392" s="24" t="inlineStr">
        <is>
          <t>1</t>
        </is>
      </c>
      <c r="BG392" s="24" t="inlineStr">
        <is>
          <t>f585a7f3cb7ee04f9a319a60fa601ef15e86636fadaaa8c1380ac0f28f75c58a</t>
        </is>
      </c>
      <c r="BH392" s="24" t="inlineStr">
        <is>
          <t>2026-08-29T12:40:48.525103Z</t>
        </is>
      </c>
      <c r="BI392" s="24" t="inlineStr">
        <is>
          <t>["same_event","same_team_same_day","same_league_same_day"]</t>
        </is>
      </c>
      <c r="BJ392" s="25" t="n"/>
      <c r="BK392" s="26" t="n">
        <v>456</v>
      </c>
      <c r="BL392" s="27" t="n">
        <v>5.56</v>
      </c>
      <c r="BM392" s="28" t="n">
        <v>0.179856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0.179856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62d4e0698ae948ff</t>
        </is>
      </c>
      <c r="B393" s="24" t="inlineStr">
        <is>
          <t>2026-08-29T12:42:16.008350Z</t>
        </is>
      </c>
      <c r="C393" s="24" t="inlineStr">
        <is>
          <t>2026-08-29T14:00Z</t>
        </is>
      </c>
      <c r="D393" s="24" t="inlineStr">
        <is>
          <t>401912241</t>
        </is>
      </c>
      <c r="E393" s="24" t="inlineStr">
        <is>
          <t>SOCCER</t>
        </is>
      </c>
      <c r="F393" s="24" t="inlineStr">
        <is>
          <t>Danubio</t>
        </is>
      </c>
      <c r="G393" s="24" t="inlineStr">
        <is>
          <t>Progreso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212</v>
      </c>
      <c r="M393" s="27" t="n">
        <v>3.12</v>
      </c>
      <c r="N393" s="28" t="n">
        <v>0.320513</v>
      </c>
      <c r="O393" s="28" t="n">
        <v>0.459261</v>
      </c>
      <c r="P393" s="28" t="n">
        <v>0.2</v>
      </c>
      <c r="Q393" s="28" t="n">
        <v>0.138748</v>
      </c>
      <c r="R393" s="26" t="n">
        <v>0</v>
      </c>
      <c r="S393" s="29" t="n">
        <v>1</v>
      </c>
      <c r="T393" s="24" t="inlineStr">
        <is>
          <t>soccer-poisson-dc-v1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/>
      <c r="AA393" s="28" t="n"/>
      <c r="AB393" s="28" t="n"/>
      <c r="AC393" s="30" t="n">
        <v>2.12</v>
      </c>
      <c r="AD393" s="24" t="inlineStr">
        <is>
          <t>2026-08-29T16:00:28.367917Z</t>
        </is>
      </c>
      <c r="AE393" s="31" t="inlineStr">
        <is>
          <t>Poisson-DC rates 1.43 (home) / 0.99 (away) from EWMA attack/defense strengths. Executable ask 0.3200 (atc-uru1-pro-dan-2026-08-30-pro).</t>
        </is>
      </c>
      <c r="AF393" s="31" t="inlineStr">
        <is>
          <t>Research-only soccer score model; draw-aware, but not yet locked-holdout qualified.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Danubio</t>
        </is>
      </c>
      <c r="AQ393" s="24" t="inlineStr">
        <is>
          <t>Danubio</t>
        </is>
      </c>
      <c r="AR393" s="24" t="inlineStr">
        <is>
          <t>Danubio</t>
        </is>
      </c>
      <c r="AS393" s="24" t="inlineStr">
        <is>
          <t>Progreso</t>
        </is>
      </c>
      <c r="AT393" s="24" t="inlineStr">
        <is>
          <t>Progreso</t>
        </is>
      </c>
      <c r="AU393" s="24" t="inlineStr">
        <is>
          <t>Progreso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f585a7f3cb7ee04f9a319a60fa601ef15e86636fadaaa8c1380ac0f28f75c58a</t>
        </is>
      </c>
      <c r="BB393" s="24" t="inlineStr">
        <is>
          <t>poisson_dixon_coles</t>
        </is>
      </c>
      <c r="BC393" s="24" t="inlineStr">
        <is>
          <t>soccer-poisson-dc-v1</t>
        </is>
      </c>
      <c r="BD393" s="24" t="inlineStr">
        <is>
          <t>f585a7f3cb7ee04f9a319a60fa601ef15e86636fadaaa8c1380ac0f28f75c58a</t>
        </is>
      </c>
      <c r="BE393" s="24" t="inlineStr">
        <is>
          <t>soccer-poisson-dc-v1</t>
        </is>
      </c>
      <c r="BF393" s="24" t="inlineStr">
        <is>
          <t>1</t>
        </is>
      </c>
      <c r="BG393" s="24" t="inlineStr">
        <is>
          <t>f585a7f3cb7ee04f9a319a60fa601ef15e86636fadaaa8c1380ac0f28f75c58a</t>
        </is>
      </c>
      <c r="BH393" s="24" t="inlineStr">
        <is>
          <t>2026-08-29T12:40:53.453017Z</t>
        </is>
      </c>
      <c r="BI393" s="24" t="inlineStr">
        <is>
          <t>["same_event","same_team_same_day","same_league_same_day"]</t>
        </is>
      </c>
      <c r="BJ393" s="25" t="n"/>
      <c r="BK393" s="26" t="n">
        <v>212</v>
      </c>
      <c r="BL393" s="27" t="n">
        <v>3.12</v>
      </c>
      <c r="BM393" s="28" t="n">
        <v>0.320513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0.320513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e87fb252253a43d5</t>
        </is>
      </c>
      <c r="B394" s="24" t="inlineStr">
        <is>
          <t>2026-08-29T16:04:47.832302Z</t>
        </is>
      </c>
      <c r="C394" s="24" t="inlineStr">
        <is>
          <t>2026-08-29T16:30Z</t>
        </is>
      </c>
      <c r="D394" s="24" t="inlineStr">
        <is>
          <t>401879312</t>
        </is>
      </c>
      <c r="E394" s="24" t="inlineStr">
        <is>
          <t>SOCCER</t>
        </is>
      </c>
      <c r="F394" s="24" t="inlineStr">
        <is>
          <t>Newcastle United</t>
        </is>
      </c>
      <c r="G394" s="24" t="inlineStr">
        <is>
          <t>Tottenham Hotspur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127</v>
      </c>
      <c r="M394" s="27" t="n">
        <v>2.27</v>
      </c>
      <c r="N394" s="28" t="n">
        <v>0.440529</v>
      </c>
      <c r="O394" s="28" t="n">
        <v>0.410717</v>
      </c>
      <c r="P394" s="28" t="n">
        <v>0.04</v>
      </c>
      <c r="Q394" s="28" t="n">
        <v>-0.029812</v>
      </c>
      <c r="R394" s="26" t="n">
        <v>11</v>
      </c>
      <c r="S394" s="29" t="n">
        <v>1</v>
      </c>
      <c r="T394" s="24" t="inlineStr">
        <is>
          <t>soccer-poisson-dc-v1</t>
        </is>
      </c>
      <c r="U394" s="24" t="inlineStr">
        <is>
          <t>settled</t>
        </is>
      </c>
      <c r="V394" s="24" t="inlineStr">
        <is>
          <t>loss</t>
        </is>
      </c>
      <c r="W394" s="26" t="n">
        <v>2</v>
      </c>
      <c r="X394" s="26" t="n">
        <v>0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2026-08-30T03:29:46.952536Z</t>
        </is>
      </c>
      <c r="AE394" s="31" t="inlineStr">
        <is>
          <t>Poisson-DC rates 1.72 (home) / 1.55 (away) from EWMA attack/defense strengths. Executable ask 0.4400 (atc-epl-tot-new-2026-08-29-tot).</t>
        </is>
      </c>
      <c r="AF394" s="31" t="inlineStr">
        <is>
          <t>Research-only soccer score model; draw-aware, but not yet locked-holdout qualified.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Newcastle United</t>
        </is>
      </c>
      <c r="AQ394" s="24" t="inlineStr">
        <is>
          <t>Newcastle United</t>
        </is>
      </c>
      <c r="AR394" s="24" t="inlineStr">
        <is>
          <t>Newcastle United</t>
        </is>
      </c>
      <c r="AS394" s="24" t="inlineStr">
        <is>
          <t>Tottenham Hotspur</t>
        </is>
      </c>
      <c r="AT394" s="24" t="inlineStr">
        <is>
          <t>Tottenham Hotspur</t>
        </is>
      </c>
      <c r="AU394" s="24" t="inlineStr">
        <is>
          <t>Tottenham Hotspur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f585a7f3cb7ee04f9a319a60fa601ef15e86636fadaaa8c1380ac0f28f75c58a</t>
        </is>
      </c>
      <c r="BB394" s="24" t="inlineStr">
        <is>
          <t>poisson_dixon_coles</t>
        </is>
      </c>
      <c r="BC394" s="24" t="inlineStr">
        <is>
          <t>soccer-poisson-dc-v1</t>
        </is>
      </c>
      <c r="BD394" s="24" t="inlineStr">
        <is>
          <t>f585a7f3cb7ee04f9a319a60fa601ef15e86636fadaaa8c1380ac0f28f75c58a</t>
        </is>
      </c>
      <c r="BE394" s="24" t="inlineStr">
        <is>
          <t>soccer-poisson-dc-v1</t>
        </is>
      </c>
      <c r="BF394" s="24" t="inlineStr">
        <is>
          <t>1</t>
        </is>
      </c>
      <c r="BG394" s="24" t="inlineStr">
        <is>
          <t>f585a7f3cb7ee04f9a319a60fa601ef15e86636fadaaa8c1380ac0f28f75c58a</t>
        </is>
      </c>
      <c r="BH394" s="24" t="inlineStr">
        <is>
          <t>2026-08-29T16:02:44.771505Z</t>
        </is>
      </c>
      <c r="BI394" s="24" t="inlineStr">
        <is>
          <t>["same_event","same_team_same_day","same_league_same_day"]</t>
        </is>
      </c>
      <c r="BJ394" s="25" t="n"/>
      <c r="BK394" s="26" t="n">
        <v>127</v>
      </c>
      <c r="BL394" s="27" t="n">
        <v>2.27</v>
      </c>
      <c r="BM394" s="28" t="n">
        <v>0.440529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0.440529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6254f6b7109d47c7</t>
        </is>
      </c>
      <c r="B395" s="24" t="inlineStr">
        <is>
          <t>2026-08-29T16:04:47.832302Z</t>
        </is>
      </c>
      <c r="C395" s="24" t="inlineStr">
        <is>
          <t>2026-08-29T17:00Z</t>
        </is>
      </c>
      <c r="D395" s="24" t="inlineStr">
        <is>
          <t>401882898</t>
        </is>
      </c>
      <c r="E395" s="24" t="inlineStr">
        <is>
          <t>SOCCER</t>
        </is>
      </c>
      <c r="F395" s="24" t="inlineStr">
        <is>
          <t>Espanyol</t>
        </is>
      </c>
      <c r="G395" s="24" t="inlineStr">
        <is>
          <t>Real Sociedad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-113</v>
      </c>
      <c r="M395" s="27" t="n">
        <v>1.884956</v>
      </c>
      <c r="N395" s="28" t="n">
        <v>0.530516</v>
      </c>
      <c r="O395" s="28" t="n">
        <v>0.53889</v>
      </c>
      <c r="P395" s="28" t="n">
        <v>0.04</v>
      </c>
      <c r="Q395" s="28" t="n">
        <v>0.008373999999999999</v>
      </c>
      <c r="R395" s="26" t="n">
        <v>30</v>
      </c>
      <c r="S395" s="29" t="n">
        <v>1</v>
      </c>
      <c r="T395" s="24" t="inlineStr">
        <is>
          <t>soccer-poisson-dc-v1</t>
        </is>
      </c>
      <c r="U395" s="24" t="inlineStr">
        <is>
          <t>settled</t>
        </is>
      </c>
      <c r="V395" s="24" t="inlineStr">
        <is>
          <t>win</t>
        </is>
      </c>
      <c r="W395" s="26" t="n">
        <v>1</v>
      </c>
      <c r="X395" s="26" t="n">
        <v>2</v>
      </c>
      <c r="Y395" s="25" t="n"/>
      <c r="Z395" s="26" t="n"/>
      <c r="AA395" s="28" t="n"/>
      <c r="AB395" s="28" t="n"/>
      <c r="AC395" s="30" t="n">
        <v>0.885</v>
      </c>
      <c r="AD395" s="24" t="inlineStr">
        <is>
          <t>2026-08-30T03:29:48.564379Z</t>
        </is>
      </c>
      <c r="AE395" s="31" t="inlineStr">
        <is>
          <t>Poisson-DC rates 1.88 (home) / 1.13 (away) from EWMA attack/defense strengths. Executable ask 0.5300 (atc-lal-rso-esp-2026-08-29-rso).</t>
        </is>
      </c>
      <c r="AF395" s="31" t="inlineStr">
        <is>
          <t>Research-only soccer score model; draw-aware, but not yet locked-holdout qualified.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Espanyol</t>
        </is>
      </c>
      <c r="AQ395" s="24" t="inlineStr">
        <is>
          <t>Espanyol</t>
        </is>
      </c>
      <c r="AR395" s="24" t="inlineStr">
        <is>
          <t>Espanyol</t>
        </is>
      </c>
      <c r="AS395" s="24" t="inlineStr">
        <is>
          <t>Real Sociedad</t>
        </is>
      </c>
      <c r="AT395" s="24" t="inlineStr">
        <is>
          <t>Real Sociedad</t>
        </is>
      </c>
      <c r="AU395" s="24" t="inlineStr">
        <is>
          <t>Real Sociedad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f585a7f3cb7ee04f9a319a60fa601ef15e86636fadaaa8c1380ac0f28f75c58a</t>
        </is>
      </c>
      <c r="BB395" s="24" t="inlineStr">
        <is>
          <t>poisson_dixon_coles</t>
        </is>
      </c>
      <c r="BC395" s="24" t="inlineStr">
        <is>
          <t>soccer-poisson-dc-v1</t>
        </is>
      </c>
      <c r="BD395" s="24" t="inlineStr">
        <is>
          <t>f585a7f3cb7ee04f9a319a60fa601ef15e86636fadaaa8c1380ac0f28f75c58a</t>
        </is>
      </c>
      <c r="BE395" s="24" t="inlineStr">
        <is>
          <t>soccer-poisson-dc-v1</t>
        </is>
      </c>
      <c r="BF395" s="24" t="inlineStr">
        <is>
          <t>1</t>
        </is>
      </c>
      <c r="BG395" s="24" t="inlineStr">
        <is>
          <t>f585a7f3cb7ee04f9a319a60fa601ef15e86636fadaaa8c1380ac0f28f75c58a</t>
        </is>
      </c>
      <c r="BH395" s="24" t="inlineStr">
        <is>
          <t>2026-08-29T16:02:44.923436Z</t>
        </is>
      </c>
      <c r="BI395" s="24" t="inlineStr">
        <is>
          <t>["same_event","same_team_same_day","same_league_same_day"]</t>
        </is>
      </c>
      <c r="BJ395" s="25" t="n"/>
      <c r="BK395" s="26" t="n">
        <v>-113</v>
      </c>
      <c r="BL395" s="27" t="n">
        <v>1.884956</v>
      </c>
      <c r="BM395" s="28" t="n">
        <v>0.530516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0.530516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ab93a88225ee493e</t>
        </is>
      </c>
      <c r="B396" s="24" t="inlineStr">
        <is>
          <t>2026-08-29T16:04:47.832302Z</t>
        </is>
      </c>
      <c r="C396" s="24" t="inlineStr">
        <is>
          <t>2026-08-29T16:30Z</t>
        </is>
      </c>
      <c r="D396" s="24" t="inlineStr">
        <is>
          <t>401874942</t>
        </is>
      </c>
      <c r="E396" s="24" t="inlineStr">
        <is>
          <t>SOCCER</t>
        </is>
      </c>
      <c r="F396" s="24" t="inlineStr">
        <is>
          <t>Frosinone</t>
        </is>
      </c>
      <c r="G396" s="24" t="inlineStr">
        <is>
          <t>Fiorentina</t>
        </is>
      </c>
      <c r="H396" s="24" t="inlineStr">
        <is>
          <t>moneyline</t>
        </is>
      </c>
      <c r="I396" s="24" t="inlineStr">
        <is>
          <t>home</t>
        </is>
      </c>
      <c r="J396" s="25" t="n"/>
      <c r="K396" s="24" t="inlineStr">
        <is>
          <t>polymarket_us</t>
        </is>
      </c>
      <c r="L396" s="26" t="n">
        <v>-138</v>
      </c>
      <c r="M396" s="27" t="n">
        <v>1.724638</v>
      </c>
      <c r="N396" s="28" t="n">
        <v>0.579832</v>
      </c>
      <c r="O396" s="28" t="n">
        <v>0.519686</v>
      </c>
      <c r="P396" s="28" t="n">
        <v>0.04</v>
      </c>
      <c r="Q396" s="28" t="n">
        <v>-0.060146</v>
      </c>
      <c r="R396" s="26" t="n">
        <v>0</v>
      </c>
      <c r="S396" s="29" t="n">
        <v>1</v>
      </c>
      <c r="T396" s="24" t="inlineStr">
        <is>
          <t>soccer-poisson-dc-v1</t>
        </is>
      </c>
      <c r="U396" s="24" t="inlineStr">
        <is>
          <t>settled</t>
        </is>
      </c>
      <c r="V396" s="24" t="inlineStr">
        <is>
          <t>loss</t>
        </is>
      </c>
      <c r="W396" s="26" t="n">
        <v>3</v>
      </c>
      <c r="X396" s="26" t="n">
        <v>0</v>
      </c>
      <c r="Y396" s="25" t="n"/>
      <c r="Z396" s="26" t="n"/>
      <c r="AA396" s="28" t="n"/>
      <c r="AB396" s="28" t="n"/>
      <c r="AC396" s="30" t="n">
        <v>-1</v>
      </c>
      <c r="AD396" s="24" t="inlineStr">
        <is>
          <t>2026-08-30T03:29:50.327786Z</t>
        </is>
      </c>
      <c r="AE396" s="31" t="inlineStr">
        <is>
          <t>Poisson-DC rates 1.41 (home) / 0.73 (away) from EWMA attack/defense strengths. Executable ask 0.5800 (atc-sea-fio-fro-2026-08-29-fio).</t>
        </is>
      </c>
      <c r="AF396" s="31" t="inlineStr">
        <is>
          <t>Research-only soccer score model; draw-aware, but not yet locked-holdout qualified.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Frosinone</t>
        </is>
      </c>
      <c r="AQ396" s="24" t="inlineStr">
        <is>
          <t>Frosinone</t>
        </is>
      </c>
      <c r="AR396" s="24" t="inlineStr">
        <is>
          <t>Frosinone</t>
        </is>
      </c>
      <c r="AS396" s="24" t="inlineStr">
        <is>
          <t>Fiorentina</t>
        </is>
      </c>
      <c r="AT396" s="24" t="inlineStr">
        <is>
          <t>Fiorentina</t>
        </is>
      </c>
      <c r="AU396" s="24" t="inlineStr">
        <is>
          <t>Fiorentina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f585a7f3cb7ee04f9a319a60fa601ef15e86636fadaaa8c1380ac0f28f75c58a</t>
        </is>
      </c>
      <c r="BB396" s="24" t="inlineStr">
        <is>
          <t>poisson_dixon_coles</t>
        </is>
      </c>
      <c r="BC396" s="24" t="inlineStr">
        <is>
          <t>soccer-poisson-dc-v1</t>
        </is>
      </c>
      <c r="BD396" s="24" t="inlineStr">
        <is>
          <t>f585a7f3cb7ee04f9a319a60fa601ef15e86636fadaaa8c1380ac0f28f75c58a</t>
        </is>
      </c>
      <c r="BE396" s="24" t="inlineStr">
        <is>
          <t>soccer-poisson-dc-v1</t>
        </is>
      </c>
      <c r="BF396" s="24" t="inlineStr">
        <is>
          <t>1</t>
        </is>
      </c>
      <c r="BG396" s="24" t="inlineStr">
        <is>
          <t>f585a7f3cb7ee04f9a319a60fa601ef15e86636fadaaa8c1380ac0f28f75c58a</t>
        </is>
      </c>
      <c r="BH396" s="24" t="inlineStr">
        <is>
          <t>2026-08-29T16:02:45.460335Z</t>
        </is>
      </c>
      <c r="BI396" s="24" t="inlineStr">
        <is>
          <t>["same_event","same_team_same_day","same_league_same_day"]</t>
        </is>
      </c>
      <c r="BJ396" s="25" t="n"/>
      <c r="BK396" s="26" t="n">
        <v>-138</v>
      </c>
      <c r="BL396" s="27" t="n">
        <v>1.724638</v>
      </c>
      <c r="BM396" s="28" t="n">
        <v>0.579832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0.579832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39ac90747aff4c60</t>
        </is>
      </c>
      <c r="B397" s="24" t="inlineStr">
        <is>
          <t>2026-08-29T16:04:47.832302Z</t>
        </is>
      </c>
      <c r="C397" s="24" t="inlineStr">
        <is>
          <t>2026-08-29T16:30Z</t>
        </is>
      </c>
      <c r="D397" s="24" t="inlineStr">
        <is>
          <t>401874749</t>
        </is>
      </c>
      <c r="E397" s="24" t="inlineStr">
        <is>
          <t>SOCCER</t>
        </is>
      </c>
      <c r="F397" s="24" t="inlineStr">
        <is>
          <t>Udinese</t>
        </is>
      </c>
      <c r="G397" s="24" t="inlineStr">
        <is>
          <t>Monza</t>
        </is>
      </c>
      <c r="H397" s="24" t="inlineStr">
        <is>
          <t>moneyline</t>
        </is>
      </c>
      <c r="I397" s="24" t="inlineStr">
        <is>
          <t>away</t>
        </is>
      </c>
      <c r="J397" s="25" t="n"/>
      <c r="K397" s="24" t="inlineStr">
        <is>
          <t>polymarket_us</t>
        </is>
      </c>
      <c r="L397" s="26" t="n">
        <v>170</v>
      </c>
      <c r="M397" s="27" t="n">
        <v>2.7</v>
      </c>
      <c r="N397" s="28" t="n">
        <v>0.37037</v>
      </c>
      <c r="O397" s="28" t="n">
        <v>0.5538999999999999</v>
      </c>
      <c r="P397" s="28" t="n">
        <v>0.04</v>
      </c>
      <c r="Q397" s="28" t="n">
        <v>0.18353</v>
      </c>
      <c r="R397" s="26" t="n">
        <v>100</v>
      </c>
      <c r="S397" s="29" t="n">
        <v>2</v>
      </c>
      <c r="T397" s="24" t="inlineStr">
        <is>
          <t>soccer-poisson-dc-v1</t>
        </is>
      </c>
      <c r="U397" s="24" t="inlineStr">
        <is>
          <t>settled</t>
        </is>
      </c>
      <c r="V397" s="24" t="inlineStr">
        <is>
          <t>win</t>
        </is>
      </c>
      <c r="W397" s="26" t="n">
        <v>3</v>
      </c>
      <c r="X397" s="26" t="n">
        <v>2</v>
      </c>
      <c r="Y397" s="25" t="n"/>
      <c r="Z397" s="26" t="n"/>
      <c r="AA397" s="28" t="n"/>
      <c r="AB397" s="28" t="n"/>
      <c r="AC397" s="30" t="n">
        <v>3.4</v>
      </c>
      <c r="AD397" s="24" t="inlineStr">
        <is>
          <t>2026-08-30T03:29:51.848315Z</t>
        </is>
      </c>
      <c r="AE397" s="31" t="inlineStr">
        <is>
          <t>Poisson-DC rates 0.66 (home) / 1.46 (away) from EWMA attack/defense strengths. Executable ask 0.3700 (atc-sea-mon-udi-2026-08-29-udi).</t>
        </is>
      </c>
      <c r="AF397" s="31" t="inlineStr">
        <is>
          <t>Research-only soccer score model; draw-aware, but not yet locked-holdout qualified.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Udinese</t>
        </is>
      </c>
      <c r="AQ397" s="24" t="inlineStr">
        <is>
          <t>Udinese</t>
        </is>
      </c>
      <c r="AR397" s="24" t="inlineStr">
        <is>
          <t>Udinese</t>
        </is>
      </c>
      <c r="AS397" s="24" t="inlineStr">
        <is>
          <t>Monza</t>
        </is>
      </c>
      <c r="AT397" s="24" t="inlineStr">
        <is>
          <t>Monza</t>
        </is>
      </c>
      <c r="AU397" s="24" t="inlineStr">
        <is>
          <t>Monza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f585a7f3cb7ee04f9a319a60fa601ef15e86636fadaaa8c1380ac0f28f75c58a</t>
        </is>
      </c>
      <c r="BB397" s="24" t="inlineStr">
        <is>
          <t>poisson_dixon_coles</t>
        </is>
      </c>
      <c r="BC397" s="24" t="inlineStr">
        <is>
          <t>soccer-poisson-dc-v1</t>
        </is>
      </c>
      <c r="BD397" s="24" t="inlineStr">
        <is>
          <t>f585a7f3cb7ee04f9a319a60fa601ef15e86636fadaaa8c1380ac0f28f75c58a</t>
        </is>
      </c>
      <c r="BE397" s="24" t="inlineStr">
        <is>
          <t>soccer-poisson-dc-v1</t>
        </is>
      </c>
      <c r="BF397" s="24" t="inlineStr">
        <is>
          <t>1</t>
        </is>
      </c>
      <c r="BG397" s="24" t="inlineStr">
        <is>
          <t>f585a7f3cb7ee04f9a319a60fa601ef15e86636fadaaa8c1380ac0f28f75c58a</t>
        </is>
      </c>
      <c r="BH397" s="24" t="inlineStr">
        <is>
          <t>2026-08-29T16:02:45.324514Z</t>
        </is>
      </c>
      <c r="BI397" s="24" t="inlineStr">
        <is>
          <t>["same_event","same_team_same_day","same_league_same_day"]</t>
        </is>
      </c>
      <c r="BJ397" s="25" t="n"/>
      <c r="BK397" s="26" t="n">
        <v>170</v>
      </c>
      <c r="BL397" s="27" t="n">
        <v>2.7</v>
      </c>
      <c r="BM397" s="28" t="n">
        <v>0.37037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0.37037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fe4ae45c9c684a86</t>
        </is>
      </c>
      <c r="B398" s="24" t="inlineStr">
        <is>
          <t>2026-08-29T16:04:47.832302Z</t>
        </is>
      </c>
      <c r="C398" s="24" t="inlineStr">
        <is>
          <t>2026-08-29T16:30Z</t>
        </is>
      </c>
      <c r="D398" s="24" t="inlineStr">
        <is>
          <t>401874743</t>
        </is>
      </c>
      <c r="E398" s="24" t="inlineStr">
        <is>
          <t>SOCCER</t>
        </is>
      </c>
      <c r="F398" s="24" t="inlineStr">
        <is>
          <t>Torino</t>
        </is>
      </c>
      <c r="G398" s="24" t="inlineStr">
        <is>
          <t>Sassuolo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133</v>
      </c>
      <c r="M398" s="27" t="n">
        <v>2.33</v>
      </c>
      <c r="N398" s="28" t="n">
        <v>0.429185</v>
      </c>
      <c r="O398" s="28" t="n">
        <v>0.466093</v>
      </c>
      <c r="P398" s="28" t="n">
        <v>0.04</v>
      </c>
      <c r="Q398" s="28" t="n">
        <v>0.036908</v>
      </c>
      <c r="R398" s="26" t="n">
        <v>44</v>
      </c>
      <c r="S398" s="29" t="n">
        <v>1</v>
      </c>
      <c r="T398" s="24" t="inlineStr">
        <is>
          <t>soccer-poisson-dc-v1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2</v>
      </c>
      <c r="Y398" s="25" t="n"/>
      <c r="Z398" s="26" t="n"/>
      <c r="AA398" s="28" t="n"/>
      <c r="AB398" s="28" t="n"/>
      <c r="AC398" s="30" t="n">
        <v>1.33</v>
      </c>
      <c r="AD398" s="24" t="inlineStr">
        <is>
          <t>2026-08-30T03:29:53.433332Z</t>
        </is>
      </c>
      <c r="AE398" s="31" t="inlineStr">
        <is>
          <t>Poisson-DC rates 1.52 (home) / 1.07 (away) from EWMA attack/defense strengths. Executable ask 0.4300 (atc-sea-sas-tor-2026-08-29-sas).</t>
        </is>
      </c>
      <c r="AF398" s="31" t="inlineStr">
        <is>
          <t>Research-only soccer score model; draw-aware, but not yet locked-holdout qualified.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Torino</t>
        </is>
      </c>
      <c r="AQ398" s="24" t="inlineStr">
        <is>
          <t>Torino</t>
        </is>
      </c>
      <c r="AR398" s="24" t="inlineStr">
        <is>
          <t>Torino</t>
        </is>
      </c>
      <c r="AS398" s="24" t="inlineStr">
        <is>
          <t>Sassuolo</t>
        </is>
      </c>
      <c r="AT398" s="24" t="inlineStr">
        <is>
          <t>Sassuolo</t>
        </is>
      </c>
      <c r="AU398" s="24" t="inlineStr">
        <is>
          <t>Sassuolo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f585a7f3cb7ee04f9a319a60fa601ef15e86636fadaaa8c1380ac0f28f75c58a</t>
        </is>
      </c>
      <c r="BB398" s="24" t="inlineStr">
        <is>
          <t>poisson_dixon_coles</t>
        </is>
      </c>
      <c r="BC398" s="24" t="inlineStr">
        <is>
          <t>soccer-poisson-dc-v1</t>
        </is>
      </c>
      <c r="BD398" s="24" t="inlineStr">
        <is>
          <t>f585a7f3cb7ee04f9a319a60fa601ef15e86636fadaaa8c1380ac0f28f75c58a</t>
        </is>
      </c>
      <c r="BE398" s="24" t="inlineStr">
        <is>
          <t>soccer-poisson-dc-v1</t>
        </is>
      </c>
      <c r="BF398" s="24" t="inlineStr">
        <is>
          <t>1</t>
        </is>
      </c>
      <c r="BG398" s="24" t="inlineStr">
        <is>
          <t>f585a7f3cb7ee04f9a319a60fa601ef15e86636fadaaa8c1380ac0f28f75c58a</t>
        </is>
      </c>
      <c r="BH398" s="24" t="inlineStr">
        <is>
          <t>2026-08-29T16:02:45.592095Z</t>
        </is>
      </c>
      <c r="BI398" s="24" t="inlineStr">
        <is>
          <t>["same_event","same_team_same_day","same_league_same_day"]</t>
        </is>
      </c>
      <c r="BJ398" s="25" t="n"/>
      <c r="BK398" s="26" t="n">
        <v>133</v>
      </c>
      <c r="BL398" s="27" t="n">
        <v>2.33</v>
      </c>
      <c r="BM398" s="28" t="n">
        <v>0.429185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0.429185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11c7198fb5d54400</t>
        </is>
      </c>
      <c r="B399" s="24" t="inlineStr">
        <is>
          <t>2026-08-29T16:04:47.832302Z</t>
        </is>
      </c>
      <c r="C399" s="24" t="inlineStr">
        <is>
          <t>2026-08-29T18:45Z</t>
        </is>
      </c>
      <c r="D399" s="24" t="inlineStr">
        <is>
          <t>401874746</t>
        </is>
      </c>
      <c r="E399" s="24" t="inlineStr">
        <is>
          <t>SOCCER</t>
        </is>
      </c>
      <c r="F399" s="24" t="inlineStr">
        <is>
          <t>Parma</t>
        </is>
      </c>
      <c r="G399" s="24" t="inlineStr">
        <is>
          <t>Juventus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-400</v>
      </c>
      <c r="M399" s="27" t="n">
        <v>1.25</v>
      </c>
      <c r="N399" s="28" t="n">
        <v>0.8</v>
      </c>
      <c r="O399" s="28" t="n">
        <v>0.5909140000000001</v>
      </c>
      <c r="P399" s="28" t="n">
        <v>0.04</v>
      </c>
      <c r="Q399" s="28" t="n">
        <v>-0.209086</v>
      </c>
      <c r="R399" s="26" t="n">
        <v>0</v>
      </c>
      <c r="S399" s="29" t="n">
        <v>1</v>
      </c>
      <c r="T399" s="24" t="inlineStr">
        <is>
          <t>soccer-poisson-dc-v1</t>
        </is>
      </c>
      <c r="U399" s="24" t="inlineStr">
        <is>
          <t>settled</t>
        </is>
      </c>
      <c r="V399" s="24" t="inlineStr">
        <is>
          <t>win</t>
        </is>
      </c>
      <c r="W399" s="26" t="n">
        <v>0</v>
      </c>
      <c r="X399" s="26" t="n">
        <v>2</v>
      </c>
      <c r="Y399" s="25" t="n"/>
      <c r="Z399" s="26" t="n"/>
      <c r="AA399" s="28" t="n"/>
      <c r="AB399" s="28" t="n"/>
      <c r="AC399" s="30" t="n">
        <v>0.25</v>
      </c>
      <c r="AD399" s="24" t="inlineStr">
        <is>
          <t>2026-08-30T03:29:54.949601Z</t>
        </is>
      </c>
      <c r="AE399" s="31" t="inlineStr">
        <is>
          <t>Poisson-DC rates 1.44 (home) / 0.52 (away) from EWMA attack/defense strengths. Executable ask 0.8000 (atc-sea-juv-par-2026-08-29-juv).</t>
        </is>
      </c>
      <c r="AF399" s="31" t="inlineStr">
        <is>
          <t>Research-only soccer score model; draw-aware, but not yet locked-holdout qualified.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Parma</t>
        </is>
      </c>
      <c r="AQ399" s="24" t="inlineStr">
        <is>
          <t>Parma</t>
        </is>
      </c>
      <c r="AR399" s="24" t="inlineStr">
        <is>
          <t>Parma</t>
        </is>
      </c>
      <c r="AS399" s="24" t="inlineStr">
        <is>
          <t>Juventus</t>
        </is>
      </c>
      <c r="AT399" s="24" t="inlineStr">
        <is>
          <t>Juventus</t>
        </is>
      </c>
      <c r="AU399" s="24" t="inlineStr">
        <is>
          <t>Juventus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f585a7f3cb7ee04f9a319a60fa601ef15e86636fadaaa8c1380ac0f28f75c58a</t>
        </is>
      </c>
      <c r="BB399" s="24" t="inlineStr">
        <is>
          <t>poisson_dixon_coles</t>
        </is>
      </c>
      <c r="BC399" s="24" t="inlineStr">
        <is>
          <t>soccer-poisson-dc-v1</t>
        </is>
      </c>
      <c r="BD399" s="24" t="inlineStr">
        <is>
          <t>f585a7f3cb7ee04f9a319a60fa601ef15e86636fadaaa8c1380ac0f28f75c58a</t>
        </is>
      </c>
      <c r="BE399" s="24" t="inlineStr">
        <is>
          <t>soccer-poisson-dc-v1</t>
        </is>
      </c>
      <c r="BF399" s="24" t="inlineStr">
        <is>
          <t>1</t>
        </is>
      </c>
      <c r="BG399" s="24" t="inlineStr">
        <is>
          <t>f585a7f3cb7ee04f9a319a60fa601ef15e86636fadaaa8c1380ac0f28f75c58a</t>
        </is>
      </c>
      <c r="BH399" s="24" t="inlineStr">
        <is>
          <t>2026-08-29T16:02:45.732513Z</t>
        </is>
      </c>
      <c r="BI399" s="24" t="inlineStr">
        <is>
          <t>["same_event","same_team_same_day","same_league_same_day"]</t>
        </is>
      </c>
      <c r="BJ399" s="25" t="n"/>
      <c r="BK399" s="26" t="n">
        <v>-400</v>
      </c>
      <c r="BL399" s="27" t="n">
        <v>1.25</v>
      </c>
      <c r="BM399" s="28" t="n">
        <v>0.8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0.8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7daa67a03fc849e5</t>
        </is>
      </c>
      <c r="B400" s="24" t="inlineStr">
        <is>
          <t>2026-08-29T16:04:47.832302Z</t>
        </is>
      </c>
      <c r="C400" s="24" t="inlineStr">
        <is>
          <t>2026-08-29T20:30Z</t>
        </is>
      </c>
      <c r="D400" s="24" t="inlineStr">
        <is>
          <t>761755</t>
        </is>
      </c>
      <c r="E400" s="24" t="inlineStr">
        <is>
          <t>SOCCER</t>
        </is>
      </c>
      <c r="F400" s="24" t="inlineStr">
        <is>
          <t>Chicago Fire FC</t>
        </is>
      </c>
      <c r="G400" s="24" t="inlineStr">
        <is>
          <t>Seattle Sounders FC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194</v>
      </c>
      <c r="M400" s="27" t="n">
        <v>2.94</v>
      </c>
      <c r="N400" s="28" t="n">
        <v>0.340136</v>
      </c>
      <c r="O400" s="28" t="n">
        <v>0.379925</v>
      </c>
      <c r="P400" s="28" t="n">
        <v>0.04</v>
      </c>
      <c r="Q400" s="28" t="n">
        <v>0.039789</v>
      </c>
      <c r="R400" s="26" t="n">
        <v>46</v>
      </c>
      <c r="S400" s="29" t="n">
        <v>1</v>
      </c>
      <c r="T400" s="24" t="inlineStr">
        <is>
          <t>soccer-poisson-dc-v1</t>
        </is>
      </c>
      <c r="U400" s="24" t="inlineStr">
        <is>
          <t>settled</t>
        </is>
      </c>
      <c r="V400" s="24" t="inlineStr">
        <is>
          <t>loss</t>
        </is>
      </c>
      <c r="W400" s="26" t="n">
        <v>2</v>
      </c>
      <c r="X400" s="26" t="n">
        <v>2</v>
      </c>
      <c r="Y400" s="25" t="n"/>
      <c r="Z400" s="26" t="n"/>
      <c r="AA400" s="28" t="n"/>
      <c r="AB400" s="28" t="n"/>
      <c r="AC400" s="30" t="n">
        <v>-1</v>
      </c>
      <c r="AD400" s="24" t="inlineStr">
        <is>
          <t>2026-08-30T03:29:56.634939Z</t>
        </is>
      </c>
      <c r="AE400" s="31" t="inlineStr">
        <is>
          <t>Poisson-DC rates 1.69 (home) / 1.67 (away) from EWMA attack/defense strengths. Executable ask 0.3400 (atc-mls-sea-chi-2026-08-29-sea).</t>
        </is>
      </c>
      <c r="AF400" s="31" t="inlineStr">
        <is>
          <t>Research-only soccer score model; draw-aware, but not yet locked-holdout qualified.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Chicago Fire FC</t>
        </is>
      </c>
      <c r="AQ400" s="24" t="inlineStr">
        <is>
          <t>Chicago Fire FC</t>
        </is>
      </c>
      <c r="AR400" s="24" t="inlineStr">
        <is>
          <t>Chicago Fire FC</t>
        </is>
      </c>
      <c r="AS400" s="24" t="inlineStr">
        <is>
          <t>Seattle Sounders FC</t>
        </is>
      </c>
      <c r="AT400" s="24" t="inlineStr">
        <is>
          <t>Seattle Sounders FC</t>
        </is>
      </c>
      <c r="AU400" s="24" t="inlineStr">
        <is>
          <t>Seattle Sounders FC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f585a7f3cb7ee04f9a319a60fa601ef15e86636fadaaa8c1380ac0f28f75c58a</t>
        </is>
      </c>
      <c r="BB400" s="24" t="inlineStr">
        <is>
          <t>poisson_dixon_coles</t>
        </is>
      </c>
      <c r="BC400" s="24" t="inlineStr">
        <is>
          <t>soccer-poisson-dc-v1</t>
        </is>
      </c>
      <c r="BD400" s="24" t="inlineStr">
        <is>
          <t>f585a7f3cb7ee04f9a319a60fa601ef15e86636fadaaa8c1380ac0f28f75c58a</t>
        </is>
      </c>
      <c r="BE400" s="24" t="inlineStr">
        <is>
          <t>soccer-poisson-dc-v1</t>
        </is>
      </c>
      <c r="BF400" s="24" t="inlineStr">
        <is>
          <t>1</t>
        </is>
      </c>
      <c r="BG400" s="24" t="inlineStr">
        <is>
          <t>f585a7f3cb7ee04f9a319a60fa601ef15e86636fadaaa8c1380ac0f28f75c58a</t>
        </is>
      </c>
      <c r="BH400" s="24" t="inlineStr">
        <is>
          <t>2026-08-29T16:02:45.865363Z</t>
        </is>
      </c>
      <c r="BI400" s="24" t="inlineStr">
        <is>
          <t>["same_event","same_team_same_day","same_league_same_day"]</t>
        </is>
      </c>
      <c r="BJ400" s="25" t="n"/>
      <c r="BK400" s="26" t="n">
        <v>194</v>
      </c>
      <c r="BL400" s="27" t="n">
        <v>2.94</v>
      </c>
      <c r="BM400" s="28" t="n">
        <v>0.340136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0.340136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4d39a602fd6b462d</t>
        </is>
      </c>
      <c r="B401" s="24" t="inlineStr">
        <is>
          <t>2026-08-29T16:04:47.832302Z</t>
        </is>
      </c>
      <c r="C401" s="24" t="inlineStr">
        <is>
          <t>2026-08-29T23:30Z</t>
        </is>
      </c>
      <c r="D401" s="24" t="inlineStr">
        <is>
          <t>761759</t>
        </is>
      </c>
      <c r="E401" s="24" t="inlineStr">
        <is>
          <t>SOCCER</t>
        </is>
      </c>
      <c r="F401" s="24" t="inlineStr">
        <is>
          <t>Charlotte FC</t>
        </is>
      </c>
      <c r="G401" s="24" t="inlineStr">
        <is>
          <t>Atlanta United FC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170</v>
      </c>
      <c r="M401" s="27" t="n">
        <v>2.7</v>
      </c>
      <c r="N401" s="28" t="n">
        <v>0.37037</v>
      </c>
      <c r="O401" s="28" t="n">
        <v>0.434008</v>
      </c>
      <c r="P401" s="28" t="n">
        <v>0.04</v>
      </c>
      <c r="Q401" s="28" t="n">
        <v>0.063638</v>
      </c>
      <c r="R401" s="26" t="n">
        <v>58</v>
      </c>
      <c r="S401" s="29" t="n">
        <v>1.25</v>
      </c>
      <c r="T401" s="24" t="inlineStr">
        <is>
          <t>soccer-poisson-dc-v1</t>
        </is>
      </c>
      <c r="U401" s="24" t="inlineStr">
        <is>
          <t>settled</t>
        </is>
      </c>
      <c r="V401" s="24" t="inlineStr">
        <is>
          <t>win</t>
        </is>
      </c>
      <c r="W401" s="26" t="n">
        <v>2</v>
      </c>
      <c r="X401" s="26" t="n">
        <v>0</v>
      </c>
      <c r="Y401" s="25" t="n"/>
      <c r="Z401" s="26" t="n"/>
      <c r="AA401" s="28" t="n"/>
      <c r="AB401" s="28" t="n"/>
      <c r="AC401" s="30" t="n">
        <v>2.125</v>
      </c>
      <c r="AD401" s="24" t="inlineStr">
        <is>
          <t>2026-08-30T03:29:58.225742Z</t>
        </is>
      </c>
      <c r="AE401" s="31" t="inlineStr">
        <is>
          <t>Poisson-DC rates 1.14 (home) / 1.47 (away) from EWMA attack/defense strengths. Executable ask 0.3700 (atc-mls-atl-clt-2026-08-29-clt).</t>
        </is>
      </c>
      <c r="AF401" s="31" t="inlineStr">
        <is>
          <t>Research-only soccer score model; draw-aware, but not yet locked-holdout qualified.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Charlotte FC</t>
        </is>
      </c>
      <c r="AQ401" s="24" t="inlineStr">
        <is>
          <t>Charlotte FC</t>
        </is>
      </c>
      <c r="AR401" s="24" t="inlineStr">
        <is>
          <t>Charlotte FC</t>
        </is>
      </c>
      <c r="AS401" s="24" t="inlineStr">
        <is>
          <t>Atlanta United FC</t>
        </is>
      </c>
      <c r="AT401" s="24" t="inlineStr">
        <is>
          <t>Atlanta United FC</t>
        </is>
      </c>
      <c r="AU401" s="24" t="inlineStr">
        <is>
          <t>Atlanta United FC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f585a7f3cb7ee04f9a319a60fa601ef15e86636fadaaa8c1380ac0f28f75c58a</t>
        </is>
      </c>
      <c r="BB401" s="24" t="inlineStr">
        <is>
          <t>poisson_dixon_coles</t>
        </is>
      </c>
      <c r="BC401" s="24" t="inlineStr">
        <is>
          <t>soccer-poisson-dc-v1</t>
        </is>
      </c>
      <c r="BD401" s="24" t="inlineStr">
        <is>
          <t>f585a7f3cb7ee04f9a319a60fa601ef15e86636fadaaa8c1380ac0f28f75c58a</t>
        </is>
      </c>
      <c r="BE401" s="24" t="inlineStr">
        <is>
          <t>soccer-poisson-dc-v1</t>
        </is>
      </c>
      <c r="BF401" s="24" t="inlineStr">
        <is>
          <t>1</t>
        </is>
      </c>
      <c r="BG401" s="24" t="inlineStr">
        <is>
          <t>f585a7f3cb7ee04f9a319a60fa601ef15e86636fadaaa8c1380ac0f28f75c58a</t>
        </is>
      </c>
      <c r="BH401" s="24" t="inlineStr">
        <is>
          <t>2026-08-29T16:02:46.126479Z</t>
        </is>
      </c>
      <c r="BI401" s="24" t="inlineStr">
        <is>
          <t>["same_event","same_team_same_day","same_league_same_day"]</t>
        </is>
      </c>
      <c r="BJ401" s="25" t="n"/>
      <c r="BK401" s="26" t="n">
        <v>170</v>
      </c>
      <c r="BL401" s="27" t="n">
        <v>2.7</v>
      </c>
      <c r="BM401" s="28" t="n">
        <v>0.37037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0.37037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b3a8829dc1e94ba3</t>
        </is>
      </c>
      <c r="B402" s="24" t="inlineStr">
        <is>
          <t>2026-08-29T16:04:47.832302Z</t>
        </is>
      </c>
      <c r="C402" s="24" t="inlineStr">
        <is>
          <t>2026-08-29T23:30Z</t>
        </is>
      </c>
      <c r="D402" s="24" t="inlineStr">
        <is>
          <t>761760</t>
        </is>
      </c>
      <c r="E402" s="24" t="inlineStr">
        <is>
          <t>SOCCER</t>
        </is>
      </c>
      <c r="F402" s="24" t="inlineStr">
        <is>
          <t>New York City FC</t>
        </is>
      </c>
      <c r="G402" s="24" t="inlineStr">
        <is>
          <t>Toronto FC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178</v>
      </c>
      <c r="M402" s="27" t="n">
        <v>2.78</v>
      </c>
      <c r="N402" s="28" t="n">
        <v>0.359712</v>
      </c>
      <c r="O402" s="28" t="n">
        <v>0.379238</v>
      </c>
      <c r="P402" s="28" t="n">
        <v>0.04</v>
      </c>
      <c r="Q402" s="28" t="n">
        <v>0.019526</v>
      </c>
      <c r="R402" s="26" t="n">
        <v>36</v>
      </c>
      <c r="S402" s="29" t="n">
        <v>1</v>
      </c>
      <c r="T402" s="24" t="inlineStr">
        <is>
          <t>soccer-poisson-dc-v1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</v>
      </c>
      <c r="X402" s="26" t="n">
        <v>1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2026-08-30T03:29:59.745690Z</t>
        </is>
      </c>
      <c r="AE402" s="31" t="inlineStr">
        <is>
          <t>Poisson-DC rates 1.50 (home) / 1.55 (away) from EWMA attack/defense strengths. Executable ask 0.3600 (atc-mls-tor-nyc-2026-08-29-nyc).</t>
        </is>
      </c>
      <c r="AF402" s="31" t="inlineStr">
        <is>
          <t>Research-only soccer score model; draw-aware, but not yet locked-holdout qualified.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New York City FC</t>
        </is>
      </c>
      <c r="AQ402" s="24" t="inlineStr">
        <is>
          <t>New York City FC</t>
        </is>
      </c>
      <c r="AR402" s="24" t="inlineStr">
        <is>
          <t>New York City FC</t>
        </is>
      </c>
      <c r="AS402" s="24" t="inlineStr">
        <is>
          <t>Toronto FC</t>
        </is>
      </c>
      <c r="AT402" s="24" t="inlineStr">
        <is>
          <t>Toronto FC</t>
        </is>
      </c>
      <c r="AU402" s="24" t="inlineStr">
        <is>
          <t>Toronto FC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f585a7f3cb7ee04f9a319a60fa601ef15e86636fadaaa8c1380ac0f28f75c58a</t>
        </is>
      </c>
      <c r="BB402" s="24" t="inlineStr">
        <is>
          <t>poisson_dixon_coles</t>
        </is>
      </c>
      <c r="BC402" s="24" t="inlineStr">
        <is>
          <t>soccer-poisson-dc-v1</t>
        </is>
      </c>
      <c r="BD402" s="24" t="inlineStr">
        <is>
          <t>f585a7f3cb7ee04f9a319a60fa601ef15e86636fadaaa8c1380ac0f28f75c58a</t>
        </is>
      </c>
      <c r="BE402" s="24" t="inlineStr">
        <is>
          <t>soccer-poisson-dc-v1</t>
        </is>
      </c>
      <c r="BF402" s="24" t="inlineStr">
        <is>
          <t>1</t>
        </is>
      </c>
      <c r="BG402" s="24" t="inlineStr">
        <is>
          <t>f585a7f3cb7ee04f9a319a60fa601ef15e86636fadaaa8c1380ac0f28f75c58a</t>
        </is>
      </c>
      <c r="BH402" s="24" t="inlineStr">
        <is>
          <t>2026-08-29T16:02:46.004416Z</t>
        </is>
      </c>
      <c r="BI402" s="24" t="inlineStr">
        <is>
          <t>["same_event","same_team_same_day","same_league_same_day"]</t>
        </is>
      </c>
      <c r="BJ402" s="25" t="n"/>
      <c r="BK402" s="26" t="n">
        <v>178</v>
      </c>
      <c r="BL402" s="27" t="n">
        <v>2.78</v>
      </c>
      <c r="BM402" s="28" t="n">
        <v>0.359712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0.359712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a8b28f13a0ba4d37</t>
        </is>
      </c>
      <c r="B403" s="24" t="inlineStr">
        <is>
          <t>2026-08-29T16:04:47.832302Z</t>
        </is>
      </c>
      <c r="C403" s="24" t="inlineStr">
        <is>
          <t>2026-08-30T00:30Z</t>
        </is>
      </c>
      <c r="D403" s="24" t="inlineStr">
        <is>
          <t>761765</t>
        </is>
      </c>
      <c r="E403" s="24" t="inlineStr">
        <is>
          <t>SOCCER</t>
        </is>
      </c>
      <c r="F403" s="24" t="inlineStr">
        <is>
          <t>San Jose Earthquakes</t>
        </is>
      </c>
      <c r="G403" s="24" t="inlineStr">
        <is>
          <t>Houston Dynamo FC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426</v>
      </c>
      <c r="M403" s="27" t="n">
        <v>5.26</v>
      </c>
      <c r="N403" s="28" t="n">
        <v>0.190114</v>
      </c>
      <c r="O403" s="28" t="n">
        <v>0.44421</v>
      </c>
      <c r="P403" s="28" t="n">
        <v>0.04</v>
      </c>
      <c r="Q403" s="28" t="n">
        <v>0.254096</v>
      </c>
      <c r="R403" s="26" t="n">
        <v>100</v>
      </c>
      <c r="S403" s="29" t="n">
        <v>2</v>
      </c>
      <c r="T403" s="24" t="inlineStr">
        <is>
          <t>soccer-poisson-dc-v1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0</v>
      </c>
      <c r="Y403" s="25" t="n"/>
      <c r="Z403" s="26" t="n"/>
      <c r="AA403" s="28" t="n"/>
      <c r="AB403" s="28" t="n"/>
      <c r="AC403" s="30" t="n">
        <v>-2</v>
      </c>
      <c r="AD403" s="24" t="inlineStr">
        <is>
          <t>2026-08-30T03:30:01.341509Z</t>
        </is>
      </c>
      <c r="AE403" s="31" t="inlineStr">
        <is>
          <t>Poisson-DC rates 1.56 (home) / 1.88 (away) from EWMA attack/defense strengths. Executable ask 0.1900 (atc-mls-hou-sje-2026-08-29-sje).</t>
        </is>
      </c>
      <c r="AF403" s="31" t="inlineStr">
        <is>
          <t>Research-only soccer score model; draw-aware, but not yet locked-holdout qualified.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San Jose Earthquakes</t>
        </is>
      </c>
      <c r="AQ403" s="24" t="inlineStr">
        <is>
          <t>San Jose Earthquakes</t>
        </is>
      </c>
      <c r="AR403" s="24" t="inlineStr">
        <is>
          <t>San Jose Earthquakes</t>
        </is>
      </c>
      <c r="AS403" s="24" t="inlineStr">
        <is>
          <t>Houston Dynamo FC</t>
        </is>
      </c>
      <c r="AT403" s="24" t="inlineStr">
        <is>
          <t>Houston Dynamo FC</t>
        </is>
      </c>
      <c r="AU403" s="24" t="inlineStr">
        <is>
          <t>Houston Dynamo FC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f585a7f3cb7ee04f9a319a60fa601ef15e86636fadaaa8c1380ac0f28f75c58a</t>
        </is>
      </c>
      <c r="BB403" s="24" t="inlineStr">
        <is>
          <t>poisson_dixon_coles</t>
        </is>
      </c>
      <c r="BC403" s="24" t="inlineStr">
        <is>
          <t>soccer-poisson-dc-v1</t>
        </is>
      </c>
      <c r="BD403" s="24" t="inlineStr">
        <is>
          <t>f585a7f3cb7ee04f9a319a60fa601ef15e86636fadaaa8c1380ac0f28f75c58a</t>
        </is>
      </c>
      <c r="BE403" s="24" t="inlineStr">
        <is>
          <t>soccer-poisson-dc-v1</t>
        </is>
      </c>
      <c r="BF403" s="24" t="inlineStr">
        <is>
          <t>1</t>
        </is>
      </c>
      <c r="BG403" s="24" t="inlineStr">
        <is>
          <t>f585a7f3cb7ee04f9a319a60fa601ef15e86636fadaaa8c1380ac0f28f75c58a</t>
        </is>
      </c>
      <c r="BH403" s="24" t="inlineStr">
        <is>
          <t>2026-08-29T16:02:46.689652Z</t>
        </is>
      </c>
      <c r="BI403" s="24" t="inlineStr">
        <is>
          <t>["same_event","same_team_same_day","same_league_same_day"]</t>
        </is>
      </c>
      <c r="BJ403" s="25" t="n"/>
      <c r="BK403" s="26" t="n">
        <v>426</v>
      </c>
      <c r="BL403" s="27" t="n">
        <v>5.26</v>
      </c>
      <c r="BM403" s="28" t="n">
        <v>0.190114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0.190114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fcfdf0065d794af7</t>
        </is>
      </c>
      <c r="B404" s="24" t="inlineStr">
        <is>
          <t>2026-08-29T16:04:47.832302Z</t>
        </is>
      </c>
      <c r="C404" s="24" t="inlineStr">
        <is>
          <t>2026-08-30T00:30Z</t>
        </is>
      </c>
      <c r="D404" s="24" t="inlineStr">
        <is>
          <t>761763</t>
        </is>
      </c>
      <c r="E404" s="24" t="inlineStr">
        <is>
          <t>SOCCER</t>
        </is>
      </c>
      <c r="F404" s="24" t="inlineStr">
        <is>
          <t>Orlando City SC</t>
        </is>
      </c>
      <c r="G404" s="24" t="inlineStr">
        <is>
          <t>Minnesota United FC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-117</v>
      </c>
      <c r="M404" s="27" t="n">
        <v>1.854701</v>
      </c>
      <c r="N404" s="28" t="n">
        <v>0.539171</v>
      </c>
      <c r="O404" s="28" t="n">
        <v>0.615174</v>
      </c>
      <c r="P404" s="28" t="n">
        <v>0.04</v>
      </c>
      <c r="Q404" s="28" t="n">
        <v>0.076003</v>
      </c>
      <c r="R404" s="26" t="n">
        <v>64</v>
      </c>
      <c r="S404" s="29" t="n">
        <v>1.25</v>
      </c>
      <c r="T404" s="24" t="inlineStr">
        <is>
          <t>soccer-poisson-dc-v1</t>
        </is>
      </c>
      <c r="U404" s="24" t="inlineStr">
        <is>
          <t>settled</t>
        </is>
      </c>
      <c r="V404" s="24" t="inlineStr">
        <is>
          <t>loss</t>
        </is>
      </c>
      <c r="W404" s="26" t="n">
        <v>3</v>
      </c>
      <c r="X404" s="26" t="n">
        <v>3</v>
      </c>
      <c r="Y404" s="25" t="n"/>
      <c r="Z404" s="26" t="n"/>
      <c r="AA404" s="28" t="n"/>
      <c r="AB404" s="28" t="n"/>
      <c r="AC404" s="30" t="n">
        <v>-1.25</v>
      </c>
      <c r="AD404" s="24" t="inlineStr">
        <is>
          <t>2026-08-30T03:30:03.010512Z</t>
        </is>
      </c>
      <c r="AE404" s="31" t="inlineStr">
        <is>
          <t>Poisson-DC rates 2.59 (home) / 1.45 (away) from EWMA attack/defense strengths. Executable ask 0.5400 (atc-mls-min-orl-2026-08-29-min).</t>
        </is>
      </c>
      <c r="AF404" s="31" t="inlineStr">
        <is>
          <t>Research-only soccer score model; draw-aware, but not yet locked-holdout qualified.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Orlando City SC</t>
        </is>
      </c>
      <c r="AQ404" s="24" t="inlineStr">
        <is>
          <t>Orlando City SC</t>
        </is>
      </c>
      <c r="AR404" s="24" t="inlineStr">
        <is>
          <t>Orlando City SC</t>
        </is>
      </c>
      <c r="AS404" s="24" t="inlineStr">
        <is>
          <t>Minnesota United FC</t>
        </is>
      </c>
      <c r="AT404" s="24" t="inlineStr">
        <is>
          <t>Minnesota United FC</t>
        </is>
      </c>
      <c r="AU404" s="24" t="inlineStr">
        <is>
          <t>Minnesota United FC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f585a7f3cb7ee04f9a319a60fa601ef15e86636fadaaa8c1380ac0f28f75c58a</t>
        </is>
      </c>
      <c r="BB404" s="24" t="inlineStr">
        <is>
          <t>poisson_dixon_coles</t>
        </is>
      </c>
      <c r="BC404" s="24" t="inlineStr">
        <is>
          <t>soccer-poisson-dc-v1</t>
        </is>
      </c>
      <c r="BD404" s="24" t="inlineStr">
        <is>
          <t>f585a7f3cb7ee04f9a319a60fa601ef15e86636fadaaa8c1380ac0f28f75c58a</t>
        </is>
      </c>
      <c r="BE404" s="24" t="inlineStr">
        <is>
          <t>soccer-poisson-dc-v1</t>
        </is>
      </c>
      <c r="BF404" s="24" t="inlineStr">
        <is>
          <t>1</t>
        </is>
      </c>
      <c r="BG404" s="24" t="inlineStr">
        <is>
          <t>f585a7f3cb7ee04f9a319a60fa601ef15e86636fadaaa8c1380ac0f28f75c58a</t>
        </is>
      </c>
      <c r="BH404" s="24" t="inlineStr">
        <is>
          <t>2026-08-29T16:02:46.824609Z</t>
        </is>
      </c>
      <c r="BI404" s="24" t="inlineStr">
        <is>
          <t>["same_event","same_team_same_day","same_league_same_day"]</t>
        </is>
      </c>
      <c r="BJ404" s="25" t="n"/>
      <c r="BK404" s="26" t="n">
        <v>-117</v>
      </c>
      <c r="BL404" s="27" t="n">
        <v>1.854701</v>
      </c>
      <c r="BM404" s="28" t="n">
        <v>0.539171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0.539171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1440230135cf4195</t>
        </is>
      </c>
      <c r="B405" s="24" t="inlineStr">
        <is>
          <t>2026-08-29T16:04:47.832302Z</t>
        </is>
      </c>
      <c r="C405" s="24" t="inlineStr">
        <is>
          <t>2026-08-30T00:30Z</t>
        </is>
      </c>
      <c r="D405" s="24" t="inlineStr">
        <is>
          <t>761764</t>
        </is>
      </c>
      <c r="E405" s="24" t="inlineStr">
        <is>
          <t>SOCCER</t>
        </is>
      </c>
      <c r="F405" s="24" t="inlineStr">
        <is>
          <t>FC Cincinnati</t>
        </is>
      </c>
      <c r="G405" s="24" t="inlineStr">
        <is>
          <t>Nashville SC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-122</v>
      </c>
      <c r="M405" s="27" t="n">
        <v>1.819672</v>
      </c>
      <c r="N405" s="28" t="n">
        <v>0.54955</v>
      </c>
      <c r="O405" s="28" t="n">
        <v>0.687867</v>
      </c>
      <c r="P405" s="28" t="n">
        <v>0.04</v>
      </c>
      <c r="Q405" s="28" t="n">
        <v>0.138317</v>
      </c>
      <c r="R405" s="26" t="n">
        <v>95</v>
      </c>
      <c r="S405" s="29" t="n">
        <v>1.75</v>
      </c>
      <c r="T405" s="24" t="inlineStr">
        <is>
          <t>soccer-poisson-dc-v1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4</v>
      </c>
      <c r="Y405" s="25" t="n"/>
      <c r="Z405" s="26" t="n"/>
      <c r="AA405" s="28" t="n"/>
      <c r="AB405" s="28" t="n"/>
      <c r="AC405" s="30" t="n">
        <v>1.4344</v>
      </c>
      <c r="AD405" s="24" t="inlineStr">
        <is>
          <t>2026-08-30T03:30:04.533587Z</t>
        </is>
      </c>
      <c r="AE405" s="31" t="inlineStr">
        <is>
          <t>Poisson-DC rates 3.12 (home) / 1.52 (away) from EWMA attack/defense strengths. Executable ask 0.5500 (atc-mls-nas-fcc-2026-08-29-nas).</t>
        </is>
      </c>
      <c r="AF405" s="31" t="inlineStr">
        <is>
          <t>Research-only soccer score model; draw-aware, but not yet locked-holdout qualified.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FC Cincinnati</t>
        </is>
      </c>
      <c r="AQ405" s="24" t="inlineStr">
        <is>
          <t>FC Cincinnati</t>
        </is>
      </c>
      <c r="AR405" s="24" t="inlineStr">
        <is>
          <t>FC Cincinnati</t>
        </is>
      </c>
      <c r="AS405" s="24" t="inlineStr">
        <is>
          <t>Nashville SC</t>
        </is>
      </c>
      <c r="AT405" s="24" t="inlineStr">
        <is>
          <t>Nashville SC</t>
        </is>
      </c>
      <c r="AU405" s="24" t="inlineStr">
        <is>
          <t>Nashville SC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f585a7f3cb7ee04f9a319a60fa601ef15e86636fadaaa8c1380ac0f28f75c58a</t>
        </is>
      </c>
      <c r="BB405" s="24" t="inlineStr">
        <is>
          <t>poisson_dixon_coles</t>
        </is>
      </c>
      <c r="BC405" s="24" t="inlineStr">
        <is>
          <t>soccer-poisson-dc-v1</t>
        </is>
      </c>
      <c r="BD405" s="24" t="inlineStr">
        <is>
          <t>f585a7f3cb7ee04f9a319a60fa601ef15e86636fadaaa8c1380ac0f28f75c58a</t>
        </is>
      </c>
      <c r="BE405" s="24" t="inlineStr">
        <is>
          <t>soccer-poisson-dc-v1</t>
        </is>
      </c>
      <c r="BF405" s="24" t="inlineStr">
        <is>
          <t>1</t>
        </is>
      </c>
      <c r="BG405" s="24" t="inlineStr">
        <is>
          <t>f585a7f3cb7ee04f9a319a60fa601ef15e86636fadaaa8c1380ac0f28f75c58a</t>
        </is>
      </c>
      <c r="BH405" s="24" t="inlineStr">
        <is>
          <t>2026-08-29T16:02:46.949878Z</t>
        </is>
      </c>
      <c r="BI405" s="24" t="inlineStr">
        <is>
          <t>["same_event","same_team_same_day","same_league_same_day"]</t>
        </is>
      </c>
      <c r="BJ405" s="25" t="n"/>
      <c r="BK405" s="26" t="n">
        <v>-122</v>
      </c>
      <c r="BL405" s="27" t="n">
        <v>1.819672</v>
      </c>
      <c r="BM405" s="28" t="n">
        <v>0.54955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0.54955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7aff66ec2fb04a2d</t>
        </is>
      </c>
      <c r="B406" s="24" t="inlineStr">
        <is>
          <t>2026-08-29T16:04:47.832302Z</t>
        </is>
      </c>
      <c r="C406" s="24" t="inlineStr">
        <is>
          <t>2026-08-30T00:30Z</t>
        </is>
      </c>
      <c r="D406" s="24" t="inlineStr">
        <is>
          <t>761762</t>
        </is>
      </c>
      <c r="E406" s="24" t="inlineStr">
        <is>
          <t>SOCCER</t>
        </is>
      </c>
      <c r="F406" s="24" t="inlineStr">
        <is>
          <t>Vancouver Whitecaps</t>
        </is>
      </c>
      <c r="G406" s="24" t="inlineStr">
        <is>
          <t>Sporting Kansas City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-223</v>
      </c>
      <c r="M406" s="27" t="n">
        <v>1.44843</v>
      </c>
      <c r="N406" s="28" t="n">
        <v>0.690402</v>
      </c>
      <c r="O406" s="28" t="n">
        <v>0.767632</v>
      </c>
      <c r="P406" s="28" t="n">
        <v>0.04</v>
      </c>
      <c r="Q406" s="28" t="n">
        <v>0.07722999999999999</v>
      </c>
      <c r="R406" s="26" t="n">
        <v>65</v>
      </c>
      <c r="S406" s="29" t="n">
        <v>1.25</v>
      </c>
      <c r="T406" s="24" t="inlineStr">
        <is>
          <t>soccer-poisson-dc-v1</t>
        </is>
      </c>
      <c r="U406" s="24" t="inlineStr">
        <is>
          <t>settled</t>
        </is>
      </c>
      <c r="V406" s="24" t="inlineStr">
        <is>
          <t>win</t>
        </is>
      </c>
      <c r="W406" s="26" t="n">
        <v>3</v>
      </c>
      <c r="X406" s="26" t="n">
        <v>0</v>
      </c>
      <c r="Y406" s="25" t="n"/>
      <c r="Z406" s="26" t="n"/>
      <c r="AA406" s="28" t="n"/>
      <c r="AB406" s="28" t="n"/>
      <c r="AC406" s="30" t="n">
        <v>0.5605</v>
      </c>
      <c r="AD406" s="24" t="inlineStr">
        <is>
          <t>2026-08-30T03:30:06.129620Z</t>
        </is>
      </c>
      <c r="AE406" s="31" t="inlineStr">
        <is>
          <t>Poisson-DC rates 1.08 (home) / 3.10 (away) from EWMA attack/defense strengths. Executable ask 0.6900 (atc-mls-skc-vwh-2026-08-29-vwh).</t>
        </is>
      </c>
      <c r="AF406" s="31" t="inlineStr">
        <is>
          <t>Research-only soccer score model; draw-aware, but not yet locked-holdout qualified.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Vancouver Whitecaps</t>
        </is>
      </c>
      <c r="AQ406" s="24" t="inlineStr">
        <is>
          <t>Vancouver Whitecaps</t>
        </is>
      </c>
      <c r="AR406" s="24" t="inlineStr">
        <is>
          <t>Vancouver Whitecaps</t>
        </is>
      </c>
      <c r="AS406" s="24" t="inlineStr">
        <is>
          <t>Sporting Kansas City</t>
        </is>
      </c>
      <c r="AT406" s="24" t="inlineStr">
        <is>
          <t>Sporting Kansas City</t>
        </is>
      </c>
      <c r="AU406" s="24" t="inlineStr">
        <is>
          <t>Sporting Kansas City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f585a7f3cb7ee04f9a319a60fa601ef15e86636fadaaa8c1380ac0f28f75c58a</t>
        </is>
      </c>
      <c r="BB406" s="24" t="inlineStr">
        <is>
          <t>poisson_dixon_coles</t>
        </is>
      </c>
      <c r="BC406" s="24" t="inlineStr">
        <is>
          <t>soccer-poisson-dc-v1</t>
        </is>
      </c>
      <c r="BD406" s="24" t="inlineStr">
        <is>
          <t>f585a7f3cb7ee04f9a319a60fa601ef15e86636fadaaa8c1380ac0f28f75c58a</t>
        </is>
      </c>
      <c r="BE406" s="24" t="inlineStr">
        <is>
          <t>soccer-poisson-dc-v1</t>
        </is>
      </c>
      <c r="BF406" s="24" t="inlineStr">
        <is>
          <t>1</t>
        </is>
      </c>
      <c r="BG406" s="24" t="inlineStr">
        <is>
          <t>f585a7f3cb7ee04f9a319a60fa601ef15e86636fadaaa8c1380ac0f28f75c58a</t>
        </is>
      </c>
      <c r="BH406" s="24" t="inlineStr">
        <is>
          <t>2026-08-29T16:02:47.109817Z</t>
        </is>
      </c>
      <c r="BI406" s="24" t="inlineStr">
        <is>
          <t>["same_event","same_team_same_day","same_league_same_day"]</t>
        </is>
      </c>
      <c r="BJ406" s="25" t="n"/>
      <c r="BK406" s="26" t="n">
        <v>-223</v>
      </c>
      <c r="BL406" s="27" t="n">
        <v>1.44843</v>
      </c>
      <c r="BM406" s="28" t="n">
        <v>0.690402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0.690402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d1801ca718da468f</t>
        </is>
      </c>
      <c r="B407" s="24" t="inlineStr">
        <is>
          <t>2026-08-29T16:04:47.832302Z</t>
        </is>
      </c>
      <c r="C407" s="24" t="inlineStr">
        <is>
          <t>2026-08-30T01:30Z</t>
        </is>
      </c>
      <c r="D407" s="24" t="inlineStr">
        <is>
          <t>761766</t>
        </is>
      </c>
      <c r="E407" s="24" t="inlineStr">
        <is>
          <t>SOCCER</t>
        </is>
      </c>
      <c r="F407" s="24" t="inlineStr">
        <is>
          <t>Real Salt Lake</t>
        </is>
      </c>
      <c r="G407" s="24" t="inlineStr">
        <is>
          <t>Colorado Rapids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104</v>
      </c>
      <c r="M407" s="27" t="n">
        <v>2.04</v>
      </c>
      <c r="N407" s="28" t="n">
        <v>0.490196</v>
      </c>
      <c r="O407" s="28" t="n">
        <v>0.386558</v>
      </c>
      <c r="P407" s="28" t="n">
        <v>0.04</v>
      </c>
      <c r="Q407" s="28" t="n">
        <v>-0.103638</v>
      </c>
      <c r="R407" s="26" t="n">
        <v>0</v>
      </c>
      <c r="S407" s="29" t="n">
        <v>1</v>
      </c>
      <c r="T407" s="24" t="inlineStr">
        <is>
          <t>soccer-poisson-dc-v1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/>
      <c r="AA407" s="28" t="n"/>
      <c r="AB407" s="28" t="n"/>
      <c r="AC407" s="30" t="n">
        <v>1.04</v>
      </c>
      <c r="AD407" s="24" t="inlineStr">
        <is>
          <t>2026-08-30T16:00:52.973893Z</t>
        </is>
      </c>
      <c r="AE407" s="31" t="inlineStr">
        <is>
          <t>Poisson-DC rates 1.65 (home) / 1.59 (away) from EWMA attack/defense strengths. Executable ask 0.4900 (atc-mls-col-rsl-2026-08-29-col).</t>
        </is>
      </c>
      <c r="AF407" s="31" t="inlineStr">
        <is>
          <t>Research-only soccer score model; draw-aware, but not yet locked-holdout qualified.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Real Salt Lake</t>
        </is>
      </c>
      <c r="AQ407" s="24" t="inlineStr">
        <is>
          <t>Real Salt Lake</t>
        </is>
      </c>
      <c r="AR407" s="24" t="inlineStr">
        <is>
          <t>Real Salt Lake</t>
        </is>
      </c>
      <c r="AS407" s="24" t="inlineStr">
        <is>
          <t>Colorado Rapids</t>
        </is>
      </c>
      <c r="AT407" s="24" t="inlineStr">
        <is>
          <t>Colorado Rapids</t>
        </is>
      </c>
      <c r="AU407" s="24" t="inlineStr">
        <is>
          <t>Colorado Rapids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f585a7f3cb7ee04f9a319a60fa601ef15e86636fadaaa8c1380ac0f28f75c58a</t>
        </is>
      </c>
      <c r="BB407" s="24" t="inlineStr">
        <is>
          <t>poisson_dixon_coles</t>
        </is>
      </c>
      <c r="BC407" s="24" t="inlineStr">
        <is>
          <t>soccer-poisson-dc-v1</t>
        </is>
      </c>
      <c r="BD407" s="24" t="inlineStr">
        <is>
          <t>f585a7f3cb7ee04f9a319a60fa601ef15e86636fadaaa8c1380ac0f28f75c58a</t>
        </is>
      </c>
      <c r="BE407" s="24" t="inlineStr">
        <is>
          <t>soccer-poisson-dc-v1</t>
        </is>
      </c>
      <c r="BF407" s="24" t="inlineStr">
        <is>
          <t>1</t>
        </is>
      </c>
      <c r="BG407" s="24" t="inlineStr">
        <is>
          <t>f585a7f3cb7ee04f9a319a60fa601ef15e86636fadaaa8c1380ac0f28f75c58a</t>
        </is>
      </c>
      <c r="BH407" s="24" t="inlineStr">
        <is>
          <t>2026-08-29T16:02:47.221477Z</t>
        </is>
      </c>
      <c r="BI407" s="24" t="inlineStr">
        <is>
          <t>["same_event","same_team_same_day","same_league_same_day"]</t>
        </is>
      </c>
      <c r="BJ407" s="25" t="n"/>
      <c r="BK407" s="26" t="n">
        <v>104</v>
      </c>
      <c r="BL407" s="27" t="n">
        <v>2.04</v>
      </c>
      <c r="BM407" s="28" t="n">
        <v>0.490196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0.490196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fb7f19f6c6a04309</t>
        </is>
      </c>
      <c r="B408" s="24" t="inlineStr">
        <is>
          <t>2026-08-29T16:04:47.832302Z</t>
        </is>
      </c>
      <c r="C408" s="24" t="inlineStr">
        <is>
          <t>2026-08-30T02:30Z</t>
        </is>
      </c>
      <c r="D408" s="24" t="inlineStr">
        <is>
          <t>761768</t>
        </is>
      </c>
      <c r="E408" s="24" t="inlineStr">
        <is>
          <t>SOCCER</t>
        </is>
      </c>
      <c r="F408" s="24" t="inlineStr">
        <is>
          <t>Austin FC</t>
        </is>
      </c>
      <c r="G408" s="24" t="inlineStr">
        <is>
          <t>Portland Timbers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-163</v>
      </c>
      <c r="M408" s="27" t="n">
        <v>1.613497</v>
      </c>
      <c r="N408" s="28" t="n">
        <v>0.619772</v>
      </c>
      <c r="O408" s="28" t="n">
        <v>0.638552</v>
      </c>
      <c r="P408" s="28" t="n">
        <v>0.04</v>
      </c>
      <c r="Q408" s="28" t="n">
        <v>0.01878</v>
      </c>
      <c r="R408" s="26" t="n">
        <v>35</v>
      </c>
      <c r="S408" s="29" t="n">
        <v>1</v>
      </c>
      <c r="T408" s="24" t="inlineStr">
        <is>
          <t>soccer-poisson-dc-v1</t>
        </is>
      </c>
      <c r="U408" s="24" t="inlineStr">
        <is>
          <t>settled</t>
        </is>
      </c>
      <c r="V408" s="24" t="inlineStr">
        <is>
          <t>loss</t>
        </is>
      </c>
      <c r="W408" s="26" t="n">
        <v>2</v>
      </c>
      <c r="X408" s="26" t="n">
        <v>1</v>
      </c>
      <c r="Y408" s="25" t="n"/>
      <c r="Z408" s="26" t="n"/>
      <c r="AA408" s="28" t="n"/>
      <c r="AB408" s="28" t="n"/>
      <c r="AC408" s="30" t="n">
        <v>-1</v>
      </c>
      <c r="AD408" s="24" t="inlineStr">
        <is>
          <t>2026-08-30T16:00:54.528700Z</t>
        </is>
      </c>
      <c r="AE408" s="31" t="inlineStr">
        <is>
          <t>Poisson-DC rates 2.59 (home) / 1.33 (away) from EWMA attack/defense strengths. Executable ask 0.6200 (atc-mls-por-aus-2026-08-29-por).</t>
        </is>
      </c>
      <c r="AF408" s="31" t="inlineStr">
        <is>
          <t>Research-only soccer score model; draw-aware, but not yet locked-holdout qualified.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Austin FC</t>
        </is>
      </c>
      <c r="AQ408" s="24" t="inlineStr">
        <is>
          <t>Austin FC</t>
        </is>
      </c>
      <c r="AR408" s="24" t="inlineStr">
        <is>
          <t>Austin FC</t>
        </is>
      </c>
      <c r="AS408" s="24" t="inlineStr">
        <is>
          <t>Portland Timbers</t>
        </is>
      </c>
      <c r="AT408" s="24" t="inlineStr">
        <is>
          <t>Portland Timbers</t>
        </is>
      </c>
      <c r="AU408" s="24" t="inlineStr">
        <is>
          <t>Portland Timbers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f585a7f3cb7ee04f9a319a60fa601ef15e86636fadaaa8c1380ac0f28f75c58a</t>
        </is>
      </c>
      <c r="BB408" s="24" t="inlineStr">
        <is>
          <t>poisson_dixon_coles</t>
        </is>
      </c>
      <c r="BC408" s="24" t="inlineStr">
        <is>
          <t>soccer-poisson-dc-v1</t>
        </is>
      </c>
      <c r="BD408" s="24" t="inlineStr">
        <is>
          <t>f585a7f3cb7ee04f9a319a60fa601ef15e86636fadaaa8c1380ac0f28f75c58a</t>
        </is>
      </c>
      <c r="BE408" s="24" t="inlineStr">
        <is>
          <t>soccer-poisson-dc-v1</t>
        </is>
      </c>
      <c r="BF408" s="24" t="inlineStr">
        <is>
          <t>1</t>
        </is>
      </c>
      <c r="BG408" s="24" t="inlineStr">
        <is>
          <t>f585a7f3cb7ee04f9a319a60fa601ef15e86636fadaaa8c1380ac0f28f75c58a</t>
        </is>
      </c>
      <c r="BH408" s="24" t="inlineStr">
        <is>
          <t>2026-08-29T16:02:47.353073Z</t>
        </is>
      </c>
      <c r="BI408" s="24" t="inlineStr">
        <is>
          <t>["same_event","same_team_same_day","same_league_same_day"]</t>
        </is>
      </c>
      <c r="BJ408" s="25" t="n"/>
      <c r="BK408" s="26" t="n">
        <v>-163</v>
      </c>
      <c r="BL408" s="27" t="n">
        <v>1.613497</v>
      </c>
      <c r="BM408" s="28" t="n">
        <v>0.619772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0.619772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caa3847d335b4a25</t>
        </is>
      </c>
      <c r="B409" s="24" t="inlineStr">
        <is>
          <t>2026-08-29T16:04:47.832302Z</t>
        </is>
      </c>
      <c r="C409" s="24" t="inlineStr">
        <is>
          <t>2026-08-30T02:30Z</t>
        </is>
      </c>
      <c r="D409" s="24" t="inlineStr">
        <is>
          <t>761767</t>
        </is>
      </c>
      <c r="E409" s="24" t="inlineStr">
        <is>
          <t>SOCCER</t>
        </is>
      </c>
      <c r="F409" s="24" t="inlineStr">
        <is>
          <t>LA Galaxy</t>
        </is>
      </c>
      <c r="G409" s="24" t="inlineStr">
        <is>
          <t>San Diego FC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polymarket_us</t>
        </is>
      </c>
      <c r="L409" s="26" t="n">
        <v>-127</v>
      </c>
      <c r="M409" s="27" t="n">
        <v>1.787402</v>
      </c>
      <c r="N409" s="28" t="n">
        <v>0.5594710000000001</v>
      </c>
      <c r="O409" s="28" t="n">
        <v>0.592102</v>
      </c>
      <c r="P409" s="28" t="n">
        <v>0.04</v>
      </c>
      <c r="Q409" s="28" t="n">
        <v>0.032631</v>
      </c>
      <c r="R409" s="26" t="n">
        <v>42</v>
      </c>
      <c r="S409" s="29" t="n">
        <v>1</v>
      </c>
      <c r="T409" s="24" t="inlineStr">
        <is>
          <t>soccer-poisson-dc-v1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3</v>
      </c>
      <c r="Y409" s="25" t="n"/>
      <c r="Z409" s="26" t="n"/>
      <c r="AA409" s="28" t="n"/>
      <c r="AB409" s="28" t="n"/>
      <c r="AC409" s="30" t="n">
        <v>0.7874</v>
      </c>
      <c r="AD409" s="24" t="inlineStr">
        <is>
          <t>2026-08-30T16:00:56.002555Z</t>
        </is>
      </c>
      <c r="AE409" s="31" t="inlineStr">
        <is>
          <t>Poisson-DC rates 2.49 (home) / 1.47 (away) from EWMA attack/defense strengths. Executable ask 0.5600 (atc-mls-sdg-lag-2026-08-29-sdg).</t>
        </is>
      </c>
      <c r="AF409" s="31" t="inlineStr">
        <is>
          <t>Research-only soccer score model; draw-aware, but not yet locked-holdout qualified.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LA Galaxy</t>
        </is>
      </c>
      <c r="AQ409" s="24" t="inlineStr">
        <is>
          <t>LA Galaxy</t>
        </is>
      </c>
      <c r="AR409" s="24" t="inlineStr">
        <is>
          <t>LA Galaxy</t>
        </is>
      </c>
      <c r="AS409" s="24" t="inlineStr">
        <is>
          <t>San Diego FC</t>
        </is>
      </c>
      <c r="AT409" s="24" t="inlineStr">
        <is>
          <t>San Diego FC</t>
        </is>
      </c>
      <c r="AU409" s="24" t="inlineStr">
        <is>
          <t>San Diego FC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f585a7f3cb7ee04f9a319a60fa601ef15e86636fadaaa8c1380ac0f28f75c58a</t>
        </is>
      </c>
      <c r="BB409" s="24" t="inlineStr">
        <is>
          <t>poisson_dixon_coles</t>
        </is>
      </c>
      <c r="BC409" s="24" t="inlineStr">
        <is>
          <t>soccer-poisson-dc-v1</t>
        </is>
      </c>
      <c r="BD409" s="24" t="inlineStr">
        <is>
          <t>f585a7f3cb7ee04f9a319a60fa601ef15e86636fadaaa8c1380ac0f28f75c58a</t>
        </is>
      </c>
      <c r="BE409" s="24" t="inlineStr">
        <is>
          <t>soccer-poisson-dc-v1</t>
        </is>
      </c>
      <c r="BF409" s="24" t="inlineStr">
        <is>
          <t>1</t>
        </is>
      </c>
      <c r="BG409" s="24" t="inlineStr">
        <is>
          <t>f585a7f3cb7ee04f9a319a60fa601ef15e86636fadaaa8c1380ac0f28f75c58a</t>
        </is>
      </c>
      <c r="BH409" s="24" t="inlineStr">
        <is>
          <t>2026-08-29T16:02:47.519791Z</t>
        </is>
      </c>
      <c r="BI409" s="24" t="inlineStr">
        <is>
          <t>["same_event","same_team_same_day","same_league_same_day"]</t>
        </is>
      </c>
      <c r="BJ409" s="25" t="n"/>
      <c r="BK409" s="26" t="n">
        <v>-127</v>
      </c>
      <c r="BL409" s="27" t="n">
        <v>1.787402</v>
      </c>
      <c r="BM409" s="28" t="n">
        <v>0.5594710000000001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0.559471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6487c393b8ec47d2</t>
        </is>
      </c>
      <c r="B410" s="24" t="inlineStr">
        <is>
          <t>2026-08-29T16:04:47.832302Z</t>
        </is>
      </c>
      <c r="C410" s="24" t="inlineStr">
        <is>
          <t>2026-08-29T23:00Z</t>
        </is>
      </c>
      <c r="D410" s="24" t="inlineStr">
        <is>
          <t>401841209</t>
        </is>
      </c>
      <c r="E410" s="24" t="inlineStr">
        <is>
          <t>SOCCER</t>
        </is>
      </c>
      <c r="F410" s="24" t="inlineStr">
        <is>
          <t>Red Bull Bragantino</t>
        </is>
      </c>
      <c r="G410" s="24" t="inlineStr">
        <is>
          <t>São Paulo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127</v>
      </c>
      <c r="M410" s="27" t="n">
        <v>2.27</v>
      </c>
      <c r="N410" s="28" t="n">
        <v>0.440529</v>
      </c>
      <c r="O410" s="28" t="n">
        <v>0.456135</v>
      </c>
      <c r="P410" s="28" t="n">
        <v>0.2</v>
      </c>
      <c r="Q410" s="28" t="n">
        <v>0.015606</v>
      </c>
      <c r="R410" s="26" t="n">
        <v>0</v>
      </c>
      <c r="S410" s="29" t="n">
        <v>1</v>
      </c>
      <c r="T410" s="24" t="inlineStr">
        <is>
          <t>soccer-poisson-dc-v1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2</v>
      </c>
      <c r="Y410" s="25" t="n"/>
      <c r="Z410" s="26" t="n"/>
      <c r="AA410" s="28" t="n"/>
      <c r="AB410" s="28" t="n"/>
      <c r="AC410" s="30" t="n">
        <v>1.27</v>
      </c>
      <c r="AD410" s="24" t="inlineStr">
        <is>
          <t>2026-08-30T03:30:07.852480Z</t>
        </is>
      </c>
      <c r="AE410" s="31" t="inlineStr">
        <is>
          <t>Poisson-DC rates 1.64 (home) / 1.24 (away) from EWMA attack/defense strengths. Executable ask 0.4400 (atc-bra-sao-bra-2026-08-29-sao).</t>
        </is>
      </c>
      <c r="AF410" s="31" t="inlineStr">
        <is>
          <t>Research-only soccer score model; draw-aware, but not yet locked-holdout qualified.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Red Bull Bragantino</t>
        </is>
      </c>
      <c r="AQ410" s="24" t="inlineStr">
        <is>
          <t>Red Bull Bragantino</t>
        </is>
      </c>
      <c r="AR410" s="24" t="inlineStr">
        <is>
          <t>Red Bull Bragantino</t>
        </is>
      </c>
      <c r="AS410" s="24" t="inlineStr">
        <is>
          <t>São Paulo</t>
        </is>
      </c>
      <c r="AT410" s="24" t="inlineStr">
        <is>
          <t>São Paulo</t>
        </is>
      </c>
      <c r="AU410" s="24" t="inlineStr">
        <is>
          <t>São Paulo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f585a7f3cb7ee04f9a319a60fa601ef15e86636fadaaa8c1380ac0f28f75c58a</t>
        </is>
      </c>
      <c r="BB410" s="24" t="inlineStr">
        <is>
          <t>poisson_dixon_coles</t>
        </is>
      </c>
      <c r="BC410" s="24" t="inlineStr">
        <is>
          <t>soccer-poisson-dc-v1</t>
        </is>
      </c>
      <c r="BD410" s="24" t="inlineStr">
        <is>
          <t>f585a7f3cb7ee04f9a319a60fa601ef15e86636fadaaa8c1380ac0f28f75c58a</t>
        </is>
      </c>
      <c r="BE410" s="24" t="inlineStr">
        <is>
          <t>soccer-poisson-dc-v1</t>
        </is>
      </c>
      <c r="BF410" s="24" t="inlineStr">
        <is>
          <t>1</t>
        </is>
      </c>
      <c r="BG410" s="24" t="inlineStr">
        <is>
          <t>f585a7f3cb7ee04f9a319a60fa601ef15e86636fadaaa8c1380ac0f28f75c58a</t>
        </is>
      </c>
      <c r="BH410" s="24" t="inlineStr">
        <is>
          <t>2026-08-29T16:02:47.650016Z</t>
        </is>
      </c>
      <c r="BI410" s="24" t="inlineStr">
        <is>
          <t>["same_event","same_team_same_day","same_league_same_day"]</t>
        </is>
      </c>
      <c r="BJ410" s="25" t="n"/>
      <c r="BK410" s="26" t="n">
        <v>127</v>
      </c>
      <c r="BL410" s="27" t="n">
        <v>2.27</v>
      </c>
      <c r="BM410" s="28" t="n">
        <v>0.440529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0.440529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9626a408a4fe4443</t>
        </is>
      </c>
      <c r="B411" s="24" t="inlineStr">
        <is>
          <t>2026-08-29T16:04:47.832302Z</t>
        </is>
      </c>
      <c r="C411" s="24" t="inlineStr">
        <is>
          <t>2026-08-30T00:20Z</t>
        </is>
      </c>
      <c r="D411" s="24" t="inlineStr">
        <is>
          <t>401841212</t>
        </is>
      </c>
      <c r="E411" s="24" t="inlineStr">
        <is>
          <t>SOCCER</t>
        </is>
      </c>
      <c r="F411" s="24" t="inlineStr">
        <is>
          <t>Cruzeiro</t>
        </is>
      </c>
      <c r="G411" s="24" t="inlineStr">
        <is>
          <t>Vasco da Gama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108</v>
      </c>
      <c r="M411" s="27" t="n">
        <v>2.08</v>
      </c>
      <c r="N411" s="28" t="n">
        <v>0.480769</v>
      </c>
      <c r="O411" s="28" t="n">
        <v>0.456135</v>
      </c>
      <c r="P411" s="28" t="n">
        <v>0.2</v>
      </c>
      <c r="Q411" s="28" t="n">
        <v>-0.024634</v>
      </c>
      <c r="R411" s="26" t="n">
        <v>0</v>
      </c>
      <c r="S411" s="29" t="n">
        <v>1</v>
      </c>
      <c r="T411" s="24" t="inlineStr">
        <is>
          <t>soccer-poisson-dc-v1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3</v>
      </c>
      <c r="Y411" s="25" t="n"/>
      <c r="Z411" s="26" t="n"/>
      <c r="AA411" s="28" t="n"/>
      <c r="AB411" s="28" t="n"/>
      <c r="AC411" s="30" t="n">
        <v>1.08</v>
      </c>
      <c r="AD411" s="24" t="inlineStr">
        <is>
          <t>2026-08-30T03:30:09.376311Z</t>
        </is>
      </c>
      <c r="AE411" s="31" t="inlineStr">
        <is>
          <t>Poisson-DC rates 1.64 (home) / 1.24 (away) from EWMA attack/defense strengths. Executable ask 0.4800 (atc-bra-vas-cru-2026-08-29-vas).</t>
        </is>
      </c>
      <c r="AF411" s="31" t="inlineStr">
        <is>
          <t>Research-only soccer score model; draw-aware, but not yet locked-holdout qualified.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Cruzeiro</t>
        </is>
      </c>
      <c r="AQ411" s="24" t="inlineStr">
        <is>
          <t>Cruzeiro</t>
        </is>
      </c>
      <c r="AR411" s="24" t="inlineStr">
        <is>
          <t>Cruzeiro</t>
        </is>
      </c>
      <c r="AS411" s="24" t="inlineStr">
        <is>
          <t>Vasco da Gama</t>
        </is>
      </c>
      <c r="AT411" s="24" t="inlineStr">
        <is>
          <t>Vasco da Gama</t>
        </is>
      </c>
      <c r="AU411" s="24" t="inlineStr">
        <is>
          <t>Vasco da Gama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f585a7f3cb7ee04f9a319a60fa601ef15e86636fadaaa8c1380ac0f28f75c58a</t>
        </is>
      </c>
      <c r="BB411" s="24" t="inlineStr">
        <is>
          <t>poisson_dixon_coles</t>
        </is>
      </c>
      <c r="BC411" s="24" t="inlineStr">
        <is>
          <t>soccer-poisson-dc-v1</t>
        </is>
      </c>
      <c r="BD411" s="24" t="inlineStr">
        <is>
          <t>f585a7f3cb7ee04f9a319a60fa601ef15e86636fadaaa8c1380ac0f28f75c58a</t>
        </is>
      </c>
      <c r="BE411" s="24" t="inlineStr">
        <is>
          <t>soccer-poisson-dc-v1</t>
        </is>
      </c>
      <c r="BF411" s="24" t="inlineStr">
        <is>
          <t>1</t>
        </is>
      </c>
      <c r="BG411" s="24" t="inlineStr">
        <is>
          <t>f585a7f3cb7ee04f9a319a60fa601ef15e86636fadaaa8c1380ac0f28f75c58a</t>
        </is>
      </c>
      <c r="BH411" s="24" t="inlineStr">
        <is>
          <t>2026-08-29T16:02:47.687969Z</t>
        </is>
      </c>
      <c r="BI411" s="24" t="inlineStr">
        <is>
          <t>["same_event","same_team_same_day","same_league_same_day"]</t>
        </is>
      </c>
      <c r="BJ411" s="25" t="n"/>
      <c r="BK411" s="26" t="n">
        <v>108</v>
      </c>
      <c r="BL411" s="27" t="n">
        <v>2.08</v>
      </c>
      <c r="BM411" s="28" t="n">
        <v>0.480769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0.480769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ab5bb243e682453f</t>
        </is>
      </c>
      <c r="B412" s="24" t="inlineStr">
        <is>
          <t>2026-08-29T16:04:47.832302Z</t>
        </is>
      </c>
      <c r="C412" s="24" t="inlineStr">
        <is>
          <t>2026-08-29T21:30Z</t>
        </is>
      </c>
      <c r="D412" s="24" t="inlineStr">
        <is>
          <t>401860304</t>
        </is>
      </c>
      <c r="E412" s="24" t="inlineStr">
        <is>
          <t>SOCCER</t>
        </is>
      </c>
      <c r="F412" s="24" t="inlineStr">
        <is>
          <t>Cuiabá</t>
        </is>
      </c>
      <c r="G412" s="24" t="inlineStr">
        <is>
          <t>Botafogo-SP</t>
        </is>
      </c>
      <c r="H412" s="24" t="inlineStr">
        <is>
          <t>moneyline</t>
        </is>
      </c>
      <c r="I412" s="24" t="inlineStr">
        <is>
          <t>home</t>
        </is>
      </c>
      <c r="J412" s="25" t="n"/>
      <c r="K412" s="24" t="inlineStr">
        <is>
          <t>polymarket_us</t>
        </is>
      </c>
      <c r="L412" s="26" t="n">
        <v>117</v>
      </c>
      <c r="M412" s="27" t="n">
        <v>2.17</v>
      </c>
      <c r="N412" s="28" t="n">
        <v>0.460829</v>
      </c>
      <c r="O412" s="28" t="n">
        <v>0.456135</v>
      </c>
      <c r="P412" s="28" t="n">
        <v>0.2</v>
      </c>
      <c r="Q412" s="28" t="n">
        <v>-0.004694</v>
      </c>
      <c r="R412" s="26" t="n">
        <v>0</v>
      </c>
      <c r="S412" s="29" t="n">
        <v>1</v>
      </c>
      <c r="T412" s="24" t="inlineStr">
        <is>
          <t>soccer-poisson-dc-v1</t>
        </is>
      </c>
      <c r="U412" s="24" t="inlineStr">
        <is>
          <t>settled</t>
        </is>
      </c>
      <c r="V412" s="24" t="inlineStr">
        <is>
          <t>loss</t>
        </is>
      </c>
      <c r="W412" s="26" t="n">
        <v>2</v>
      </c>
      <c r="X412" s="26" t="n">
        <v>1</v>
      </c>
      <c r="Y412" s="25" t="n"/>
      <c r="Z412" s="26" t="n"/>
      <c r="AA412" s="28" t="n"/>
      <c r="AB412" s="28" t="n"/>
      <c r="AC412" s="30" t="n">
        <v>-1</v>
      </c>
      <c r="AD412" s="24" t="inlineStr">
        <is>
          <t>2026-08-30T03:30:11.013254Z</t>
        </is>
      </c>
      <c r="AE412" s="31" t="inlineStr">
        <is>
          <t>Poisson-DC rates 1.64 (home) / 1.24 (away) from EWMA attack/defense strengths. Executable ask 0.4600 (atc-brb-bot-cui-2026-08-29-bot).</t>
        </is>
      </c>
      <c r="AF412" s="31" t="inlineStr">
        <is>
          <t>Research-only soccer score model; draw-aware, but not yet locked-holdout qualified.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Cuiabá</t>
        </is>
      </c>
      <c r="AQ412" s="24" t="inlineStr">
        <is>
          <t>Cuiabá</t>
        </is>
      </c>
      <c r="AR412" s="24" t="inlineStr">
        <is>
          <t>Cuiabá</t>
        </is>
      </c>
      <c r="AS412" s="24" t="inlineStr">
        <is>
          <t>Botafogo-SP</t>
        </is>
      </c>
      <c r="AT412" s="24" t="inlineStr">
        <is>
          <t>Botafogo-SP</t>
        </is>
      </c>
      <c r="AU412" s="24" t="inlineStr">
        <is>
          <t>Botafogo-SP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f585a7f3cb7ee04f9a319a60fa601ef15e86636fadaaa8c1380ac0f28f75c58a</t>
        </is>
      </c>
      <c r="BB412" s="24" t="inlineStr">
        <is>
          <t>poisson_dixon_coles</t>
        </is>
      </c>
      <c r="BC412" s="24" t="inlineStr">
        <is>
          <t>soccer-poisson-dc-v1</t>
        </is>
      </c>
      <c r="BD412" s="24" t="inlineStr">
        <is>
          <t>f585a7f3cb7ee04f9a319a60fa601ef15e86636fadaaa8c1380ac0f28f75c58a</t>
        </is>
      </c>
      <c r="BE412" s="24" t="inlineStr">
        <is>
          <t>soccer-poisson-dc-v1</t>
        </is>
      </c>
      <c r="BF412" s="24" t="inlineStr">
        <is>
          <t>1</t>
        </is>
      </c>
      <c r="BG412" s="24" t="inlineStr">
        <is>
          <t>f585a7f3cb7ee04f9a319a60fa601ef15e86636fadaaa8c1380ac0f28f75c58a</t>
        </is>
      </c>
      <c r="BH412" s="24" t="inlineStr">
        <is>
          <t>2026-08-29T16:02:47.704657Z</t>
        </is>
      </c>
      <c r="BI412" s="24" t="inlineStr">
        <is>
          <t>["same_event","same_team_same_day","same_league_same_day"]</t>
        </is>
      </c>
      <c r="BJ412" s="25" t="n"/>
      <c r="BK412" s="26" t="n">
        <v>117</v>
      </c>
      <c r="BL412" s="27" t="n">
        <v>2.17</v>
      </c>
      <c r="BM412" s="28" t="n">
        <v>0.460829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0.460829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cc7e794517ef4f78</t>
        </is>
      </c>
      <c r="B413" s="24" t="inlineStr">
        <is>
          <t>2026-08-29T16:04:47.832302Z</t>
        </is>
      </c>
      <c r="C413" s="24" t="inlineStr">
        <is>
          <t>2026-08-29T20:00Z</t>
        </is>
      </c>
      <c r="D413" s="24" t="inlineStr">
        <is>
          <t>401841535</t>
        </is>
      </c>
      <c r="E413" s="24" t="inlineStr">
        <is>
          <t>SOCCER</t>
        </is>
      </c>
      <c r="F413" s="24" t="inlineStr">
        <is>
          <t>Gimnasia La Plata</t>
        </is>
      </c>
      <c r="G413" s="24" t="inlineStr">
        <is>
          <t>Rosario Central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-144</v>
      </c>
      <c r="M413" s="27" t="n">
        <v>1.694444</v>
      </c>
      <c r="N413" s="28" t="n">
        <v>0.590164</v>
      </c>
      <c r="O413" s="28" t="n">
        <v>0.456135</v>
      </c>
      <c r="P413" s="28" t="n">
        <v>0.2</v>
      </c>
      <c r="Q413" s="28" t="n">
        <v>-0.134029</v>
      </c>
      <c r="R413" s="26" t="n">
        <v>0</v>
      </c>
      <c r="S413" s="29" t="n">
        <v>1</v>
      </c>
      <c r="T413" s="24" t="inlineStr">
        <is>
          <t>soccer-poisson-dc-v1</t>
        </is>
      </c>
      <c r="U413" s="24" t="inlineStr">
        <is>
          <t>settled</t>
        </is>
      </c>
      <c r="V413" s="24" t="inlineStr">
        <is>
          <t>loss</t>
        </is>
      </c>
      <c r="W413" s="26" t="n">
        <v>2</v>
      </c>
      <c r="X413" s="26" t="n">
        <v>1</v>
      </c>
      <c r="Y413" s="25" t="n"/>
      <c r="Z413" s="26" t="n"/>
      <c r="AA413" s="28" t="n"/>
      <c r="AB413" s="28" t="n"/>
      <c r="AC413" s="30" t="n">
        <v>-1</v>
      </c>
      <c r="AD413" s="24" t="inlineStr">
        <is>
          <t>2026-08-30T03:30:12.677160Z</t>
        </is>
      </c>
      <c r="AE413" s="31" t="inlineStr">
        <is>
          <t>Poisson-DC rates 1.64 (home) / 1.24 (away) from EWMA attack/defense strengths. Executable ask 0.5900 (atc-lpa-ros-gim-2026-08-29-ros).</t>
        </is>
      </c>
      <c r="AF413" s="31" t="inlineStr">
        <is>
          <t>Research-only soccer score model; draw-aware, but not yet locked-holdout qualified.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Gimnasia La Plata</t>
        </is>
      </c>
      <c r="AQ413" s="24" t="inlineStr">
        <is>
          <t>Gimnasia La Plata</t>
        </is>
      </c>
      <c r="AR413" s="24" t="inlineStr">
        <is>
          <t>Gimnasia La Plata</t>
        </is>
      </c>
      <c r="AS413" s="24" t="inlineStr">
        <is>
          <t>Rosario Central</t>
        </is>
      </c>
      <c r="AT413" s="24" t="inlineStr">
        <is>
          <t>Rosario Central</t>
        </is>
      </c>
      <c r="AU413" s="24" t="inlineStr">
        <is>
          <t>Rosario Central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f585a7f3cb7ee04f9a319a60fa601ef15e86636fadaaa8c1380ac0f28f75c58a</t>
        </is>
      </c>
      <c r="BB413" s="24" t="inlineStr">
        <is>
          <t>poisson_dixon_coles</t>
        </is>
      </c>
      <c r="BC413" s="24" t="inlineStr">
        <is>
          <t>soccer-poisson-dc-v1</t>
        </is>
      </c>
      <c r="BD413" s="24" t="inlineStr">
        <is>
          <t>f585a7f3cb7ee04f9a319a60fa601ef15e86636fadaaa8c1380ac0f28f75c58a</t>
        </is>
      </c>
      <c r="BE413" s="24" t="inlineStr">
        <is>
          <t>soccer-poisson-dc-v1</t>
        </is>
      </c>
      <c r="BF413" s="24" t="inlineStr">
        <is>
          <t>1</t>
        </is>
      </c>
      <c r="BG413" s="24" t="inlineStr">
        <is>
          <t>f585a7f3cb7ee04f9a319a60fa601ef15e86636fadaaa8c1380ac0f28f75c58a</t>
        </is>
      </c>
      <c r="BH413" s="24" t="inlineStr">
        <is>
          <t>2026-08-29T16:02:47.743774Z</t>
        </is>
      </c>
      <c r="BI413" s="24" t="inlineStr">
        <is>
          <t>["same_event","same_team_same_day","same_league_same_day"]</t>
        </is>
      </c>
      <c r="BJ413" s="25" t="n"/>
      <c r="BK413" s="26" t="n">
        <v>-144</v>
      </c>
      <c r="BL413" s="27" t="n">
        <v>1.694444</v>
      </c>
      <c r="BM413" s="28" t="n">
        <v>0.590164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0.590164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fae91f52190649c0</t>
        </is>
      </c>
      <c r="B414" s="24" t="inlineStr">
        <is>
          <t>2026-08-29T16:04:47.832302Z</t>
        </is>
      </c>
      <c r="C414" s="24" t="inlineStr">
        <is>
          <t>2026-08-29T19:30Z</t>
        </is>
      </c>
      <c r="D414" s="24" t="inlineStr">
        <is>
          <t>401844099</t>
        </is>
      </c>
      <c r="E414" s="24" t="inlineStr">
        <is>
          <t>SOCCER</t>
        </is>
      </c>
      <c r="F414" s="24" t="inlineStr">
        <is>
          <t>Nueva Chicago</t>
        </is>
      </c>
      <c r="G414" s="24" t="inlineStr">
        <is>
          <t>Midland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-127</v>
      </c>
      <c r="M414" s="27" t="n">
        <v>1.787402</v>
      </c>
      <c r="N414" s="28" t="n">
        <v>0.5594710000000001</v>
      </c>
      <c r="O414" s="28" t="n">
        <v>0.440521</v>
      </c>
      <c r="P414" s="28" t="n">
        <v>0.2</v>
      </c>
      <c r="Q414" s="28" t="n">
        <v>-0.11895</v>
      </c>
      <c r="R414" s="26" t="n">
        <v>0</v>
      </c>
      <c r="S414" s="29" t="n">
        <v>1</v>
      </c>
      <c r="T414" s="24" t="inlineStr">
        <is>
          <t>soccer-poisson-dc-v1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2</v>
      </c>
      <c r="Y414" s="25" t="n"/>
      <c r="Z414" s="26" t="n"/>
      <c r="AA414" s="28" t="n"/>
      <c r="AB414" s="28" t="n"/>
      <c r="AC414" s="30" t="n">
        <v>0.7874</v>
      </c>
      <c r="AD414" s="24" t="inlineStr">
        <is>
          <t>2026-08-30T03:30:14.280721Z</t>
        </is>
      </c>
      <c r="AE414" s="31" t="inlineStr">
        <is>
          <t>Poisson-DC rates 1.46 (home) / 1.10 (away) from EWMA attack/defense strengths. Executable ask 0.5600 (atc-arg2-afm-chi-2026-08-29-afm).</t>
        </is>
      </c>
      <c r="AF414" s="31" t="inlineStr">
        <is>
          <t>Research-only soccer score model; draw-aware, but not yet locked-holdout qualified.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Nueva Chicago</t>
        </is>
      </c>
      <c r="AQ414" s="24" t="inlineStr">
        <is>
          <t>Nueva Chicago</t>
        </is>
      </c>
      <c r="AR414" s="24" t="inlineStr">
        <is>
          <t>Nueva Chicago</t>
        </is>
      </c>
      <c r="AS414" s="24" t="inlineStr">
        <is>
          <t>Midland</t>
        </is>
      </c>
      <c r="AT414" s="24" t="inlineStr">
        <is>
          <t>Midland</t>
        </is>
      </c>
      <c r="AU414" s="24" t="inlineStr">
        <is>
          <t>Midland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f585a7f3cb7ee04f9a319a60fa601ef15e86636fadaaa8c1380ac0f28f75c58a</t>
        </is>
      </c>
      <c r="BB414" s="24" t="inlineStr">
        <is>
          <t>poisson_dixon_coles</t>
        </is>
      </c>
      <c r="BC414" s="24" t="inlineStr">
        <is>
          <t>soccer-poisson-dc-v1</t>
        </is>
      </c>
      <c r="BD414" s="24" t="inlineStr">
        <is>
          <t>f585a7f3cb7ee04f9a319a60fa601ef15e86636fadaaa8c1380ac0f28f75c58a</t>
        </is>
      </c>
      <c r="BE414" s="24" t="inlineStr">
        <is>
          <t>soccer-poisson-dc-v1</t>
        </is>
      </c>
      <c r="BF414" s="24" t="inlineStr">
        <is>
          <t>1</t>
        </is>
      </c>
      <c r="BG414" s="24" t="inlineStr">
        <is>
          <t>f585a7f3cb7ee04f9a319a60fa601ef15e86636fadaaa8c1380ac0f28f75c58a</t>
        </is>
      </c>
      <c r="BH414" s="24" t="inlineStr">
        <is>
          <t>2026-08-29T16:02:47.831546Z</t>
        </is>
      </c>
      <c r="BI414" s="24" t="inlineStr">
        <is>
          <t>["same_event","same_team_same_day","same_league_same_day"]</t>
        </is>
      </c>
      <c r="BJ414" s="25" t="n"/>
      <c r="BK414" s="26" t="n">
        <v>-127</v>
      </c>
      <c r="BL414" s="27" t="n">
        <v>1.787402</v>
      </c>
      <c r="BM414" s="28" t="n">
        <v>0.5594710000000001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0.559471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475e68fc3ad84dba</t>
        </is>
      </c>
      <c r="B415" s="24" t="inlineStr">
        <is>
          <t>2026-08-29T16:04:47.832302Z</t>
        </is>
      </c>
      <c r="C415" s="24" t="inlineStr">
        <is>
          <t>2026-08-29T17:00Z</t>
        </is>
      </c>
      <c r="D415" s="24" t="inlineStr">
        <is>
          <t>401912470</t>
        </is>
      </c>
      <c r="E415" s="24" t="inlineStr">
        <is>
          <t>SOCCER</t>
        </is>
      </c>
      <c r="F415" s="24" t="inlineStr">
        <is>
          <t>Cerro</t>
        </is>
      </c>
      <c r="G415" s="24" t="inlineStr">
        <is>
          <t>Boston River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100</v>
      </c>
      <c r="M415" s="27" t="n">
        <v>2</v>
      </c>
      <c r="N415" s="28" t="n">
        <v>0.5</v>
      </c>
      <c r="O415" s="28" t="n">
        <v>0.378182</v>
      </c>
      <c r="P415" s="28" t="n">
        <v>0.2</v>
      </c>
      <c r="Q415" s="28" t="n">
        <v>-0.121818</v>
      </c>
      <c r="R415" s="26" t="n">
        <v>0</v>
      </c>
      <c r="S415" s="29" t="n">
        <v>1</v>
      </c>
      <c r="T415" s="24" t="inlineStr">
        <is>
          <t>soccer-poisson-dc-v1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1</v>
      </c>
      <c r="Y415" s="25" t="n"/>
      <c r="Z415" s="26" t="n"/>
      <c r="AA415" s="28" t="n"/>
      <c r="AB415" s="28" t="n"/>
      <c r="AC415" s="30" t="n">
        <v>-1</v>
      </c>
      <c r="AD415" s="24" t="inlineStr">
        <is>
          <t>2026-08-30T03:30:16.386996Z</t>
        </is>
      </c>
      <c r="AE415" s="31" t="inlineStr">
        <is>
          <t>Poisson-DC rates 1.46 (home) / 1.39 (away) from EWMA attack/defense strengths. Executable ask 0.5000 (atc-uru1-bri-cer-2026-08-29-bri).</t>
        </is>
      </c>
      <c r="AF415" s="31" t="inlineStr">
        <is>
          <t>Research-only soccer score model; draw-aware, but not yet locked-holdout qualified.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Cerro</t>
        </is>
      </c>
      <c r="AQ415" s="24" t="inlineStr">
        <is>
          <t>Cerro</t>
        </is>
      </c>
      <c r="AR415" s="24" t="inlineStr">
        <is>
          <t>Cerro</t>
        </is>
      </c>
      <c r="AS415" s="24" t="inlineStr">
        <is>
          <t>Boston River</t>
        </is>
      </c>
      <c r="AT415" s="24" t="inlineStr">
        <is>
          <t>Boston River</t>
        </is>
      </c>
      <c r="AU415" s="24" t="inlineStr">
        <is>
          <t>Boston River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f585a7f3cb7ee04f9a319a60fa601ef15e86636fadaaa8c1380ac0f28f75c58a</t>
        </is>
      </c>
      <c r="BB415" s="24" t="inlineStr">
        <is>
          <t>poisson_dixon_coles</t>
        </is>
      </c>
      <c r="BC415" s="24" t="inlineStr">
        <is>
          <t>soccer-poisson-dc-v1</t>
        </is>
      </c>
      <c r="BD415" s="24" t="inlineStr">
        <is>
          <t>f585a7f3cb7ee04f9a319a60fa601ef15e86636fadaaa8c1380ac0f28f75c58a</t>
        </is>
      </c>
      <c r="BE415" s="24" t="inlineStr">
        <is>
          <t>soccer-poisson-dc-v1</t>
        </is>
      </c>
      <c r="BF415" s="24" t="inlineStr">
        <is>
          <t>1</t>
        </is>
      </c>
      <c r="BG415" s="24" t="inlineStr">
        <is>
          <t>f585a7f3cb7ee04f9a319a60fa601ef15e86636fadaaa8c1380ac0f28f75c58a</t>
        </is>
      </c>
      <c r="BH415" s="24" t="inlineStr">
        <is>
          <t>2026-08-29T16:02:47.974883Z</t>
        </is>
      </c>
      <c r="BI415" s="24" t="inlineStr">
        <is>
          <t>["same_event","same_team_same_day","same_league_same_day"]</t>
        </is>
      </c>
      <c r="BJ415" s="25" t="n"/>
      <c r="BK415" s="26" t="n">
        <v>100</v>
      </c>
      <c r="BL415" s="27" t="n">
        <v>2</v>
      </c>
      <c r="BM415" s="28" t="n">
        <v>0.5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d57e887bbe4642fa</t>
        </is>
      </c>
      <c r="B416" s="24" t="inlineStr">
        <is>
          <t>2026-08-29T16:04:47.832302Z</t>
        </is>
      </c>
      <c r="C416" s="24" t="inlineStr">
        <is>
          <t>2026-08-29T17:00Z</t>
        </is>
      </c>
      <c r="D416" s="24" t="inlineStr">
        <is>
          <t>401912472</t>
        </is>
      </c>
      <c r="E416" s="24" t="inlineStr">
        <is>
          <t>SOCCER</t>
        </is>
      </c>
      <c r="F416" s="24" t="inlineStr">
        <is>
          <t>Deportivo Maldonado</t>
        </is>
      </c>
      <c r="G416" s="24" t="inlineStr">
        <is>
          <t>Juventud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186</v>
      </c>
      <c r="M416" s="27" t="n">
        <v>2.86</v>
      </c>
      <c r="N416" s="28" t="n">
        <v>0.34965</v>
      </c>
      <c r="O416" s="28" t="n">
        <v>0.473701</v>
      </c>
      <c r="P416" s="28" t="n">
        <v>0.2</v>
      </c>
      <c r="Q416" s="28" t="n">
        <v>0.124051</v>
      </c>
      <c r="R416" s="26" t="n">
        <v>0</v>
      </c>
      <c r="S416" s="29" t="n">
        <v>1</v>
      </c>
      <c r="T416" s="24" t="inlineStr">
        <is>
          <t>soccer-poisson-dc-v1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2</v>
      </c>
      <c r="Y416" s="25" t="n"/>
      <c r="Z416" s="26" t="n"/>
      <c r="AA416" s="28" t="n"/>
      <c r="AB416" s="28" t="n"/>
      <c r="AC416" s="30" t="n">
        <v>1.86</v>
      </c>
      <c r="AD416" s="24" t="inlineStr">
        <is>
          <t>2026-08-30T03:30:17.914542Z</t>
        </is>
      </c>
      <c r="AE416" s="31" t="inlineStr">
        <is>
          <t>Poisson-DC rates 1.59 (home) / 1.10 (away) from EWMA attack/defense strengths. Executable ask 0.3500 (atc-uru1-juv-mal-2026-08-29-juv).</t>
        </is>
      </c>
      <c r="AF416" s="31" t="inlineStr">
        <is>
          <t>Research-only soccer score model; draw-aware, but not yet locked-holdout qualified.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Deportivo Maldonado</t>
        </is>
      </c>
      <c r="AQ416" s="24" t="inlineStr">
        <is>
          <t>Deportivo Maldonado</t>
        </is>
      </c>
      <c r="AR416" s="24" t="inlineStr">
        <is>
          <t>Deportivo Maldonado</t>
        </is>
      </c>
      <c r="AS416" s="24" t="inlineStr">
        <is>
          <t>Juventud</t>
        </is>
      </c>
      <c r="AT416" s="24" t="inlineStr">
        <is>
          <t>Juventud</t>
        </is>
      </c>
      <c r="AU416" s="24" t="inlineStr">
        <is>
          <t>Juventud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f585a7f3cb7ee04f9a319a60fa601ef15e86636fadaaa8c1380ac0f28f75c58a</t>
        </is>
      </c>
      <c r="BB416" s="24" t="inlineStr">
        <is>
          <t>poisson_dixon_coles</t>
        </is>
      </c>
      <c r="BC416" s="24" t="inlineStr">
        <is>
          <t>soccer-poisson-dc-v1</t>
        </is>
      </c>
      <c r="BD416" s="24" t="inlineStr">
        <is>
          <t>f585a7f3cb7ee04f9a319a60fa601ef15e86636fadaaa8c1380ac0f28f75c58a</t>
        </is>
      </c>
      <c r="BE416" s="24" t="inlineStr">
        <is>
          <t>soccer-poisson-dc-v1</t>
        </is>
      </c>
      <c r="BF416" s="24" t="inlineStr">
        <is>
          <t>1</t>
        </is>
      </c>
      <c r="BG416" s="24" t="inlineStr">
        <is>
          <t>f585a7f3cb7ee04f9a319a60fa601ef15e86636fadaaa8c1380ac0f28f75c58a</t>
        </is>
      </c>
      <c r="BH416" s="24" t="inlineStr">
        <is>
          <t>2026-08-29T16:02:47.955247Z</t>
        </is>
      </c>
      <c r="BI416" s="24" t="inlineStr">
        <is>
          <t>["same_event","same_team_same_day","same_league_same_day"]</t>
        </is>
      </c>
      <c r="BJ416" s="25" t="n"/>
      <c r="BK416" s="26" t="n">
        <v>186</v>
      </c>
      <c r="BL416" s="27" t="n">
        <v>2.86</v>
      </c>
      <c r="BM416" s="28" t="n">
        <v>0.34965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0.34965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d3fa58b1dc5f4ebd</t>
        </is>
      </c>
      <c r="B417" s="24" t="inlineStr">
        <is>
          <t>2026-08-29T16:04:47.832302Z</t>
        </is>
      </c>
      <c r="C417" s="24" t="inlineStr">
        <is>
          <t>2026-08-29T20:00Z</t>
        </is>
      </c>
      <c r="D417" s="24" t="inlineStr">
        <is>
          <t>401912469</t>
        </is>
      </c>
      <c r="E417" s="24" t="inlineStr">
        <is>
          <t>SOCCER</t>
        </is>
      </c>
      <c r="F417" s="24" t="inlineStr">
        <is>
          <t>Montevideo City Torque</t>
        </is>
      </c>
      <c r="G417" s="24" t="inlineStr">
        <is>
          <t>Defensor Sporting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270</v>
      </c>
      <c r="M417" s="27" t="n">
        <v>3.7</v>
      </c>
      <c r="N417" s="28" t="n">
        <v>0.27027</v>
      </c>
      <c r="O417" s="28" t="n">
        <v>0.473701</v>
      </c>
      <c r="P417" s="28" t="n">
        <v>0.2</v>
      </c>
      <c r="Q417" s="28" t="n">
        <v>0.203431</v>
      </c>
      <c r="R417" s="26" t="n">
        <v>32</v>
      </c>
      <c r="S417" s="29" t="n">
        <v>1</v>
      </c>
      <c r="T417" s="24" t="inlineStr">
        <is>
          <t>soccer-poisson-dc-v1</t>
        </is>
      </c>
      <c r="U417" s="24" t="inlineStr">
        <is>
          <t>settled</t>
        </is>
      </c>
      <c r="V417" s="24" t="inlineStr">
        <is>
          <t>loss</t>
        </is>
      </c>
      <c r="W417" s="26" t="n">
        <v>3</v>
      </c>
      <c r="X417" s="26" t="n">
        <v>1</v>
      </c>
      <c r="Y417" s="25" t="n"/>
      <c r="Z417" s="26" t="n"/>
      <c r="AA417" s="28" t="n"/>
      <c r="AB417" s="28" t="n"/>
      <c r="AC417" s="30" t="n">
        <v>-1</v>
      </c>
      <c r="AD417" s="24" t="inlineStr">
        <is>
          <t>2026-08-30T03:30:19.599473Z</t>
        </is>
      </c>
      <c r="AE417" s="31" t="inlineStr">
        <is>
          <t>Poisson-DC rates 1.59 (home) / 1.10 (away) from EWMA attack/defense strengths. Executable ask 0.2700 (atc-uru1-def-tor-2026-08-29-def).</t>
        </is>
      </c>
      <c r="AF417" s="31" t="inlineStr">
        <is>
          <t>Research-only soccer score model; draw-aware, but not yet locked-holdout qualified.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Montevideo City Torque</t>
        </is>
      </c>
      <c r="AQ417" s="24" t="inlineStr">
        <is>
          <t>Montevideo City Torque</t>
        </is>
      </c>
      <c r="AR417" s="24" t="inlineStr">
        <is>
          <t>Montevideo City Torque</t>
        </is>
      </c>
      <c r="AS417" s="24" t="inlineStr">
        <is>
          <t>Defensor Sporting</t>
        </is>
      </c>
      <c r="AT417" s="24" t="inlineStr">
        <is>
          <t>Defensor Sporting</t>
        </is>
      </c>
      <c r="AU417" s="24" t="inlineStr">
        <is>
          <t>Defensor Sporting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f585a7f3cb7ee04f9a319a60fa601ef15e86636fadaaa8c1380ac0f28f75c58a</t>
        </is>
      </c>
      <c r="BB417" s="24" t="inlineStr">
        <is>
          <t>poisson_dixon_coles</t>
        </is>
      </c>
      <c r="BC417" s="24" t="inlineStr">
        <is>
          <t>soccer-poisson-dc-v1</t>
        </is>
      </c>
      <c r="BD417" s="24" t="inlineStr">
        <is>
          <t>f585a7f3cb7ee04f9a319a60fa601ef15e86636fadaaa8c1380ac0f28f75c58a</t>
        </is>
      </c>
      <c r="BE417" s="24" t="inlineStr">
        <is>
          <t>soccer-poisson-dc-v1</t>
        </is>
      </c>
      <c r="BF417" s="24" t="inlineStr">
        <is>
          <t>1</t>
        </is>
      </c>
      <c r="BG417" s="24" t="inlineStr">
        <is>
          <t>f585a7f3cb7ee04f9a319a60fa601ef15e86636fadaaa8c1380ac0f28f75c58a</t>
        </is>
      </c>
      <c r="BH417" s="24" t="inlineStr">
        <is>
          <t>2026-08-29T16:02:47.982900Z</t>
        </is>
      </c>
      <c r="BI417" s="24" t="inlineStr">
        <is>
          <t>["same_event","same_team_same_day","same_league_same_day"]</t>
        </is>
      </c>
      <c r="BJ417" s="25" t="n"/>
      <c r="BK417" s="26" t="n">
        <v>270</v>
      </c>
      <c r="BL417" s="27" t="n">
        <v>3.7</v>
      </c>
      <c r="BM417" s="28" t="n">
        <v>0.27027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0.27027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594e23e2c70741c2</t>
        </is>
      </c>
      <c r="B418" s="24" t="inlineStr">
        <is>
          <t>2026-08-29T16:04:47.832302Z</t>
        </is>
      </c>
      <c r="C418" s="24" t="inlineStr">
        <is>
          <t>2026-08-30T00:00Z</t>
        </is>
      </c>
      <c r="D418" s="24" t="inlineStr">
        <is>
          <t>401859670</t>
        </is>
      </c>
      <c r="E418" s="24" t="inlineStr">
        <is>
          <t>SOCCER</t>
        </is>
      </c>
      <c r="F418" s="24" t="inlineStr">
        <is>
          <t>Barcelona SC</t>
        </is>
      </c>
      <c r="G418" s="24" t="inlineStr">
        <is>
          <t>Manta F.C.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104</v>
      </c>
      <c r="M418" s="27" t="n">
        <v>2.04</v>
      </c>
      <c r="N418" s="28" t="n">
        <v>0.490196</v>
      </c>
      <c r="O418" s="28" t="n">
        <v>0.444128</v>
      </c>
      <c r="P418" s="28" t="n">
        <v>0.2</v>
      </c>
      <c r="Q418" s="28" t="n">
        <v>-0.046068</v>
      </c>
      <c r="R418" s="26" t="n">
        <v>0</v>
      </c>
      <c r="S418" s="29" t="n">
        <v>1</v>
      </c>
      <c r="T418" s="24" t="inlineStr">
        <is>
          <t>soccer-poisson-dc-v1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2026-08-30T03:30:21.363436Z</t>
        </is>
      </c>
      <c r="AE418" s="31" t="inlineStr">
        <is>
          <t>Poisson-DC rates 1.42 (home) / 1.75 (away) from EWMA attack/defense strengths. Executable ask 0.4900 (atc-ecu1-man-bsc-2026-08-29-bsc).</t>
        </is>
      </c>
      <c r="AF418" s="31" t="inlineStr">
        <is>
          <t>Research-only soccer score model; draw-aware, but not yet locked-holdout qualified.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Barcelona SC</t>
        </is>
      </c>
      <c r="AQ418" s="24" t="inlineStr">
        <is>
          <t>Barcelona SC</t>
        </is>
      </c>
      <c r="AR418" s="24" t="inlineStr">
        <is>
          <t>Barcelona SC</t>
        </is>
      </c>
      <c r="AS418" s="24" t="inlineStr">
        <is>
          <t>Manta F.C.</t>
        </is>
      </c>
      <c r="AT418" s="24" t="inlineStr">
        <is>
          <t>Manta F.C.</t>
        </is>
      </c>
      <c r="AU418" s="24" t="inlineStr">
        <is>
          <t>Manta F.C.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f585a7f3cb7ee04f9a319a60fa601ef15e86636fadaaa8c1380ac0f28f75c58a</t>
        </is>
      </c>
      <c r="BB418" s="24" t="inlineStr">
        <is>
          <t>poisson_dixon_coles</t>
        </is>
      </c>
      <c r="BC418" s="24" t="inlineStr">
        <is>
          <t>soccer-poisson-dc-v1</t>
        </is>
      </c>
      <c r="BD418" s="24" t="inlineStr">
        <is>
          <t>f585a7f3cb7ee04f9a319a60fa601ef15e86636fadaaa8c1380ac0f28f75c58a</t>
        </is>
      </c>
      <c r="BE418" s="24" t="inlineStr">
        <is>
          <t>soccer-poisson-dc-v1</t>
        </is>
      </c>
      <c r="BF418" s="24" t="inlineStr">
        <is>
          <t>1</t>
        </is>
      </c>
      <c r="BG418" s="24" t="inlineStr">
        <is>
          <t>f585a7f3cb7ee04f9a319a60fa601ef15e86636fadaaa8c1380ac0f28f75c58a</t>
        </is>
      </c>
      <c r="BH418" s="24" t="inlineStr">
        <is>
          <t>2026-08-29T16:02:51.962661Z</t>
        </is>
      </c>
      <c r="BI418" s="24" t="inlineStr">
        <is>
          <t>["same_event","same_team_same_day","same_league_same_day"]</t>
        </is>
      </c>
      <c r="BJ418" s="25" t="n"/>
      <c r="BK418" s="26" t="n">
        <v>104</v>
      </c>
      <c r="BL418" s="27" t="n">
        <v>2.04</v>
      </c>
      <c r="BM418" s="28" t="n">
        <v>0.490196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0.490196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3a46b2a3fe1e47ac</t>
        </is>
      </c>
      <c r="B419" s="24" t="inlineStr">
        <is>
          <t>2026-08-29T16:04:47.832302Z</t>
        </is>
      </c>
      <c r="C419" s="24" t="inlineStr">
        <is>
          <t>2026-08-29T18:00Z</t>
        </is>
      </c>
      <c r="D419" s="24" t="inlineStr">
        <is>
          <t>401886222</t>
        </is>
      </c>
      <c r="E419" s="24" t="inlineStr">
        <is>
          <t>SOCCER</t>
        </is>
      </c>
      <c r="F419" s="24" t="inlineStr">
        <is>
          <t>Juan Pablo II</t>
        </is>
      </c>
      <c r="G419" s="24" t="inlineStr">
        <is>
          <t>Los Chankas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-138</v>
      </c>
      <c r="M419" s="27" t="n">
        <v>1.724638</v>
      </c>
      <c r="N419" s="28" t="n">
        <v>0.579832</v>
      </c>
      <c r="O419" s="28" t="n">
        <v>0.456135</v>
      </c>
      <c r="P419" s="28" t="n">
        <v>0.2</v>
      </c>
      <c r="Q419" s="28" t="n">
        <v>-0.123697</v>
      </c>
      <c r="R419" s="26" t="n">
        <v>0</v>
      </c>
      <c r="S419" s="29" t="n">
        <v>1</v>
      </c>
      <c r="T419" s="24" t="inlineStr">
        <is>
          <t>soccer-poisson-dc-v1</t>
        </is>
      </c>
      <c r="U419" s="24" t="inlineStr">
        <is>
          <t>settled</t>
        </is>
      </c>
      <c r="V419" s="24" t="inlineStr">
        <is>
          <t>loss</t>
        </is>
      </c>
      <c r="W419" s="26" t="n">
        <v>4</v>
      </c>
      <c r="X419" s="26" t="n">
        <v>3</v>
      </c>
      <c r="Y419" s="25" t="n"/>
      <c r="Z419" s="26" t="n"/>
      <c r="AA419" s="28" t="n"/>
      <c r="AB419" s="28" t="n"/>
      <c r="AC419" s="30" t="n">
        <v>-1</v>
      </c>
      <c r="AD419" s="24" t="inlineStr">
        <is>
          <t>2026-08-30T03:30:22.987462Z</t>
        </is>
      </c>
      <c r="AE419" s="31" t="inlineStr">
        <is>
          <t>Poisson-DC rates 1.64 (home) / 1.24 (away) from EWMA attack/defense strengths. Executable ask 0.5800 (atc-pl1-cha-jpc-2026-08-29-cha).</t>
        </is>
      </c>
      <c r="AF419" s="31" t="inlineStr">
        <is>
          <t>Research-only soccer score model; draw-aware, but not yet locked-holdout qualified.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Juan Pablo II</t>
        </is>
      </c>
      <c r="AQ419" s="24" t="inlineStr">
        <is>
          <t>Juan Pablo II</t>
        </is>
      </c>
      <c r="AR419" s="24" t="inlineStr">
        <is>
          <t>Juan Pablo II</t>
        </is>
      </c>
      <c r="AS419" s="24" t="inlineStr">
        <is>
          <t>Los Chankas</t>
        </is>
      </c>
      <c r="AT419" s="24" t="inlineStr">
        <is>
          <t>Los Chankas</t>
        </is>
      </c>
      <c r="AU419" s="24" t="inlineStr">
        <is>
          <t>Los Chankas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f585a7f3cb7ee04f9a319a60fa601ef15e86636fadaaa8c1380ac0f28f75c58a</t>
        </is>
      </c>
      <c r="BB419" s="24" t="inlineStr">
        <is>
          <t>poisson_dixon_coles</t>
        </is>
      </c>
      <c r="BC419" s="24" t="inlineStr">
        <is>
          <t>soccer-poisson-dc-v1</t>
        </is>
      </c>
      <c r="BD419" s="24" t="inlineStr">
        <is>
          <t>f585a7f3cb7ee04f9a319a60fa601ef15e86636fadaaa8c1380ac0f28f75c58a</t>
        </is>
      </c>
      <c r="BE419" s="24" t="inlineStr">
        <is>
          <t>soccer-poisson-dc-v1</t>
        </is>
      </c>
      <c r="BF419" s="24" t="inlineStr">
        <is>
          <t>1</t>
        </is>
      </c>
      <c r="BG419" s="24" t="inlineStr">
        <is>
          <t>f585a7f3cb7ee04f9a319a60fa601ef15e86636fadaaa8c1380ac0f28f75c58a</t>
        </is>
      </c>
      <c r="BH419" s="24" t="inlineStr">
        <is>
          <t>2026-08-29T16:02:51.996978Z</t>
        </is>
      </c>
      <c r="BI419" s="24" t="inlineStr">
        <is>
          <t>["same_event","same_team_same_day","same_league_same_day"]</t>
        </is>
      </c>
      <c r="BJ419" s="25" t="n"/>
      <c r="BK419" s="26" t="n">
        <v>-138</v>
      </c>
      <c r="BL419" s="27" t="n">
        <v>1.724638</v>
      </c>
      <c r="BM419" s="28" t="n">
        <v>0.579832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0.579832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31c2ccdea0e944c9</t>
        </is>
      </c>
      <c r="B420" s="24" t="inlineStr">
        <is>
          <t>2026-08-30T16:06:27.993415Z</t>
        </is>
      </c>
      <c r="C420" s="24" t="inlineStr">
        <is>
          <t>2026-08-30T17:30Z</t>
        </is>
      </c>
      <c r="D420" s="24" t="inlineStr">
        <is>
          <t>401882904</t>
        </is>
      </c>
      <c r="E420" s="24" t="inlineStr">
        <is>
          <t>SOCCER</t>
        </is>
      </c>
      <c r="F420" s="24" t="inlineStr">
        <is>
          <t>Valencia</t>
        </is>
      </c>
      <c r="G420" s="24" t="inlineStr">
        <is>
          <t>Deportivo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163</v>
      </c>
      <c r="M420" s="27" t="n">
        <v>2.63</v>
      </c>
      <c r="N420" s="28" t="n">
        <v>0.380228</v>
      </c>
      <c r="O420" s="28" t="n">
        <v>0.437699</v>
      </c>
      <c r="P420" s="28" t="n">
        <v>0.2</v>
      </c>
      <c r="Q420" s="28" t="n">
        <v>0.057471</v>
      </c>
      <c r="R420" s="26" t="n">
        <v>0</v>
      </c>
      <c r="S420" s="29" t="n">
        <v>1</v>
      </c>
      <c r="T420" s="24" t="inlineStr">
        <is>
          <t>soccer-poisson-dc-v1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3</v>
      </c>
      <c r="Y420" s="25" t="n"/>
      <c r="Z420" s="26" t="n">
        <v>163</v>
      </c>
      <c r="AA420" s="28" t="n">
        <v>0.38</v>
      </c>
      <c r="AB420" s="28" t="n">
        <v>-0.000228</v>
      </c>
      <c r="AC420" s="30" t="n">
        <v>1.63</v>
      </c>
      <c r="AD420" s="24" t="inlineStr">
        <is>
          <t>2026-08-31T04:36:23.557010Z</t>
        </is>
      </c>
      <c r="AE420" s="31" t="inlineStr">
        <is>
          <t>Poisson-DC rates 1.57 (home) / 1.24 (away) from EWMA attack/defense strengths. Executable ask 0.3800 (atc-lal-dep-val-2026-08-30-dep).</t>
        </is>
      </c>
      <c r="AF420" s="31" t="inlineStr">
        <is>
          <t>Research-only soccer score model; draw-aware, but not yet locked-holdout qualified.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PAPER_CALL_MODEL_UNVALIDATED</t>
        </is>
      </c>
      <c r="AP420" s="24" t="inlineStr">
        <is>
          <t>Valencia</t>
        </is>
      </c>
      <c r="AQ420" s="24" t="inlineStr">
        <is>
          <t>Valencia</t>
        </is>
      </c>
      <c r="AR420" s="24" t="inlineStr">
        <is>
          <t>Valencia</t>
        </is>
      </c>
      <c r="AS420" s="24" t="inlineStr">
        <is>
          <t>Deportivo</t>
        </is>
      </c>
      <c r="AT420" s="24" t="inlineStr">
        <is>
          <t>Deportivo</t>
        </is>
      </c>
      <c r="AU420" s="24" t="inlineStr">
        <is>
          <t>Deportivo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f585a7f3cb7ee04f9a319a60fa601ef15e86636fadaaa8c1380ac0f28f75c58a</t>
        </is>
      </c>
      <c r="BB420" s="24" t="inlineStr">
        <is>
          <t>poisson_dixon_coles</t>
        </is>
      </c>
      <c r="BC420" s="24" t="inlineStr">
        <is>
          <t>soccer-poisson-dc-v1</t>
        </is>
      </c>
      <c r="BD420" s="24" t="inlineStr">
        <is>
          <t>f585a7f3cb7ee04f9a319a60fa601ef15e86636fadaaa8c1380ac0f28f75c58a</t>
        </is>
      </c>
      <c r="BE420" s="24" t="inlineStr">
        <is>
          <t>soccer-poisson-dc-v1</t>
        </is>
      </c>
      <c r="BF420" s="24" t="inlineStr">
        <is>
          <t>1</t>
        </is>
      </c>
      <c r="BG420" s="24" t="inlineStr">
        <is>
          <t>f585a7f3cb7ee04f9a319a60fa601ef15e86636fadaaa8c1380ac0f28f75c58a</t>
        </is>
      </c>
      <c r="BH420" s="24" t="inlineStr">
        <is>
          <t>2026-08-30T16:04:53.804746Z</t>
        </is>
      </c>
      <c r="BI420" s="24" t="inlineStr">
        <is>
          <t>["same_event","same_team_same_day","same_league_same_day"]</t>
        </is>
      </c>
      <c r="BJ420" s="25" t="n"/>
      <c r="BK420" s="26" t="n">
        <v>163</v>
      </c>
      <c r="BL420" s="27" t="n">
        <v>2.63</v>
      </c>
      <c r="BM420" s="28" t="n">
        <v>0.380228</v>
      </c>
      <c r="BN420" s="28" t="n"/>
      <c r="BO420" s="28" t="n"/>
      <c r="BP420" s="25" t="n"/>
      <c r="BQ420" s="27" t="n">
        <v>2.63</v>
      </c>
      <c r="BR420" s="28" t="n">
        <v>0.38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0.380228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9c551f84468c42f5</t>
        </is>
      </c>
      <c r="B421" s="24" t="inlineStr">
        <is>
          <t>2026-08-30T16:06:27.993415Z</t>
        </is>
      </c>
      <c r="C421" s="24" t="inlineStr">
        <is>
          <t>2026-08-30T19:30Z</t>
        </is>
      </c>
      <c r="D421" s="24" t="inlineStr">
        <is>
          <t>401882905</t>
        </is>
      </c>
      <c r="E421" s="24" t="inlineStr">
        <is>
          <t>SOCCER</t>
        </is>
      </c>
      <c r="F421" s="24" t="inlineStr">
        <is>
          <t>Athletic Club</t>
        </is>
      </c>
      <c r="G421" s="24" t="inlineStr">
        <is>
          <t>Celta Vigo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186</v>
      </c>
      <c r="M421" s="27" t="n">
        <v>2.86</v>
      </c>
      <c r="N421" s="28" t="n">
        <v>0.34965</v>
      </c>
      <c r="O421" s="28" t="n">
        <v>0.578739</v>
      </c>
      <c r="P421" s="28" t="n">
        <v>0.04</v>
      </c>
      <c r="Q421" s="28" t="n">
        <v>0.229089</v>
      </c>
      <c r="R421" s="26" t="n">
        <v>100</v>
      </c>
      <c r="S421" s="29" t="n">
        <v>2</v>
      </c>
      <c r="T421" s="24" t="inlineStr">
        <is>
          <t>soccer-poisson-dc-v1</t>
        </is>
      </c>
      <c r="U421" s="24" t="inlineStr">
        <is>
          <t>settled</t>
        </is>
      </c>
      <c r="V421" s="24" t="inlineStr">
        <is>
          <t>loss</t>
        </is>
      </c>
      <c r="W421" s="26" t="n">
        <v>2</v>
      </c>
      <c r="X421" s="26" t="n">
        <v>0</v>
      </c>
      <c r="Y421" s="25" t="n"/>
      <c r="Z421" s="26" t="n">
        <v>186</v>
      </c>
      <c r="AA421" s="28" t="n">
        <v>0.35</v>
      </c>
      <c r="AB421" s="28" t="n">
        <v>0.00035</v>
      </c>
      <c r="AC421" s="30" t="n">
        <v>-2</v>
      </c>
      <c r="AD421" s="24" t="inlineStr">
        <is>
          <t>2026-08-31T04:36:25.277628Z</t>
        </is>
      </c>
      <c r="AE421" s="31" t="inlineStr">
        <is>
          <t>Poisson-DC rates 1.96 (home) / 1.03 (away) from EWMA attack/defense strengths. Executable ask 0.3500 (atc-lal-cel-ath-2026-08-30-cel).</t>
        </is>
      </c>
      <c r="AF421" s="31" t="inlineStr">
        <is>
          <t>Research-only soccer score model; draw-aware, but not yet locked-holdout qualified.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Athletic Club</t>
        </is>
      </c>
      <c r="AQ421" s="24" t="inlineStr">
        <is>
          <t>Athletic Club</t>
        </is>
      </c>
      <c r="AR421" s="24" t="inlineStr">
        <is>
          <t>Athletic Club</t>
        </is>
      </c>
      <c r="AS421" s="24" t="inlineStr">
        <is>
          <t>Celta Vigo</t>
        </is>
      </c>
      <c r="AT421" s="24" t="inlineStr">
        <is>
          <t>Celta Vigo</t>
        </is>
      </c>
      <c r="AU421" s="24" t="inlineStr">
        <is>
          <t>Celta Vigo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f585a7f3cb7ee04f9a319a60fa601ef15e86636fadaaa8c1380ac0f28f75c58a</t>
        </is>
      </c>
      <c r="BB421" s="24" t="inlineStr">
        <is>
          <t>poisson_dixon_coles</t>
        </is>
      </c>
      <c r="BC421" s="24" t="inlineStr">
        <is>
          <t>soccer-poisson-dc-v1</t>
        </is>
      </c>
      <c r="BD421" s="24" t="inlineStr">
        <is>
          <t>f585a7f3cb7ee04f9a319a60fa601ef15e86636fadaaa8c1380ac0f28f75c58a</t>
        </is>
      </c>
      <c r="BE421" s="24" t="inlineStr">
        <is>
          <t>soccer-poisson-dc-v1</t>
        </is>
      </c>
      <c r="BF421" s="24" t="inlineStr">
        <is>
          <t>1</t>
        </is>
      </c>
      <c r="BG421" s="24" t="inlineStr">
        <is>
          <t>f585a7f3cb7ee04f9a319a60fa601ef15e86636fadaaa8c1380ac0f28f75c58a</t>
        </is>
      </c>
      <c r="BH421" s="24" t="inlineStr">
        <is>
          <t>2026-08-30T16:04:53.930733Z</t>
        </is>
      </c>
      <c r="BI421" s="24" t="inlineStr">
        <is>
          <t>["same_event","same_team_same_day","same_league_same_day"]</t>
        </is>
      </c>
      <c r="BJ421" s="25" t="n"/>
      <c r="BK421" s="26" t="n">
        <v>186</v>
      </c>
      <c r="BL421" s="27" t="n">
        <v>2.86</v>
      </c>
      <c r="BM421" s="28" t="n">
        <v>0.34965</v>
      </c>
      <c r="BN421" s="28" t="n"/>
      <c r="BO421" s="28" t="n"/>
      <c r="BP421" s="25" t="n"/>
      <c r="BQ421" s="27" t="n">
        <v>2.86</v>
      </c>
      <c r="BR421" s="28" t="n">
        <v>0.35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0.34965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29ca9069047949c6</t>
        </is>
      </c>
      <c r="B422" s="24" t="inlineStr">
        <is>
          <t>2026-08-30T16:06:27.993415Z</t>
        </is>
      </c>
      <c r="C422" s="24" t="inlineStr">
        <is>
          <t>2026-08-30T16:30Z</t>
        </is>
      </c>
      <c r="D422" s="24" t="inlineStr">
        <is>
          <t>401874755</t>
        </is>
      </c>
      <c r="E422" s="24" t="inlineStr">
        <is>
          <t>SOCCER</t>
        </is>
      </c>
      <c r="F422" s="24" t="inlineStr">
        <is>
          <t>Como</t>
        </is>
      </c>
      <c r="G422" s="24" t="inlineStr">
        <is>
          <t>Napoli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233</v>
      </c>
      <c r="M422" s="27" t="n">
        <v>3.33</v>
      </c>
      <c r="N422" s="28" t="n">
        <v>0.3003</v>
      </c>
      <c r="O422" s="28" t="n">
        <v>0.354823</v>
      </c>
      <c r="P422" s="28" t="n">
        <v>0.04</v>
      </c>
      <c r="Q422" s="28" t="n">
        <v>0.054523</v>
      </c>
      <c r="R422" s="26" t="n">
        <v>53</v>
      </c>
      <c r="S422" s="29" t="n">
        <v>1</v>
      </c>
      <c r="T422" s="24" t="inlineStr">
        <is>
          <t>soccer-poisson-dc-v1</t>
        </is>
      </c>
      <c r="U422" s="24" t="inlineStr">
        <is>
          <t>settled</t>
        </is>
      </c>
      <c r="V422" s="24" t="inlineStr">
        <is>
          <t>win</t>
        </is>
      </c>
      <c r="W422" s="26" t="n">
        <v>2</v>
      </c>
      <c r="X422" s="26" t="n">
        <v>1</v>
      </c>
      <c r="Y422" s="25" t="n"/>
      <c r="Z422" s="26" t="n">
        <v>-245</v>
      </c>
      <c r="AA422" s="28" t="n">
        <v>0.71</v>
      </c>
      <c r="AB422" s="28" t="n">
        <v>0.4097</v>
      </c>
      <c r="AC422" s="30" t="n">
        <v>2.33</v>
      </c>
      <c r="AD422" s="24" t="inlineStr">
        <is>
          <t>2026-08-31T04:36:27.027776Z</t>
        </is>
      </c>
      <c r="AE422" s="31" t="inlineStr">
        <is>
          <t>Poisson-DC rates 1.04 (home) / 1.10 (away) from EWMA attack/defense strengths. Executable ask 0.3000 (atc-sea-nap-com-2026-08-30-com).</t>
        </is>
      </c>
      <c r="AF422" s="31" t="inlineStr">
        <is>
          <t>Research-only soccer score model; draw-aware, but not yet locked-holdout qualified.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Como</t>
        </is>
      </c>
      <c r="AQ422" s="24" t="inlineStr">
        <is>
          <t>Como</t>
        </is>
      </c>
      <c r="AR422" s="24" t="inlineStr">
        <is>
          <t>Como</t>
        </is>
      </c>
      <c r="AS422" s="24" t="inlineStr">
        <is>
          <t>Napoli</t>
        </is>
      </c>
      <c r="AT422" s="24" t="inlineStr">
        <is>
          <t>Napoli</t>
        </is>
      </c>
      <c r="AU422" s="24" t="inlineStr">
        <is>
          <t>Napoli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f585a7f3cb7ee04f9a319a60fa601ef15e86636fadaaa8c1380ac0f28f75c58a</t>
        </is>
      </c>
      <c r="BB422" s="24" t="inlineStr">
        <is>
          <t>poisson_dixon_coles</t>
        </is>
      </c>
      <c r="BC422" s="24" t="inlineStr">
        <is>
          <t>soccer-poisson-dc-v1</t>
        </is>
      </c>
      <c r="BD422" s="24" t="inlineStr">
        <is>
          <t>f585a7f3cb7ee04f9a319a60fa601ef15e86636fadaaa8c1380ac0f28f75c58a</t>
        </is>
      </c>
      <c r="BE422" s="24" t="inlineStr">
        <is>
          <t>soccer-poisson-dc-v1</t>
        </is>
      </c>
      <c r="BF422" s="24" t="inlineStr">
        <is>
          <t>1</t>
        </is>
      </c>
      <c r="BG422" s="24" t="inlineStr">
        <is>
          <t>f585a7f3cb7ee04f9a319a60fa601ef15e86636fadaaa8c1380ac0f28f75c58a</t>
        </is>
      </c>
      <c r="BH422" s="24" t="inlineStr">
        <is>
          <t>2026-08-30T16:04:54.181506Z</t>
        </is>
      </c>
      <c r="BI422" s="24" t="inlineStr">
        <is>
          <t>["same_event","same_team_same_day","same_league_same_day"]</t>
        </is>
      </c>
      <c r="BJ422" s="25" t="n"/>
      <c r="BK422" s="26" t="n">
        <v>233</v>
      </c>
      <c r="BL422" s="27" t="n">
        <v>3.33</v>
      </c>
      <c r="BM422" s="28" t="n">
        <v>0.3003</v>
      </c>
      <c r="BN422" s="28" t="n"/>
      <c r="BO422" s="28" t="n"/>
      <c r="BP422" s="25" t="n"/>
      <c r="BQ422" s="27" t="n">
        <v>1.408163</v>
      </c>
      <c r="BR422" s="28" t="n">
        <v>0.71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0.3003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d32838795f364526</t>
        </is>
      </c>
      <c r="B423" s="24" t="inlineStr">
        <is>
          <t>2026-08-30T16:06:27.993415Z</t>
        </is>
      </c>
      <c r="C423" s="24" t="inlineStr">
        <is>
          <t>2026-08-30T18:45Z</t>
        </is>
      </c>
      <c r="D423" s="24" t="inlineStr">
        <is>
          <t>401874938</t>
        </is>
      </c>
      <c r="E423" s="24" t="inlineStr">
        <is>
          <t>SOCCER</t>
        </is>
      </c>
      <c r="F423" s="24" t="inlineStr">
        <is>
          <t>Internazionale</t>
        </is>
      </c>
      <c r="G423" s="24" t="inlineStr">
        <is>
          <t>Cagliari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-233</v>
      </c>
      <c r="M423" s="27" t="n">
        <v>1.429185</v>
      </c>
      <c r="N423" s="28" t="n">
        <v>0.6997</v>
      </c>
      <c r="O423" s="28" t="n">
        <v>0.559413</v>
      </c>
      <c r="P423" s="28" t="n">
        <v>0.04</v>
      </c>
      <c r="Q423" s="28" t="n">
        <v>-0.140287</v>
      </c>
      <c r="R423" s="26" t="n">
        <v>0</v>
      </c>
      <c r="S423" s="29" t="n">
        <v>1</v>
      </c>
      <c r="T423" s="24" t="inlineStr">
        <is>
          <t>soccer-poisson-dc-v1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223</v>
      </c>
      <c r="AA423" s="28" t="n">
        <v>0.31</v>
      </c>
      <c r="AB423" s="28" t="n">
        <v>-0.3897</v>
      </c>
      <c r="AC423" s="30" t="n">
        <v>0.4292</v>
      </c>
      <c r="AD423" s="24" t="inlineStr">
        <is>
          <t>2026-08-31T04:36:28.611169Z</t>
        </is>
      </c>
      <c r="AE423" s="31" t="inlineStr">
        <is>
          <t>Poisson-DC rates 1.02 (home) / 1.86 (away) from EWMA attack/defense strengths. Executable ask 0.7000 (atc-sea-cag-int-2026-08-30-int).</t>
        </is>
      </c>
      <c r="AF423" s="31" t="inlineStr">
        <is>
          <t>Research-only soccer score model; draw-aware, but not yet locked-holdout qualified.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Internazionale</t>
        </is>
      </c>
      <c r="AQ423" s="24" t="inlineStr">
        <is>
          <t>Internazionale</t>
        </is>
      </c>
      <c r="AR423" s="24" t="inlineStr">
        <is>
          <t>Internazionale</t>
        </is>
      </c>
      <c r="AS423" s="24" t="inlineStr">
        <is>
          <t>Cagliari</t>
        </is>
      </c>
      <c r="AT423" s="24" t="inlineStr">
        <is>
          <t>Cagliari</t>
        </is>
      </c>
      <c r="AU423" s="24" t="inlineStr">
        <is>
          <t>Cagliari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f585a7f3cb7ee04f9a319a60fa601ef15e86636fadaaa8c1380ac0f28f75c58a</t>
        </is>
      </c>
      <c r="BB423" s="24" t="inlineStr">
        <is>
          <t>poisson_dixon_coles</t>
        </is>
      </c>
      <c r="BC423" s="24" t="inlineStr">
        <is>
          <t>soccer-poisson-dc-v1</t>
        </is>
      </c>
      <c r="BD423" s="24" t="inlineStr">
        <is>
          <t>f585a7f3cb7ee04f9a319a60fa601ef15e86636fadaaa8c1380ac0f28f75c58a</t>
        </is>
      </c>
      <c r="BE423" s="24" t="inlineStr">
        <is>
          <t>soccer-poisson-dc-v1</t>
        </is>
      </c>
      <c r="BF423" s="24" t="inlineStr">
        <is>
          <t>1</t>
        </is>
      </c>
      <c r="BG423" s="24" t="inlineStr">
        <is>
          <t>f585a7f3cb7ee04f9a319a60fa601ef15e86636fadaaa8c1380ac0f28f75c58a</t>
        </is>
      </c>
      <c r="BH423" s="24" t="inlineStr">
        <is>
          <t>2026-08-30T16:04:54.308920Z</t>
        </is>
      </c>
      <c r="BI423" s="24" t="inlineStr">
        <is>
          <t>["same_event","same_team_same_day","same_league_same_day"]</t>
        </is>
      </c>
      <c r="BJ423" s="25" t="n"/>
      <c r="BK423" s="26" t="n">
        <v>-233</v>
      </c>
      <c r="BL423" s="27" t="n">
        <v>1.429185</v>
      </c>
      <c r="BM423" s="28" t="n">
        <v>0.6997</v>
      </c>
      <c r="BN423" s="28" t="n"/>
      <c r="BO423" s="28" t="n"/>
      <c r="BP423" s="25" t="n"/>
      <c r="BQ423" s="27" t="n">
        <v>3.23</v>
      </c>
      <c r="BR423" s="28" t="n">
        <v>0.31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0.6997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1a4610ca120c4b0d</t>
        </is>
      </c>
      <c r="B424" s="24" t="inlineStr">
        <is>
          <t>2026-08-30T16:06:27.993415Z</t>
        </is>
      </c>
      <c r="C424" s="24" t="inlineStr">
        <is>
          <t>2026-08-30T18:45Z</t>
        </is>
      </c>
      <c r="D424" s="24" t="inlineStr">
        <is>
          <t>401874742</t>
        </is>
      </c>
      <c r="E424" s="24" t="inlineStr">
        <is>
          <t>SOCCER</t>
        </is>
      </c>
      <c r="F424" s="24" t="inlineStr">
        <is>
          <t>Genoa</t>
        </is>
      </c>
      <c r="G424" s="24" t="inlineStr">
        <is>
          <t>Lazio</t>
        </is>
      </c>
      <c r="H424" s="24" t="inlineStr">
        <is>
          <t>moneyline</t>
        </is>
      </c>
      <c r="I424" s="24" t="inlineStr">
        <is>
          <t>home</t>
        </is>
      </c>
      <c r="J424" s="25" t="n"/>
      <c r="K424" s="24" t="inlineStr">
        <is>
          <t>polymarket_us</t>
        </is>
      </c>
      <c r="L424" s="26" t="n">
        <v>138</v>
      </c>
      <c r="M424" s="27" t="n">
        <v>2.38</v>
      </c>
      <c r="N424" s="28" t="n">
        <v>0.420168</v>
      </c>
      <c r="O424" s="28" t="n">
        <v>0.436516</v>
      </c>
      <c r="P424" s="28" t="n">
        <v>0.04</v>
      </c>
      <c r="Q424" s="28" t="n">
        <v>0.016348</v>
      </c>
      <c r="R424" s="26" t="n">
        <v>34</v>
      </c>
      <c r="S424" s="29" t="n">
        <v>1</v>
      </c>
      <c r="T424" s="24" t="inlineStr">
        <is>
          <t>soccer-poisson-dc-v1</t>
        </is>
      </c>
      <c r="U424" s="24" t="inlineStr">
        <is>
          <t>settled</t>
        </is>
      </c>
      <c r="V424" s="24" t="inlineStr">
        <is>
          <t>win</t>
        </is>
      </c>
      <c r="W424" s="26" t="n">
        <v>0</v>
      </c>
      <c r="X424" s="26" t="n">
        <v>1</v>
      </c>
      <c r="Y424" s="25" t="n"/>
      <c r="Z424" s="26" t="n">
        <v>138</v>
      </c>
      <c r="AA424" s="28" t="n">
        <v>0.42</v>
      </c>
      <c r="AB424" s="28" t="n">
        <v>-0.000168</v>
      </c>
      <c r="AC424" s="30" t="n">
        <v>1.38</v>
      </c>
      <c r="AD424" s="24" t="inlineStr">
        <is>
          <t>2026-08-31T04:36:30.269981Z</t>
        </is>
      </c>
      <c r="AE424" s="31" t="inlineStr">
        <is>
          <t>Poisson-DC rates 1.16 (home) / 0.78 (away) from EWMA attack/defense strengths. Executable ask 0.4200 (atc-sea-laz-gen-2026-08-30-laz).</t>
        </is>
      </c>
      <c r="AF424" s="31" t="inlineStr">
        <is>
          <t>Research-only soccer score model; draw-aware, but not yet locked-holdout qualified.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PAPER_CALL_LOW_EDGE</t>
        </is>
      </c>
      <c r="AP424" s="24" t="inlineStr">
        <is>
          <t>Genoa</t>
        </is>
      </c>
      <c r="AQ424" s="24" t="inlineStr">
        <is>
          <t>Genoa</t>
        </is>
      </c>
      <c r="AR424" s="24" t="inlineStr">
        <is>
          <t>Genoa</t>
        </is>
      </c>
      <c r="AS424" s="24" t="inlineStr">
        <is>
          <t>Lazio</t>
        </is>
      </c>
      <c r="AT424" s="24" t="inlineStr">
        <is>
          <t>Lazio</t>
        </is>
      </c>
      <c r="AU424" s="24" t="inlineStr">
        <is>
          <t>Lazio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f585a7f3cb7ee04f9a319a60fa601ef15e86636fadaaa8c1380ac0f28f75c58a</t>
        </is>
      </c>
      <c r="BB424" s="24" t="inlineStr">
        <is>
          <t>poisson_dixon_coles</t>
        </is>
      </c>
      <c r="BC424" s="24" t="inlineStr">
        <is>
          <t>soccer-poisson-dc-v1</t>
        </is>
      </c>
      <c r="BD424" s="24" t="inlineStr">
        <is>
          <t>f585a7f3cb7ee04f9a319a60fa601ef15e86636fadaaa8c1380ac0f28f75c58a</t>
        </is>
      </c>
      <c r="BE424" s="24" t="inlineStr">
        <is>
          <t>soccer-poisson-dc-v1</t>
        </is>
      </c>
      <c r="BF424" s="24" t="inlineStr">
        <is>
          <t>1</t>
        </is>
      </c>
      <c r="BG424" s="24" t="inlineStr">
        <is>
          <t>f585a7f3cb7ee04f9a319a60fa601ef15e86636fadaaa8c1380ac0f28f75c58a</t>
        </is>
      </c>
      <c r="BH424" s="24" t="inlineStr">
        <is>
          <t>2026-08-30T16:04:54.409013Z</t>
        </is>
      </c>
      <c r="BI424" s="24" t="inlineStr">
        <is>
          <t>["same_event","same_team_same_day","same_league_same_day"]</t>
        </is>
      </c>
      <c r="BJ424" s="25" t="n"/>
      <c r="BK424" s="26" t="n">
        <v>138</v>
      </c>
      <c r="BL424" s="27" t="n">
        <v>2.38</v>
      </c>
      <c r="BM424" s="28" t="n">
        <v>0.420168</v>
      </c>
      <c r="BN424" s="28" t="n"/>
      <c r="BO424" s="28" t="n"/>
      <c r="BP424" s="25" t="n"/>
      <c r="BQ424" s="27" t="n">
        <v>2.38</v>
      </c>
      <c r="BR424" s="28" t="n">
        <v>0.42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0.420168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26815c19b2b944e6</t>
        </is>
      </c>
      <c r="B425" s="24" t="inlineStr">
        <is>
          <t>2026-08-30T16:06:27.993415Z</t>
        </is>
      </c>
      <c r="C425" s="24" t="inlineStr">
        <is>
          <t>2026-08-30T20:30Z</t>
        </is>
      </c>
      <c r="D425" s="24" t="inlineStr">
        <is>
          <t>761758</t>
        </is>
      </c>
      <c r="E425" s="24" t="inlineStr">
        <is>
          <t>SOCCER</t>
        </is>
      </c>
      <c r="F425" s="24" t="inlineStr">
        <is>
          <t>New England Revolution</t>
        </is>
      </c>
      <c r="G425" s="24" t="inlineStr">
        <is>
          <t>Columbus Crew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117</v>
      </c>
      <c r="M425" s="27" t="n">
        <v>2.17</v>
      </c>
      <c r="N425" s="28" t="n">
        <v>0.460829</v>
      </c>
      <c r="O425" s="28" t="n">
        <v>0.469467</v>
      </c>
      <c r="P425" s="28" t="n">
        <v>0.04</v>
      </c>
      <c r="Q425" s="28" t="n">
        <v>0.008638</v>
      </c>
      <c r="R425" s="26" t="n">
        <v>30</v>
      </c>
      <c r="S425" s="29" t="n">
        <v>1</v>
      </c>
      <c r="T425" s="24" t="inlineStr">
        <is>
          <t>soccer-poisson-dc-v1</t>
        </is>
      </c>
      <c r="U425" s="24" t="inlineStr">
        <is>
          <t>settled</t>
        </is>
      </c>
      <c r="V425" s="24" t="inlineStr">
        <is>
          <t>loss</t>
        </is>
      </c>
      <c r="W425" s="26" t="n">
        <v>3</v>
      </c>
      <c r="X425" s="26" t="n">
        <v>1</v>
      </c>
      <c r="Y425" s="25" t="n"/>
      <c r="Z425" s="26" t="n">
        <v>117</v>
      </c>
      <c r="AA425" s="28" t="n">
        <v>0.46</v>
      </c>
      <c r="AB425" s="28" t="n">
        <v>-0.000829</v>
      </c>
      <c r="AC425" s="30" t="n">
        <v>-1</v>
      </c>
      <c r="AD425" s="24" t="inlineStr">
        <is>
          <t>2026-08-31T04:36:32.393904Z</t>
        </is>
      </c>
      <c r="AE425" s="31" t="inlineStr">
        <is>
          <t>Poisson-DC rates 1.74 (home) / 1.29 (away) from EWMA attack/defense strengths. Executable ask 0.4600 (atc-mls-clb-ner-2026-08-29-clb).</t>
        </is>
      </c>
      <c r="AF425" s="31" t="inlineStr">
        <is>
          <t>Research-only soccer score model; draw-aware, but not yet locked-holdout qualified.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New England Revolution</t>
        </is>
      </c>
      <c r="AQ425" s="24" t="inlineStr">
        <is>
          <t>New England Revolution</t>
        </is>
      </c>
      <c r="AR425" s="24" t="inlineStr">
        <is>
          <t>New England Revolution</t>
        </is>
      </c>
      <c r="AS425" s="24" t="inlineStr">
        <is>
          <t>Columbus Crew</t>
        </is>
      </c>
      <c r="AT425" s="24" t="inlineStr">
        <is>
          <t>Columbus Crew</t>
        </is>
      </c>
      <c r="AU425" s="24" t="inlineStr">
        <is>
          <t>Columbus Crew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f585a7f3cb7ee04f9a319a60fa601ef15e86636fadaaa8c1380ac0f28f75c58a</t>
        </is>
      </c>
      <c r="BB425" s="24" t="inlineStr">
        <is>
          <t>poisson_dixon_coles</t>
        </is>
      </c>
      <c r="BC425" s="24" t="inlineStr">
        <is>
          <t>soccer-poisson-dc-v1</t>
        </is>
      </c>
      <c r="BD425" s="24" t="inlineStr">
        <is>
          <t>f585a7f3cb7ee04f9a319a60fa601ef15e86636fadaaa8c1380ac0f28f75c58a</t>
        </is>
      </c>
      <c r="BE425" s="24" t="inlineStr">
        <is>
          <t>soccer-poisson-dc-v1</t>
        </is>
      </c>
      <c r="BF425" s="24" t="inlineStr">
        <is>
          <t>1</t>
        </is>
      </c>
      <c r="BG425" s="24" t="inlineStr">
        <is>
          <t>f585a7f3cb7ee04f9a319a60fa601ef15e86636fadaaa8c1380ac0f28f75c58a</t>
        </is>
      </c>
      <c r="BH425" s="24" t="inlineStr">
        <is>
          <t>2026-08-30T16:04:54.542047Z</t>
        </is>
      </c>
      <c r="BI425" s="24" t="inlineStr">
        <is>
          <t>["same_event","same_team_same_day","same_league_same_day"]</t>
        </is>
      </c>
      <c r="BJ425" s="25" t="n"/>
      <c r="BK425" s="26" t="n">
        <v>117</v>
      </c>
      <c r="BL425" s="27" t="n">
        <v>2.17</v>
      </c>
      <c r="BM425" s="28" t="n">
        <v>0.460829</v>
      </c>
      <c r="BN425" s="28" t="n"/>
      <c r="BO425" s="28" t="n"/>
      <c r="BP425" s="25" t="n"/>
      <c r="BQ425" s="27" t="n">
        <v>2.17</v>
      </c>
      <c r="BR425" s="28" t="n">
        <v>0.46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0.460829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c4ec0d1249c540f8</t>
        </is>
      </c>
      <c r="B426" s="24" t="inlineStr">
        <is>
          <t>2026-08-30T16:06:27.993415Z</t>
        </is>
      </c>
      <c r="C426" s="24" t="inlineStr">
        <is>
          <t>2026-08-30T23:00Z</t>
        </is>
      </c>
      <c r="D426" s="24" t="inlineStr">
        <is>
          <t>761769</t>
        </is>
      </c>
      <c r="E426" s="24" t="inlineStr">
        <is>
          <t>SOCCER</t>
        </is>
      </c>
      <c r="F426" s="24" t="inlineStr">
        <is>
          <t>FC Dallas</t>
        </is>
      </c>
      <c r="G426" s="24" t="inlineStr">
        <is>
          <t>St. Louis CITY SC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113</v>
      </c>
      <c r="M426" s="27" t="n">
        <v>2.13</v>
      </c>
      <c r="N426" s="28" t="n">
        <v>0.469484</v>
      </c>
      <c r="O426" s="28" t="n">
        <v>0.394466</v>
      </c>
      <c r="P426" s="28" t="n">
        <v>0.04</v>
      </c>
      <c r="Q426" s="28" t="n">
        <v>-0.075018</v>
      </c>
      <c r="R426" s="26" t="n">
        <v>0</v>
      </c>
      <c r="S426" s="29" t="n">
        <v>1</v>
      </c>
      <c r="T426" s="24" t="inlineStr">
        <is>
          <t>soccer-poisson-dc-v1</t>
        </is>
      </c>
      <c r="U426" s="24" t="inlineStr">
        <is>
          <t>settled</t>
        </is>
      </c>
      <c r="V426" s="24" t="inlineStr">
        <is>
          <t>loss</t>
        </is>
      </c>
      <c r="W426" s="26" t="n">
        <v>3</v>
      </c>
      <c r="X426" s="26" t="n">
        <v>3</v>
      </c>
      <c r="Y426" s="25" t="n"/>
      <c r="Z426" s="26" t="n">
        <v>113</v>
      </c>
      <c r="AA426" s="28" t="n">
        <v>0.47</v>
      </c>
      <c r="AB426" s="28" t="n">
        <v>0.000516</v>
      </c>
      <c r="AC426" s="30" t="n">
        <v>-1</v>
      </c>
      <c r="AD426" s="24" t="inlineStr">
        <is>
          <t>2026-08-31T04:36:33.974365Z</t>
        </is>
      </c>
      <c r="AE426" s="31" t="inlineStr">
        <is>
          <t>Poisson-DC rates 1.80 (home) / 1.73 (away) from EWMA attack/defense strengths. Executable ask 0.4700 (atc-mls-stl-dal-2026-08-30-stl).</t>
        </is>
      </c>
      <c r="AF426" s="31" t="inlineStr">
        <is>
          <t>Research-only soccer score model; draw-aware, but not yet locked-holdout qualified.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FC Dallas</t>
        </is>
      </c>
      <c r="AQ426" s="24" t="inlineStr">
        <is>
          <t>FC Dallas</t>
        </is>
      </c>
      <c r="AR426" s="24" t="inlineStr">
        <is>
          <t>FC Dallas</t>
        </is>
      </c>
      <c r="AS426" s="24" t="inlineStr">
        <is>
          <t>St. Louis CITY SC</t>
        </is>
      </c>
      <c r="AT426" s="24" t="inlineStr">
        <is>
          <t>St. Louis CITY SC</t>
        </is>
      </c>
      <c r="AU426" s="24" t="inlineStr">
        <is>
          <t>St. Louis CITY SC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f585a7f3cb7ee04f9a319a60fa601ef15e86636fadaaa8c1380ac0f28f75c58a</t>
        </is>
      </c>
      <c r="BB426" s="24" t="inlineStr">
        <is>
          <t>poisson_dixon_coles</t>
        </is>
      </c>
      <c r="BC426" s="24" t="inlineStr">
        <is>
          <t>soccer-poisson-dc-v1</t>
        </is>
      </c>
      <c r="BD426" s="24" t="inlineStr">
        <is>
          <t>f585a7f3cb7ee04f9a319a60fa601ef15e86636fadaaa8c1380ac0f28f75c58a</t>
        </is>
      </c>
      <c r="BE426" s="24" t="inlineStr">
        <is>
          <t>soccer-poisson-dc-v1</t>
        </is>
      </c>
      <c r="BF426" s="24" t="inlineStr">
        <is>
          <t>1</t>
        </is>
      </c>
      <c r="BG426" s="24" t="inlineStr">
        <is>
          <t>f585a7f3cb7ee04f9a319a60fa601ef15e86636fadaaa8c1380ac0f28f75c58a</t>
        </is>
      </c>
      <c r="BH426" s="24" t="inlineStr">
        <is>
          <t>2026-08-30T16:04:54.573680Z</t>
        </is>
      </c>
      <c r="BI426" s="24" t="inlineStr">
        <is>
          <t>["same_event","same_team_same_day","same_league_same_day"]</t>
        </is>
      </c>
      <c r="BJ426" s="25" t="n"/>
      <c r="BK426" s="26" t="n">
        <v>113</v>
      </c>
      <c r="BL426" s="27" t="n">
        <v>2.13</v>
      </c>
      <c r="BM426" s="28" t="n">
        <v>0.469484</v>
      </c>
      <c r="BN426" s="28" t="n"/>
      <c r="BO426" s="28" t="n"/>
      <c r="BP426" s="25" t="n"/>
      <c r="BQ426" s="27" t="n">
        <v>2.13</v>
      </c>
      <c r="BR426" s="28" t="n">
        <v>0.47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0.469484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78afe3da1dfb4523</t>
        </is>
      </c>
      <c r="B427" s="24" t="inlineStr">
        <is>
          <t>2026-08-30T16:06:27.993415Z</t>
        </is>
      </c>
      <c r="C427" s="24" t="inlineStr">
        <is>
          <t>2026-08-30T19:00Z</t>
        </is>
      </c>
      <c r="D427" s="24" t="inlineStr">
        <is>
          <t>401841214</t>
        </is>
      </c>
      <c r="E427" s="24" t="inlineStr">
        <is>
          <t>SOCCER</t>
        </is>
      </c>
      <c r="F427" s="24" t="inlineStr">
        <is>
          <t>Santos</t>
        </is>
      </c>
      <c r="G427" s="24" t="inlineStr">
        <is>
          <t>Corinthians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-104</v>
      </c>
      <c r="M427" s="27" t="n">
        <v>1.961538</v>
      </c>
      <c r="N427" s="28" t="n">
        <v>0.509804</v>
      </c>
      <c r="O427" s="28" t="n">
        <v>0.456135</v>
      </c>
      <c r="P427" s="28" t="n">
        <v>0.2</v>
      </c>
      <c r="Q427" s="28" t="n">
        <v>-0.053669</v>
      </c>
      <c r="R427" s="26" t="n">
        <v>0</v>
      </c>
      <c r="S427" s="29" t="n">
        <v>1</v>
      </c>
      <c r="T427" s="24" t="inlineStr">
        <is>
          <t>soccer-poisson-dc-v1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0</v>
      </c>
      <c r="Y427" s="25" t="n"/>
      <c r="Z427" s="26" t="n">
        <v>-104</v>
      </c>
      <c r="AA427" s="28" t="n">
        <v>0.51</v>
      </c>
      <c r="AB427" s="28" t="n">
        <v>0.000196</v>
      </c>
      <c r="AC427" s="30" t="n">
        <v>-1</v>
      </c>
      <c r="AD427" s="24" t="inlineStr">
        <is>
          <t>2026-08-31T04:36:35.824334Z</t>
        </is>
      </c>
      <c r="AE427" s="31" t="inlineStr">
        <is>
          <t>Poisson-DC rates 1.64 (home) / 1.24 (away) from EWMA attack/defense strengths. Executable ask 0.5100 (atc-bra-scp-san-2026-08-30-scp).</t>
        </is>
      </c>
      <c r="AF427" s="31" t="inlineStr">
        <is>
          <t>Research-only soccer score model; draw-aware, but not yet locked-holdout qualified.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PAPER_CALL_MODEL_UNVALIDATED</t>
        </is>
      </c>
      <c r="AP427" s="24" t="inlineStr">
        <is>
          <t>Santos</t>
        </is>
      </c>
      <c r="AQ427" s="24" t="inlineStr">
        <is>
          <t>Santos</t>
        </is>
      </c>
      <c r="AR427" s="24" t="inlineStr">
        <is>
          <t>Santos</t>
        </is>
      </c>
      <c r="AS427" s="24" t="inlineStr">
        <is>
          <t>Corinthians</t>
        </is>
      </c>
      <c r="AT427" s="24" t="inlineStr">
        <is>
          <t>Corinthians</t>
        </is>
      </c>
      <c r="AU427" s="24" t="inlineStr">
        <is>
          <t>Corinthians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f585a7f3cb7ee04f9a319a60fa601ef15e86636fadaaa8c1380ac0f28f75c58a</t>
        </is>
      </c>
      <c r="BB427" s="24" t="inlineStr">
        <is>
          <t>poisson_dixon_coles</t>
        </is>
      </c>
      <c r="BC427" s="24" t="inlineStr">
        <is>
          <t>soccer-poisson-dc-v1</t>
        </is>
      </c>
      <c r="BD427" s="24" t="inlineStr">
        <is>
          <t>f585a7f3cb7ee04f9a319a60fa601ef15e86636fadaaa8c1380ac0f28f75c58a</t>
        </is>
      </c>
      <c r="BE427" s="24" t="inlineStr">
        <is>
          <t>soccer-poisson-dc-v1</t>
        </is>
      </c>
      <c r="BF427" s="24" t="inlineStr">
        <is>
          <t>1</t>
        </is>
      </c>
      <c r="BG427" s="24" t="inlineStr">
        <is>
          <t>f585a7f3cb7ee04f9a319a60fa601ef15e86636fadaaa8c1380ac0f28f75c58a</t>
        </is>
      </c>
      <c r="BH427" s="24" t="inlineStr">
        <is>
          <t>2026-08-30T16:04:54.700215Z</t>
        </is>
      </c>
      <c r="BI427" s="24" t="inlineStr">
        <is>
          <t>["same_event","same_team_same_day","same_league_same_day"]</t>
        </is>
      </c>
      <c r="BJ427" s="25" t="n"/>
      <c r="BK427" s="26" t="n">
        <v>-104</v>
      </c>
      <c r="BL427" s="27" t="n">
        <v>1.961538</v>
      </c>
      <c r="BM427" s="28" t="n">
        <v>0.509804</v>
      </c>
      <c r="BN427" s="28" t="n"/>
      <c r="BO427" s="28" t="n"/>
      <c r="BP427" s="25" t="n"/>
      <c r="BQ427" s="27" t="n">
        <v>1.961538</v>
      </c>
      <c r="BR427" s="28" t="n">
        <v>0.51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0.509804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10009fb38769454c</t>
        </is>
      </c>
      <c r="B428" s="24" t="inlineStr">
        <is>
          <t>2026-08-30T16:06:27.993415Z</t>
        </is>
      </c>
      <c r="C428" s="24" t="inlineStr">
        <is>
          <t>2026-08-30T19:00Z</t>
        </is>
      </c>
      <c r="D428" s="24" t="inlineStr">
        <is>
          <t>401841213</t>
        </is>
      </c>
      <c r="E428" s="24" t="inlineStr">
        <is>
          <t>SOCCER</t>
        </is>
      </c>
      <c r="F428" s="24" t="inlineStr">
        <is>
          <t>Botafogo</t>
        </is>
      </c>
      <c r="G428" s="24" t="inlineStr">
        <is>
          <t>Flamengo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-270</v>
      </c>
      <c r="M428" s="27" t="n">
        <v>1.37037</v>
      </c>
      <c r="N428" s="28" t="n">
        <v>0.72973</v>
      </c>
      <c r="O428" s="28" t="n">
        <v>0.456135</v>
      </c>
      <c r="P428" s="28" t="n">
        <v>0.2</v>
      </c>
      <c r="Q428" s="28" t="n">
        <v>-0.273595</v>
      </c>
      <c r="R428" s="26" t="n">
        <v>0</v>
      </c>
      <c r="S428" s="29" t="n">
        <v>1</v>
      </c>
      <c r="T428" s="24" t="inlineStr">
        <is>
          <t>soccer-poisson-dc-v1</t>
        </is>
      </c>
      <c r="U428" s="24" t="inlineStr">
        <is>
          <t>settled</t>
        </is>
      </c>
      <c r="V428" s="24" t="inlineStr">
        <is>
          <t>win</t>
        </is>
      </c>
      <c r="W428" s="26" t="n">
        <v>0</v>
      </c>
      <c r="X428" s="26" t="n">
        <v>3</v>
      </c>
      <c r="Y428" s="25" t="n"/>
      <c r="Z428" s="26" t="n">
        <v>-270</v>
      </c>
      <c r="AA428" s="28" t="n">
        <v>0.73</v>
      </c>
      <c r="AB428" s="28" t="n">
        <v>0.00027</v>
      </c>
      <c r="AC428" s="30" t="n">
        <v>0.3704</v>
      </c>
      <c r="AD428" s="24" t="inlineStr">
        <is>
          <t>2026-08-31T04:36:38.273464Z</t>
        </is>
      </c>
      <c r="AE428" s="31" t="inlineStr">
        <is>
          <t>Poisson-DC rates 1.64 (home) / 1.24 (away) from EWMA attack/defense strengths. Executable ask 0.7300 (atc-bra-fla-bot-2026-08-30-fla).</t>
        </is>
      </c>
      <c r="AF428" s="31" t="inlineStr">
        <is>
          <t>Research-only soccer score model; draw-aware, but not yet locked-holdout qualified.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PAPER_CALL_MODEL_UNVALIDATED</t>
        </is>
      </c>
      <c r="AP428" s="24" t="inlineStr">
        <is>
          <t>Botafogo</t>
        </is>
      </c>
      <c r="AQ428" s="24" t="inlineStr">
        <is>
          <t>Botafogo</t>
        </is>
      </c>
      <c r="AR428" s="24" t="inlineStr">
        <is>
          <t>Botafogo</t>
        </is>
      </c>
      <c r="AS428" s="24" t="inlineStr">
        <is>
          <t>Flamengo</t>
        </is>
      </c>
      <c r="AT428" s="24" t="inlineStr">
        <is>
          <t>Flamengo</t>
        </is>
      </c>
      <c r="AU428" s="24" t="inlineStr">
        <is>
          <t>Flamengo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f585a7f3cb7ee04f9a319a60fa601ef15e86636fadaaa8c1380ac0f28f75c58a</t>
        </is>
      </c>
      <c r="BB428" s="24" t="inlineStr">
        <is>
          <t>poisson_dixon_coles</t>
        </is>
      </c>
      <c r="BC428" s="24" t="inlineStr">
        <is>
          <t>soccer-poisson-dc-v1</t>
        </is>
      </c>
      <c r="BD428" s="24" t="inlineStr">
        <is>
          <t>f585a7f3cb7ee04f9a319a60fa601ef15e86636fadaaa8c1380ac0f28f75c58a</t>
        </is>
      </c>
      <c r="BE428" s="24" t="inlineStr">
        <is>
          <t>soccer-poisson-dc-v1</t>
        </is>
      </c>
      <c r="BF428" s="24" t="inlineStr">
        <is>
          <t>1</t>
        </is>
      </c>
      <c r="BG428" s="24" t="inlineStr">
        <is>
          <t>f585a7f3cb7ee04f9a319a60fa601ef15e86636fadaaa8c1380ac0f28f75c58a</t>
        </is>
      </c>
      <c r="BH428" s="24" t="inlineStr">
        <is>
          <t>2026-08-30T16:04:54.676387Z</t>
        </is>
      </c>
      <c r="BI428" s="24" t="inlineStr">
        <is>
          <t>["same_event","same_team_same_day","same_league_same_day"]</t>
        </is>
      </c>
      <c r="BJ428" s="25" t="n"/>
      <c r="BK428" s="26" t="n">
        <v>-270</v>
      </c>
      <c r="BL428" s="27" t="n">
        <v>1.37037</v>
      </c>
      <c r="BM428" s="28" t="n">
        <v>0.72973</v>
      </c>
      <c r="BN428" s="28" t="n"/>
      <c r="BO428" s="28" t="n"/>
      <c r="BP428" s="25" t="n"/>
      <c r="BQ428" s="27" t="n">
        <v>1.37037</v>
      </c>
      <c r="BR428" s="28" t="n">
        <v>0.73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0.72973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e58565feacf643c2</t>
        </is>
      </c>
      <c r="B429" s="24" t="inlineStr">
        <is>
          <t>2026-08-30T16:06:27.993415Z</t>
        </is>
      </c>
      <c r="C429" s="24" t="inlineStr">
        <is>
          <t>2026-08-30T21:30Z</t>
        </is>
      </c>
      <c r="D429" s="24" t="inlineStr">
        <is>
          <t>401841211</t>
        </is>
      </c>
      <c r="E429" s="24" t="inlineStr">
        <is>
          <t>SOCCER</t>
        </is>
      </c>
      <c r="F429" s="24" t="inlineStr">
        <is>
          <t>Palmeiras</t>
        </is>
      </c>
      <c r="G429" s="24" t="inlineStr">
        <is>
          <t>Mirassol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285</v>
      </c>
      <c r="M429" s="27" t="n">
        <v>3.85</v>
      </c>
      <c r="N429" s="28" t="n">
        <v>0.25974</v>
      </c>
      <c r="O429" s="28" t="n">
        <v>0.440521</v>
      </c>
      <c r="P429" s="28" t="n">
        <v>0.2</v>
      </c>
      <c r="Q429" s="28" t="n">
        <v>0.180781</v>
      </c>
      <c r="R429" s="26" t="n">
        <v>20</v>
      </c>
      <c r="S429" s="29" t="n">
        <v>1</v>
      </c>
      <c r="T429" s="24" t="inlineStr">
        <is>
          <t>soccer-poisson-dc-v1</t>
        </is>
      </c>
      <c r="U429" s="24" t="inlineStr">
        <is>
          <t>settled</t>
        </is>
      </c>
      <c r="V429" s="24" t="inlineStr">
        <is>
          <t>loss</t>
        </is>
      </c>
      <c r="W429" s="26" t="n">
        <v>1</v>
      </c>
      <c r="X429" s="26" t="n">
        <v>1</v>
      </c>
      <c r="Y429" s="25" t="n"/>
      <c r="Z429" s="26" t="n">
        <v>285</v>
      </c>
      <c r="AA429" s="28" t="n">
        <v>0.26</v>
      </c>
      <c r="AB429" s="28" t="n">
        <v>0.00026</v>
      </c>
      <c r="AC429" s="30" t="n">
        <v>-1</v>
      </c>
      <c r="AD429" s="24" t="inlineStr">
        <is>
          <t>2026-08-31T04:36:40.424942Z</t>
        </is>
      </c>
      <c r="AE429" s="31" t="inlineStr">
        <is>
          <t>Poisson-DC rates 1.46 (home) / 1.10 (away) from EWMA attack/defense strengths. Executable ask 0.2600 (atc-bra-mir-pal-2026-08-30-mir).</t>
        </is>
      </c>
      <c r="AF429" s="31" t="inlineStr">
        <is>
          <t>Research-only soccer score model; draw-aware, but not yet locked-holdout qualified.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PAPER_CALL_MODEL_UNVALIDATED</t>
        </is>
      </c>
      <c r="AP429" s="24" t="inlineStr">
        <is>
          <t>Palmeiras</t>
        </is>
      </c>
      <c r="AQ429" s="24" t="inlineStr">
        <is>
          <t>Palmeiras</t>
        </is>
      </c>
      <c r="AR429" s="24" t="inlineStr">
        <is>
          <t>Palmeiras</t>
        </is>
      </c>
      <c r="AS429" s="24" t="inlineStr">
        <is>
          <t>Mirassol</t>
        </is>
      </c>
      <c r="AT429" s="24" t="inlineStr">
        <is>
          <t>Mirassol</t>
        </is>
      </c>
      <c r="AU429" s="24" t="inlineStr">
        <is>
          <t>Mirassol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f585a7f3cb7ee04f9a319a60fa601ef15e86636fadaaa8c1380ac0f28f75c58a</t>
        </is>
      </c>
      <c r="BB429" s="24" t="inlineStr">
        <is>
          <t>poisson_dixon_coles</t>
        </is>
      </c>
      <c r="BC429" s="24" t="inlineStr">
        <is>
          <t>soccer-poisson-dc-v1</t>
        </is>
      </c>
      <c r="BD429" s="24" t="inlineStr">
        <is>
          <t>f585a7f3cb7ee04f9a319a60fa601ef15e86636fadaaa8c1380ac0f28f75c58a</t>
        </is>
      </c>
      <c r="BE429" s="24" t="inlineStr">
        <is>
          <t>soccer-poisson-dc-v1</t>
        </is>
      </c>
      <c r="BF429" s="24" t="inlineStr">
        <is>
          <t>1</t>
        </is>
      </c>
      <c r="BG429" s="24" t="inlineStr">
        <is>
          <t>f585a7f3cb7ee04f9a319a60fa601ef15e86636fadaaa8c1380ac0f28f75c58a</t>
        </is>
      </c>
      <c r="BH429" s="24" t="inlineStr">
        <is>
          <t>2026-08-30T16:04:54.719002Z</t>
        </is>
      </c>
      <c r="BI429" s="24" t="inlineStr">
        <is>
          <t>["same_event","same_team_same_day","same_league_same_day"]</t>
        </is>
      </c>
      <c r="BJ429" s="25" t="n"/>
      <c r="BK429" s="26" t="n">
        <v>285</v>
      </c>
      <c r="BL429" s="27" t="n">
        <v>3.85</v>
      </c>
      <c r="BM429" s="28" t="n">
        <v>0.25974</v>
      </c>
      <c r="BN429" s="28" t="n"/>
      <c r="BO429" s="28" t="n"/>
      <c r="BP429" s="25" t="n"/>
      <c r="BQ429" s="27" t="n">
        <v>3.85</v>
      </c>
      <c r="BR429" s="28" t="n">
        <v>0.26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0.25974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499a690b9b3c4da2</t>
        </is>
      </c>
      <c r="B430" s="24" t="inlineStr">
        <is>
          <t>2026-08-30T16:06:27.993415Z</t>
        </is>
      </c>
      <c r="C430" s="24" t="inlineStr">
        <is>
          <t>2026-08-30T22:30Z</t>
        </is>
      </c>
      <c r="D430" s="24" t="inlineStr">
        <is>
          <t>401841215</t>
        </is>
      </c>
      <c r="E430" s="24" t="inlineStr">
        <is>
          <t>SOCCER</t>
        </is>
      </c>
      <c r="F430" s="24" t="inlineStr">
        <is>
          <t>Internacional</t>
        </is>
      </c>
      <c r="G430" s="24" t="inlineStr">
        <is>
          <t>Bahia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-113</v>
      </c>
      <c r="M430" s="27" t="n">
        <v>1.884956</v>
      </c>
      <c r="N430" s="28" t="n">
        <v>0.530516</v>
      </c>
      <c r="O430" s="28" t="n">
        <v>0.456135</v>
      </c>
      <c r="P430" s="28" t="n">
        <v>0.2</v>
      </c>
      <c r="Q430" s="28" t="n">
        <v>-0.074381</v>
      </c>
      <c r="R430" s="26" t="n">
        <v>0</v>
      </c>
      <c r="S430" s="29" t="n">
        <v>1</v>
      </c>
      <c r="T430" s="24" t="inlineStr">
        <is>
          <t>soccer-poisson-dc-v1</t>
        </is>
      </c>
      <c r="U430" s="24" t="inlineStr">
        <is>
          <t>settled</t>
        </is>
      </c>
      <c r="V430" s="24" t="inlineStr">
        <is>
          <t>win</t>
        </is>
      </c>
      <c r="W430" s="26" t="n">
        <v>2</v>
      </c>
      <c r="X430" s="26" t="n">
        <v>3</v>
      </c>
      <c r="Y430" s="25" t="n"/>
      <c r="Z430" s="26" t="n">
        <v>-113</v>
      </c>
      <c r="AA430" s="28" t="n">
        <v>0.53</v>
      </c>
      <c r="AB430" s="28" t="n">
        <v>-0.000516</v>
      </c>
      <c r="AC430" s="30" t="n">
        <v>0.885</v>
      </c>
      <c r="AD430" s="24" t="inlineStr">
        <is>
          <t>2026-08-31T04:36:42.059995Z</t>
        </is>
      </c>
      <c r="AE430" s="31" t="inlineStr">
        <is>
          <t>Poisson-DC rates 1.64 (home) / 1.24 (away) from EWMA attack/defense strengths. Executable ask 0.5300 (atc-bra-bah-int-2026-08-30-bah).</t>
        </is>
      </c>
      <c r="AF430" s="31" t="inlineStr">
        <is>
          <t>Research-only soccer score model; draw-aware, but not yet locked-holdout qualified.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PAPER_CALL_MODEL_UNVALIDATED</t>
        </is>
      </c>
      <c r="AP430" s="24" t="inlineStr">
        <is>
          <t>Internacional</t>
        </is>
      </c>
      <c r="AQ430" s="24" t="inlineStr">
        <is>
          <t>Internacional</t>
        </is>
      </c>
      <c r="AR430" s="24" t="inlineStr">
        <is>
          <t>Internacional</t>
        </is>
      </c>
      <c r="AS430" s="24" t="inlineStr">
        <is>
          <t>Bahia</t>
        </is>
      </c>
      <c r="AT430" s="24" t="inlineStr">
        <is>
          <t>Bahia</t>
        </is>
      </c>
      <c r="AU430" s="24" t="inlineStr">
        <is>
          <t>Bahia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f585a7f3cb7ee04f9a319a60fa601ef15e86636fadaaa8c1380ac0f28f75c58a</t>
        </is>
      </c>
      <c r="BB430" s="24" t="inlineStr">
        <is>
          <t>poisson_dixon_coles</t>
        </is>
      </c>
      <c r="BC430" s="24" t="inlineStr">
        <is>
          <t>soccer-poisson-dc-v1</t>
        </is>
      </c>
      <c r="BD430" s="24" t="inlineStr">
        <is>
          <t>f585a7f3cb7ee04f9a319a60fa601ef15e86636fadaaa8c1380ac0f28f75c58a</t>
        </is>
      </c>
      <c r="BE430" s="24" t="inlineStr">
        <is>
          <t>soccer-poisson-dc-v1</t>
        </is>
      </c>
      <c r="BF430" s="24" t="inlineStr">
        <is>
          <t>1</t>
        </is>
      </c>
      <c r="BG430" s="24" t="inlineStr">
        <is>
          <t>f585a7f3cb7ee04f9a319a60fa601ef15e86636fadaaa8c1380ac0f28f75c58a</t>
        </is>
      </c>
      <c r="BH430" s="24" t="inlineStr">
        <is>
          <t>2026-08-30T16:04:54.736463Z</t>
        </is>
      </c>
      <c r="BI430" s="24" t="inlineStr">
        <is>
          <t>["same_event","same_team_same_day","same_league_same_day"]</t>
        </is>
      </c>
      <c r="BJ430" s="25" t="n"/>
      <c r="BK430" s="26" t="n">
        <v>-113</v>
      </c>
      <c r="BL430" s="27" t="n">
        <v>1.884956</v>
      </c>
      <c r="BM430" s="28" t="n">
        <v>0.530516</v>
      </c>
      <c r="BN430" s="28" t="n"/>
      <c r="BO430" s="28" t="n"/>
      <c r="BP430" s="25" t="n"/>
      <c r="BQ430" s="27" t="n">
        <v>1.884956</v>
      </c>
      <c r="BR430" s="28" t="n">
        <v>0.53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0.530516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80099f8355494ed0</t>
        </is>
      </c>
      <c r="B431" s="24" t="inlineStr">
        <is>
          <t>2026-08-30T16:06:27.993415Z</t>
        </is>
      </c>
      <c r="C431" s="24" t="inlineStr">
        <is>
          <t>2026-08-30T21:30Z</t>
        </is>
      </c>
      <c r="D431" s="24" t="inlineStr">
        <is>
          <t>401860306</t>
        </is>
      </c>
      <c r="E431" s="24" t="inlineStr">
        <is>
          <t>SOCCER</t>
        </is>
      </c>
      <c r="F431" s="24" t="inlineStr">
        <is>
          <t>Ceará</t>
        </is>
      </c>
      <c r="G431" s="24" t="inlineStr">
        <is>
          <t>Vila Nova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-104</v>
      </c>
      <c r="M431" s="27" t="n">
        <v>1.961538</v>
      </c>
      <c r="N431" s="28" t="n">
        <v>0.509804</v>
      </c>
      <c r="O431" s="28" t="n">
        <v>0.398039</v>
      </c>
      <c r="P431" s="28" t="n">
        <v>0.2</v>
      </c>
      <c r="Q431" s="28" t="n">
        <v>-0.111765</v>
      </c>
      <c r="R431" s="26" t="n">
        <v>0</v>
      </c>
      <c r="S431" s="29" t="n">
        <v>1</v>
      </c>
      <c r="T431" s="24" t="inlineStr">
        <is>
          <t>soccer-poisson-dc-v1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2</v>
      </c>
      <c r="Y431" s="25" t="n"/>
      <c r="Z431" s="26" t="n">
        <v>-104</v>
      </c>
      <c r="AA431" s="28" t="n">
        <v>0.51</v>
      </c>
      <c r="AB431" s="28" t="n">
        <v>0.000196</v>
      </c>
      <c r="AC431" s="30" t="n">
        <v>0.9615</v>
      </c>
      <c r="AD431" s="24" t="inlineStr">
        <is>
          <t>2026-08-31T04:36:43.838335Z</t>
        </is>
      </c>
      <c r="AE431" s="31" t="inlineStr">
        <is>
          <t>Poisson-DC rates 1.46 (home) / 1.30 (away) from EWMA attack/defense strengths. Executable ask 0.5100 (atc-brb-vln-csc-2026-08-30-vln).</t>
        </is>
      </c>
      <c r="AF431" s="31" t="inlineStr">
        <is>
          <t>Research-only soccer score model; draw-aware, but not yet locked-holdout qualified.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PAPER_CALL_MODEL_UNVALIDATED</t>
        </is>
      </c>
      <c r="AP431" s="24" t="inlineStr">
        <is>
          <t>Ceará</t>
        </is>
      </c>
      <c r="AQ431" s="24" t="inlineStr">
        <is>
          <t>Ceará</t>
        </is>
      </c>
      <c r="AR431" s="24" t="inlineStr">
        <is>
          <t>Ceará</t>
        </is>
      </c>
      <c r="AS431" s="24" t="inlineStr">
        <is>
          <t>Vila Nova</t>
        </is>
      </c>
      <c r="AT431" s="24" t="inlineStr">
        <is>
          <t>Vila Nova</t>
        </is>
      </c>
      <c r="AU431" s="24" t="inlineStr">
        <is>
          <t>Vila Nova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f585a7f3cb7ee04f9a319a60fa601ef15e86636fadaaa8c1380ac0f28f75c58a</t>
        </is>
      </c>
      <c r="BB431" s="24" t="inlineStr">
        <is>
          <t>poisson_dixon_coles</t>
        </is>
      </c>
      <c r="BC431" s="24" t="inlineStr">
        <is>
          <t>soccer-poisson-dc-v1</t>
        </is>
      </c>
      <c r="BD431" s="24" t="inlineStr">
        <is>
          <t>f585a7f3cb7ee04f9a319a60fa601ef15e86636fadaaa8c1380ac0f28f75c58a</t>
        </is>
      </c>
      <c r="BE431" s="24" t="inlineStr">
        <is>
          <t>soccer-poisson-dc-v1</t>
        </is>
      </c>
      <c r="BF431" s="24" t="inlineStr">
        <is>
          <t>1</t>
        </is>
      </c>
      <c r="BG431" s="24" t="inlineStr">
        <is>
          <t>f585a7f3cb7ee04f9a319a60fa601ef15e86636fadaaa8c1380ac0f28f75c58a</t>
        </is>
      </c>
      <c r="BH431" s="24" t="inlineStr">
        <is>
          <t>2026-08-30T16:04:54.794961Z</t>
        </is>
      </c>
      <c r="BI431" s="24" t="inlineStr">
        <is>
          <t>["same_event","same_team_same_day","same_league_same_day"]</t>
        </is>
      </c>
      <c r="BJ431" s="25" t="n"/>
      <c r="BK431" s="26" t="n">
        <v>-104</v>
      </c>
      <c r="BL431" s="27" t="n">
        <v>1.961538</v>
      </c>
      <c r="BM431" s="28" t="n">
        <v>0.509804</v>
      </c>
      <c r="BN431" s="28" t="n"/>
      <c r="BO431" s="28" t="n"/>
      <c r="BP431" s="25" t="n"/>
      <c r="BQ431" s="27" t="n">
        <v>1.961538</v>
      </c>
      <c r="BR431" s="28" t="n">
        <v>0.51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0.509804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6c17ac32d2784329</t>
        </is>
      </c>
      <c r="B432" s="24" t="inlineStr">
        <is>
          <t>2026-08-30T16:06:27.993415Z</t>
        </is>
      </c>
      <c r="C432" s="24" t="inlineStr">
        <is>
          <t>2026-08-30T18:00Z</t>
        </is>
      </c>
      <c r="D432" s="24" t="inlineStr">
        <is>
          <t>401841526</t>
        </is>
      </c>
      <c r="E432" s="24" t="inlineStr">
        <is>
          <t>SOCCER</t>
        </is>
      </c>
      <c r="F432" s="24" t="inlineStr">
        <is>
          <t>River Plate</t>
        </is>
      </c>
      <c r="G432" s="24" t="inlineStr">
        <is>
          <t>Banfield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567</v>
      </c>
      <c r="M432" s="27" t="n">
        <v>6.67</v>
      </c>
      <c r="N432" s="28" t="n">
        <v>0.149925</v>
      </c>
      <c r="O432" s="28" t="n">
        <v>0.378182</v>
      </c>
      <c r="P432" s="28" t="n">
        <v>0.2</v>
      </c>
      <c r="Q432" s="28" t="n">
        <v>0.228257</v>
      </c>
      <c r="R432" s="26" t="n">
        <v>44</v>
      </c>
      <c r="S432" s="29" t="n">
        <v>1.25</v>
      </c>
      <c r="T432" s="24" t="inlineStr">
        <is>
          <t>soccer-poisson-dc-v1</t>
        </is>
      </c>
      <c r="U432" s="24" t="inlineStr">
        <is>
          <t>settled</t>
        </is>
      </c>
      <c r="V432" s="24" t="inlineStr">
        <is>
          <t>loss</t>
        </is>
      </c>
      <c r="W432" s="26" t="n">
        <v>3</v>
      </c>
      <c r="X432" s="26" t="n">
        <v>2</v>
      </c>
      <c r="Y432" s="25" t="n"/>
      <c r="Z432" s="26" t="n">
        <v>567</v>
      </c>
      <c r="AA432" s="28" t="n">
        <v>0.15</v>
      </c>
      <c r="AB432" s="28" t="n">
        <v>7.499999999999999e-05</v>
      </c>
      <c r="AC432" s="30" t="n">
        <v>-1.25</v>
      </c>
      <c r="AD432" s="24" t="inlineStr">
        <is>
          <t>2026-08-31T04:36:45.639447Z</t>
        </is>
      </c>
      <c r="AE432" s="31" t="inlineStr">
        <is>
          <t>Poisson-DC rates 1.46 (home) / 1.39 (away) from EWMA attack/defense strengths. Executable ask 0.1500 (atc-lpa-ban-riv-2026-08-30-ban).</t>
        </is>
      </c>
      <c r="AF432" s="31" t="inlineStr">
        <is>
          <t>Research-only soccer score model; draw-aware, but not yet locked-holdout qualified.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PAPER_CALL_MODEL_UNVALIDATED</t>
        </is>
      </c>
      <c r="AP432" s="24" t="inlineStr">
        <is>
          <t>River Plate</t>
        </is>
      </c>
      <c r="AQ432" s="24" t="inlineStr">
        <is>
          <t>River Plate</t>
        </is>
      </c>
      <c r="AR432" s="24" t="inlineStr">
        <is>
          <t>River Plate</t>
        </is>
      </c>
      <c r="AS432" s="24" t="inlineStr">
        <is>
          <t>Banfield</t>
        </is>
      </c>
      <c r="AT432" s="24" t="inlineStr">
        <is>
          <t>Banfield</t>
        </is>
      </c>
      <c r="AU432" s="24" t="inlineStr">
        <is>
          <t>Banfield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f585a7f3cb7ee04f9a319a60fa601ef15e86636fadaaa8c1380ac0f28f75c58a</t>
        </is>
      </c>
      <c r="BB432" s="24" t="inlineStr">
        <is>
          <t>poisson_dixon_coles</t>
        </is>
      </c>
      <c r="BC432" s="24" t="inlineStr">
        <is>
          <t>soccer-poisson-dc-v1</t>
        </is>
      </c>
      <c r="BD432" s="24" t="inlineStr">
        <is>
          <t>f585a7f3cb7ee04f9a319a60fa601ef15e86636fadaaa8c1380ac0f28f75c58a</t>
        </is>
      </c>
      <c r="BE432" s="24" t="inlineStr">
        <is>
          <t>soccer-poisson-dc-v1</t>
        </is>
      </c>
      <c r="BF432" s="24" t="inlineStr">
        <is>
          <t>1</t>
        </is>
      </c>
      <c r="BG432" s="24" t="inlineStr">
        <is>
          <t>f585a7f3cb7ee04f9a319a60fa601ef15e86636fadaaa8c1380ac0f28f75c58a</t>
        </is>
      </c>
      <c r="BH432" s="24" t="inlineStr">
        <is>
          <t>2026-08-30T16:04:54.812633Z</t>
        </is>
      </c>
      <c r="BI432" s="24" t="inlineStr">
        <is>
          <t>["same_event","same_team_same_day","same_league_same_day"]</t>
        </is>
      </c>
      <c r="BJ432" s="25" t="n"/>
      <c r="BK432" s="26" t="n">
        <v>567</v>
      </c>
      <c r="BL432" s="27" t="n">
        <v>6.67</v>
      </c>
      <c r="BM432" s="28" t="n">
        <v>0.149925</v>
      </c>
      <c r="BN432" s="28" t="n"/>
      <c r="BO432" s="28" t="n"/>
      <c r="BP432" s="25" t="n"/>
      <c r="BQ432" s="27" t="n">
        <v>6.67</v>
      </c>
      <c r="BR432" s="28" t="n">
        <v>0.15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0.149925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c53af750c7de401e</t>
        </is>
      </c>
      <c r="B433" s="24" t="inlineStr">
        <is>
          <t>2026-08-30T16:06:27.993415Z</t>
        </is>
      </c>
      <c r="C433" s="24" t="inlineStr">
        <is>
          <t>2026-08-30T20:00Z</t>
        </is>
      </c>
      <c r="D433" s="24" t="inlineStr">
        <is>
          <t>401841524</t>
        </is>
      </c>
      <c r="E433" s="24" t="inlineStr">
        <is>
          <t>SOCCER</t>
        </is>
      </c>
      <c r="F433" s="24" t="inlineStr">
        <is>
          <t>Aldosivi</t>
        </is>
      </c>
      <c r="G433" s="24" t="inlineStr">
        <is>
          <t>Argentinos Juniors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-223</v>
      </c>
      <c r="M433" s="27" t="n">
        <v>1.44843</v>
      </c>
      <c r="N433" s="28" t="n">
        <v>0.690402</v>
      </c>
      <c r="O433" s="28" t="n">
        <v>0.456135</v>
      </c>
      <c r="P433" s="28" t="n">
        <v>0.2</v>
      </c>
      <c r="Q433" s="28" t="n">
        <v>-0.234267</v>
      </c>
      <c r="R433" s="26" t="n">
        <v>0</v>
      </c>
      <c r="S433" s="29" t="n">
        <v>1</v>
      </c>
      <c r="T433" s="24" t="inlineStr">
        <is>
          <t>soccer-poisson-dc-v1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2</v>
      </c>
      <c r="Y433" s="25" t="n"/>
      <c r="Z433" s="26" t="n">
        <v>-223</v>
      </c>
      <c r="AA433" s="28" t="n">
        <v>0.6899999999999999</v>
      </c>
      <c r="AB433" s="28" t="n">
        <v>-0.000402</v>
      </c>
      <c r="AC433" s="30" t="n">
        <v>0.4484</v>
      </c>
      <c r="AD433" s="24" t="inlineStr">
        <is>
          <t>2026-08-31T04:36:47.326508Z</t>
        </is>
      </c>
      <c r="AE433" s="31" t="inlineStr">
        <is>
          <t>Poisson-DC rates 1.64 (home) / 1.24 (away) from EWMA attack/defense strengths. Executable ask 0.6900 (atc-lpa-aaj-ald-2026-08-30-aaj).</t>
        </is>
      </c>
      <c r="AF433" s="31" t="inlineStr">
        <is>
          <t>Research-only soccer score model; draw-aware, but not yet locked-holdout qualified.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PAPER_CALL_MODEL_UNVALIDATED</t>
        </is>
      </c>
      <c r="AP433" s="24" t="inlineStr">
        <is>
          <t>Aldosivi</t>
        </is>
      </c>
      <c r="AQ433" s="24" t="inlineStr">
        <is>
          <t>Aldosivi</t>
        </is>
      </c>
      <c r="AR433" s="24" t="inlineStr">
        <is>
          <t>Aldosivi</t>
        </is>
      </c>
      <c r="AS433" s="24" t="inlineStr">
        <is>
          <t>Argentinos Juniors</t>
        </is>
      </c>
      <c r="AT433" s="24" t="inlineStr">
        <is>
          <t>Argentinos Juniors</t>
        </is>
      </c>
      <c r="AU433" s="24" t="inlineStr">
        <is>
          <t>Argentinos Juniors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f585a7f3cb7ee04f9a319a60fa601ef15e86636fadaaa8c1380ac0f28f75c58a</t>
        </is>
      </c>
      <c r="BB433" s="24" t="inlineStr">
        <is>
          <t>poisson_dixon_coles</t>
        </is>
      </c>
      <c r="BC433" s="24" t="inlineStr">
        <is>
          <t>soccer-poisson-dc-v1</t>
        </is>
      </c>
      <c r="BD433" s="24" t="inlineStr">
        <is>
          <t>f585a7f3cb7ee04f9a319a60fa601ef15e86636fadaaa8c1380ac0f28f75c58a</t>
        </is>
      </c>
      <c r="BE433" s="24" t="inlineStr">
        <is>
          <t>soccer-poisson-dc-v1</t>
        </is>
      </c>
      <c r="BF433" s="24" t="inlineStr">
        <is>
          <t>1</t>
        </is>
      </c>
      <c r="BG433" s="24" t="inlineStr">
        <is>
          <t>f585a7f3cb7ee04f9a319a60fa601ef15e86636fadaaa8c1380ac0f28f75c58a</t>
        </is>
      </c>
      <c r="BH433" s="24" t="inlineStr">
        <is>
          <t>2026-08-30T16:04:54.811245Z</t>
        </is>
      </c>
      <c r="BI433" s="24" t="inlineStr">
        <is>
          <t>["same_event","same_team_same_day","same_league_same_day"]</t>
        </is>
      </c>
      <c r="BJ433" s="25" t="n"/>
      <c r="BK433" s="26" t="n">
        <v>-223</v>
      </c>
      <c r="BL433" s="27" t="n">
        <v>1.44843</v>
      </c>
      <c r="BM433" s="28" t="n">
        <v>0.690402</v>
      </c>
      <c r="BN433" s="28" t="n"/>
      <c r="BO433" s="28" t="n"/>
      <c r="BP433" s="25" t="n"/>
      <c r="BQ433" s="27" t="n">
        <v>1.44843</v>
      </c>
      <c r="BR433" s="28" t="n">
        <v>0.6899999999999999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0.690402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78bf44356f6e4abb</t>
        </is>
      </c>
      <c r="B434" s="24" t="inlineStr">
        <is>
          <t>2026-08-30T16:06:27.993415Z</t>
        </is>
      </c>
      <c r="C434" s="24" t="inlineStr">
        <is>
          <t>2026-08-30T22:15Z</t>
        </is>
      </c>
      <c r="D434" s="24" t="inlineStr">
        <is>
          <t>401841532</t>
        </is>
      </c>
      <c r="E434" s="24" t="inlineStr">
        <is>
          <t>SOCCER</t>
        </is>
      </c>
      <c r="F434" s="24" t="inlineStr">
        <is>
          <t>Gimnasia (Mendoza)</t>
        </is>
      </c>
      <c r="G434" s="24" t="inlineStr">
        <is>
          <t>Independiente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-133</v>
      </c>
      <c r="M434" s="27" t="n">
        <v>1.75188</v>
      </c>
      <c r="N434" s="28" t="n">
        <v>0.570815</v>
      </c>
      <c r="O434" s="28" t="n">
        <v>0.456135</v>
      </c>
      <c r="P434" s="28" t="n">
        <v>0.2</v>
      </c>
      <c r="Q434" s="28" t="n">
        <v>-0.11468</v>
      </c>
      <c r="R434" s="26" t="n">
        <v>0</v>
      </c>
      <c r="S434" s="29" t="n">
        <v>1</v>
      </c>
      <c r="T434" s="24" t="inlineStr">
        <is>
          <t>soccer-poisson-dc-v1</t>
        </is>
      </c>
      <c r="U434" s="24" t="inlineStr">
        <is>
          <t>settled</t>
        </is>
      </c>
      <c r="V434" s="24" t="inlineStr">
        <is>
          <t>loss</t>
        </is>
      </c>
      <c r="W434" s="26" t="n">
        <v>3</v>
      </c>
      <c r="X434" s="26" t="n">
        <v>0</v>
      </c>
      <c r="Y434" s="25" t="n"/>
      <c r="Z434" s="26" t="n">
        <v>-133</v>
      </c>
      <c r="AA434" s="28" t="n">
        <v>0.57</v>
      </c>
      <c r="AB434" s="28" t="n">
        <v>-0.000815</v>
      </c>
      <c r="AC434" s="30" t="n">
        <v>-1</v>
      </c>
      <c r="AD434" s="24" t="inlineStr">
        <is>
          <t>2026-08-31T04:36:49.041855Z</t>
        </is>
      </c>
      <c r="AE434" s="31" t="inlineStr">
        <is>
          <t>Poisson-DC rates 1.64 (home) / 1.24 (away) from EWMA attack/defense strengths. Executable ask 0.5700 (atc-lpa-ind-gye-2026-08-30-ind).</t>
        </is>
      </c>
      <c r="AF434" s="31" t="inlineStr">
        <is>
          <t>Research-only soccer score model; draw-aware, but not yet locked-holdout qualified.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PAPER_CALL_MODEL_UNVALIDATED</t>
        </is>
      </c>
      <c r="AP434" s="24" t="inlineStr">
        <is>
          <t>Gimnasia (Mendoza)</t>
        </is>
      </c>
      <c r="AQ434" s="24" t="inlineStr">
        <is>
          <t>Gimnasia (Mendoza)</t>
        </is>
      </c>
      <c r="AR434" s="24" t="inlineStr">
        <is>
          <t>Gimnasia (Mendoza)</t>
        </is>
      </c>
      <c r="AS434" s="24" t="inlineStr">
        <is>
          <t>Independiente</t>
        </is>
      </c>
      <c r="AT434" s="24" t="inlineStr">
        <is>
          <t>Independiente</t>
        </is>
      </c>
      <c r="AU434" s="24" t="inlineStr">
        <is>
          <t>Independiente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f585a7f3cb7ee04f9a319a60fa601ef15e86636fadaaa8c1380ac0f28f75c58a</t>
        </is>
      </c>
      <c r="BB434" s="24" t="inlineStr">
        <is>
          <t>poisson_dixon_coles</t>
        </is>
      </c>
      <c r="BC434" s="24" t="inlineStr">
        <is>
          <t>soccer-poisson-dc-v1</t>
        </is>
      </c>
      <c r="BD434" s="24" t="inlineStr">
        <is>
          <t>f585a7f3cb7ee04f9a319a60fa601ef15e86636fadaaa8c1380ac0f28f75c58a</t>
        </is>
      </c>
      <c r="BE434" s="24" t="inlineStr">
        <is>
          <t>soccer-poisson-dc-v1</t>
        </is>
      </c>
      <c r="BF434" s="24" t="inlineStr">
        <is>
          <t>1</t>
        </is>
      </c>
      <c r="BG434" s="24" t="inlineStr">
        <is>
          <t>f585a7f3cb7ee04f9a319a60fa601ef15e86636fadaaa8c1380ac0f28f75c58a</t>
        </is>
      </c>
      <c r="BH434" s="24" t="inlineStr">
        <is>
          <t>2026-08-30T16:04:54.821907Z</t>
        </is>
      </c>
      <c r="BI434" s="24" t="inlineStr">
        <is>
          <t>["same_event","same_team_same_day","same_league_same_day"]</t>
        </is>
      </c>
      <c r="BJ434" s="25" t="n"/>
      <c r="BK434" s="26" t="n">
        <v>-133</v>
      </c>
      <c r="BL434" s="27" t="n">
        <v>1.75188</v>
      </c>
      <c r="BM434" s="28" t="n">
        <v>0.570815</v>
      </c>
      <c r="BN434" s="28" t="n"/>
      <c r="BO434" s="28" t="n"/>
      <c r="BP434" s="25" t="n"/>
      <c r="BQ434" s="27" t="n">
        <v>1.75188</v>
      </c>
      <c r="BR434" s="28" t="n">
        <v>0.57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0.570815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69651ec495384fe2</t>
        </is>
      </c>
      <c r="B435" s="24" t="inlineStr">
        <is>
          <t>2026-08-30T16:06:27.993415Z</t>
        </is>
      </c>
      <c r="C435" s="24" t="inlineStr">
        <is>
          <t>2026-08-31T00:30Z</t>
        </is>
      </c>
      <c r="D435" s="24" t="inlineStr">
        <is>
          <t>401841533</t>
        </is>
      </c>
      <c r="E435" s="24" t="inlineStr">
        <is>
          <t>SOCCER</t>
        </is>
      </c>
      <c r="F435" s="24" t="inlineStr">
        <is>
          <t>Racing Club</t>
        </is>
      </c>
      <c r="G435" s="24" t="inlineStr">
        <is>
          <t>Independiente Rivadavia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127</v>
      </c>
      <c r="M435" s="27" t="n">
        <v>2.27</v>
      </c>
      <c r="N435" s="28" t="n">
        <v>0.440529</v>
      </c>
      <c r="O435" s="28" t="n">
        <v>0.405043</v>
      </c>
      <c r="P435" s="28" t="n">
        <v>0.19</v>
      </c>
      <c r="Q435" s="28" t="n">
        <v>-0.035486</v>
      </c>
      <c r="R435" s="26" t="n">
        <v>0</v>
      </c>
      <c r="S435" s="29" t="n">
        <v>1</v>
      </c>
      <c r="T435" s="24" t="inlineStr">
        <is>
          <t>soccer-poisson-dc-v1</t>
        </is>
      </c>
      <c r="U435" s="24" t="inlineStr">
        <is>
          <t>settled</t>
        </is>
      </c>
      <c r="V435" s="24" t="inlineStr">
        <is>
          <t>win</t>
        </is>
      </c>
      <c r="W435" s="26" t="n">
        <v>1</v>
      </c>
      <c r="X435" s="26" t="n">
        <v>3</v>
      </c>
      <c r="Y435" s="25" t="n"/>
      <c r="Z435" s="26" t="n">
        <v>127</v>
      </c>
      <c r="AA435" s="28" t="n">
        <v>0.44</v>
      </c>
      <c r="AB435" s="28" t="n">
        <v>-0.000529</v>
      </c>
      <c r="AC435" s="30" t="n">
        <v>1.27</v>
      </c>
      <c r="AD435" s="24" t="inlineStr">
        <is>
          <t>2026-08-31T04:36:51.131958Z</t>
        </is>
      </c>
      <c r="AE435" s="31" t="inlineStr">
        <is>
          <t>Poisson-DC rates 1.53 (home) / 1.35 (away) from EWMA attack/defense strengths. Executable ask 0.4400 (atc-lpa-cir-rac-2026-08-30-cir).</t>
        </is>
      </c>
      <c r="AF435" s="31" t="inlineStr">
        <is>
          <t>Research-only soccer score model; draw-aware, but not yet locked-holdout qualified.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Racing Club</t>
        </is>
      </c>
      <c r="AQ435" s="24" t="inlineStr">
        <is>
          <t>Racing Club</t>
        </is>
      </c>
      <c r="AR435" s="24" t="inlineStr">
        <is>
          <t>Racing Club</t>
        </is>
      </c>
      <c r="AS435" s="24" t="inlineStr">
        <is>
          <t>Independiente Rivadavia</t>
        </is>
      </c>
      <c r="AT435" s="24" t="inlineStr">
        <is>
          <t>Independiente Rivadavia</t>
        </is>
      </c>
      <c r="AU435" s="24" t="inlineStr">
        <is>
          <t>Independiente Rivadavia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f585a7f3cb7ee04f9a319a60fa601ef15e86636fadaaa8c1380ac0f28f75c58a</t>
        </is>
      </c>
      <c r="BB435" s="24" t="inlineStr">
        <is>
          <t>poisson_dixon_coles</t>
        </is>
      </c>
      <c r="BC435" s="24" t="inlineStr">
        <is>
          <t>soccer-poisson-dc-v1</t>
        </is>
      </c>
      <c r="BD435" s="24" t="inlineStr">
        <is>
          <t>f585a7f3cb7ee04f9a319a60fa601ef15e86636fadaaa8c1380ac0f28f75c58a</t>
        </is>
      </c>
      <c r="BE435" s="24" t="inlineStr">
        <is>
          <t>soccer-poisson-dc-v1</t>
        </is>
      </c>
      <c r="BF435" s="24" t="inlineStr">
        <is>
          <t>1</t>
        </is>
      </c>
      <c r="BG435" s="24" t="inlineStr">
        <is>
          <t>f585a7f3cb7ee04f9a319a60fa601ef15e86636fadaaa8c1380ac0f28f75c58a</t>
        </is>
      </c>
      <c r="BH435" s="24" t="inlineStr">
        <is>
          <t>2026-08-30T16:04:54.819076Z</t>
        </is>
      </c>
      <c r="BI435" s="24" t="inlineStr">
        <is>
          <t>["same_event","same_team_same_day","same_league_same_day"]</t>
        </is>
      </c>
      <c r="BJ435" s="25" t="n"/>
      <c r="BK435" s="26" t="n">
        <v>127</v>
      </c>
      <c r="BL435" s="27" t="n">
        <v>2.27</v>
      </c>
      <c r="BM435" s="28" t="n">
        <v>0.440529</v>
      </c>
      <c r="BN435" s="28" t="n"/>
      <c r="BO435" s="28" t="n"/>
      <c r="BP435" s="25" t="n"/>
      <c r="BQ435" s="27" t="n">
        <v>2.27</v>
      </c>
      <c r="BR435" s="28" t="n">
        <v>0.44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0.440529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b8123d3e53664685</t>
        </is>
      </c>
      <c r="B436" s="24" t="inlineStr">
        <is>
          <t>2026-08-30T16:06:27.993415Z</t>
        </is>
      </c>
      <c r="C436" s="24" t="inlineStr">
        <is>
          <t>2026-08-30T18:00Z</t>
        </is>
      </c>
      <c r="D436" s="24" t="inlineStr">
        <is>
          <t>401844100</t>
        </is>
      </c>
      <c r="E436" s="24" t="inlineStr">
        <is>
          <t>SOCCER</t>
        </is>
      </c>
      <c r="F436" s="24" t="inlineStr">
        <is>
          <t>Deportivo Madryn</t>
        </is>
      </c>
      <c r="G436" s="24" t="inlineStr">
        <is>
          <t>Almirante Brown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144</v>
      </c>
      <c r="M436" s="27" t="n">
        <v>2.44</v>
      </c>
      <c r="N436" s="28" t="n">
        <v>0.409836</v>
      </c>
      <c r="O436" s="28" t="n">
        <v>0.456135</v>
      </c>
      <c r="P436" s="28" t="n">
        <v>0.2</v>
      </c>
      <c r="Q436" s="28" t="n">
        <v>0.046299</v>
      </c>
      <c r="R436" s="26" t="n">
        <v>0</v>
      </c>
      <c r="S436" s="29" t="n">
        <v>1</v>
      </c>
      <c r="T436" s="24" t="inlineStr">
        <is>
          <t>soccer-poisson-dc-v1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>
        <v>144</v>
      </c>
      <c r="AA436" s="28" t="n">
        <v>0.41</v>
      </c>
      <c r="AB436" s="28" t="n">
        <v>0.000164</v>
      </c>
      <c r="AC436" s="30" t="n">
        <v>1.44</v>
      </c>
      <c r="AD436" s="24" t="inlineStr">
        <is>
          <t>2026-08-31T04:36:52.799400Z</t>
        </is>
      </c>
      <c r="AE436" s="31" t="inlineStr">
        <is>
          <t>Poisson-DC rates 1.64 (home) / 1.24 (away) from EWMA attack/defense strengths. Executable ask 0.4100 (atc-arg2-alb-dma-2026-08-29-alb).</t>
        </is>
      </c>
      <c r="AF436" s="31" t="inlineStr">
        <is>
          <t>Research-only soccer score model; draw-aware, but not yet locked-holdout qualified.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Deportivo Madryn</t>
        </is>
      </c>
      <c r="AQ436" s="24" t="inlineStr">
        <is>
          <t>Deportivo Madryn</t>
        </is>
      </c>
      <c r="AR436" s="24" t="inlineStr">
        <is>
          <t>Deportivo Madryn</t>
        </is>
      </c>
      <c r="AS436" s="24" t="inlineStr">
        <is>
          <t>Almirante Brown</t>
        </is>
      </c>
      <c r="AT436" s="24" t="inlineStr">
        <is>
          <t>Almirante Brown</t>
        </is>
      </c>
      <c r="AU436" s="24" t="inlineStr">
        <is>
          <t>Almirante Brown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f585a7f3cb7ee04f9a319a60fa601ef15e86636fadaaa8c1380ac0f28f75c58a</t>
        </is>
      </c>
      <c r="BB436" s="24" t="inlineStr">
        <is>
          <t>poisson_dixon_coles</t>
        </is>
      </c>
      <c r="BC436" s="24" t="inlineStr">
        <is>
          <t>soccer-poisson-dc-v1</t>
        </is>
      </c>
      <c r="BD436" s="24" t="inlineStr">
        <is>
          <t>f585a7f3cb7ee04f9a319a60fa601ef15e86636fadaaa8c1380ac0f28f75c58a</t>
        </is>
      </c>
      <c r="BE436" s="24" t="inlineStr">
        <is>
          <t>soccer-poisson-dc-v1</t>
        </is>
      </c>
      <c r="BF436" s="24" t="inlineStr">
        <is>
          <t>1</t>
        </is>
      </c>
      <c r="BG436" s="24" t="inlineStr">
        <is>
          <t>f585a7f3cb7ee04f9a319a60fa601ef15e86636fadaaa8c1380ac0f28f75c58a</t>
        </is>
      </c>
      <c r="BH436" s="24" t="inlineStr">
        <is>
          <t>2026-08-30T16:04:54.841546Z</t>
        </is>
      </c>
      <c r="BI436" s="24" t="inlineStr">
        <is>
          <t>["same_event","same_team_same_day","same_league_same_day"]</t>
        </is>
      </c>
      <c r="BJ436" s="25" t="n"/>
      <c r="BK436" s="26" t="n">
        <v>144</v>
      </c>
      <c r="BL436" s="27" t="n">
        <v>2.44</v>
      </c>
      <c r="BM436" s="28" t="n">
        <v>0.409836</v>
      </c>
      <c r="BN436" s="28" t="n"/>
      <c r="BO436" s="28" t="n"/>
      <c r="BP436" s="25" t="n"/>
      <c r="BQ436" s="27" t="n">
        <v>2.44</v>
      </c>
      <c r="BR436" s="28" t="n">
        <v>0.41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0.409836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15abed4b696c4629</t>
        </is>
      </c>
      <c r="B437" s="24" t="inlineStr">
        <is>
          <t>2026-08-30T16:06:27.993415Z</t>
        </is>
      </c>
      <c r="C437" s="24" t="inlineStr">
        <is>
          <t>2026-08-30T18:00Z</t>
        </is>
      </c>
      <c r="D437" s="24" t="inlineStr">
        <is>
          <t>401844094</t>
        </is>
      </c>
      <c r="E437" s="24" t="inlineStr">
        <is>
          <t>SOCCER</t>
        </is>
      </c>
      <c r="F437" s="24" t="inlineStr">
        <is>
          <t>Central Norte</t>
        </is>
      </c>
      <c r="G437" s="24" t="inlineStr">
        <is>
          <t>Mitre (Santiago del Estero)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-104</v>
      </c>
      <c r="M437" s="27" t="n">
        <v>1.961538</v>
      </c>
      <c r="N437" s="28" t="n">
        <v>0.509804</v>
      </c>
      <c r="O437" s="28" t="n">
        <v>0.456135</v>
      </c>
      <c r="P437" s="28" t="n">
        <v>0.2</v>
      </c>
      <c r="Q437" s="28" t="n">
        <v>-0.053669</v>
      </c>
      <c r="R437" s="26" t="n">
        <v>0</v>
      </c>
      <c r="S437" s="29" t="n">
        <v>1</v>
      </c>
      <c r="T437" s="24" t="inlineStr">
        <is>
          <t>soccer-poisson-dc-v1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2</v>
      </c>
      <c r="Y437" s="25" t="n"/>
      <c r="Z437" s="26" t="n">
        <v>-104</v>
      </c>
      <c r="AA437" s="28" t="n">
        <v>0.51</v>
      </c>
      <c r="AB437" s="28" t="n">
        <v>0.000196</v>
      </c>
      <c r="AC437" s="30" t="n">
        <v>-1</v>
      </c>
      <c r="AD437" s="24" t="inlineStr">
        <is>
          <t>2026-08-31T04:36:54.516096Z</t>
        </is>
      </c>
      <c r="AE437" s="31" t="inlineStr">
        <is>
          <t>Poisson-DC rates 1.64 (home) / 1.24 (away) from EWMA attack/defense strengths. Executable ask 0.5100 (atc-arg2-cam-ccns-2026-08-29-cam).</t>
        </is>
      </c>
      <c r="AF437" s="31" t="inlineStr">
        <is>
          <t>Research-only soccer score model; draw-aware, but not yet locked-holdout qualified.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Central Norte</t>
        </is>
      </c>
      <c r="AQ437" s="24" t="inlineStr">
        <is>
          <t>Central Norte</t>
        </is>
      </c>
      <c r="AR437" s="24" t="inlineStr">
        <is>
          <t>Central Norte</t>
        </is>
      </c>
      <c r="AS437" s="24" t="inlineStr">
        <is>
          <t>Mitre (Santiago del Estero)</t>
        </is>
      </c>
      <c r="AT437" s="24" t="inlineStr">
        <is>
          <t>Mitre (Santiago del Estero)</t>
        </is>
      </c>
      <c r="AU437" s="24" t="inlineStr">
        <is>
          <t>Mitre (Santiago del Estero)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f585a7f3cb7ee04f9a319a60fa601ef15e86636fadaaa8c1380ac0f28f75c58a</t>
        </is>
      </c>
      <c r="BB437" s="24" t="inlineStr">
        <is>
          <t>poisson_dixon_coles</t>
        </is>
      </c>
      <c r="BC437" s="24" t="inlineStr">
        <is>
          <t>soccer-poisson-dc-v1</t>
        </is>
      </c>
      <c r="BD437" s="24" t="inlineStr">
        <is>
          <t>f585a7f3cb7ee04f9a319a60fa601ef15e86636fadaaa8c1380ac0f28f75c58a</t>
        </is>
      </c>
      <c r="BE437" s="24" t="inlineStr">
        <is>
          <t>soccer-poisson-dc-v1</t>
        </is>
      </c>
      <c r="BF437" s="24" t="inlineStr">
        <is>
          <t>1</t>
        </is>
      </c>
      <c r="BG437" s="24" t="inlineStr">
        <is>
          <t>f585a7f3cb7ee04f9a319a60fa601ef15e86636fadaaa8c1380ac0f28f75c58a</t>
        </is>
      </c>
      <c r="BH437" s="24" t="inlineStr">
        <is>
          <t>2026-08-30T16:04:54.875472Z</t>
        </is>
      </c>
      <c r="BI437" s="24" t="inlineStr">
        <is>
          <t>["same_event","same_team_same_day","same_league_same_day"]</t>
        </is>
      </c>
      <c r="BJ437" s="25" t="n"/>
      <c r="BK437" s="26" t="n">
        <v>-104</v>
      </c>
      <c r="BL437" s="27" t="n">
        <v>1.961538</v>
      </c>
      <c r="BM437" s="28" t="n">
        <v>0.509804</v>
      </c>
      <c r="BN437" s="28" t="n"/>
      <c r="BO437" s="28" t="n"/>
      <c r="BP437" s="25" t="n"/>
      <c r="BQ437" s="27" t="n">
        <v>1.961538</v>
      </c>
      <c r="BR437" s="28" t="n">
        <v>0.51</v>
      </c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0.509804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065912eb1bc84f38</t>
        </is>
      </c>
      <c r="B438" s="24" t="inlineStr">
        <is>
          <t>2026-08-30T16:06:27.993415Z</t>
        </is>
      </c>
      <c r="C438" s="24" t="inlineStr">
        <is>
          <t>2026-08-30T18:30Z</t>
        </is>
      </c>
      <c r="D438" s="24" t="inlineStr">
        <is>
          <t>401844083</t>
        </is>
      </c>
      <c r="E438" s="24" t="inlineStr">
        <is>
          <t>SOCCER</t>
        </is>
      </c>
      <c r="F438" s="24" t="inlineStr">
        <is>
          <t>Chaco For Ever</t>
        </is>
      </c>
      <c r="G438" s="24" t="inlineStr">
        <is>
          <t>All Boys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156</v>
      </c>
      <c r="M438" s="27" t="n">
        <v>2.56</v>
      </c>
      <c r="N438" s="28" t="n">
        <v>0.390625</v>
      </c>
      <c r="O438" s="28" t="n">
        <v>0.456135</v>
      </c>
      <c r="P438" s="28" t="n">
        <v>0.2</v>
      </c>
      <c r="Q438" s="28" t="n">
        <v>0.06551</v>
      </c>
      <c r="R438" s="26" t="n">
        <v>0</v>
      </c>
      <c r="S438" s="29" t="n">
        <v>1</v>
      </c>
      <c r="T438" s="24" t="inlineStr">
        <is>
          <t>soccer-poisson-dc-v1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0</v>
      </c>
      <c r="Y438" s="25" t="n"/>
      <c r="Z438" s="26" t="n">
        <v>156</v>
      </c>
      <c r="AA438" s="28" t="n">
        <v>0.39</v>
      </c>
      <c r="AB438" s="28" t="n">
        <v>-0.000625</v>
      </c>
      <c r="AC438" s="30" t="n">
        <v>-1</v>
      </c>
      <c r="AD438" s="24" t="inlineStr">
        <is>
          <t>2026-08-31T04:36:56.218501Z</t>
        </is>
      </c>
      <c r="AE438" s="31" t="inlineStr">
        <is>
          <t>Poisson-DC rates 1.64 (home) / 1.24 (away) from EWMA attack/defense strengths. Executable ask 0.3900 (atc-arg2-abo-cfe-2026-08-29-abo).</t>
        </is>
      </c>
      <c r="AF438" s="31" t="inlineStr">
        <is>
          <t>Research-only soccer score model; draw-aware, but not yet locked-holdout qualified.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Chaco For Ever</t>
        </is>
      </c>
      <c r="AQ438" s="24" t="inlineStr">
        <is>
          <t>Chaco For Ever</t>
        </is>
      </c>
      <c r="AR438" s="24" t="inlineStr">
        <is>
          <t>Chaco For Ever</t>
        </is>
      </c>
      <c r="AS438" s="24" t="inlineStr">
        <is>
          <t>All Boys</t>
        </is>
      </c>
      <c r="AT438" s="24" t="inlineStr">
        <is>
          <t>All Boys</t>
        </is>
      </c>
      <c r="AU438" s="24" t="inlineStr">
        <is>
          <t>All Boys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f585a7f3cb7ee04f9a319a60fa601ef15e86636fadaaa8c1380ac0f28f75c58a</t>
        </is>
      </c>
      <c r="BB438" s="24" t="inlineStr">
        <is>
          <t>poisson_dixon_coles</t>
        </is>
      </c>
      <c r="BC438" s="24" t="inlineStr">
        <is>
          <t>soccer-poisson-dc-v1</t>
        </is>
      </c>
      <c r="BD438" s="24" t="inlineStr">
        <is>
          <t>f585a7f3cb7ee04f9a319a60fa601ef15e86636fadaaa8c1380ac0f28f75c58a</t>
        </is>
      </c>
      <c r="BE438" s="24" t="inlineStr">
        <is>
          <t>soccer-poisson-dc-v1</t>
        </is>
      </c>
      <c r="BF438" s="24" t="inlineStr">
        <is>
          <t>1</t>
        </is>
      </c>
      <c r="BG438" s="24" t="inlineStr">
        <is>
          <t>f585a7f3cb7ee04f9a319a60fa601ef15e86636fadaaa8c1380ac0f28f75c58a</t>
        </is>
      </c>
      <c r="BH438" s="24" t="inlineStr">
        <is>
          <t>2026-08-30T16:04:54.925768Z</t>
        </is>
      </c>
      <c r="BI438" s="24" t="inlineStr">
        <is>
          <t>["same_event","same_team_same_day","same_league_same_day"]</t>
        </is>
      </c>
      <c r="BJ438" s="25" t="n"/>
      <c r="BK438" s="26" t="n">
        <v>156</v>
      </c>
      <c r="BL438" s="27" t="n">
        <v>2.56</v>
      </c>
      <c r="BM438" s="28" t="n">
        <v>0.390625</v>
      </c>
      <c r="BN438" s="28" t="n"/>
      <c r="BO438" s="28" t="n"/>
      <c r="BP438" s="25" t="n"/>
      <c r="BQ438" s="27" t="n">
        <v>2.56</v>
      </c>
      <c r="BR438" s="28" t="n">
        <v>0.39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0.390625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aeddd5258d5a4b76</t>
        </is>
      </c>
      <c r="B439" s="24" t="inlineStr">
        <is>
          <t>2026-08-30T16:06:27.993415Z</t>
        </is>
      </c>
      <c r="C439" s="24" t="inlineStr">
        <is>
          <t>2026-08-30T18:30Z</t>
        </is>
      </c>
      <c r="D439" s="24" t="inlineStr">
        <is>
          <t>401844093</t>
        </is>
      </c>
      <c r="E439" s="24" t="inlineStr">
        <is>
          <t>SOCCER</t>
        </is>
      </c>
      <c r="F439" s="24" t="inlineStr">
        <is>
          <t>Almagro</t>
        </is>
      </c>
      <c r="G439" s="24" t="inlineStr">
        <is>
          <t>Patronato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-144</v>
      </c>
      <c r="M439" s="27" t="n">
        <v>1.694444</v>
      </c>
      <c r="N439" s="28" t="n">
        <v>0.590164</v>
      </c>
      <c r="O439" s="28" t="n">
        <v>0.456135</v>
      </c>
      <c r="P439" s="28" t="n">
        <v>0.2</v>
      </c>
      <c r="Q439" s="28" t="n">
        <v>-0.134029</v>
      </c>
      <c r="R439" s="26" t="n">
        <v>0</v>
      </c>
      <c r="S439" s="29" t="n">
        <v>1</v>
      </c>
      <c r="T439" s="24" t="inlineStr">
        <is>
          <t>soccer-poisson-dc-v1</t>
        </is>
      </c>
      <c r="U439" s="24" t="inlineStr">
        <is>
          <t>settled</t>
        </is>
      </c>
      <c r="V439" s="24" t="inlineStr">
        <is>
          <t>loss</t>
        </is>
      </c>
      <c r="W439" s="26" t="n">
        <v>1</v>
      </c>
      <c r="X439" s="26" t="n">
        <v>0</v>
      </c>
      <c r="Y439" s="25" t="n"/>
      <c r="Z439" s="26" t="n">
        <v>-144</v>
      </c>
      <c r="AA439" s="28" t="n">
        <v>0.59</v>
      </c>
      <c r="AB439" s="28" t="n">
        <v>-0.000164</v>
      </c>
      <c r="AC439" s="30" t="n">
        <v>-1</v>
      </c>
      <c r="AD439" s="24" t="inlineStr">
        <is>
          <t>2026-08-31T04:36:57.883672Z</t>
        </is>
      </c>
      <c r="AE439" s="31" t="inlineStr">
        <is>
          <t>Poisson-DC rates 1.64 (home) / 1.24 (away) from EWMA attack/defense strengths. Executable ask 0.5900 (atc-arg2-cap-alm-2026-08-29-cap).</t>
        </is>
      </c>
      <c r="AF439" s="31" t="inlineStr">
        <is>
          <t>Research-only soccer score model; draw-aware, but not yet locked-holdout qualified.</t>
        </is>
      </c>
      <c r="AG439" s="24" t="inlineStr">
        <is>
          <t>review_required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Almagro</t>
        </is>
      </c>
      <c r="AQ439" s="24" t="inlineStr">
        <is>
          <t>Almagro</t>
        </is>
      </c>
      <c r="AR439" s="24" t="inlineStr">
        <is>
          <t>Almagro</t>
        </is>
      </c>
      <c r="AS439" s="24" t="inlineStr">
        <is>
          <t>Patronato</t>
        </is>
      </c>
      <c r="AT439" s="24" t="inlineStr">
        <is>
          <t>Patronato</t>
        </is>
      </c>
      <c r="AU439" s="24" t="inlineStr">
        <is>
          <t>Patronato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f585a7f3cb7ee04f9a319a60fa601ef15e86636fadaaa8c1380ac0f28f75c58a</t>
        </is>
      </c>
      <c r="BB439" s="24" t="inlineStr">
        <is>
          <t>poisson_dixon_coles</t>
        </is>
      </c>
      <c r="BC439" s="24" t="inlineStr">
        <is>
          <t>soccer-poisson-dc-v1</t>
        </is>
      </c>
      <c r="BD439" s="24" t="inlineStr">
        <is>
          <t>f585a7f3cb7ee04f9a319a60fa601ef15e86636fadaaa8c1380ac0f28f75c58a</t>
        </is>
      </c>
      <c r="BE439" s="24" t="inlineStr">
        <is>
          <t>soccer-poisson-dc-v1</t>
        </is>
      </c>
      <c r="BF439" s="24" t="inlineStr">
        <is>
          <t>1</t>
        </is>
      </c>
      <c r="BG439" s="24" t="inlineStr">
        <is>
          <t>f585a7f3cb7ee04f9a319a60fa601ef15e86636fadaaa8c1380ac0f28f75c58a</t>
        </is>
      </c>
      <c r="BH439" s="24" t="inlineStr">
        <is>
          <t>2026-08-30T16:04:54.890180Z</t>
        </is>
      </c>
      <c r="BI439" s="24" t="inlineStr">
        <is>
          <t>["same_event","same_team_same_day","same_league_same_day"]</t>
        </is>
      </c>
      <c r="BJ439" s="25" t="n"/>
      <c r="BK439" s="26" t="n">
        <v>-144</v>
      </c>
      <c r="BL439" s="27" t="n">
        <v>1.694444</v>
      </c>
      <c r="BM439" s="28" t="n">
        <v>0.590164</v>
      </c>
      <c r="BN439" s="28" t="n"/>
      <c r="BO439" s="28" t="n"/>
      <c r="BP439" s="25" t="n"/>
      <c r="BQ439" s="27" t="n">
        <v>1.694444</v>
      </c>
      <c r="BR439" s="28" t="n">
        <v>0.59</v>
      </c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0.590164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b42ea5d97d9c4da0</t>
        </is>
      </c>
      <c r="B440" s="24" t="inlineStr">
        <is>
          <t>2026-08-30T16:06:27.993415Z</t>
        </is>
      </c>
      <c r="C440" s="24" t="inlineStr">
        <is>
          <t>2026-08-30T22:00Z</t>
        </is>
      </c>
      <c r="D440" s="24" t="inlineStr">
        <is>
          <t>401844092</t>
        </is>
      </c>
      <c r="E440" s="24" t="inlineStr">
        <is>
          <t>SOCCER</t>
        </is>
      </c>
      <c r="F440" s="24" t="inlineStr">
        <is>
          <t>Temperley</t>
        </is>
      </c>
      <c r="G440" s="24" t="inlineStr">
        <is>
          <t>Quilmes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104</v>
      </c>
      <c r="M440" s="27" t="n">
        <v>2.04</v>
      </c>
      <c r="N440" s="28" t="n">
        <v>0.490196</v>
      </c>
      <c r="O440" s="28" t="n">
        <v>0.440521</v>
      </c>
      <c r="P440" s="28" t="n">
        <v>0.2</v>
      </c>
      <c r="Q440" s="28" t="n">
        <v>-0.049675</v>
      </c>
      <c r="R440" s="26" t="n">
        <v>0</v>
      </c>
      <c r="S440" s="29" t="n">
        <v>1</v>
      </c>
      <c r="T440" s="24" t="inlineStr">
        <is>
          <t>soccer-poisson-dc-v1</t>
        </is>
      </c>
      <c r="U440" s="24" t="inlineStr">
        <is>
          <t>settled</t>
        </is>
      </c>
      <c r="V440" s="24" t="inlineStr">
        <is>
          <t>loss</t>
        </is>
      </c>
      <c r="W440" s="26" t="n">
        <v>1</v>
      </c>
      <c r="X440" s="26" t="n">
        <v>0</v>
      </c>
      <c r="Y440" s="25" t="n"/>
      <c r="Z440" s="26" t="n">
        <v>104</v>
      </c>
      <c r="AA440" s="28" t="n">
        <v>0.49</v>
      </c>
      <c r="AB440" s="28" t="n">
        <v>-0.000196</v>
      </c>
      <c r="AC440" s="30" t="n">
        <v>-1</v>
      </c>
      <c r="AD440" s="24" t="inlineStr">
        <is>
          <t>2026-08-31T04:36:59.589037Z</t>
        </is>
      </c>
      <c r="AE440" s="31" t="inlineStr">
        <is>
          <t>Poisson-DC rates 1.46 (home) / 1.10 (away) from EWMA attack/defense strengths. Executable ask 0.4900 (atc-arg2-qui-cat-2026-08-29-qui).</t>
        </is>
      </c>
      <c r="AF440" s="31" t="inlineStr">
        <is>
          <t>Research-only soccer score model; draw-aware, but not yet locked-holdout qualified.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PAPER_CALL_MODEL_UNVALIDATED</t>
        </is>
      </c>
      <c r="AP440" s="24" t="inlineStr">
        <is>
          <t>Temperley</t>
        </is>
      </c>
      <c r="AQ440" s="24" t="inlineStr">
        <is>
          <t>Temperley</t>
        </is>
      </c>
      <c r="AR440" s="24" t="inlineStr">
        <is>
          <t>Temperley</t>
        </is>
      </c>
      <c r="AS440" s="24" t="inlineStr">
        <is>
          <t>Quilmes</t>
        </is>
      </c>
      <c r="AT440" s="24" t="inlineStr">
        <is>
          <t>Quilmes</t>
        </is>
      </c>
      <c r="AU440" s="24" t="inlineStr">
        <is>
          <t>Quilmes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f585a7f3cb7ee04f9a319a60fa601ef15e86636fadaaa8c1380ac0f28f75c58a</t>
        </is>
      </c>
      <c r="BB440" s="24" t="inlineStr">
        <is>
          <t>poisson_dixon_coles</t>
        </is>
      </c>
      <c r="BC440" s="24" t="inlineStr">
        <is>
          <t>soccer-poisson-dc-v1</t>
        </is>
      </c>
      <c r="BD440" s="24" t="inlineStr">
        <is>
          <t>f585a7f3cb7ee04f9a319a60fa601ef15e86636fadaaa8c1380ac0f28f75c58a</t>
        </is>
      </c>
      <c r="BE440" s="24" t="inlineStr">
        <is>
          <t>soccer-poisson-dc-v1</t>
        </is>
      </c>
      <c r="BF440" s="24" t="inlineStr">
        <is>
          <t>1</t>
        </is>
      </c>
      <c r="BG440" s="24" t="inlineStr">
        <is>
          <t>f585a7f3cb7ee04f9a319a60fa601ef15e86636fadaaa8c1380ac0f28f75c58a</t>
        </is>
      </c>
      <c r="BH440" s="24" t="inlineStr">
        <is>
          <t>2026-08-30T16:04:54.964123Z</t>
        </is>
      </c>
      <c r="BI440" s="24" t="inlineStr">
        <is>
          <t>["same_event","same_team_same_day","same_league_same_day"]</t>
        </is>
      </c>
      <c r="BJ440" s="25" t="n"/>
      <c r="BK440" s="26" t="n">
        <v>104</v>
      </c>
      <c r="BL440" s="27" t="n">
        <v>2.04</v>
      </c>
      <c r="BM440" s="28" t="n">
        <v>0.490196</v>
      </c>
      <c r="BN440" s="28" t="n"/>
      <c r="BO440" s="28" t="n"/>
      <c r="BP440" s="25" t="n"/>
      <c r="BQ440" s="27" t="n">
        <v>2.04</v>
      </c>
      <c r="BR440" s="28" t="n">
        <v>0.49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0.490196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fad22036e85c41ee</t>
        </is>
      </c>
      <c r="B441" s="24" t="inlineStr">
        <is>
          <t>2026-08-30T16:06:27.993415Z</t>
        </is>
      </c>
      <c r="C441" s="24" t="inlineStr">
        <is>
          <t>2026-08-30T23:15Z</t>
        </is>
      </c>
      <c r="D441" s="24" t="inlineStr">
        <is>
          <t>401878042</t>
        </is>
      </c>
      <c r="E441" s="24" t="inlineStr">
        <is>
          <t>SOCCER</t>
        </is>
      </c>
      <c r="F441" s="24" t="inlineStr">
        <is>
          <t>Internacional de Bogotá</t>
        </is>
      </c>
      <c r="G441" s="24" t="inlineStr">
        <is>
          <t>Millonarios</t>
        </is>
      </c>
      <c r="H441" s="24" t="inlineStr">
        <is>
          <t>moneyline</t>
        </is>
      </c>
      <c r="I441" s="24" t="inlineStr">
        <is>
          <t>home</t>
        </is>
      </c>
      <c r="J441" s="25" t="n"/>
      <c r="K441" s="24" t="inlineStr">
        <is>
          <t>polymarket_us</t>
        </is>
      </c>
      <c r="L441" s="26" t="n">
        <v>-194</v>
      </c>
      <c r="M441" s="27" t="n">
        <v>1.515464</v>
      </c>
      <c r="N441" s="28" t="n">
        <v>0.659864</v>
      </c>
      <c r="O441" s="28" t="n">
        <v>0.440521</v>
      </c>
      <c r="P441" s="28" t="n">
        <v>0.2</v>
      </c>
      <c r="Q441" s="28" t="n">
        <v>-0.219343</v>
      </c>
      <c r="R441" s="26" t="n">
        <v>0</v>
      </c>
      <c r="S441" s="29" t="n">
        <v>1</v>
      </c>
      <c r="T441" s="24" t="inlineStr">
        <is>
          <t>soccer-poisson-dc-v1</t>
        </is>
      </c>
      <c r="U441" s="24" t="inlineStr">
        <is>
          <t>settled</t>
        </is>
      </c>
      <c r="V441" s="24" t="inlineStr">
        <is>
          <t>loss</t>
        </is>
      </c>
      <c r="W441" s="26" t="n">
        <v>0</v>
      </c>
      <c r="X441" s="26" t="n">
        <v>0</v>
      </c>
      <c r="Y441" s="25" t="n"/>
      <c r="Z441" s="26" t="n">
        <v>-194</v>
      </c>
      <c r="AA441" s="28" t="n">
        <v>0.66</v>
      </c>
      <c r="AB441" s="28" t="n">
        <v>0.000136</v>
      </c>
      <c r="AC441" s="30" t="n">
        <v>-1</v>
      </c>
      <c r="AD441" s="24" t="inlineStr">
        <is>
          <t>2026-08-31T04:37:01.373706Z</t>
        </is>
      </c>
      <c r="AE441" s="31" t="inlineStr">
        <is>
          <t>Poisson-DC rates 1.46 (home) / 1.10 (away) from EWMA attack/defense strengths. Executable ask 0.6600 (atc-lco-mil-leq-2026-08-30-mil).</t>
        </is>
      </c>
      <c r="AF441" s="31" t="inlineStr">
        <is>
          <t>Research-only soccer score model; draw-aware, but not yet locked-holdout qualified.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PAPER_CALL_MODEL_UNVALIDATED</t>
        </is>
      </c>
      <c r="AP441" s="24" t="inlineStr">
        <is>
          <t>Internacional de Bogotá</t>
        </is>
      </c>
      <c r="AQ441" s="24" t="inlineStr">
        <is>
          <t>Internacional de Bogotá</t>
        </is>
      </c>
      <c r="AR441" s="24" t="inlineStr">
        <is>
          <t>Internacional de Bogotá</t>
        </is>
      </c>
      <c r="AS441" s="24" t="inlineStr">
        <is>
          <t>Millonarios</t>
        </is>
      </c>
      <c r="AT441" s="24" t="inlineStr">
        <is>
          <t>Millonarios</t>
        </is>
      </c>
      <c r="AU441" s="24" t="inlineStr">
        <is>
          <t>Millonarios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f585a7f3cb7ee04f9a319a60fa601ef15e86636fadaaa8c1380ac0f28f75c58a</t>
        </is>
      </c>
      <c r="BB441" s="24" t="inlineStr">
        <is>
          <t>poisson_dixon_coles</t>
        </is>
      </c>
      <c r="BC441" s="24" t="inlineStr">
        <is>
          <t>soccer-poisson-dc-v1</t>
        </is>
      </c>
      <c r="BD441" s="24" t="inlineStr">
        <is>
          <t>f585a7f3cb7ee04f9a319a60fa601ef15e86636fadaaa8c1380ac0f28f75c58a</t>
        </is>
      </c>
      <c r="BE441" s="24" t="inlineStr">
        <is>
          <t>soccer-poisson-dc-v1</t>
        </is>
      </c>
      <c r="BF441" s="24" t="inlineStr">
        <is>
          <t>1</t>
        </is>
      </c>
      <c r="BG441" s="24" t="inlineStr">
        <is>
          <t>f585a7f3cb7ee04f9a319a60fa601ef15e86636fadaaa8c1380ac0f28f75c58a</t>
        </is>
      </c>
      <c r="BH441" s="24" t="inlineStr">
        <is>
          <t>2026-08-30T16:04:55.019325Z</t>
        </is>
      </c>
      <c r="BI441" s="24" t="inlineStr">
        <is>
          <t>["same_event","same_team_same_day","same_league_same_day"]</t>
        </is>
      </c>
      <c r="BJ441" s="25" t="n"/>
      <c r="BK441" s="26" t="n">
        <v>-194</v>
      </c>
      <c r="BL441" s="27" t="n">
        <v>1.515464</v>
      </c>
      <c r="BM441" s="28" t="n">
        <v>0.659864</v>
      </c>
      <c r="BN441" s="28" t="n"/>
      <c r="BO441" s="28" t="n"/>
      <c r="BP441" s="25" t="n"/>
      <c r="BQ441" s="27" t="n">
        <v>1.515464</v>
      </c>
      <c r="BR441" s="28" t="n">
        <v>0.66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0.659864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ff18a68a35974aac</t>
        </is>
      </c>
      <c r="B442" s="24" t="inlineStr">
        <is>
          <t>2026-08-30T16:06:27.993415Z</t>
        </is>
      </c>
      <c r="C442" s="24" t="inlineStr">
        <is>
          <t>2026-08-30T21:30Z</t>
        </is>
      </c>
      <c r="D442" s="24" t="inlineStr">
        <is>
          <t>401850642</t>
        </is>
      </c>
      <c r="E442" s="24" t="inlineStr">
        <is>
          <t>SOCCER</t>
        </is>
      </c>
      <c r="F442" s="24" t="inlineStr">
        <is>
          <t>Audax Italiano</t>
        </is>
      </c>
      <c r="G442" s="24" t="inlineStr">
        <is>
          <t>Colo Colo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-203</v>
      </c>
      <c r="M442" s="27" t="n">
        <v>1.492611</v>
      </c>
      <c r="N442" s="28" t="n">
        <v>0.669967</v>
      </c>
      <c r="O442" s="28" t="n">
        <v>0.500109</v>
      </c>
      <c r="P442" s="28" t="n">
        <v>0.19</v>
      </c>
      <c r="Q442" s="28" t="n">
        <v>-0.169858</v>
      </c>
      <c r="R442" s="26" t="n">
        <v>0</v>
      </c>
      <c r="S442" s="29" t="n">
        <v>1</v>
      </c>
      <c r="T442" s="24" t="inlineStr">
        <is>
          <t>soccer-poisson-dc-v1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5</v>
      </c>
      <c r="Y442" s="25" t="n"/>
      <c r="Z442" s="26" t="n">
        <v>-203</v>
      </c>
      <c r="AA442" s="28" t="n">
        <v>0.67</v>
      </c>
      <c r="AB442" s="28" t="n">
        <v>3.3e-05</v>
      </c>
      <c r="AC442" s="30" t="n">
        <v>0.4926</v>
      </c>
      <c r="AD442" s="24" t="inlineStr">
        <is>
          <t>2026-08-31T04:37:03.151290Z</t>
        </is>
      </c>
      <c r="AE442" s="31" t="inlineStr">
        <is>
          <t>Poisson-DC rates 1.66 (home) / 1.07 (away) from EWMA attack/defense strengths. Executable ask 0.6700 (atc-pdc-col-aud-2026-08-30-col).</t>
        </is>
      </c>
      <c r="AF442" s="31" t="inlineStr">
        <is>
          <t>Research-only soccer score model; draw-aware, but not yet locked-holdout qualified.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PAPER_CALL_MODEL_UNVALIDATED</t>
        </is>
      </c>
      <c r="AP442" s="24" t="inlineStr">
        <is>
          <t>Audax Italiano</t>
        </is>
      </c>
      <c r="AQ442" s="24" t="inlineStr">
        <is>
          <t>Audax Italiano</t>
        </is>
      </c>
      <c r="AR442" s="24" t="inlineStr">
        <is>
          <t>Audax Italiano</t>
        </is>
      </c>
      <c r="AS442" s="24" t="inlineStr">
        <is>
          <t>Colo Colo</t>
        </is>
      </c>
      <c r="AT442" s="24" t="inlineStr">
        <is>
          <t>Colo Colo</t>
        </is>
      </c>
      <c r="AU442" s="24" t="inlineStr">
        <is>
          <t>Colo Colo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f585a7f3cb7ee04f9a319a60fa601ef15e86636fadaaa8c1380ac0f28f75c58a</t>
        </is>
      </c>
      <c r="BB442" s="24" t="inlineStr">
        <is>
          <t>poisson_dixon_coles</t>
        </is>
      </c>
      <c r="BC442" s="24" t="inlineStr">
        <is>
          <t>soccer-poisson-dc-v1</t>
        </is>
      </c>
      <c r="BD442" s="24" t="inlineStr">
        <is>
          <t>f585a7f3cb7ee04f9a319a60fa601ef15e86636fadaaa8c1380ac0f28f75c58a</t>
        </is>
      </c>
      <c r="BE442" s="24" t="inlineStr">
        <is>
          <t>soccer-poisson-dc-v1</t>
        </is>
      </c>
      <c r="BF442" s="24" t="inlineStr">
        <is>
          <t>1</t>
        </is>
      </c>
      <c r="BG442" s="24" t="inlineStr">
        <is>
          <t>f585a7f3cb7ee04f9a319a60fa601ef15e86636fadaaa8c1380ac0f28f75c58a</t>
        </is>
      </c>
      <c r="BH442" s="24" t="inlineStr">
        <is>
          <t>2026-08-30T16:04:55.056083Z</t>
        </is>
      </c>
      <c r="BI442" s="24" t="inlineStr">
        <is>
          <t>["same_event","same_team_same_day","same_league_same_day"]</t>
        </is>
      </c>
      <c r="BJ442" s="25" t="n"/>
      <c r="BK442" s="26" t="n">
        <v>-203</v>
      </c>
      <c r="BL442" s="27" t="n">
        <v>1.492611</v>
      </c>
      <c r="BM442" s="28" t="n">
        <v>0.669967</v>
      </c>
      <c r="BN442" s="28" t="n"/>
      <c r="BO442" s="28" t="n"/>
      <c r="BP442" s="25" t="n"/>
      <c r="BQ442" s="27" t="n">
        <v>1.492611</v>
      </c>
      <c r="BR442" s="28" t="n">
        <v>0.67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0.669967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cf9f5c65dc014ecb</t>
        </is>
      </c>
      <c r="B443" s="24" t="inlineStr">
        <is>
          <t>2026-08-30T16:06:27.993415Z</t>
        </is>
      </c>
      <c r="C443" s="24" t="inlineStr">
        <is>
          <t>2026-08-31T00:00Z</t>
        </is>
      </c>
      <c r="D443" s="24" t="inlineStr">
        <is>
          <t>401850641</t>
        </is>
      </c>
      <c r="E443" s="24" t="inlineStr">
        <is>
          <t>SOCCER</t>
        </is>
      </c>
      <c r="F443" s="24" t="inlineStr">
        <is>
          <t>Huachipato</t>
        </is>
      </c>
      <c r="G443" s="24" t="inlineStr">
        <is>
          <t>Coquimbo Unido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-203</v>
      </c>
      <c r="M443" s="27" t="n">
        <v>1.492611</v>
      </c>
      <c r="N443" s="28" t="n">
        <v>0.669967</v>
      </c>
      <c r="O443" s="28" t="n">
        <v>0.418807</v>
      </c>
      <c r="P443" s="28" t="n">
        <v>0.2</v>
      </c>
      <c r="Q443" s="28" t="n">
        <v>-0.25116</v>
      </c>
      <c r="R443" s="26" t="n">
        <v>0</v>
      </c>
      <c r="S443" s="29" t="n">
        <v>1</v>
      </c>
      <c r="T443" s="24" t="inlineStr">
        <is>
          <t>soccer-poisson-dc-v1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-203</v>
      </c>
      <c r="AA443" s="28" t="n">
        <v>0.67</v>
      </c>
      <c r="AB443" s="28" t="n">
        <v>3.3e-05</v>
      </c>
      <c r="AC443" s="30" t="n">
        <v>-1</v>
      </c>
      <c r="AD443" s="24" t="inlineStr">
        <is>
          <t>2026-09-16T22:01:05.973548Z</t>
        </is>
      </c>
      <c r="AE443" s="31" t="inlineStr">
        <is>
          <t>Poisson-DC rates 1.46 (home) / 1.20 (away) from EWMA attack/defense strengths. Executable ask 0.6700 (atc-pdc-coq-hua-2026-08-30-coq).</t>
        </is>
      </c>
      <c r="AF443" s="31" t="inlineStr">
        <is>
          <t>Research-only soccer score model; draw-aware, but not yet locked-holdout qualified.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PAPER_CALL_MODEL_UNVALIDATED</t>
        </is>
      </c>
      <c r="AP443" s="24" t="inlineStr">
        <is>
          <t>Huachipato</t>
        </is>
      </c>
      <c r="AQ443" s="24" t="inlineStr">
        <is>
          <t>Huachipato</t>
        </is>
      </c>
      <c r="AR443" s="24" t="inlineStr">
        <is>
          <t>Huachipato</t>
        </is>
      </c>
      <c r="AS443" s="24" t="inlineStr">
        <is>
          <t>Coquimbo Unido</t>
        </is>
      </c>
      <c r="AT443" s="24" t="inlineStr">
        <is>
          <t>Coquimbo Unido</t>
        </is>
      </c>
      <c r="AU443" s="24" t="inlineStr">
        <is>
          <t>Coquimbo Unido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f585a7f3cb7ee04f9a319a60fa601ef15e86636fadaaa8c1380ac0f28f75c58a</t>
        </is>
      </c>
      <c r="BB443" s="24" t="inlineStr">
        <is>
          <t>poisson_dixon_coles</t>
        </is>
      </c>
      <c r="BC443" s="24" t="inlineStr">
        <is>
          <t>soccer-poisson-dc-v1</t>
        </is>
      </c>
      <c r="BD443" s="24" t="inlineStr">
        <is>
          <t>f585a7f3cb7ee04f9a319a60fa601ef15e86636fadaaa8c1380ac0f28f75c58a</t>
        </is>
      </c>
      <c r="BE443" s="24" t="inlineStr">
        <is>
          <t>soccer-poisson-dc-v1</t>
        </is>
      </c>
      <c r="BF443" s="24" t="inlineStr">
        <is>
          <t>1</t>
        </is>
      </c>
      <c r="BG443" s="24" t="inlineStr">
        <is>
          <t>f585a7f3cb7ee04f9a319a60fa601ef15e86636fadaaa8c1380ac0f28f75c58a</t>
        </is>
      </c>
      <c r="BH443" s="24" t="inlineStr">
        <is>
          <t>2026-08-30T16:04:55.102019Z</t>
        </is>
      </c>
      <c r="BI443" s="24" t="inlineStr">
        <is>
          <t>["same_event","same_team_same_day","same_league_same_day"]</t>
        </is>
      </c>
      <c r="BJ443" s="25" t="n"/>
      <c r="BK443" s="26" t="n">
        <v>-203</v>
      </c>
      <c r="BL443" s="27" t="n">
        <v>1.492611</v>
      </c>
      <c r="BM443" s="28" t="n">
        <v>0.669967</v>
      </c>
      <c r="BN443" s="28" t="n"/>
      <c r="BO443" s="28" t="n"/>
      <c r="BP443" s="25" t="n"/>
      <c r="BQ443" s="27" t="n">
        <v>1.492611</v>
      </c>
      <c r="BR443" s="28" t="n">
        <v>0.67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0.669967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e264d20f33974810</t>
        </is>
      </c>
      <c r="B444" s="24" t="inlineStr">
        <is>
          <t>2026-08-30T16:06:27.993415Z</t>
        </is>
      </c>
      <c r="C444" s="24" t="inlineStr">
        <is>
          <t>2026-08-30T22:00Z</t>
        </is>
      </c>
      <c r="D444" s="24" t="inlineStr">
        <is>
          <t>401912468</t>
        </is>
      </c>
      <c r="E444" s="24" t="inlineStr">
        <is>
          <t>SOCCER</t>
        </is>
      </c>
      <c r="F444" s="24" t="inlineStr">
        <is>
          <t>Liverpool</t>
        </is>
      </c>
      <c r="G444" s="24" t="inlineStr">
        <is>
          <t>Cerro Largo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270</v>
      </c>
      <c r="M444" s="27" t="n">
        <v>3.7</v>
      </c>
      <c r="N444" s="28" t="n">
        <v>0.27027</v>
      </c>
      <c r="O444" s="28" t="n">
        <v>0.40517</v>
      </c>
      <c r="P444" s="28" t="n">
        <v>0.2</v>
      </c>
      <c r="Q444" s="28" t="n">
        <v>0.1349</v>
      </c>
      <c r="R444" s="26" t="n">
        <v>0</v>
      </c>
      <c r="S444" s="29" t="n">
        <v>1</v>
      </c>
      <c r="T444" s="24" t="inlineStr">
        <is>
          <t>soccer-poisson-dc-v1</t>
        </is>
      </c>
      <c r="U444" s="24" t="inlineStr">
        <is>
          <t>settled</t>
        </is>
      </c>
      <c r="V444" s="24" t="inlineStr">
        <is>
          <t>loss</t>
        </is>
      </c>
      <c r="W444" s="26" t="n">
        <v>1</v>
      </c>
      <c r="X444" s="26" t="n">
        <v>1</v>
      </c>
      <c r="Y444" s="25" t="n"/>
      <c r="Z444" s="26" t="n">
        <v>270</v>
      </c>
      <c r="AA444" s="28" t="n">
        <v>0.27</v>
      </c>
      <c r="AB444" s="28" t="n">
        <v>-0.00027</v>
      </c>
      <c r="AC444" s="30" t="n">
        <v>-1</v>
      </c>
      <c r="AD444" s="24" t="inlineStr">
        <is>
          <t>2026-08-31T04:37:04.943879Z</t>
        </is>
      </c>
      <c r="AE444" s="31" t="inlineStr">
        <is>
          <t>Poisson-DC rates 1.62 (home) / 1.46 (away) from EWMA attack/defense strengths. Executable ask 0.2700 (atc-uru1-cla-liv-2026-08-30-cla).</t>
        </is>
      </c>
      <c r="AF444" s="31" t="inlineStr">
        <is>
          <t>Research-only soccer score model; draw-aware, but not yet locked-holdout qualified.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PAPER_CALL_MODEL_UNVALIDATED</t>
        </is>
      </c>
      <c r="AP444" s="24" t="inlineStr">
        <is>
          <t>Liverpool</t>
        </is>
      </c>
      <c r="AQ444" s="24" t="inlineStr">
        <is>
          <t>Liverpool</t>
        </is>
      </c>
      <c r="AR444" s="24" t="inlineStr">
        <is>
          <t>Liverpool</t>
        </is>
      </c>
      <c r="AS444" s="24" t="inlineStr">
        <is>
          <t>Cerro Largo</t>
        </is>
      </c>
      <c r="AT444" s="24" t="inlineStr">
        <is>
          <t>Cerro Largo</t>
        </is>
      </c>
      <c r="AU444" s="24" t="inlineStr">
        <is>
          <t>Cerro Largo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f585a7f3cb7ee04f9a319a60fa601ef15e86636fadaaa8c1380ac0f28f75c58a</t>
        </is>
      </c>
      <c r="BB444" s="24" t="inlineStr">
        <is>
          <t>poisson_dixon_coles</t>
        </is>
      </c>
      <c r="BC444" s="24" t="inlineStr">
        <is>
          <t>soccer-poisson-dc-v1</t>
        </is>
      </c>
      <c r="BD444" s="24" t="inlineStr">
        <is>
          <t>f585a7f3cb7ee04f9a319a60fa601ef15e86636fadaaa8c1380ac0f28f75c58a</t>
        </is>
      </c>
      <c r="BE444" s="24" t="inlineStr">
        <is>
          <t>soccer-poisson-dc-v1</t>
        </is>
      </c>
      <c r="BF444" s="24" t="inlineStr">
        <is>
          <t>1</t>
        </is>
      </c>
      <c r="BG444" s="24" t="inlineStr">
        <is>
          <t>f585a7f3cb7ee04f9a319a60fa601ef15e86636fadaaa8c1380ac0f28f75c58a</t>
        </is>
      </c>
      <c r="BH444" s="24" t="inlineStr">
        <is>
          <t>2026-08-30T16:04:55.100271Z</t>
        </is>
      </c>
      <c r="BI444" s="24" t="inlineStr">
        <is>
          <t>["same_event","same_team_same_day","same_league_same_day"]</t>
        </is>
      </c>
      <c r="BJ444" s="25" t="n"/>
      <c r="BK444" s="26" t="n">
        <v>270</v>
      </c>
      <c r="BL444" s="27" t="n">
        <v>3.7</v>
      </c>
      <c r="BM444" s="28" t="n">
        <v>0.27027</v>
      </c>
      <c r="BN444" s="28" t="n"/>
      <c r="BO444" s="28" t="n"/>
      <c r="BP444" s="25" t="n"/>
      <c r="BQ444" s="27" t="n">
        <v>3.7</v>
      </c>
      <c r="BR444" s="28" t="n">
        <v>0.27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0.27027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26e811e5f49c4a98</t>
        </is>
      </c>
      <c r="B445" s="24" t="inlineStr">
        <is>
          <t>2026-08-30T16:06:27.993415Z</t>
        </is>
      </c>
      <c r="C445" s="24" t="inlineStr">
        <is>
          <t>2026-08-30T20:30Z</t>
        </is>
      </c>
      <c r="D445" s="24" t="inlineStr">
        <is>
          <t>401859672</t>
        </is>
      </c>
      <c r="E445" s="24" t="inlineStr">
        <is>
          <t>SOCCER</t>
        </is>
      </c>
      <c r="F445" s="24" t="inlineStr">
        <is>
          <t>Macará</t>
        </is>
      </c>
      <c r="G445" s="24" t="inlineStr">
        <is>
          <t>Orense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133</v>
      </c>
      <c r="M445" s="27" t="n">
        <v>2.33</v>
      </c>
      <c r="N445" s="28" t="n">
        <v>0.429185</v>
      </c>
      <c r="O445" s="28" t="n">
        <v>0.398039</v>
      </c>
      <c r="P445" s="28" t="n">
        <v>0.2</v>
      </c>
      <c r="Q445" s="28" t="n">
        <v>-0.031146</v>
      </c>
      <c r="R445" s="26" t="n">
        <v>0</v>
      </c>
      <c r="S445" s="29" t="n">
        <v>1</v>
      </c>
      <c r="T445" s="24" t="inlineStr">
        <is>
          <t>soccer-poisson-dc-v1</t>
        </is>
      </c>
      <c r="U445" s="24" t="inlineStr">
        <is>
          <t>settled</t>
        </is>
      </c>
      <c r="V445" s="24" t="inlineStr">
        <is>
          <t>loss</t>
        </is>
      </c>
      <c r="W445" s="26" t="n">
        <v>2</v>
      </c>
      <c r="X445" s="26" t="n">
        <v>1</v>
      </c>
      <c r="Y445" s="25" t="n"/>
      <c r="Z445" s="26" t="n">
        <v>133</v>
      </c>
      <c r="AA445" s="28" t="n">
        <v>0.43</v>
      </c>
      <c r="AB445" s="28" t="n">
        <v>0.000815</v>
      </c>
      <c r="AC445" s="30" t="n">
        <v>-1</v>
      </c>
      <c r="AD445" s="24" t="inlineStr">
        <is>
          <t>2026-08-31T04:37:06.761568Z</t>
        </is>
      </c>
      <c r="AE445" s="31" t="inlineStr">
        <is>
          <t>Poisson-DC rates 1.46 (home) / 1.30 (away) from EWMA attack/defense strengths. Executable ask 0.4300 (atc-ecu1-ore-mac-2026-08-30-ore).</t>
        </is>
      </c>
      <c r="AF445" s="31" t="inlineStr">
        <is>
          <t>Research-only soccer score model; draw-aware, but not yet locked-holdout qualified.</t>
        </is>
      </c>
      <c r="AG445" s="24" t="inlineStr">
        <is>
          <t>review_required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PAPER_CALL_MODEL_UNVALIDATED</t>
        </is>
      </c>
      <c r="AP445" s="24" t="inlineStr">
        <is>
          <t>Macará</t>
        </is>
      </c>
      <c r="AQ445" s="24" t="inlineStr">
        <is>
          <t>Macará</t>
        </is>
      </c>
      <c r="AR445" s="24" t="inlineStr">
        <is>
          <t>Macará</t>
        </is>
      </c>
      <c r="AS445" s="24" t="inlineStr">
        <is>
          <t>Orense</t>
        </is>
      </c>
      <c r="AT445" s="24" t="inlineStr">
        <is>
          <t>Orense</t>
        </is>
      </c>
      <c r="AU445" s="24" t="inlineStr">
        <is>
          <t>Orense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f585a7f3cb7ee04f9a319a60fa601ef15e86636fadaaa8c1380ac0f28f75c58a</t>
        </is>
      </c>
      <c r="BB445" s="24" t="inlineStr">
        <is>
          <t>poisson_dixon_coles</t>
        </is>
      </c>
      <c r="BC445" s="24" t="inlineStr">
        <is>
          <t>soccer-poisson-dc-v1</t>
        </is>
      </c>
      <c r="BD445" s="24" t="inlineStr">
        <is>
          <t>f585a7f3cb7ee04f9a319a60fa601ef15e86636fadaaa8c1380ac0f28f75c58a</t>
        </is>
      </c>
      <c r="BE445" s="24" t="inlineStr">
        <is>
          <t>soccer-poisson-dc-v1</t>
        </is>
      </c>
      <c r="BF445" s="24" t="inlineStr">
        <is>
          <t>1</t>
        </is>
      </c>
      <c r="BG445" s="24" t="inlineStr">
        <is>
          <t>f585a7f3cb7ee04f9a319a60fa601ef15e86636fadaaa8c1380ac0f28f75c58a</t>
        </is>
      </c>
      <c r="BH445" s="24" t="inlineStr">
        <is>
          <t>2026-08-30T16:04:55.119017Z</t>
        </is>
      </c>
      <c r="BI445" s="24" t="inlineStr">
        <is>
          <t>["same_event","same_team_same_day","same_league_same_day"]</t>
        </is>
      </c>
      <c r="BJ445" s="25" t="n"/>
      <c r="BK445" s="26" t="n">
        <v>133</v>
      </c>
      <c r="BL445" s="27" t="n">
        <v>2.33</v>
      </c>
      <c r="BM445" s="28" t="n">
        <v>0.429185</v>
      </c>
      <c r="BN445" s="28" t="n"/>
      <c r="BO445" s="28" t="n"/>
      <c r="BP445" s="25" t="n"/>
      <c r="BQ445" s="27" t="n">
        <v>2.33</v>
      </c>
      <c r="BR445" s="28" t="n">
        <v>0.43</v>
      </c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0.429185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d074c01bf72946af</t>
        </is>
      </c>
      <c r="B446" s="24" t="inlineStr">
        <is>
          <t>2026-08-30T16:06:27.993415Z</t>
        </is>
      </c>
      <c r="C446" s="24" t="inlineStr">
        <is>
          <t>2026-08-30T23:00Z</t>
        </is>
      </c>
      <c r="D446" s="24" t="inlineStr">
        <is>
          <t>401859722</t>
        </is>
      </c>
      <c r="E446" s="24" t="inlineStr">
        <is>
          <t>SOCCER</t>
        </is>
      </c>
      <c r="F446" s="24" t="inlineStr">
        <is>
          <t>Leones</t>
        </is>
      </c>
      <c r="G446" s="24" t="inlineStr">
        <is>
          <t>Emelec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-117</v>
      </c>
      <c r="M446" s="27" t="n">
        <v>1.854701</v>
      </c>
      <c r="N446" s="28" t="n">
        <v>0.539171</v>
      </c>
      <c r="O446" s="28" t="n">
        <v>0.418807</v>
      </c>
      <c r="P446" s="28" t="n">
        <v>0.2</v>
      </c>
      <c r="Q446" s="28" t="n">
        <v>-0.120364</v>
      </c>
      <c r="R446" s="26" t="n">
        <v>0</v>
      </c>
      <c r="S446" s="29" t="n">
        <v>1</v>
      </c>
      <c r="T446" s="24" t="inlineStr">
        <is>
          <t>soccer-poisson-dc-v1</t>
        </is>
      </c>
      <c r="U446" s="24" t="inlineStr">
        <is>
          <t>settled</t>
        </is>
      </c>
      <c r="V446" s="24" t="inlineStr">
        <is>
          <t>win</t>
        </is>
      </c>
      <c r="W446" s="26" t="n">
        <v>1</v>
      </c>
      <c r="X446" s="26" t="n">
        <v>2</v>
      </c>
      <c r="Y446" s="25" t="n"/>
      <c r="Z446" s="26" t="n">
        <v>-117</v>
      </c>
      <c r="AA446" s="28" t="n">
        <v>0.54</v>
      </c>
      <c r="AB446" s="28" t="n">
        <v>0.000829</v>
      </c>
      <c r="AC446" s="30" t="n">
        <v>0.8547</v>
      </c>
      <c r="AD446" s="24" t="inlineStr">
        <is>
          <t>2026-08-31T04:37:08.440820Z</t>
        </is>
      </c>
      <c r="AE446" s="31" t="inlineStr">
        <is>
          <t>Poisson-DC rates 1.46 (home) / 1.20 (away) from EWMA attack/defense strengths. Executable ask 0.5400 (atc-ecu1-cse-leo-2026-08-30-cse).</t>
        </is>
      </c>
      <c r="AF446" s="31" t="inlineStr">
        <is>
          <t>Research-only soccer score model; draw-aware, but not yet locked-holdout qualified.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PAPER_CALL_MODEL_UNVALIDATED</t>
        </is>
      </c>
      <c r="AP446" s="24" t="inlineStr">
        <is>
          <t>Leones</t>
        </is>
      </c>
      <c r="AQ446" s="24" t="inlineStr">
        <is>
          <t>Leones</t>
        </is>
      </c>
      <c r="AR446" s="24" t="inlineStr">
        <is>
          <t>Leones</t>
        </is>
      </c>
      <c r="AS446" s="24" t="inlineStr">
        <is>
          <t>Emelec</t>
        </is>
      </c>
      <c r="AT446" s="24" t="inlineStr">
        <is>
          <t>Emelec</t>
        </is>
      </c>
      <c r="AU446" s="24" t="inlineStr">
        <is>
          <t>Emelec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f585a7f3cb7ee04f9a319a60fa601ef15e86636fadaaa8c1380ac0f28f75c58a</t>
        </is>
      </c>
      <c r="BB446" s="24" t="inlineStr">
        <is>
          <t>poisson_dixon_coles</t>
        </is>
      </c>
      <c r="BC446" s="24" t="inlineStr">
        <is>
          <t>soccer-poisson-dc-v1</t>
        </is>
      </c>
      <c r="BD446" s="24" t="inlineStr">
        <is>
          <t>f585a7f3cb7ee04f9a319a60fa601ef15e86636fadaaa8c1380ac0f28f75c58a</t>
        </is>
      </c>
      <c r="BE446" s="24" t="inlineStr">
        <is>
          <t>soccer-poisson-dc-v1</t>
        </is>
      </c>
      <c r="BF446" s="24" t="inlineStr">
        <is>
          <t>1</t>
        </is>
      </c>
      <c r="BG446" s="24" t="inlineStr">
        <is>
          <t>f585a7f3cb7ee04f9a319a60fa601ef15e86636fadaaa8c1380ac0f28f75c58a</t>
        </is>
      </c>
      <c r="BH446" s="24" t="inlineStr">
        <is>
          <t>2026-08-30T16:04:55.143995Z</t>
        </is>
      </c>
      <c r="BI446" s="24" t="inlineStr">
        <is>
          <t>["same_event","same_team_same_day","same_league_same_day"]</t>
        </is>
      </c>
      <c r="BJ446" s="25" t="n"/>
      <c r="BK446" s="26" t="n">
        <v>-117</v>
      </c>
      <c r="BL446" s="27" t="n">
        <v>1.854701</v>
      </c>
      <c r="BM446" s="28" t="n">
        <v>0.539171</v>
      </c>
      <c r="BN446" s="28" t="n"/>
      <c r="BO446" s="28" t="n"/>
      <c r="BP446" s="25" t="n"/>
      <c r="BQ446" s="27" t="n">
        <v>1.854701</v>
      </c>
      <c r="BR446" s="28" t="n">
        <v>0.54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0.539171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547c74acf6cf4e3d</t>
        </is>
      </c>
      <c r="B447" s="24" t="inlineStr">
        <is>
          <t>2026-08-31T16:04:29.564490Z</t>
        </is>
      </c>
      <c r="C447" s="24" t="inlineStr">
        <is>
          <t>2026-08-31T19:00Z</t>
        </is>
      </c>
      <c r="D447" s="24" t="inlineStr">
        <is>
          <t>401879295</t>
        </is>
      </c>
      <c r="E447" s="24" t="inlineStr">
        <is>
          <t>SOCCER</t>
        </is>
      </c>
      <c r="F447" s="24" t="inlineStr">
        <is>
          <t>Arsenal</t>
        </is>
      </c>
      <c r="G447" s="24" t="inlineStr">
        <is>
          <t>Aston Villa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-186</v>
      </c>
      <c r="M447" s="27" t="n">
        <v>1.537634</v>
      </c>
      <c r="N447" s="28" t="n">
        <v>0.65035</v>
      </c>
      <c r="O447" s="28" t="n">
        <v>0.477067</v>
      </c>
      <c r="P447" s="28" t="n">
        <v>0.04</v>
      </c>
      <c r="Q447" s="28" t="n">
        <v>-0.173283</v>
      </c>
      <c r="R447" s="26" t="n">
        <v>0</v>
      </c>
      <c r="S447" s="29" t="n">
        <v>1</v>
      </c>
      <c r="T447" s="24" t="inlineStr">
        <is>
          <t>soccer-poisson-dc-v1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178</v>
      </c>
      <c r="AA447" s="28" t="n">
        <v>0.36</v>
      </c>
      <c r="AB447" s="28" t="n">
        <v>-0.29035</v>
      </c>
      <c r="AC447" s="30" t="n">
        <v>0.5376</v>
      </c>
      <c r="AD447" s="24" t="inlineStr">
        <is>
          <t>2026-09-01T04:36:34.328875Z</t>
        </is>
      </c>
      <c r="AE447" s="31" t="inlineStr">
        <is>
          <t>Poisson-DC rates 0.89 (home) / 1.40 (away) from EWMA attack/defense strengths. Executable ask 0.6500 (atc-epl-ast-ars-2026-08-31-ars).</t>
        </is>
      </c>
      <c r="AF447" s="31" t="inlineStr">
        <is>
          <t>Research-only soccer score model; draw-aware, but not yet locked-holdout qualified.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Arsenal</t>
        </is>
      </c>
      <c r="AQ447" s="24" t="inlineStr">
        <is>
          <t>Arsenal</t>
        </is>
      </c>
      <c r="AR447" s="24" t="inlineStr">
        <is>
          <t>Arsenal</t>
        </is>
      </c>
      <c r="AS447" s="24" t="inlineStr">
        <is>
          <t>Aston Villa</t>
        </is>
      </c>
      <c r="AT447" s="24" t="inlineStr">
        <is>
          <t>Aston Villa</t>
        </is>
      </c>
      <c r="AU447" s="24" t="inlineStr">
        <is>
          <t>Aston Villa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f585a7f3cb7ee04f9a319a60fa601ef15e86636fadaaa8c1380ac0f28f75c58a</t>
        </is>
      </c>
      <c r="BB447" s="24" t="inlineStr">
        <is>
          <t>poisson_dixon_coles</t>
        </is>
      </c>
      <c r="BC447" s="24" t="inlineStr">
        <is>
          <t>soccer-poisson-dc-v1</t>
        </is>
      </c>
      <c r="BD447" s="24" t="inlineStr">
        <is>
          <t>f585a7f3cb7ee04f9a319a60fa601ef15e86636fadaaa8c1380ac0f28f75c58a</t>
        </is>
      </c>
      <c r="BE447" s="24" t="inlineStr">
        <is>
          <t>soccer-poisson-dc-v1</t>
        </is>
      </c>
      <c r="BF447" s="24" t="inlineStr">
        <is>
          <t>1</t>
        </is>
      </c>
      <c r="BG447" s="24" t="inlineStr">
        <is>
          <t>f585a7f3cb7ee04f9a319a60fa601ef15e86636fadaaa8c1380ac0f28f75c58a</t>
        </is>
      </c>
      <c r="BH447" s="24" t="inlineStr">
        <is>
          <t>2026-08-31T16:02:37.224135Z</t>
        </is>
      </c>
      <c r="BI447" s="24" t="inlineStr">
        <is>
          <t>["same_event","same_team_same_day","same_league_same_day"]</t>
        </is>
      </c>
      <c r="BJ447" s="25" t="n"/>
      <c r="BK447" s="26" t="n">
        <v>-186</v>
      </c>
      <c r="BL447" s="27" t="n">
        <v>1.537634</v>
      </c>
      <c r="BM447" s="28" t="n">
        <v>0.65035</v>
      </c>
      <c r="BN447" s="28" t="n"/>
      <c r="BO447" s="28" t="n"/>
      <c r="BP447" s="25" t="n"/>
      <c r="BQ447" s="27" t="n">
        <v>2.78</v>
      </c>
      <c r="BR447" s="28" t="n">
        <v>0.36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0.65035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c0021d9885cd468a</t>
        </is>
      </c>
      <c r="B448" s="24" t="inlineStr">
        <is>
          <t>2026-08-31T16:04:29.564490Z</t>
        </is>
      </c>
      <c r="C448" s="24" t="inlineStr">
        <is>
          <t>2026-08-31T17:30Z</t>
        </is>
      </c>
      <c r="D448" s="24" t="inlineStr">
        <is>
          <t>401882901</t>
        </is>
      </c>
      <c r="E448" s="24" t="inlineStr">
        <is>
          <t>SOCCER</t>
        </is>
      </c>
      <c r="F448" s="24" t="inlineStr">
        <is>
          <t>Getafe</t>
        </is>
      </c>
      <c r="G448" s="24" t="inlineStr">
        <is>
          <t>Osasuna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122</v>
      </c>
      <c r="M448" s="27" t="n">
        <v>2.22</v>
      </c>
      <c r="N448" s="28" t="n">
        <v>0.45045</v>
      </c>
      <c r="O448" s="28" t="n">
        <v>0.347128</v>
      </c>
      <c r="P448" s="28" t="n">
        <v>0.04</v>
      </c>
      <c r="Q448" s="28" t="n">
        <v>-0.103322</v>
      </c>
      <c r="R448" s="26" t="n">
        <v>0</v>
      </c>
      <c r="S448" s="29" t="n">
        <v>1</v>
      </c>
      <c r="T448" s="24" t="inlineStr">
        <is>
          <t>soccer-poisson-dc-v1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122</v>
      </c>
      <c r="AA448" s="28" t="n">
        <v>0.45</v>
      </c>
      <c r="AB448" s="28" t="n">
        <v>-0.00045</v>
      </c>
      <c r="AC448" s="30" t="n">
        <v>1.22</v>
      </c>
      <c r="AD448" s="24" t="inlineStr">
        <is>
          <t>2026-09-01T04:36:36.070610Z</t>
        </is>
      </c>
      <c r="AE448" s="31" t="inlineStr">
        <is>
          <t>Poisson-DC rates 0.90 (home) / 0.79 (away) from EWMA attack/defense strengths. Executable ask 0.4500 (atc-lal-osa-get-2026-08-31-osa).</t>
        </is>
      </c>
      <c r="AF448" s="31" t="inlineStr">
        <is>
          <t>Research-only soccer score model; draw-aware, but not yet locked-holdout qualified.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Getafe</t>
        </is>
      </c>
      <c r="AQ448" s="24" t="inlineStr">
        <is>
          <t>Getafe</t>
        </is>
      </c>
      <c r="AR448" s="24" t="inlineStr">
        <is>
          <t>Getafe</t>
        </is>
      </c>
      <c r="AS448" s="24" t="inlineStr">
        <is>
          <t>Osasuna</t>
        </is>
      </c>
      <c r="AT448" s="24" t="inlineStr">
        <is>
          <t>Osasuna</t>
        </is>
      </c>
      <c r="AU448" s="24" t="inlineStr">
        <is>
          <t>Osasuna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f585a7f3cb7ee04f9a319a60fa601ef15e86636fadaaa8c1380ac0f28f75c58a</t>
        </is>
      </c>
      <c r="BB448" s="24" t="inlineStr">
        <is>
          <t>poisson_dixon_coles</t>
        </is>
      </c>
      <c r="BC448" s="24" t="inlineStr">
        <is>
          <t>soccer-poisson-dc-v1</t>
        </is>
      </c>
      <c r="BD448" s="24" t="inlineStr">
        <is>
          <t>f585a7f3cb7ee04f9a319a60fa601ef15e86636fadaaa8c1380ac0f28f75c58a</t>
        </is>
      </c>
      <c r="BE448" s="24" t="inlineStr">
        <is>
          <t>soccer-poisson-dc-v1</t>
        </is>
      </c>
      <c r="BF448" s="24" t="inlineStr">
        <is>
          <t>1</t>
        </is>
      </c>
      <c r="BG448" s="24" t="inlineStr">
        <is>
          <t>f585a7f3cb7ee04f9a319a60fa601ef15e86636fadaaa8c1380ac0f28f75c58a</t>
        </is>
      </c>
      <c r="BH448" s="24" t="inlineStr">
        <is>
          <t>2026-08-31T16:02:37.349212Z</t>
        </is>
      </c>
      <c r="BI448" s="24" t="inlineStr">
        <is>
          <t>["same_event","same_team_same_day","same_league_same_day"]</t>
        </is>
      </c>
      <c r="BJ448" s="25" t="n"/>
      <c r="BK448" s="26" t="n">
        <v>122</v>
      </c>
      <c r="BL448" s="27" t="n">
        <v>2.22</v>
      </c>
      <c r="BM448" s="28" t="n">
        <v>0.45045</v>
      </c>
      <c r="BN448" s="28" t="n"/>
      <c r="BO448" s="28" t="n"/>
      <c r="BP448" s="25" t="n"/>
      <c r="BQ448" s="27" t="n">
        <v>2.22</v>
      </c>
      <c r="BR448" s="28" t="n">
        <v>0.45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0.45045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16bdd744f94d4234</t>
        </is>
      </c>
      <c r="B449" s="24" t="inlineStr">
        <is>
          <t>2026-08-31T16:04:29.564490Z</t>
        </is>
      </c>
      <c r="C449" s="24" t="inlineStr">
        <is>
          <t>2026-08-31T19:30Z</t>
        </is>
      </c>
      <c r="D449" s="24" t="inlineStr">
        <is>
          <t>401882903</t>
        </is>
      </c>
      <c r="E449" s="24" t="inlineStr">
        <is>
          <t>SOCCER</t>
        </is>
      </c>
      <c r="F449" s="24" t="inlineStr">
        <is>
          <t>Rayo Vallecano</t>
        </is>
      </c>
      <c r="G449" s="24" t="inlineStr">
        <is>
          <t>Barcelona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-900</v>
      </c>
      <c r="M449" s="27" t="n">
        <v>1.111111</v>
      </c>
      <c r="N449" s="28" t="n">
        <v>0.9</v>
      </c>
      <c r="O449" s="28" t="n">
        <v>0.627951</v>
      </c>
      <c r="P449" s="28" t="n">
        <v>0.04</v>
      </c>
      <c r="Q449" s="28" t="n">
        <v>-0.272049</v>
      </c>
      <c r="R449" s="26" t="n">
        <v>0</v>
      </c>
      <c r="S449" s="29" t="n">
        <v>1</v>
      </c>
      <c r="T449" s="24" t="inlineStr">
        <is>
          <t>soccer-poisson-dc-v1</t>
        </is>
      </c>
      <c r="U449" s="24" t="inlineStr">
        <is>
          <t>settled</t>
        </is>
      </c>
      <c r="V449" s="24" t="inlineStr">
        <is>
          <t>win</t>
        </is>
      </c>
      <c r="W449" s="26" t="n">
        <v>2</v>
      </c>
      <c r="X449" s="26" t="n">
        <v>5</v>
      </c>
      <c r="Y449" s="25" t="n"/>
      <c r="Z449" s="26" t="n">
        <v>-900</v>
      </c>
      <c r="AA449" s="28" t="n">
        <v>0.9</v>
      </c>
      <c r="AB449" s="28" t="n">
        <v>0</v>
      </c>
      <c r="AC449" s="30" t="n">
        <v>0.1111</v>
      </c>
      <c r="AD449" s="24" t="inlineStr">
        <is>
          <t>2026-09-01T04:36:37.684540Z</t>
        </is>
      </c>
      <c r="AE449" s="31" t="inlineStr">
        <is>
          <t>Poisson-DC rates 1.95 (home) / 0.83 (away) from EWMA attack/defense strengths. Executable ask 0.9000 (atc-lal-fcb-ray-2026-08-31-fcb).</t>
        </is>
      </c>
      <c r="AF449" s="31" t="inlineStr">
        <is>
          <t>Research-only soccer score model; draw-aware, but not yet locked-holdout qualified.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Rayo Vallecano</t>
        </is>
      </c>
      <c r="AQ449" s="24" t="inlineStr">
        <is>
          <t>Rayo Vallecano</t>
        </is>
      </c>
      <c r="AR449" s="24" t="inlineStr">
        <is>
          <t>Rayo Vallecano</t>
        </is>
      </c>
      <c r="AS449" s="24" t="inlineStr">
        <is>
          <t>Barcelona</t>
        </is>
      </c>
      <c r="AT449" s="24" t="inlineStr">
        <is>
          <t>Barcelona</t>
        </is>
      </c>
      <c r="AU449" s="24" t="inlineStr">
        <is>
          <t>Barcelona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f585a7f3cb7ee04f9a319a60fa601ef15e86636fadaaa8c1380ac0f28f75c58a</t>
        </is>
      </c>
      <c r="BB449" s="24" t="inlineStr">
        <is>
          <t>poisson_dixon_coles</t>
        </is>
      </c>
      <c r="BC449" s="24" t="inlineStr">
        <is>
          <t>soccer-poisson-dc-v1</t>
        </is>
      </c>
      <c r="BD449" s="24" t="inlineStr">
        <is>
          <t>f585a7f3cb7ee04f9a319a60fa601ef15e86636fadaaa8c1380ac0f28f75c58a</t>
        </is>
      </c>
      <c r="BE449" s="24" t="inlineStr">
        <is>
          <t>soccer-poisson-dc-v1</t>
        </is>
      </c>
      <c r="BF449" s="24" t="inlineStr">
        <is>
          <t>1</t>
        </is>
      </c>
      <c r="BG449" s="24" t="inlineStr">
        <is>
          <t>f585a7f3cb7ee04f9a319a60fa601ef15e86636fadaaa8c1380ac0f28f75c58a</t>
        </is>
      </c>
      <c r="BH449" s="24" t="inlineStr">
        <is>
          <t>2026-08-31T16:02:37.512552Z</t>
        </is>
      </c>
      <c r="BI449" s="24" t="inlineStr">
        <is>
          <t>["same_event","same_team_same_day","same_league_same_day"]</t>
        </is>
      </c>
      <c r="BJ449" s="25" t="n"/>
      <c r="BK449" s="26" t="n">
        <v>-900</v>
      </c>
      <c r="BL449" s="27" t="n">
        <v>1.111111</v>
      </c>
      <c r="BM449" s="28" t="n">
        <v>0.9</v>
      </c>
      <c r="BN449" s="28" t="n"/>
      <c r="BO449" s="28" t="n"/>
      <c r="BP449" s="25" t="n"/>
      <c r="BQ449" s="27" t="n">
        <v>1.111111</v>
      </c>
      <c r="BR449" s="28" t="n">
        <v>0.9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0.9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e413ca27e97348b2</t>
        </is>
      </c>
      <c r="B450" s="24" t="inlineStr">
        <is>
          <t>2026-08-31T16:04:29.564490Z</t>
        </is>
      </c>
      <c r="C450" s="24" t="inlineStr">
        <is>
          <t>2026-08-31T16:30Z</t>
        </is>
      </c>
      <c r="D450" s="24" t="inlineStr">
        <is>
          <t>401874945</t>
        </is>
      </c>
      <c r="E450" s="24" t="inlineStr">
        <is>
          <t>SOCCER</t>
        </is>
      </c>
      <c r="F450" s="24" t="inlineStr">
        <is>
          <t>AS Roma</t>
        </is>
      </c>
      <c r="G450" s="24" t="inlineStr">
        <is>
          <t>Lecce</t>
        </is>
      </c>
      <c r="H450" s="24" t="inlineStr">
        <is>
          <t>moneyline</t>
        </is>
      </c>
      <c r="I450" s="24" t="inlineStr">
        <is>
          <t>away</t>
        </is>
      </c>
      <c r="J450" s="25" t="n"/>
      <c r="K450" s="24" t="inlineStr">
        <is>
          <t>polymarket_us</t>
        </is>
      </c>
      <c r="L450" s="26" t="n">
        <v>-213</v>
      </c>
      <c r="M450" s="27" t="n">
        <v>1.469484</v>
      </c>
      <c r="N450" s="28" t="n">
        <v>0.680511</v>
      </c>
      <c r="O450" s="28" t="n">
        <v>0.54059</v>
      </c>
      <c r="P450" s="28" t="n">
        <v>0.04</v>
      </c>
      <c r="Q450" s="28" t="n">
        <v>-0.139921</v>
      </c>
      <c r="R450" s="26" t="n">
        <v>0</v>
      </c>
      <c r="S450" s="29" t="n">
        <v>1</v>
      </c>
      <c r="T450" s="24" t="inlineStr">
        <is>
          <t>soccer-poisson-dc-v1</t>
        </is>
      </c>
      <c r="U450" s="24" t="inlineStr">
        <is>
          <t>settled</t>
        </is>
      </c>
      <c r="V450" s="24" t="inlineStr">
        <is>
          <t>win</t>
        </is>
      </c>
      <c r="W450" s="26" t="n">
        <v>4</v>
      </c>
      <c r="X450" s="26" t="n">
        <v>0</v>
      </c>
      <c r="Y450" s="25" t="n"/>
      <c r="Z450" s="26" t="n">
        <v>203</v>
      </c>
      <c r="AA450" s="28" t="n">
        <v>0.33</v>
      </c>
      <c r="AB450" s="28" t="n">
        <v>-0.350511</v>
      </c>
      <c r="AC450" s="30" t="n">
        <v>0.4695</v>
      </c>
      <c r="AD450" s="24" t="inlineStr">
        <is>
          <t>2026-09-01T04:36:39.827440Z</t>
        </is>
      </c>
      <c r="AE450" s="31" t="inlineStr">
        <is>
          <t>Poisson-DC rates 0.66 (home) / 1.41 (away) from EWMA attack/defense strengths. Executable ask 0.6800 (atc-sea-lec-rom-2026-08-31-rom).</t>
        </is>
      </c>
      <c r="AF450" s="31" t="inlineStr">
        <is>
          <t>Research-only soccer score model; draw-aware, but not yet locked-holdout qualified.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AS Roma</t>
        </is>
      </c>
      <c r="AQ450" s="24" t="inlineStr">
        <is>
          <t>AS Roma</t>
        </is>
      </c>
      <c r="AR450" s="24" t="inlineStr">
        <is>
          <t>AS Roma</t>
        </is>
      </c>
      <c r="AS450" s="24" t="inlineStr">
        <is>
          <t>Lecce</t>
        </is>
      </c>
      <c r="AT450" s="24" t="inlineStr">
        <is>
          <t>Lecce</t>
        </is>
      </c>
      <c r="AU450" s="24" t="inlineStr">
        <is>
          <t>Lecce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f585a7f3cb7ee04f9a319a60fa601ef15e86636fadaaa8c1380ac0f28f75c58a</t>
        </is>
      </c>
      <c r="BB450" s="24" t="inlineStr">
        <is>
          <t>poisson_dixon_coles</t>
        </is>
      </c>
      <c r="BC450" s="24" t="inlineStr">
        <is>
          <t>soccer-poisson-dc-v1</t>
        </is>
      </c>
      <c r="BD450" s="24" t="inlineStr">
        <is>
          <t>f585a7f3cb7ee04f9a319a60fa601ef15e86636fadaaa8c1380ac0f28f75c58a</t>
        </is>
      </c>
      <c r="BE450" s="24" t="inlineStr">
        <is>
          <t>soccer-poisson-dc-v1</t>
        </is>
      </c>
      <c r="BF450" s="24" t="inlineStr">
        <is>
          <t>1</t>
        </is>
      </c>
      <c r="BG450" s="24" t="inlineStr">
        <is>
          <t>f585a7f3cb7ee04f9a319a60fa601ef15e86636fadaaa8c1380ac0f28f75c58a</t>
        </is>
      </c>
      <c r="BH450" s="24" t="inlineStr">
        <is>
          <t>2026-08-31T16:02:37.659366Z</t>
        </is>
      </c>
      <c r="BI450" s="24" t="inlineStr">
        <is>
          <t>["same_event","same_team_same_day","same_league_same_day"]</t>
        </is>
      </c>
      <c r="BJ450" s="25" t="n"/>
      <c r="BK450" s="26" t="n">
        <v>-213</v>
      </c>
      <c r="BL450" s="27" t="n">
        <v>1.469484</v>
      </c>
      <c r="BM450" s="28" t="n">
        <v>0.680511</v>
      </c>
      <c r="BN450" s="28" t="n"/>
      <c r="BO450" s="28" t="n"/>
      <c r="BP450" s="25" t="n"/>
      <c r="BQ450" s="27" t="n">
        <v>3.03</v>
      </c>
      <c r="BR450" s="28" t="n">
        <v>0.33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0.680511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6dfa324a09d04d23</t>
        </is>
      </c>
      <c r="B451" s="24" t="inlineStr">
        <is>
          <t>2026-08-31T16:04:29.564490Z</t>
        </is>
      </c>
      <c r="C451" s="24" t="inlineStr">
        <is>
          <t>2026-08-31T18:45Z</t>
        </is>
      </c>
      <c r="D451" s="24" t="inlineStr">
        <is>
          <t>401874970</t>
        </is>
      </c>
      <c r="E451" s="24" t="inlineStr">
        <is>
          <t>SOCCER</t>
        </is>
      </c>
      <c r="F451" s="24" t="inlineStr">
        <is>
          <t>Bologna</t>
        </is>
      </c>
      <c r="G451" s="24" t="inlineStr">
        <is>
          <t>Atalanta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-104</v>
      </c>
      <c r="M451" s="27" t="n">
        <v>1.961538</v>
      </c>
      <c r="N451" s="28" t="n">
        <v>0.509804</v>
      </c>
      <c r="O451" s="28" t="n">
        <v>0.445591</v>
      </c>
      <c r="P451" s="28" t="n">
        <v>0.04</v>
      </c>
      <c r="Q451" s="28" t="n">
        <v>-0.06421300000000001</v>
      </c>
      <c r="R451" s="26" t="n">
        <v>0</v>
      </c>
      <c r="S451" s="29" t="n">
        <v>1</v>
      </c>
      <c r="T451" s="24" t="inlineStr">
        <is>
          <t>soccer-poisson-dc-v1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-104</v>
      </c>
      <c r="AA451" s="28" t="n">
        <v>0.51</v>
      </c>
      <c r="AB451" s="28" t="n">
        <v>0.000196</v>
      </c>
      <c r="AC451" s="30" t="n">
        <v>0.9615</v>
      </c>
      <c r="AD451" s="24" t="inlineStr">
        <is>
          <t>2026-09-01T04:36:44.480604Z</t>
        </is>
      </c>
      <c r="AE451" s="31" t="inlineStr">
        <is>
          <t>Poisson-DC rates 1.41 (home) / 1.03 (away) from EWMA attack/defense strengths. Executable ask 0.5100 (atc-sea-ata-bol-2026-08-31-ata).</t>
        </is>
      </c>
      <c r="AF451" s="31" t="inlineStr">
        <is>
          <t>Research-only soccer score model; draw-aware, but not yet locked-holdout qualified.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Bologna</t>
        </is>
      </c>
      <c r="AQ451" s="24" t="inlineStr">
        <is>
          <t>Bologna</t>
        </is>
      </c>
      <c r="AR451" s="24" t="inlineStr">
        <is>
          <t>Bologna</t>
        </is>
      </c>
      <c r="AS451" s="24" t="inlineStr">
        <is>
          <t>Atalanta</t>
        </is>
      </c>
      <c r="AT451" s="24" t="inlineStr">
        <is>
          <t>Atalanta</t>
        </is>
      </c>
      <c r="AU451" s="24" t="inlineStr">
        <is>
          <t>Atalanta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f585a7f3cb7ee04f9a319a60fa601ef15e86636fadaaa8c1380ac0f28f75c58a</t>
        </is>
      </c>
      <c r="BB451" s="24" t="inlineStr">
        <is>
          <t>poisson_dixon_coles</t>
        </is>
      </c>
      <c r="BC451" s="24" t="inlineStr">
        <is>
          <t>soccer-poisson-dc-v1</t>
        </is>
      </c>
      <c r="BD451" s="24" t="inlineStr">
        <is>
          <t>f585a7f3cb7ee04f9a319a60fa601ef15e86636fadaaa8c1380ac0f28f75c58a</t>
        </is>
      </c>
      <c r="BE451" s="24" t="inlineStr">
        <is>
          <t>soccer-poisson-dc-v1</t>
        </is>
      </c>
      <c r="BF451" s="24" t="inlineStr">
        <is>
          <t>1</t>
        </is>
      </c>
      <c r="BG451" s="24" t="inlineStr">
        <is>
          <t>f585a7f3cb7ee04f9a319a60fa601ef15e86636fadaaa8c1380ac0f28f75c58a</t>
        </is>
      </c>
      <c r="BH451" s="24" t="inlineStr">
        <is>
          <t>2026-08-31T16:02:37.761486Z</t>
        </is>
      </c>
      <c r="BI451" s="24" t="inlineStr">
        <is>
          <t>["same_event","same_team_same_day","same_league_same_day"]</t>
        </is>
      </c>
      <c r="BJ451" s="25" t="n"/>
      <c r="BK451" s="26" t="n">
        <v>-104</v>
      </c>
      <c r="BL451" s="27" t="n">
        <v>1.961538</v>
      </c>
      <c r="BM451" s="28" t="n">
        <v>0.509804</v>
      </c>
      <c r="BN451" s="28" t="n"/>
      <c r="BO451" s="28" t="n"/>
      <c r="BP451" s="25" t="n"/>
      <c r="BQ451" s="27" t="n">
        <v>1.961538</v>
      </c>
      <c r="BR451" s="28" t="n">
        <v>0.51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0.509804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1f8d9d7db24e43bf</t>
        </is>
      </c>
      <c r="B452" s="24" t="inlineStr">
        <is>
          <t>2026-08-31T16:04:29.564490Z</t>
        </is>
      </c>
      <c r="C452" s="24" t="inlineStr">
        <is>
          <t>2026-08-31T23:00Z</t>
        </is>
      </c>
      <c r="D452" s="24" t="inlineStr">
        <is>
          <t>401841210</t>
        </is>
      </c>
      <c r="E452" s="24" t="inlineStr">
        <is>
          <t>SOCCER</t>
        </is>
      </c>
      <c r="F452" s="24" t="inlineStr">
        <is>
          <t>Coritiba</t>
        </is>
      </c>
      <c r="G452" s="24" t="inlineStr">
        <is>
          <t>Remo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117</v>
      </c>
      <c r="M452" s="27" t="n">
        <v>2.17</v>
      </c>
      <c r="N452" s="28" t="n">
        <v>0.460829</v>
      </c>
      <c r="O452" s="28" t="n">
        <v>0.456135</v>
      </c>
      <c r="P452" s="28" t="n">
        <v>0.2</v>
      </c>
      <c r="Q452" s="28" t="n">
        <v>-0.004694</v>
      </c>
      <c r="R452" s="26" t="n">
        <v>0</v>
      </c>
      <c r="S452" s="29" t="n">
        <v>1</v>
      </c>
      <c r="T452" s="24" t="inlineStr">
        <is>
          <t>soccer-poisson-dc-v1</t>
        </is>
      </c>
      <c r="U452" s="24" t="inlineStr">
        <is>
          <t>settled</t>
        </is>
      </c>
      <c r="V452" s="24" t="inlineStr">
        <is>
          <t>loss</t>
        </is>
      </c>
      <c r="W452" s="26" t="n">
        <v>3</v>
      </c>
      <c r="X452" s="26" t="n">
        <v>2</v>
      </c>
      <c r="Y452" s="25" t="n"/>
      <c r="Z452" s="26" t="n">
        <v>117</v>
      </c>
      <c r="AA452" s="28" t="n">
        <v>0.46</v>
      </c>
      <c r="AB452" s="28" t="n">
        <v>-0.000829</v>
      </c>
      <c r="AC452" s="30" t="n">
        <v>-1</v>
      </c>
      <c r="AD452" s="24" t="inlineStr">
        <is>
          <t>2026-09-01T04:36:46.879913Z</t>
        </is>
      </c>
      <c r="AE452" s="31" t="inlineStr">
        <is>
          <t>Poisson-DC rates 1.64 (home) / 1.24 (away) from EWMA attack/defense strengths. Executable ask 0.4600 (atc-bra-cre-cor-2026-08-31-cre).</t>
        </is>
      </c>
      <c r="AF452" s="31" t="inlineStr">
        <is>
          <t>Research-only soccer score model; draw-aware, but not yet locked-holdout qualified.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PAPER_CALL_MODEL_UNVALIDATED</t>
        </is>
      </c>
      <c r="AP452" s="24" t="inlineStr">
        <is>
          <t>Coritiba</t>
        </is>
      </c>
      <c r="AQ452" s="24" t="inlineStr">
        <is>
          <t>Coritiba</t>
        </is>
      </c>
      <c r="AR452" s="24" t="inlineStr">
        <is>
          <t>Coritiba</t>
        </is>
      </c>
      <c r="AS452" s="24" t="inlineStr">
        <is>
          <t>Remo</t>
        </is>
      </c>
      <c r="AT452" s="24" t="inlineStr">
        <is>
          <t>Remo</t>
        </is>
      </c>
      <c r="AU452" s="24" t="inlineStr">
        <is>
          <t>Remo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f585a7f3cb7ee04f9a319a60fa601ef15e86636fadaaa8c1380ac0f28f75c58a</t>
        </is>
      </c>
      <c r="BB452" s="24" t="inlineStr">
        <is>
          <t>poisson_dixon_coles</t>
        </is>
      </c>
      <c r="BC452" s="24" t="inlineStr">
        <is>
          <t>soccer-poisson-dc-v1</t>
        </is>
      </c>
      <c r="BD452" s="24" t="inlineStr">
        <is>
          <t>f585a7f3cb7ee04f9a319a60fa601ef15e86636fadaaa8c1380ac0f28f75c58a</t>
        </is>
      </c>
      <c r="BE452" s="24" t="inlineStr">
        <is>
          <t>soccer-poisson-dc-v1</t>
        </is>
      </c>
      <c r="BF452" s="24" t="inlineStr">
        <is>
          <t>1</t>
        </is>
      </c>
      <c r="BG452" s="24" t="inlineStr">
        <is>
          <t>f585a7f3cb7ee04f9a319a60fa601ef15e86636fadaaa8c1380ac0f28f75c58a</t>
        </is>
      </c>
      <c r="BH452" s="24" t="inlineStr">
        <is>
          <t>2026-08-31T16:02:37.926074Z</t>
        </is>
      </c>
      <c r="BI452" s="24" t="inlineStr">
        <is>
          <t>["same_event","same_team_same_day","same_league_same_day"]</t>
        </is>
      </c>
      <c r="BJ452" s="25" t="n"/>
      <c r="BK452" s="26" t="n">
        <v>117</v>
      </c>
      <c r="BL452" s="27" t="n">
        <v>2.17</v>
      </c>
      <c r="BM452" s="28" t="n">
        <v>0.460829</v>
      </c>
      <c r="BN452" s="28" t="n"/>
      <c r="BO452" s="28" t="n"/>
      <c r="BP452" s="25" t="n"/>
      <c r="BQ452" s="27" t="n">
        <v>2.17</v>
      </c>
      <c r="BR452" s="28" t="n">
        <v>0.46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0.460829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580311f922c34426</t>
        </is>
      </c>
      <c r="B453" s="24" t="inlineStr">
        <is>
          <t>2026-08-31T16:04:29.564490Z</t>
        </is>
      </c>
      <c r="C453" s="24" t="inlineStr">
        <is>
          <t>2026-08-31T22:00Z</t>
        </is>
      </c>
      <c r="D453" s="24" t="inlineStr">
        <is>
          <t>401841528</t>
        </is>
      </c>
      <c r="E453" s="24" t="inlineStr">
        <is>
          <t>SOCCER</t>
        </is>
      </c>
      <c r="F453" s="24" t="inlineStr">
        <is>
          <t>Platense</t>
        </is>
      </c>
      <c r="G453" s="24" t="inlineStr">
        <is>
          <t>Defensa y Justicia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156</v>
      </c>
      <c r="M453" s="27" t="n">
        <v>2.56</v>
      </c>
      <c r="N453" s="28" t="n">
        <v>0.390625</v>
      </c>
      <c r="O453" s="28" t="n">
        <v>0.456135</v>
      </c>
      <c r="P453" s="28" t="n">
        <v>0.2</v>
      </c>
      <c r="Q453" s="28" t="n">
        <v>0.06551</v>
      </c>
      <c r="R453" s="26" t="n">
        <v>0</v>
      </c>
      <c r="S453" s="29" t="n">
        <v>1</v>
      </c>
      <c r="T453" s="24" t="inlineStr">
        <is>
          <t>soccer-poisson-dc-v1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>
        <v>156</v>
      </c>
      <c r="AA453" s="28" t="n">
        <v>0.39</v>
      </c>
      <c r="AB453" s="28" t="n">
        <v>-0.000625</v>
      </c>
      <c r="AC453" s="30" t="n">
        <v>1.56</v>
      </c>
      <c r="AD453" s="24" t="inlineStr">
        <is>
          <t>2026-09-01T04:36:48.713726Z</t>
        </is>
      </c>
      <c r="AE453" s="31" t="inlineStr">
        <is>
          <t>Poisson-DC rates 1.64 (home) / 1.24 (away) from EWMA attack/defense strengths. Executable ask 0.3900 (atc-lpa-def-pla-2026-08-31-def).</t>
        </is>
      </c>
      <c r="AF453" s="31" t="inlineStr">
        <is>
          <t>Research-only soccer score model; draw-aware, but not yet locked-holdout qualified.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PAPER_CALL_MODEL_UNVALIDATED</t>
        </is>
      </c>
      <c r="AP453" s="24" t="inlineStr">
        <is>
          <t>Platense</t>
        </is>
      </c>
      <c r="AQ453" s="24" t="inlineStr">
        <is>
          <t>Platense</t>
        </is>
      </c>
      <c r="AR453" s="24" t="inlineStr">
        <is>
          <t>Platense</t>
        </is>
      </c>
      <c r="AS453" s="24" t="inlineStr">
        <is>
          <t>Defensa y Justicia</t>
        </is>
      </c>
      <c r="AT453" s="24" t="inlineStr">
        <is>
          <t>Defensa y Justicia</t>
        </is>
      </c>
      <c r="AU453" s="24" t="inlineStr">
        <is>
          <t>Defensa y Justicia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f585a7f3cb7ee04f9a319a60fa601ef15e86636fadaaa8c1380ac0f28f75c58a</t>
        </is>
      </c>
      <c r="BB453" s="24" t="inlineStr">
        <is>
          <t>poisson_dixon_coles</t>
        </is>
      </c>
      <c r="BC453" s="24" t="inlineStr">
        <is>
          <t>soccer-poisson-dc-v1</t>
        </is>
      </c>
      <c r="BD453" s="24" t="inlineStr">
        <is>
          <t>f585a7f3cb7ee04f9a319a60fa601ef15e86636fadaaa8c1380ac0f28f75c58a</t>
        </is>
      </c>
      <c r="BE453" s="24" t="inlineStr">
        <is>
          <t>soccer-poisson-dc-v1</t>
        </is>
      </c>
      <c r="BF453" s="24" t="inlineStr">
        <is>
          <t>1</t>
        </is>
      </c>
      <c r="BG453" s="24" t="inlineStr">
        <is>
          <t>f585a7f3cb7ee04f9a319a60fa601ef15e86636fadaaa8c1380ac0f28f75c58a</t>
        </is>
      </c>
      <c r="BH453" s="24" t="inlineStr">
        <is>
          <t>2026-08-31T16:02:37.950485Z</t>
        </is>
      </c>
      <c r="BI453" s="24" t="inlineStr">
        <is>
          <t>["same_event","same_team_same_day","same_league_same_day"]</t>
        </is>
      </c>
      <c r="BJ453" s="25" t="n"/>
      <c r="BK453" s="26" t="n">
        <v>156</v>
      </c>
      <c r="BL453" s="27" t="n">
        <v>2.56</v>
      </c>
      <c r="BM453" s="28" t="n">
        <v>0.390625</v>
      </c>
      <c r="BN453" s="28" t="n"/>
      <c r="BO453" s="28" t="n"/>
      <c r="BP453" s="25" t="n"/>
      <c r="BQ453" s="27" t="n">
        <v>2.56</v>
      </c>
      <c r="BR453" s="28" t="n">
        <v>0.39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0.390625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ad6371791c93441e</t>
        </is>
      </c>
      <c r="B454" s="24" t="inlineStr">
        <is>
          <t>2026-08-31T16:04:29.564490Z</t>
        </is>
      </c>
      <c r="C454" s="24" t="inlineStr">
        <is>
          <t>2026-08-31T22:00Z</t>
        </is>
      </c>
      <c r="D454" s="24" t="inlineStr">
        <is>
          <t>401841530</t>
        </is>
      </c>
      <c r="E454" s="24" t="inlineStr">
        <is>
          <t>SOCCER</t>
        </is>
      </c>
      <c r="F454" s="24" t="inlineStr">
        <is>
          <t>Newell's Old Boys</t>
        </is>
      </c>
      <c r="G454" s="24" t="inlineStr">
        <is>
          <t>Estudiantes de La Plata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-138</v>
      </c>
      <c r="M454" s="27" t="n">
        <v>1.724638</v>
      </c>
      <c r="N454" s="28" t="n">
        <v>0.579832</v>
      </c>
      <c r="O454" s="28" t="n">
        <v>0.451659</v>
      </c>
      <c r="P454" s="28" t="n">
        <v>0.2</v>
      </c>
      <c r="Q454" s="28" t="n">
        <v>-0.128173</v>
      </c>
      <c r="R454" s="26" t="n">
        <v>0</v>
      </c>
      <c r="S454" s="29" t="n">
        <v>1</v>
      </c>
      <c r="T454" s="24" t="inlineStr">
        <is>
          <t>soccer-poisson-dc-v1</t>
        </is>
      </c>
      <c r="U454" s="24" t="inlineStr">
        <is>
          <t>settled</t>
        </is>
      </c>
      <c r="V454" s="24" t="inlineStr">
        <is>
          <t>loss</t>
        </is>
      </c>
      <c r="W454" s="26" t="n">
        <v>0</v>
      </c>
      <c r="X454" s="26" t="n">
        <v>0</v>
      </c>
      <c r="Y454" s="25" t="n"/>
      <c r="Z454" s="26" t="n">
        <v>-138</v>
      </c>
      <c r="AA454" s="28" t="n">
        <v>0.58</v>
      </c>
      <c r="AB454" s="28" t="n">
        <v>0.000168</v>
      </c>
      <c r="AC454" s="30" t="n">
        <v>-1</v>
      </c>
      <c r="AD454" s="24" t="inlineStr">
        <is>
          <t>2026-09-01T04:36:50.475619Z</t>
        </is>
      </c>
      <c r="AE454" s="31" t="inlineStr">
        <is>
          <t>Poisson-DC rates 1.59 (home) / 1.20 (away) from EWMA attack/defense strengths. Executable ask 0.5800 (atc-lpa-est-new-2026-08-31-est).</t>
        </is>
      </c>
      <c r="AF454" s="31" t="inlineStr">
        <is>
          <t>Research-only soccer score model; draw-aware, but not yet locked-holdout qualified.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PAPER_CALL_MODEL_UNVALIDATED</t>
        </is>
      </c>
      <c r="AP454" s="24" t="inlineStr">
        <is>
          <t>Newell's Old Boys</t>
        </is>
      </c>
      <c r="AQ454" s="24" t="inlineStr">
        <is>
          <t>Newell's Old Boys</t>
        </is>
      </c>
      <c r="AR454" s="24" t="inlineStr">
        <is>
          <t>Newell's Old Boys</t>
        </is>
      </c>
      <c r="AS454" s="24" t="inlineStr">
        <is>
          <t>Estudiantes de La Plata</t>
        </is>
      </c>
      <c r="AT454" s="24" t="inlineStr">
        <is>
          <t>Estudiantes de La Plata</t>
        </is>
      </c>
      <c r="AU454" s="24" t="inlineStr">
        <is>
          <t>Estudiantes de La Plata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f585a7f3cb7ee04f9a319a60fa601ef15e86636fadaaa8c1380ac0f28f75c58a</t>
        </is>
      </c>
      <c r="BB454" s="24" t="inlineStr">
        <is>
          <t>poisson_dixon_coles</t>
        </is>
      </c>
      <c r="BC454" s="24" t="inlineStr">
        <is>
          <t>soccer-poisson-dc-v1</t>
        </is>
      </c>
      <c r="BD454" s="24" t="inlineStr">
        <is>
          <t>f585a7f3cb7ee04f9a319a60fa601ef15e86636fadaaa8c1380ac0f28f75c58a</t>
        </is>
      </c>
      <c r="BE454" s="24" t="inlineStr">
        <is>
          <t>soccer-poisson-dc-v1</t>
        </is>
      </c>
      <c r="BF454" s="24" t="inlineStr">
        <is>
          <t>1</t>
        </is>
      </c>
      <c r="BG454" s="24" t="inlineStr">
        <is>
          <t>f585a7f3cb7ee04f9a319a60fa601ef15e86636fadaaa8c1380ac0f28f75c58a</t>
        </is>
      </c>
      <c r="BH454" s="24" t="inlineStr">
        <is>
          <t>2026-08-31T16:02:38.192957Z</t>
        </is>
      </c>
      <c r="BI454" s="24" t="inlineStr">
        <is>
          <t>["same_event","same_team_same_day","same_league_same_day"]</t>
        </is>
      </c>
      <c r="BJ454" s="25" t="n"/>
      <c r="BK454" s="26" t="n">
        <v>-138</v>
      </c>
      <c r="BL454" s="27" t="n">
        <v>1.724638</v>
      </c>
      <c r="BM454" s="28" t="n">
        <v>0.579832</v>
      </c>
      <c r="BN454" s="28" t="n"/>
      <c r="BO454" s="28" t="n"/>
      <c r="BP454" s="25" t="n"/>
      <c r="BQ454" s="27" t="n">
        <v>1.724638</v>
      </c>
      <c r="BR454" s="28" t="n">
        <v>0.58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0.579832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ba781f7c1cfa4654</t>
        </is>
      </c>
      <c r="B455" s="24" t="inlineStr">
        <is>
          <t>2026-08-31T16:04:29.564490Z</t>
        </is>
      </c>
      <c r="C455" s="24" t="inlineStr">
        <is>
          <t>2026-09-01T00:15Z</t>
        </is>
      </c>
      <c r="D455" s="24" t="inlineStr">
        <is>
          <t>401841537</t>
        </is>
      </c>
      <c r="E455" s="24" t="inlineStr">
        <is>
          <t>SOCCER</t>
        </is>
      </c>
      <c r="F455" s="24" t="inlineStr">
        <is>
          <t>Barracas Central</t>
        </is>
      </c>
      <c r="G455" s="24" t="inlineStr">
        <is>
          <t>Tigre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-108</v>
      </c>
      <c r="M455" s="27" t="n">
        <v>1.925926</v>
      </c>
      <c r="N455" s="28" t="n">
        <v>0.519231</v>
      </c>
      <c r="O455" s="28" t="n">
        <v>0.5359159999999999</v>
      </c>
      <c r="P455" s="28" t="n">
        <v>0.2</v>
      </c>
      <c r="Q455" s="28" t="n">
        <v>0.016685</v>
      </c>
      <c r="R455" s="26" t="n">
        <v>0</v>
      </c>
      <c r="S455" s="29" t="n">
        <v>1</v>
      </c>
      <c r="T455" s="24" t="inlineStr">
        <is>
          <t>soccer-poisson-dc-v1</t>
        </is>
      </c>
      <c r="U455" s="24" t="inlineStr">
        <is>
          <t>settled</t>
        </is>
      </c>
      <c r="V455" s="24" t="inlineStr">
        <is>
          <t>loss</t>
        </is>
      </c>
      <c r="W455" s="26" t="n">
        <v>0</v>
      </c>
      <c r="X455" s="26" t="n">
        <v>0</v>
      </c>
      <c r="Y455" s="25" t="n"/>
      <c r="Z455" s="26" t="n">
        <v>-108</v>
      </c>
      <c r="AA455" s="28" t="n">
        <v>0.52</v>
      </c>
      <c r="AB455" s="28" t="n">
        <v>0.000769</v>
      </c>
      <c r="AC455" s="30" t="n">
        <v>-1</v>
      </c>
      <c r="AD455" s="24" t="inlineStr">
        <is>
          <t>2026-09-01T04:36:52.225776Z</t>
        </is>
      </c>
      <c r="AE455" s="31" t="inlineStr">
        <is>
          <t>Poisson-DC rates 1.84 (home) / 1.10 (away) from EWMA attack/defense strengths. Executable ask 0.5200 (atc-lpa-tig-bar-2026-08-31-tig).</t>
        </is>
      </c>
      <c r="AF455" s="31" t="inlineStr">
        <is>
          <t>Research-only soccer score model; draw-aware, but not yet locked-holdout qualified.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PAPER_CALL_MODEL_UNVALIDATED</t>
        </is>
      </c>
      <c r="AP455" s="24" t="inlineStr">
        <is>
          <t>Barracas Central</t>
        </is>
      </c>
      <c r="AQ455" s="24" t="inlineStr">
        <is>
          <t>Barracas Central</t>
        </is>
      </c>
      <c r="AR455" s="24" t="inlineStr">
        <is>
          <t>Barracas Central</t>
        </is>
      </c>
      <c r="AS455" s="24" t="inlineStr">
        <is>
          <t>Tigre</t>
        </is>
      </c>
      <c r="AT455" s="24" t="inlineStr">
        <is>
          <t>Tigre</t>
        </is>
      </c>
      <c r="AU455" s="24" t="inlineStr">
        <is>
          <t>Tigre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f585a7f3cb7ee04f9a319a60fa601ef15e86636fadaaa8c1380ac0f28f75c58a</t>
        </is>
      </c>
      <c r="BB455" s="24" t="inlineStr">
        <is>
          <t>poisson_dixon_coles</t>
        </is>
      </c>
      <c r="BC455" s="24" t="inlineStr">
        <is>
          <t>soccer-poisson-dc-v1</t>
        </is>
      </c>
      <c r="BD455" s="24" t="inlineStr">
        <is>
          <t>f585a7f3cb7ee04f9a319a60fa601ef15e86636fadaaa8c1380ac0f28f75c58a</t>
        </is>
      </c>
      <c r="BE455" s="24" t="inlineStr">
        <is>
          <t>soccer-poisson-dc-v1</t>
        </is>
      </c>
      <c r="BF455" s="24" t="inlineStr">
        <is>
          <t>1</t>
        </is>
      </c>
      <c r="BG455" s="24" t="inlineStr">
        <is>
          <t>f585a7f3cb7ee04f9a319a60fa601ef15e86636fadaaa8c1380ac0f28f75c58a</t>
        </is>
      </c>
      <c r="BH455" s="24" t="inlineStr">
        <is>
          <t>2026-08-31T16:02:38.030794Z</t>
        </is>
      </c>
      <c r="BI455" s="24" t="inlineStr">
        <is>
          <t>["same_event","same_team_same_day","same_league_same_day"]</t>
        </is>
      </c>
      <c r="BJ455" s="25" t="n"/>
      <c r="BK455" s="26" t="n">
        <v>-108</v>
      </c>
      <c r="BL455" s="27" t="n">
        <v>1.925926</v>
      </c>
      <c r="BM455" s="28" t="n">
        <v>0.519231</v>
      </c>
      <c r="BN455" s="28" t="n"/>
      <c r="BO455" s="28" t="n"/>
      <c r="BP455" s="25" t="n"/>
      <c r="BQ455" s="27" t="n">
        <v>1.925926</v>
      </c>
      <c r="BR455" s="28" t="n">
        <v>0.52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0.519231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f9e2ba56964543e3</t>
        </is>
      </c>
      <c r="B456" s="24" t="inlineStr">
        <is>
          <t>2026-08-31T16:04:29.564490Z</t>
        </is>
      </c>
      <c r="C456" s="24" t="inlineStr">
        <is>
          <t>2026-08-31T22:00Z</t>
        </is>
      </c>
      <c r="D456" s="24" t="inlineStr">
        <is>
          <t>401844095</t>
        </is>
      </c>
      <c r="E456" s="24" t="inlineStr">
        <is>
          <t>SOCCER</t>
        </is>
      </c>
      <c r="F456" s="24" t="inlineStr">
        <is>
          <t>Acassuso</t>
        </is>
      </c>
      <c r="G456" s="24" t="inlineStr">
        <is>
          <t>Los Andes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0.456135</v>
      </c>
      <c r="P456" s="28" t="n">
        <v>0.2</v>
      </c>
      <c r="Q456" s="28" t="n">
        <v>-0.043865</v>
      </c>
      <c r="R456" s="26" t="n">
        <v>0</v>
      </c>
      <c r="S456" s="29" t="n">
        <v>1</v>
      </c>
      <c r="T456" s="24" t="inlineStr">
        <is>
          <t>soccer-poisson-dc-v1</t>
        </is>
      </c>
      <c r="U456" s="24" t="inlineStr">
        <is>
          <t>settled</t>
        </is>
      </c>
      <c r="V456" s="24" t="inlineStr">
        <is>
          <t>loss</t>
        </is>
      </c>
      <c r="W456" s="26" t="n">
        <v>0</v>
      </c>
      <c r="X456" s="26" t="n">
        <v>0</v>
      </c>
      <c r="Y456" s="25" t="n"/>
      <c r="Z456" s="26" t="n">
        <v>100</v>
      </c>
      <c r="AA456" s="28" t="n">
        <v>0.5</v>
      </c>
      <c r="AB456" s="28" t="n">
        <v>0</v>
      </c>
      <c r="AC456" s="30" t="n">
        <v>-1</v>
      </c>
      <c r="AD456" s="24" t="inlineStr">
        <is>
          <t>2026-09-01T04:36:54.023187Z</t>
        </is>
      </c>
      <c r="AE456" s="31" t="inlineStr">
        <is>
          <t>Poisson-DC rates 1.64 (home) / 1.24 (away) from EWMA attack/defense strengths. Executable ask 0.5000 (atc-arg2-ala-aca-2026-08-29-ala).</t>
        </is>
      </c>
      <c r="AF456" s="31" t="inlineStr">
        <is>
          <t>Research-only soccer score model; draw-aware, but not yet locked-holdout qualified.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PAPER_CALL_MODEL_UNVALIDATED</t>
        </is>
      </c>
      <c r="AP456" s="24" t="inlineStr">
        <is>
          <t>Acassuso</t>
        </is>
      </c>
      <c r="AQ456" s="24" t="inlineStr">
        <is>
          <t>Acassuso</t>
        </is>
      </c>
      <c r="AR456" s="24" t="inlineStr">
        <is>
          <t>Acassuso</t>
        </is>
      </c>
      <c r="AS456" s="24" t="inlineStr">
        <is>
          <t>Los Andes</t>
        </is>
      </c>
      <c r="AT456" s="24" t="inlineStr">
        <is>
          <t>Los Andes</t>
        </is>
      </c>
      <c r="AU456" s="24" t="inlineStr">
        <is>
          <t>Los Andes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f585a7f3cb7ee04f9a319a60fa601ef15e86636fadaaa8c1380ac0f28f75c58a</t>
        </is>
      </c>
      <c r="BB456" s="24" t="inlineStr">
        <is>
          <t>poisson_dixon_coles</t>
        </is>
      </c>
      <c r="BC456" s="24" t="inlineStr">
        <is>
          <t>soccer-poisson-dc-v1</t>
        </is>
      </c>
      <c r="BD456" s="24" t="inlineStr">
        <is>
          <t>f585a7f3cb7ee04f9a319a60fa601ef15e86636fadaaa8c1380ac0f28f75c58a</t>
        </is>
      </c>
      <c r="BE456" s="24" t="inlineStr">
        <is>
          <t>soccer-poisson-dc-v1</t>
        </is>
      </c>
      <c r="BF456" s="24" t="inlineStr">
        <is>
          <t>1</t>
        </is>
      </c>
      <c r="BG456" s="24" t="inlineStr">
        <is>
          <t>f585a7f3cb7ee04f9a319a60fa601ef15e86636fadaaa8c1380ac0f28f75c58a</t>
        </is>
      </c>
      <c r="BH456" s="24" t="inlineStr">
        <is>
          <t>2026-08-31T16:02:38.025071Z</t>
        </is>
      </c>
      <c r="BI456" s="24" t="inlineStr">
        <is>
          <t>["same_event","same_team_same_day","same_league_same_day"]</t>
        </is>
      </c>
      <c r="BJ456" s="25" t="n"/>
      <c r="BK456" s="26" t="n">
        <v>100</v>
      </c>
      <c r="BL456" s="27" t="n">
        <v>2</v>
      </c>
      <c r="BM456" s="28" t="n">
        <v>0.5</v>
      </c>
      <c r="BN456" s="28" t="n"/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4426fbcf450e4ee7</t>
        </is>
      </c>
      <c r="B457" s="24" t="inlineStr">
        <is>
          <t>2026-08-31T16:04:29.564490Z</t>
        </is>
      </c>
      <c r="C457" s="24" t="inlineStr">
        <is>
          <t>2026-09-01T00:00Z</t>
        </is>
      </c>
      <c r="D457" s="24" t="inlineStr">
        <is>
          <t>401844098</t>
        </is>
      </c>
      <c r="E457" s="24" t="inlineStr">
        <is>
          <t>SOCCER</t>
        </is>
      </c>
      <c r="F457" s="24" t="inlineStr">
        <is>
          <t>Agropecuario</t>
        </is>
      </c>
      <c r="G457" s="24" t="inlineStr">
        <is>
          <t>Gimnasia y Esgrima (Jujuy)</t>
        </is>
      </c>
      <c r="H457" s="24" t="inlineStr">
        <is>
          <t>moneyline</t>
        </is>
      </c>
      <c r="I457" s="24" t="inlineStr">
        <is>
          <t>home</t>
        </is>
      </c>
      <c r="J457" s="25" t="n"/>
      <c r="K457" s="24" t="inlineStr">
        <is>
          <t>polymarket_us</t>
        </is>
      </c>
      <c r="L457" s="26" t="n">
        <v>100</v>
      </c>
      <c r="M457" s="27" t="n">
        <v>2</v>
      </c>
      <c r="N457" s="28" t="n">
        <v>0.5</v>
      </c>
      <c r="O457" s="28" t="n">
        <v>0.456135</v>
      </c>
      <c r="P457" s="28" t="n">
        <v>0.2</v>
      </c>
      <c r="Q457" s="28" t="n">
        <v>-0.043865</v>
      </c>
      <c r="R457" s="26" t="n">
        <v>0</v>
      </c>
      <c r="S457" s="29" t="n">
        <v>1</v>
      </c>
      <c r="T457" s="24" t="inlineStr">
        <is>
          <t>soccer-poisson-dc-v1</t>
        </is>
      </c>
      <c r="U457" s="24" t="inlineStr">
        <is>
          <t>settled</t>
        </is>
      </c>
      <c r="V457" s="24" t="inlineStr">
        <is>
          <t>loss</t>
        </is>
      </c>
      <c r="W457" s="26" t="n">
        <v>1</v>
      </c>
      <c r="X457" s="26" t="n">
        <v>1</v>
      </c>
      <c r="Y457" s="25" t="n"/>
      <c r="Z457" s="26" t="n">
        <v>100</v>
      </c>
      <c r="AA457" s="28" t="n">
        <v>0.5</v>
      </c>
      <c r="AB457" s="28" t="n">
        <v>0</v>
      </c>
      <c r="AC457" s="30" t="n">
        <v>-1</v>
      </c>
      <c r="AD457" s="24" t="inlineStr">
        <is>
          <t>2026-09-01T04:36:55.781605Z</t>
        </is>
      </c>
      <c r="AE457" s="31" t="inlineStr">
        <is>
          <t>Poisson-DC rates 1.64 (home) / 1.24 (away) from EWMA attack/defense strengths. Executable ask 0.5000 (atc-arg2-ge-caa-2026-08-31-ge).</t>
        </is>
      </c>
      <c r="AF457" s="31" t="inlineStr">
        <is>
          <t>Research-only soccer score model; draw-aware, but not yet locked-holdout qualified.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PAPER_CALL_MODEL_UNVALIDATED</t>
        </is>
      </c>
      <c r="AP457" s="24" t="inlineStr">
        <is>
          <t>Agropecuario</t>
        </is>
      </c>
      <c r="AQ457" s="24" t="inlineStr">
        <is>
          <t>Agropecuario</t>
        </is>
      </c>
      <c r="AR457" s="24" t="inlineStr">
        <is>
          <t>Agropecuario</t>
        </is>
      </c>
      <c r="AS457" s="24" t="inlineStr">
        <is>
          <t>Gimnasia y Esgrima (Jujuy)</t>
        </is>
      </c>
      <c r="AT457" s="24" t="inlineStr">
        <is>
          <t>Gimnasia y Esgrima (Jujuy)</t>
        </is>
      </c>
      <c r="AU457" s="24" t="inlineStr">
        <is>
          <t>Gimnasia y Esgrima (Jujuy)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f585a7f3cb7ee04f9a319a60fa601ef15e86636fadaaa8c1380ac0f28f75c58a</t>
        </is>
      </c>
      <c r="BB457" s="24" t="inlineStr">
        <is>
          <t>poisson_dixon_coles</t>
        </is>
      </c>
      <c r="BC457" s="24" t="inlineStr">
        <is>
          <t>soccer-poisson-dc-v1</t>
        </is>
      </c>
      <c r="BD457" s="24" t="inlineStr">
        <is>
          <t>f585a7f3cb7ee04f9a319a60fa601ef15e86636fadaaa8c1380ac0f28f75c58a</t>
        </is>
      </c>
      <c r="BE457" s="24" t="inlineStr">
        <is>
          <t>soccer-poisson-dc-v1</t>
        </is>
      </c>
      <c r="BF457" s="24" t="inlineStr">
        <is>
          <t>1</t>
        </is>
      </c>
      <c r="BG457" s="24" t="inlineStr">
        <is>
          <t>f585a7f3cb7ee04f9a319a60fa601ef15e86636fadaaa8c1380ac0f28f75c58a</t>
        </is>
      </c>
      <c r="BH457" s="24" t="inlineStr">
        <is>
          <t>2026-08-31T16:02:38.034522Z</t>
        </is>
      </c>
      <c r="BI457" s="24" t="inlineStr">
        <is>
          <t>["same_event","same_team_same_day","same_league_same_day"]</t>
        </is>
      </c>
      <c r="BJ457" s="25" t="n"/>
      <c r="BK457" s="26" t="n">
        <v>100</v>
      </c>
      <c r="BL457" s="27" t="n">
        <v>2</v>
      </c>
      <c r="BM457" s="28" t="n">
        <v>0.5</v>
      </c>
      <c r="BN457" s="28" t="n"/>
      <c r="BO457" s="28" t="n"/>
      <c r="BP457" s="25" t="n"/>
      <c r="BQ457" s="27" t="n">
        <v>2</v>
      </c>
      <c r="BR457" s="28" t="n">
        <v>0.5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0.5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376b3ef165d64598</t>
        </is>
      </c>
      <c r="B458" s="24" t="inlineStr">
        <is>
          <t>2026-09-01T16:06:15.379284Z</t>
        </is>
      </c>
      <c r="C458" s="24" t="inlineStr">
        <is>
          <t>2026-09-01T22:30Z</t>
        </is>
      </c>
      <c r="D458" s="24" t="inlineStr">
        <is>
          <t>401860308</t>
        </is>
      </c>
      <c r="E458" s="24" t="inlineStr">
        <is>
          <t>SOCCER</t>
        </is>
      </c>
      <c r="F458" s="24" t="inlineStr">
        <is>
          <t>Juventude</t>
        </is>
      </c>
      <c r="G458" s="24" t="inlineStr">
        <is>
          <t>Londrina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233</v>
      </c>
      <c r="M458" s="27" t="n">
        <v>3.33</v>
      </c>
      <c r="N458" s="28" t="n">
        <v>0.3003</v>
      </c>
      <c r="O458" s="28" t="n">
        <v>0.456135</v>
      </c>
      <c r="P458" s="28" t="n">
        <v>0.2</v>
      </c>
      <c r="Q458" s="28" t="n">
        <v>0.155835</v>
      </c>
      <c r="R458" s="26" t="n">
        <v>8</v>
      </c>
      <c r="S458" s="29" t="n">
        <v>1</v>
      </c>
      <c r="T458" s="24" t="inlineStr">
        <is>
          <t>soccer-poisson-dc-v1</t>
        </is>
      </c>
      <c r="U458" s="24" t="inlineStr">
        <is>
          <t>settled</t>
        </is>
      </c>
      <c r="V458" s="24" t="inlineStr">
        <is>
          <t>loss</t>
        </is>
      </c>
      <c r="W458" s="26" t="n">
        <v>0</v>
      </c>
      <c r="X458" s="26" t="n">
        <v>0</v>
      </c>
      <c r="Y458" s="25" t="n"/>
      <c r="Z458" s="26" t="n">
        <v>233</v>
      </c>
      <c r="AA458" s="28" t="n">
        <v>0.3</v>
      </c>
      <c r="AB458" s="28" t="n">
        <v>-0.0003</v>
      </c>
      <c r="AC458" s="30" t="n">
        <v>-1</v>
      </c>
      <c r="AD458" s="24" t="inlineStr">
        <is>
          <t>2026-09-02T04:33:35.933706Z</t>
        </is>
      </c>
      <c r="AE458" s="31" t="inlineStr">
        <is>
          <t>Poisson-DC rates 1.64 (home) / 1.24 (away) from EWMA attack/defense strengths. Executable ask 0.3000 (atc-brb-lon-juv-2026-09-01-lon).</t>
        </is>
      </c>
      <c r="AF458" s="31" t="inlineStr">
        <is>
          <t>Research-only soccer score model; draw-aware, but not yet locked-holdout qualified.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PAPER_CALL_MODEL_UNVALIDATED</t>
        </is>
      </c>
      <c r="AP458" s="24" t="inlineStr">
        <is>
          <t>Juventude</t>
        </is>
      </c>
      <c r="AQ458" s="24" t="inlineStr">
        <is>
          <t>Juventude</t>
        </is>
      </c>
      <c r="AR458" s="24" t="inlineStr">
        <is>
          <t>Juventude</t>
        </is>
      </c>
      <c r="AS458" s="24" t="inlineStr">
        <is>
          <t>Londrina</t>
        </is>
      </c>
      <c r="AT458" s="24" t="inlineStr">
        <is>
          <t>Londrina</t>
        </is>
      </c>
      <c r="AU458" s="24" t="inlineStr">
        <is>
          <t>Londrina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f585a7f3cb7ee04f9a319a60fa601ef15e86636fadaaa8c1380ac0f28f75c58a</t>
        </is>
      </c>
      <c r="BB458" s="24" t="inlineStr">
        <is>
          <t>poisson_dixon_coles</t>
        </is>
      </c>
      <c r="BC458" s="24" t="inlineStr">
        <is>
          <t>soccer-poisson-dc-v1</t>
        </is>
      </c>
      <c r="BD458" s="24" t="inlineStr">
        <is>
          <t>f585a7f3cb7ee04f9a319a60fa601ef15e86636fadaaa8c1380ac0f28f75c58a</t>
        </is>
      </c>
      <c r="BE458" s="24" t="inlineStr">
        <is>
          <t>soccer-poisson-dc-v1</t>
        </is>
      </c>
      <c r="BF458" s="24" t="inlineStr">
        <is>
          <t>1</t>
        </is>
      </c>
      <c r="BG458" s="24" t="inlineStr">
        <is>
          <t>f585a7f3cb7ee04f9a319a60fa601ef15e86636fadaaa8c1380ac0f28f75c58a</t>
        </is>
      </c>
      <c r="BH458" s="24" t="inlineStr">
        <is>
          <t>2026-09-01T16:03:58.496581Z</t>
        </is>
      </c>
      <c r="BI458" s="24" t="inlineStr">
        <is>
          <t>["same_event","same_team_same_day","same_league_same_day"]</t>
        </is>
      </c>
      <c r="BJ458" s="25" t="n"/>
      <c r="BK458" s="26" t="n">
        <v>233</v>
      </c>
      <c r="BL458" s="27" t="n">
        <v>3.33</v>
      </c>
      <c r="BM458" s="28" t="n">
        <v>0.3003</v>
      </c>
      <c r="BN458" s="28" t="n"/>
      <c r="BO458" s="28" t="n"/>
      <c r="BP458" s="25" t="n"/>
      <c r="BQ458" s="27" t="n">
        <v>3.33</v>
      </c>
      <c r="BR458" s="28" t="n">
        <v>0.3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0.3003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d09a33f0ac6c4bbb</t>
        </is>
      </c>
      <c r="B459" s="24" t="inlineStr">
        <is>
          <t>2026-09-02T16:08:27.241549Z</t>
        </is>
      </c>
      <c r="C459" s="24" t="inlineStr">
        <is>
          <t>2026-09-02T22:30Z</t>
        </is>
      </c>
      <c r="D459" s="24" t="inlineStr">
        <is>
          <t>401913077</t>
        </is>
      </c>
      <c r="E459" s="24" t="inlineStr">
        <is>
          <t>SOCCER</t>
        </is>
      </c>
      <c r="F459" s="24" t="inlineStr">
        <is>
          <t>Mirassol</t>
        </is>
      </c>
      <c r="G459" s="24" t="inlineStr">
        <is>
          <t>Flamengo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-488</v>
      </c>
      <c r="M459" s="27" t="n">
        <v>1.204918</v>
      </c>
      <c r="N459" s="28" t="n">
        <v>0.829932</v>
      </c>
      <c r="O459" s="28" t="n">
        <v>0.440521</v>
      </c>
      <c r="P459" s="28" t="n">
        <v>0.2</v>
      </c>
      <c r="Q459" s="28" t="n">
        <v>-0.389411</v>
      </c>
      <c r="R459" s="26" t="n">
        <v>0</v>
      </c>
      <c r="S459" s="29" t="n">
        <v>1</v>
      </c>
      <c r="T459" s="24" t="inlineStr">
        <is>
          <t>soccer-poisson-dc-v1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2</v>
      </c>
      <c r="Y459" s="25" t="n"/>
      <c r="Z459" s="26" t="n">
        <v>-488</v>
      </c>
      <c r="AA459" s="28" t="n">
        <v>0.83</v>
      </c>
      <c r="AB459" s="28" t="n">
        <v>6.8e-05</v>
      </c>
      <c r="AC459" s="30" t="n">
        <v>0.2049</v>
      </c>
      <c r="AD459" s="24" t="inlineStr">
        <is>
          <t>2026-09-03T04:32:10.187992Z</t>
        </is>
      </c>
      <c r="AE459" s="31" t="inlineStr">
        <is>
          <t>Poisson-DC rates 1.46 (home) / 1.10 (away) from EWMA attack/defense strengths. Executable ask 0.8300 (atc-bra-fla-mir-2026-09-02-fla).</t>
        </is>
      </c>
      <c r="AF459" s="31" t="inlineStr">
        <is>
          <t>Research-only soccer score model; draw-aware, but not yet locked-holdout qualified.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PAPER_CALL_MODEL_UNVALIDATED</t>
        </is>
      </c>
      <c r="AP459" s="24" t="inlineStr">
        <is>
          <t>Mirassol</t>
        </is>
      </c>
      <c r="AQ459" s="24" t="inlineStr">
        <is>
          <t>Mirassol</t>
        </is>
      </c>
      <c r="AR459" s="24" t="inlineStr">
        <is>
          <t>Mirassol</t>
        </is>
      </c>
      <c r="AS459" s="24" t="inlineStr">
        <is>
          <t>Flamengo</t>
        </is>
      </c>
      <c r="AT459" s="24" t="inlineStr">
        <is>
          <t>Flamengo</t>
        </is>
      </c>
      <c r="AU459" s="24" t="inlineStr">
        <is>
          <t>Flamengo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f585a7f3cb7ee04f9a319a60fa601ef15e86636fadaaa8c1380ac0f28f75c58a</t>
        </is>
      </c>
      <c r="BB459" s="24" t="inlineStr">
        <is>
          <t>poisson_dixon_coles</t>
        </is>
      </c>
      <c r="BC459" s="24" t="inlineStr">
        <is>
          <t>soccer-poisson-dc-v1</t>
        </is>
      </c>
      <c r="BD459" s="24" t="inlineStr">
        <is>
          <t>f585a7f3cb7ee04f9a319a60fa601ef15e86636fadaaa8c1380ac0f28f75c58a</t>
        </is>
      </c>
      <c r="BE459" s="24" t="inlineStr">
        <is>
          <t>soccer-poisson-dc-v1</t>
        </is>
      </c>
      <c r="BF459" s="24" t="inlineStr">
        <is>
          <t>1</t>
        </is>
      </c>
      <c r="BG459" s="24" t="inlineStr">
        <is>
          <t>f585a7f3cb7ee04f9a319a60fa601ef15e86636fadaaa8c1380ac0f28f75c58a</t>
        </is>
      </c>
      <c r="BH459" s="24" t="inlineStr">
        <is>
          <t>2026-09-02T16:07:10.641783Z</t>
        </is>
      </c>
      <c r="BI459" s="24" t="inlineStr">
        <is>
          <t>["same_event","same_team_same_day","same_league_same_day"]</t>
        </is>
      </c>
      <c r="BJ459" s="25" t="n"/>
      <c r="BK459" s="26" t="n">
        <v>-488</v>
      </c>
      <c r="BL459" s="27" t="n">
        <v>1.204918</v>
      </c>
      <c r="BM459" s="28" t="n">
        <v>0.829932</v>
      </c>
      <c r="BN459" s="28" t="n"/>
      <c r="BO459" s="28" t="n"/>
      <c r="BP459" s="25" t="n"/>
      <c r="BQ459" s="27" t="n">
        <v>1.204918</v>
      </c>
      <c r="BR459" s="28" t="n">
        <v>0.83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0.829932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c6631c89df834cda</t>
        </is>
      </c>
      <c r="B460" s="24" t="inlineStr">
        <is>
          <t>2026-09-02T16:08:27.241549Z</t>
        </is>
      </c>
      <c r="C460" s="24" t="inlineStr">
        <is>
          <t>2026-09-02T23:00Z</t>
        </is>
      </c>
      <c r="D460" s="24" t="inlineStr">
        <is>
          <t>401843975</t>
        </is>
      </c>
      <c r="E460" s="24" t="inlineStr">
        <is>
          <t>SOCCER</t>
        </is>
      </c>
      <c r="F460" s="24" t="inlineStr">
        <is>
          <t>Midland</t>
        </is>
      </c>
      <c r="G460" s="24" t="inlineStr">
        <is>
          <t>Colegiales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194</v>
      </c>
      <c r="M460" s="27" t="n">
        <v>2.94</v>
      </c>
      <c r="N460" s="28" t="n">
        <v>0.340136</v>
      </c>
      <c r="O460" s="28" t="n">
        <v>0.456135</v>
      </c>
      <c r="P460" s="28" t="n">
        <v>0.2</v>
      </c>
      <c r="Q460" s="28" t="n">
        <v>0.115999</v>
      </c>
      <c r="R460" s="26" t="n">
        <v>0</v>
      </c>
      <c r="S460" s="29" t="n">
        <v>1</v>
      </c>
      <c r="T460" s="24" t="inlineStr">
        <is>
          <t>soccer-poisson-dc-v1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3</v>
      </c>
      <c r="Y460" s="25" t="n"/>
      <c r="Z460" s="26" t="n">
        <v>194</v>
      </c>
      <c r="AA460" s="28" t="n">
        <v>0.34</v>
      </c>
      <c r="AB460" s="28" t="n">
        <v>-0.000136</v>
      </c>
      <c r="AC460" s="30" t="n">
        <v>1.94</v>
      </c>
      <c r="AD460" s="24" t="inlineStr">
        <is>
          <t>2026-09-03T04:32:10.644064Z</t>
        </is>
      </c>
      <c r="AE460" s="31" t="inlineStr">
        <is>
          <t>Poisson-DC rates 1.64 (home) / 1.24 (away) from EWMA attack/defense strengths. Executable ask 0.3400 (atc-arg2-cac-afm-2026-09-02-cac).</t>
        </is>
      </c>
      <c r="AF460" s="31" t="inlineStr">
        <is>
          <t>Research-only soccer score model; draw-aware, but not yet locked-holdout qualified.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PAPER_CALL_MODEL_UNVALIDATED</t>
        </is>
      </c>
      <c r="AP460" s="24" t="inlineStr">
        <is>
          <t>Midland</t>
        </is>
      </c>
      <c r="AQ460" s="24" t="inlineStr">
        <is>
          <t>Midland</t>
        </is>
      </c>
      <c r="AR460" s="24" t="inlineStr">
        <is>
          <t>Midland</t>
        </is>
      </c>
      <c r="AS460" s="24" t="inlineStr">
        <is>
          <t>Colegiales</t>
        </is>
      </c>
      <c r="AT460" s="24" t="inlineStr">
        <is>
          <t>Colegiales</t>
        </is>
      </c>
      <c r="AU460" s="24" t="inlineStr">
        <is>
          <t>Colegiales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f585a7f3cb7ee04f9a319a60fa601ef15e86636fadaaa8c1380ac0f28f75c58a</t>
        </is>
      </c>
      <c r="BB460" s="24" t="inlineStr">
        <is>
          <t>poisson_dixon_coles</t>
        </is>
      </c>
      <c r="BC460" s="24" t="inlineStr">
        <is>
          <t>soccer-poisson-dc-v1</t>
        </is>
      </c>
      <c r="BD460" s="24" t="inlineStr">
        <is>
          <t>f585a7f3cb7ee04f9a319a60fa601ef15e86636fadaaa8c1380ac0f28f75c58a</t>
        </is>
      </c>
      <c r="BE460" s="24" t="inlineStr">
        <is>
          <t>soccer-poisson-dc-v1</t>
        </is>
      </c>
      <c r="BF460" s="24" t="inlineStr">
        <is>
          <t>1</t>
        </is>
      </c>
      <c r="BG460" s="24" t="inlineStr">
        <is>
          <t>f585a7f3cb7ee04f9a319a60fa601ef15e86636fadaaa8c1380ac0f28f75c58a</t>
        </is>
      </c>
      <c r="BH460" s="24" t="inlineStr">
        <is>
          <t>2026-09-02T16:07:10.647811Z</t>
        </is>
      </c>
      <c r="BI460" s="24" t="inlineStr">
        <is>
          <t>["same_event","same_team_same_day","same_league_same_day"]</t>
        </is>
      </c>
      <c r="BJ460" s="25" t="n"/>
      <c r="BK460" s="26" t="n">
        <v>194</v>
      </c>
      <c r="BL460" s="27" t="n">
        <v>2.94</v>
      </c>
      <c r="BM460" s="28" t="n">
        <v>0.340136</v>
      </c>
      <c r="BN460" s="28" t="n"/>
      <c r="BO460" s="28" t="n"/>
      <c r="BP460" s="25" t="n"/>
      <c r="BQ460" s="27" t="n">
        <v>2.94</v>
      </c>
      <c r="BR460" s="28" t="n">
        <v>0.34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0.340136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15e42c4bc9464a0b</t>
        </is>
      </c>
      <c r="B461" s="24" t="inlineStr">
        <is>
          <t>2026-09-02T16:08:27.241549Z</t>
        </is>
      </c>
      <c r="C461" s="24" t="inlineStr">
        <is>
          <t>2026-09-03T01:25Z</t>
        </is>
      </c>
      <c r="D461" s="24" t="inlineStr">
        <is>
          <t>401877839</t>
        </is>
      </c>
      <c r="E461" s="24" t="inlineStr">
        <is>
          <t>SOCCER</t>
        </is>
      </c>
      <c r="F461" s="24" t="inlineStr">
        <is>
          <t>Millonarios</t>
        </is>
      </c>
      <c r="G461" s="24" t="inlineStr">
        <is>
          <t>Independiente Santa Fe</t>
        </is>
      </c>
      <c r="H461" s="24" t="inlineStr">
        <is>
          <t>moneyline</t>
        </is>
      </c>
      <c r="I461" s="24" t="inlineStr">
        <is>
          <t>home</t>
        </is>
      </c>
      <c r="J461" s="25" t="n"/>
      <c r="K461" s="24" t="inlineStr">
        <is>
          <t>polymarket_us</t>
        </is>
      </c>
      <c r="L461" s="26" t="n">
        <v>223</v>
      </c>
      <c r="M461" s="27" t="n">
        <v>3.23</v>
      </c>
      <c r="N461" s="28" t="n">
        <v>0.309598</v>
      </c>
      <c r="O461" s="28" t="n">
        <v>0.440521</v>
      </c>
      <c r="P461" s="28" t="n">
        <v>0.2</v>
      </c>
      <c r="Q461" s="28" t="n">
        <v>0.130923</v>
      </c>
      <c r="R461" s="26" t="n">
        <v>0</v>
      </c>
      <c r="S461" s="29" t="n">
        <v>1</v>
      </c>
      <c r="T461" s="24" t="inlineStr">
        <is>
          <t>soccer-poisson-dc-v1</t>
        </is>
      </c>
      <c r="U461" s="24" t="inlineStr">
        <is>
          <t>settled</t>
        </is>
      </c>
      <c r="V461" s="24" t="inlineStr">
        <is>
          <t>win</t>
        </is>
      </c>
      <c r="W461" s="26" t="n">
        <v>2</v>
      </c>
      <c r="X461" s="26" t="n">
        <v>3</v>
      </c>
      <c r="Y461" s="25" t="n"/>
      <c r="Z461" s="26" t="n">
        <v>223</v>
      </c>
      <c r="AA461" s="28" t="n">
        <v>0.31</v>
      </c>
      <c r="AB461" s="28" t="n">
        <v>0.000402</v>
      </c>
      <c r="AC461" s="30" t="n">
        <v>2.23</v>
      </c>
      <c r="AD461" s="24" t="inlineStr">
        <is>
          <t>2026-09-03T04:32:11.091402Z</t>
        </is>
      </c>
      <c r="AE461" s="31" t="inlineStr">
        <is>
          <t>Poisson-DC rates 1.46 (home) / 1.10 (away) from EWMA attack/defense strengths. Executable ask 0.3100 (atc-lco-san-mil-2026-09-02-san).</t>
        </is>
      </c>
      <c r="AF461" s="31" t="inlineStr">
        <is>
          <t>Research-only soccer score model; draw-aware, but not yet locked-holdout qualified.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PAPER_CALL_MODEL_UNVALIDATED</t>
        </is>
      </c>
      <c r="AP461" s="24" t="inlineStr">
        <is>
          <t>Millonarios</t>
        </is>
      </c>
      <c r="AQ461" s="24" t="inlineStr">
        <is>
          <t>Millonarios</t>
        </is>
      </c>
      <c r="AR461" s="24" t="inlineStr">
        <is>
          <t>Millonarios</t>
        </is>
      </c>
      <c r="AS461" s="24" t="inlineStr">
        <is>
          <t>Independiente Santa Fe</t>
        </is>
      </c>
      <c r="AT461" s="24" t="inlineStr">
        <is>
          <t>Independiente Santa Fe</t>
        </is>
      </c>
      <c r="AU461" s="24" t="inlineStr">
        <is>
          <t>Independiente Santa Fe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f585a7f3cb7ee04f9a319a60fa601ef15e86636fadaaa8c1380ac0f28f75c58a</t>
        </is>
      </c>
      <c r="BB461" s="24" t="inlineStr">
        <is>
          <t>poisson_dixon_coles</t>
        </is>
      </c>
      <c r="BC461" s="24" t="inlineStr">
        <is>
          <t>soccer-poisson-dc-v1</t>
        </is>
      </c>
      <c r="BD461" s="24" t="inlineStr">
        <is>
          <t>f585a7f3cb7ee04f9a319a60fa601ef15e86636fadaaa8c1380ac0f28f75c58a</t>
        </is>
      </c>
      <c r="BE461" s="24" t="inlineStr">
        <is>
          <t>soccer-poisson-dc-v1</t>
        </is>
      </c>
      <c r="BF461" s="24" t="inlineStr">
        <is>
          <t>1</t>
        </is>
      </c>
      <c r="BG461" s="24" t="inlineStr">
        <is>
          <t>f585a7f3cb7ee04f9a319a60fa601ef15e86636fadaaa8c1380ac0f28f75c58a</t>
        </is>
      </c>
      <c r="BH461" s="24" t="inlineStr">
        <is>
          <t>2026-09-02T16:07:10.674780Z</t>
        </is>
      </c>
      <c r="BI461" s="24" t="inlineStr">
        <is>
          <t>["same_event","same_team_same_day","same_league_same_day"]</t>
        </is>
      </c>
      <c r="BJ461" s="25" t="n"/>
      <c r="BK461" s="26" t="n">
        <v>223</v>
      </c>
      <c r="BL461" s="27" t="n">
        <v>3.23</v>
      </c>
      <c r="BM461" s="28" t="n">
        <v>0.309598</v>
      </c>
      <c r="BN461" s="28" t="n"/>
      <c r="BO461" s="28" t="n"/>
      <c r="BP461" s="25" t="n"/>
      <c r="BQ461" s="27" t="n">
        <v>3.23</v>
      </c>
      <c r="BR461" s="28" t="n">
        <v>0.31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0.309598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4a54dd5756fe4ced</t>
        </is>
      </c>
      <c r="B462" s="24" t="inlineStr">
        <is>
          <t>2026-09-02T16:08:27.241549Z</t>
        </is>
      </c>
      <c r="C462" s="24" t="inlineStr">
        <is>
          <t>2026-09-02T19:00Z</t>
        </is>
      </c>
      <c r="D462" s="24" t="inlineStr">
        <is>
          <t>401859680</t>
        </is>
      </c>
      <c r="E462" s="24" t="inlineStr">
        <is>
          <t>SOCCER</t>
        </is>
      </c>
      <c r="F462" s="24" t="inlineStr">
        <is>
          <t>Manta F.C.</t>
        </is>
      </c>
      <c r="G462" s="24" t="inlineStr">
        <is>
          <t>Macará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-194</v>
      </c>
      <c r="M462" s="27" t="n">
        <v>1.515464</v>
      </c>
      <c r="N462" s="28" t="n">
        <v>0.659864</v>
      </c>
      <c r="O462" s="28" t="n">
        <v>0.456135</v>
      </c>
      <c r="P462" s="28" t="n">
        <v>0.2</v>
      </c>
      <c r="Q462" s="28" t="n">
        <v>-0.203729</v>
      </c>
      <c r="R462" s="26" t="n">
        <v>0</v>
      </c>
      <c r="S462" s="29" t="n">
        <v>1</v>
      </c>
      <c r="T462" s="24" t="inlineStr">
        <is>
          <t>soccer-poisson-dc-v1</t>
        </is>
      </c>
      <c r="U462" s="24" t="inlineStr">
        <is>
          <t>settled</t>
        </is>
      </c>
      <c r="V462" s="24" t="inlineStr">
        <is>
          <t>win</t>
        </is>
      </c>
      <c r="W462" s="26" t="n">
        <v>3</v>
      </c>
      <c r="X462" s="26" t="n">
        <v>4</v>
      </c>
      <c r="Y462" s="25" t="n"/>
      <c r="Z462" s="26" t="n">
        <v>-194</v>
      </c>
      <c r="AA462" s="28" t="n">
        <v>0.66</v>
      </c>
      <c r="AB462" s="28" t="n">
        <v>0.000136</v>
      </c>
      <c r="AC462" s="30" t="n">
        <v>0.5155</v>
      </c>
      <c r="AD462" s="24" t="inlineStr">
        <is>
          <t>2026-09-03T04:32:11.548674Z</t>
        </is>
      </c>
      <c r="AE462" s="31" t="inlineStr">
        <is>
          <t>Poisson-DC rates 1.64 (home) / 1.24 (away) from EWMA attack/defense strengths. Executable ask 0.6600 (atc-ecu1-mac-man-2026-09-02-mac).</t>
        </is>
      </c>
      <c r="AF462" s="31" t="inlineStr">
        <is>
          <t>Research-only soccer score model; draw-aware, but not yet locked-holdout qualified.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PAPER_CALL_MODEL_UNVALIDATED</t>
        </is>
      </c>
      <c r="AP462" s="24" t="inlineStr">
        <is>
          <t>Manta F.C.</t>
        </is>
      </c>
      <c r="AQ462" s="24" t="inlineStr">
        <is>
          <t>Manta F.C.</t>
        </is>
      </c>
      <c r="AR462" s="24" t="inlineStr">
        <is>
          <t>Manta F.C.</t>
        </is>
      </c>
      <c r="AS462" s="24" t="inlineStr">
        <is>
          <t>Macará</t>
        </is>
      </c>
      <c r="AT462" s="24" t="inlineStr">
        <is>
          <t>Macará</t>
        </is>
      </c>
      <c r="AU462" s="24" t="inlineStr">
        <is>
          <t>Macará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f585a7f3cb7ee04f9a319a60fa601ef15e86636fadaaa8c1380ac0f28f75c58a</t>
        </is>
      </c>
      <c r="BB462" s="24" t="inlineStr">
        <is>
          <t>poisson_dixon_coles</t>
        </is>
      </c>
      <c r="BC462" s="24" t="inlineStr">
        <is>
          <t>soccer-poisson-dc-v1</t>
        </is>
      </c>
      <c r="BD462" s="24" t="inlineStr">
        <is>
          <t>f585a7f3cb7ee04f9a319a60fa601ef15e86636fadaaa8c1380ac0f28f75c58a</t>
        </is>
      </c>
      <c r="BE462" s="24" t="inlineStr">
        <is>
          <t>soccer-poisson-dc-v1</t>
        </is>
      </c>
      <c r="BF462" s="24" t="inlineStr">
        <is>
          <t>1</t>
        </is>
      </c>
      <c r="BG462" s="24" t="inlineStr">
        <is>
          <t>f585a7f3cb7ee04f9a319a60fa601ef15e86636fadaaa8c1380ac0f28f75c58a</t>
        </is>
      </c>
      <c r="BH462" s="24" t="inlineStr">
        <is>
          <t>2026-09-02T16:07:10.695357Z</t>
        </is>
      </c>
      <c r="BI462" s="24" t="inlineStr">
        <is>
          <t>["same_event","same_team_same_day","same_league_same_day"]</t>
        </is>
      </c>
      <c r="BJ462" s="25" t="n"/>
      <c r="BK462" s="26" t="n">
        <v>-194</v>
      </c>
      <c r="BL462" s="27" t="n">
        <v>1.515464</v>
      </c>
      <c r="BM462" s="28" t="n">
        <v>0.659864</v>
      </c>
      <c r="BN462" s="28" t="n"/>
      <c r="BO462" s="28" t="n"/>
      <c r="BP462" s="25" t="n"/>
      <c r="BQ462" s="27" t="n">
        <v>1.515464</v>
      </c>
      <c r="BR462" s="28" t="n">
        <v>0.66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0.659864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6fdb70e89d174959</t>
        </is>
      </c>
      <c r="B463" s="24" t="inlineStr">
        <is>
          <t>2026-09-02T16:08:27.241549Z</t>
        </is>
      </c>
      <c r="C463" s="24" t="inlineStr">
        <is>
          <t>2026-09-03T00:00Z</t>
        </is>
      </c>
      <c r="D463" s="24" t="inlineStr">
        <is>
          <t>401859677</t>
        </is>
      </c>
      <c r="E463" s="24" t="inlineStr">
        <is>
          <t>SOCCER</t>
        </is>
      </c>
      <c r="F463" s="24" t="inlineStr">
        <is>
          <t>Independiente del Valle</t>
        </is>
      </c>
      <c r="G463" s="24" t="inlineStr">
        <is>
          <t>Barcelona SC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270</v>
      </c>
      <c r="M463" s="27" t="n">
        <v>3.7</v>
      </c>
      <c r="N463" s="28" t="n">
        <v>0.27027</v>
      </c>
      <c r="O463" s="28" t="n">
        <v>0.643159</v>
      </c>
      <c r="P463" s="28" t="n">
        <v>0.2</v>
      </c>
      <c r="Q463" s="28" t="n">
        <v>0.372889</v>
      </c>
      <c r="R463" s="26" t="n">
        <v>100</v>
      </c>
      <c r="S463" s="29" t="n">
        <v>2</v>
      </c>
      <c r="T463" s="24" t="inlineStr">
        <is>
          <t>soccer-poisson-dc-v1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2</v>
      </c>
      <c r="Y463" s="25" t="n"/>
      <c r="Z463" s="26" t="n">
        <v>270</v>
      </c>
      <c r="AA463" s="28" t="n">
        <v>0.27</v>
      </c>
      <c r="AB463" s="28" t="n">
        <v>-0.00027</v>
      </c>
      <c r="AC463" s="30" t="n">
        <v>5.4</v>
      </c>
      <c r="AD463" s="24" t="inlineStr">
        <is>
          <t>2026-09-03T04:32:11.999061Z</t>
        </is>
      </c>
      <c r="AE463" s="31" t="inlineStr">
        <is>
          <t>Poisson-DC rates 2.32 (home) / 1.08 (away) from EWMA attack/defense strengths. Executable ask 0.2700 (atc-ecu1-bsc-ind-2026-09-02-bsc).</t>
        </is>
      </c>
      <c r="AF463" s="31" t="inlineStr">
        <is>
          <t>Research-only soccer score model; draw-aware, but not yet locked-holdout qualified.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PAPER_CALL_MODEL_UNVALIDATED</t>
        </is>
      </c>
      <c r="AP463" s="24" t="inlineStr">
        <is>
          <t>Independiente del Valle</t>
        </is>
      </c>
      <c r="AQ463" s="24" t="inlineStr">
        <is>
          <t>Independiente del Valle</t>
        </is>
      </c>
      <c r="AR463" s="24" t="inlineStr">
        <is>
          <t>Independiente del Valle</t>
        </is>
      </c>
      <c r="AS463" s="24" t="inlineStr">
        <is>
          <t>Barcelona SC</t>
        </is>
      </c>
      <c r="AT463" s="24" t="inlineStr">
        <is>
          <t>Barcelona SC</t>
        </is>
      </c>
      <c r="AU463" s="24" t="inlineStr">
        <is>
          <t>Barcelona SC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f585a7f3cb7ee04f9a319a60fa601ef15e86636fadaaa8c1380ac0f28f75c58a</t>
        </is>
      </c>
      <c r="BB463" s="24" t="inlineStr">
        <is>
          <t>poisson_dixon_coles</t>
        </is>
      </c>
      <c r="BC463" s="24" t="inlineStr">
        <is>
          <t>soccer-poisson-dc-v1</t>
        </is>
      </c>
      <c r="BD463" s="24" t="inlineStr">
        <is>
          <t>f585a7f3cb7ee04f9a319a60fa601ef15e86636fadaaa8c1380ac0f28f75c58a</t>
        </is>
      </c>
      <c r="BE463" s="24" t="inlineStr">
        <is>
          <t>soccer-poisson-dc-v1</t>
        </is>
      </c>
      <c r="BF463" s="24" t="inlineStr">
        <is>
          <t>1</t>
        </is>
      </c>
      <c r="BG463" s="24" t="inlineStr">
        <is>
          <t>f585a7f3cb7ee04f9a319a60fa601ef15e86636fadaaa8c1380ac0f28f75c58a</t>
        </is>
      </c>
      <c r="BH463" s="24" t="inlineStr">
        <is>
          <t>2026-09-02T16:07:10.734199Z</t>
        </is>
      </c>
      <c r="BI463" s="24" t="inlineStr">
        <is>
          <t>["same_event","same_team_same_day","same_league_same_day"]</t>
        </is>
      </c>
      <c r="BJ463" s="25" t="n"/>
      <c r="BK463" s="26" t="n">
        <v>270</v>
      </c>
      <c r="BL463" s="27" t="n">
        <v>3.7</v>
      </c>
      <c r="BM463" s="28" t="n">
        <v>0.27027</v>
      </c>
      <c r="BN463" s="28" t="n"/>
      <c r="BO463" s="28" t="n"/>
      <c r="BP463" s="25" t="n"/>
      <c r="BQ463" s="27" t="n">
        <v>3.7</v>
      </c>
      <c r="BR463" s="28" t="n">
        <v>0.27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0.27027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161190c399ab4372</t>
        </is>
      </c>
      <c r="B464" s="24" t="inlineStr">
        <is>
          <t>2026-09-03T16:11:14.992111Z</t>
        </is>
      </c>
      <c r="C464" s="24" t="inlineStr">
        <is>
          <t>2026-09-03T19:00Z</t>
        </is>
      </c>
      <c r="D464" s="24" t="inlineStr">
        <is>
          <t>401882867</t>
        </is>
      </c>
      <c r="E464" s="24" t="inlineStr">
        <is>
          <t>SOCCER</t>
        </is>
      </c>
      <c r="F464" s="24" t="inlineStr">
        <is>
          <t>Celta Vigo</t>
        </is>
      </c>
      <c r="G464" s="24" t="inlineStr">
        <is>
          <t>Real Sociedad</t>
        </is>
      </c>
      <c r="H464" s="24" t="inlineStr">
        <is>
          <t>moneyline</t>
        </is>
      </c>
      <c r="I464" s="24" t="inlineStr">
        <is>
          <t>home</t>
        </is>
      </c>
      <c r="J464" s="25" t="n"/>
      <c r="K464" s="24" t="inlineStr">
        <is>
          <t>polymarket_us</t>
        </is>
      </c>
      <c r="L464" s="26" t="n">
        <v>-117</v>
      </c>
      <c r="M464" s="27" t="n">
        <v>1.854701</v>
      </c>
      <c r="N464" s="28" t="n">
        <v>0.539171</v>
      </c>
      <c r="O464" s="28" t="n">
        <v>0.424007</v>
      </c>
      <c r="P464" s="28" t="n">
        <v>0.04</v>
      </c>
      <c r="Q464" s="28" t="n">
        <v>-0.115164</v>
      </c>
      <c r="R464" s="26" t="n">
        <v>0</v>
      </c>
      <c r="S464" s="29" t="n">
        <v>1</v>
      </c>
      <c r="T464" s="24" t="inlineStr">
        <is>
          <t>soccer-poisson-dc-v1</t>
        </is>
      </c>
      <c r="U464" s="24" t="inlineStr">
        <is>
          <t>settled</t>
        </is>
      </c>
      <c r="V464" s="24" t="inlineStr">
        <is>
          <t>loss</t>
        </is>
      </c>
      <c r="W464" s="26" t="n">
        <v>0</v>
      </c>
      <c r="X464" s="26" t="n">
        <v>0</v>
      </c>
      <c r="Y464" s="25" t="n"/>
      <c r="Z464" s="26" t="n">
        <v>-117</v>
      </c>
      <c r="AA464" s="28" t="n">
        <v>0.54</v>
      </c>
      <c r="AB464" s="28" t="n">
        <v>0.000829</v>
      </c>
      <c r="AC464" s="30" t="n">
        <v>-1</v>
      </c>
      <c r="AD464" s="24" t="inlineStr">
        <is>
          <t>2026-09-04T04:32:33.083333Z</t>
        </is>
      </c>
      <c r="AE464" s="31" t="inlineStr">
        <is>
          <t>Poisson-DC rates 1.74 (home) / 1.50 (away) from EWMA attack/defense strengths. Executable ask 0.5400 (atc-lal-rso-cel-2026-09-03-rso).</t>
        </is>
      </c>
      <c r="AF464" s="31" t="inlineStr">
        <is>
          <t>Research-only soccer score model; draw-aware, but not yet locked-holdout qualified.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Celta Vigo</t>
        </is>
      </c>
      <c r="AQ464" s="24" t="inlineStr">
        <is>
          <t>Celta Vigo</t>
        </is>
      </c>
      <c r="AR464" s="24" t="inlineStr">
        <is>
          <t>Celta Vigo</t>
        </is>
      </c>
      <c r="AS464" s="24" t="inlineStr">
        <is>
          <t>Real Sociedad</t>
        </is>
      </c>
      <c r="AT464" s="24" t="inlineStr">
        <is>
          <t>Real Sociedad</t>
        </is>
      </c>
      <c r="AU464" s="24" t="inlineStr">
        <is>
          <t>Real Sociedad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f585a7f3cb7ee04f9a319a60fa601ef15e86636fadaaa8c1380ac0f28f75c58a</t>
        </is>
      </c>
      <c r="BB464" s="24" t="inlineStr">
        <is>
          <t>poisson_dixon_coles</t>
        </is>
      </c>
      <c r="BC464" s="24" t="inlineStr">
        <is>
          <t>soccer-poisson-dc-v1</t>
        </is>
      </c>
      <c r="BD464" s="24" t="inlineStr">
        <is>
          <t>f585a7f3cb7ee04f9a319a60fa601ef15e86636fadaaa8c1380ac0f28f75c58a</t>
        </is>
      </c>
      <c r="BE464" s="24" t="inlineStr">
        <is>
          <t>soccer-poisson-dc-v1</t>
        </is>
      </c>
      <c r="BF464" s="24" t="inlineStr">
        <is>
          <t>1</t>
        </is>
      </c>
      <c r="BG464" s="24" t="inlineStr">
        <is>
          <t>f585a7f3cb7ee04f9a319a60fa601ef15e86636fadaaa8c1380ac0f28f75c58a</t>
        </is>
      </c>
      <c r="BH464" s="24" t="inlineStr">
        <is>
          <t>2026-09-03T16:10:19.563906Z</t>
        </is>
      </c>
      <c r="BI464" s="24" t="inlineStr">
        <is>
          <t>["same_event","same_team_same_day","same_league_same_day"]</t>
        </is>
      </c>
      <c r="BJ464" s="25" t="n"/>
      <c r="BK464" s="26" t="n">
        <v>-117</v>
      </c>
      <c r="BL464" s="27" t="n">
        <v>1.854701</v>
      </c>
      <c r="BM464" s="28" t="n">
        <v>0.539171</v>
      </c>
      <c r="BN464" s="28" t="n"/>
      <c r="BO464" s="28" t="n"/>
      <c r="BP464" s="25" t="n"/>
      <c r="BQ464" s="27" t="n">
        <v>1.854701</v>
      </c>
      <c r="BR464" s="28" t="n">
        <v>0.54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0.539171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46a4a063742b4e57</t>
        </is>
      </c>
      <c r="B465" s="24" t="inlineStr">
        <is>
          <t>2026-09-03T16:11:14.992111Z</t>
        </is>
      </c>
      <c r="C465" s="24" t="inlineStr">
        <is>
          <t>2026-09-03T21:30Z</t>
        </is>
      </c>
      <c r="D465" s="24" t="inlineStr">
        <is>
          <t>401859723</t>
        </is>
      </c>
      <c r="E465" s="24" t="inlineStr">
        <is>
          <t>SOCCER</t>
        </is>
      </c>
      <c r="F465" s="24" t="inlineStr">
        <is>
          <t>Orense</t>
        </is>
      </c>
      <c r="G465" s="24" t="inlineStr">
        <is>
          <t>Leones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104</v>
      </c>
      <c r="M465" s="27" t="n">
        <v>2.04</v>
      </c>
      <c r="N465" s="28" t="n">
        <v>0.490196</v>
      </c>
      <c r="O465" s="28" t="n">
        <v>0.520801</v>
      </c>
      <c r="P465" s="28" t="n">
        <v>0.19</v>
      </c>
      <c r="Q465" s="28" t="n">
        <v>0.030605</v>
      </c>
      <c r="R465" s="26" t="n">
        <v>0</v>
      </c>
      <c r="S465" s="29" t="n">
        <v>1</v>
      </c>
      <c r="T465" s="24" t="inlineStr">
        <is>
          <t>soccer-poisson-dc-v1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104</v>
      </c>
      <c r="AA465" s="28" t="n">
        <v>0.49</v>
      </c>
      <c r="AB465" s="28" t="n">
        <v>-0.000196</v>
      </c>
      <c r="AC465" s="30" t="n">
        <v>1.04</v>
      </c>
      <c r="AD465" s="24" t="inlineStr">
        <is>
          <t>2026-09-04T04:32:33.995371Z</t>
        </is>
      </c>
      <c r="AE465" s="31" t="inlineStr">
        <is>
          <t>Poisson-DC rates 1.66 (home) / 0.98 (away) from EWMA attack/defense strengths. Executable ask 0.4900 (atc-ecu1-leo-ore-2026-09-03-leo).</t>
        </is>
      </c>
      <c r="AF465" s="31" t="inlineStr">
        <is>
          <t>Research-only soccer score model; draw-aware, but not yet locked-holdout qualified.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PAPER_CALL_MODEL_UNVALIDATED</t>
        </is>
      </c>
      <c r="AP465" s="24" t="inlineStr">
        <is>
          <t>Orense</t>
        </is>
      </c>
      <c r="AQ465" s="24" t="inlineStr">
        <is>
          <t>Orense</t>
        </is>
      </c>
      <c r="AR465" s="24" t="inlineStr">
        <is>
          <t>Orense</t>
        </is>
      </c>
      <c r="AS465" s="24" t="inlineStr">
        <is>
          <t>Leones</t>
        </is>
      </c>
      <c r="AT465" s="24" t="inlineStr">
        <is>
          <t>Leones</t>
        </is>
      </c>
      <c r="AU465" s="24" t="inlineStr">
        <is>
          <t>Leones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f585a7f3cb7ee04f9a319a60fa601ef15e86636fadaaa8c1380ac0f28f75c58a</t>
        </is>
      </c>
      <c r="BB465" s="24" t="inlineStr">
        <is>
          <t>poisson_dixon_coles</t>
        </is>
      </c>
      <c r="BC465" s="24" t="inlineStr">
        <is>
          <t>soccer-poisson-dc-v1</t>
        </is>
      </c>
      <c r="BD465" s="24" t="inlineStr">
        <is>
          <t>f585a7f3cb7ee04f9a319a60fa601ef15e86636fadaaa8c1380ac0f28f75c58a</t>
        </is>
      </c>
      <c r="BE465" s="24" t="inlineStr">
        <is>
          <t>soccer-poisson-dc-v1</t>
        </is>
      </c>
      <c r="BF465" s="24" t="inlineStr">
        <is>
          <t>1</t>
        </is>
      </c>
      <c r="BG465" s="24" t="inlineStr">
        <is>
          <t>f585a7f3cb7ee04f9a319a60fa601ef15e86636fadaaa8c1380ac0f28f75c58a</t>
        </is>
      </c>
      <c r="BH465" s="24" t="inlineStr">
        <is>
          <t>2026-09-03T16:10:19.768636Z</t>
        </is>
      </c>
      <c r="BI465" s="24" t="inlineStr">
        <is>
          <t>["same_event","same_team_same_day","same_league_same_day"]</t>
        </is>
      </c>
      <c r="BJ465" s="25" t="n"/>
      <c r="BK465" s="26" t="n">
        <v>104</v>
      </c>
      <c r="BL465" s="27" t="n">
        <v>2.04</v>
      </c>
      <c r="BM465" s="28" t="n">
        <v>0.490196</v>
      </c>
      <c r="BN465" s="28" t="n"/>
      <c r="BO465" s="28" t="n"/>
      <c r="BP465" s="25" t="n"/>
      <c r="BQ465" s="27" t="n">
        <v>2.04</v>
      </c>
      <c r="BR465" s="28" t="n">
        <v>0.49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0.490196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940616ad5e6541d2</t>
        </is>
      </c>
      <c r="B466" s="24" t="inlineStr">
        <is>
          <t>2026-09-04T16:12:51.559787Z</t>
        </is>
      </c>
      <c r="C466" s="24" t="inlineStr">
        <is>
          <t>2026-09-04T19:00Z</t>
        </is>
      </c>
      <c r="D466" s="24" t="inlineStr">
        <is>
          <t>401879288</t>
        </is>
      </c>
      <c r="E466" s="24" t="inlineStr">
        <is>
          <t>SOCCER</t>
        </is>
      </c>
      <c r="F466" s="24" t="inlineStr">
        <is>
          <t>Liverpool</t>
        </is>
      </c>
      <c r="G466" s="24" t="inlineStr">
        <is>
          <t>Ipswich Town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525</v>
      </c>
      <c r="M466" s="27" t="n">
        <v>6.25</v>
      </c>
      <c r="N466" s="28" t="n">
        <v>0.16</v>
      </c>
      <c r="O466" s="28" t="n">
        <v>0.551409</v>
      </c>
      <c r="P466" s="28" t="n">
        <v>0.04</v>
      </c>
      <c r="Q466" s="28" t="n">
        <v>0.391409</v>
      </c>
      <c r="R466" s="26" t="n">
        <v>100</v>
      </c>
      <c r="S466" s="29" t="n">
        <v>2</v>
      </c>
      <c r="T466" s="24" t="inlineStr">
        <is>
          <t>soccer-poisson-dc-v1</t>
        </is>
      </c>
      <c r="U466" s="24" t="inlineStr">
        <is>
          <t>settled</t>
        </is>
      </c>
      <c r="V466" s="24" t="inlineStr">
        <is>
          <t>loss</t>
        </is>
      </c>
      <c r="W466" s="26" t="n">
        <v>2</v>
      </c>
      <c r="X466" s="26" t="n">
        <v>0</v>
      </c>
      <c r="Y466" s="25" t="n"/>
      <c r="Z466" s="26" t="n">
        <v>525</v>
      </c>
      <c r="AA466" s="28" t="n">
        <v>0.16</v>
      </c>
      <c r="AB466" s="28" t="n">
        <v>0</v>
      </c>
      <c r="AC466" s="30" t="n">
        <v>-2</v>
      </c>
      <c r="AD466" s="24" t="inlineStr">
        <is>
          <t>2026-09-04T22:00:35.007749Z</t>
        </is>
      </c>
      <c r="AE466" s="31" t="inlineStr">
        <is>
          <t>Poisson-DC rates 1.93 (home) / 1.12 (away) from EWMA attack/defense strengths. Executable ask 0.1600 (atc-epl-ips-liv-2026-09-04-ips).</t>
        </is>
      </c>
      <c r="AF466" s="31" t="inlineStr">
        <is>
          <t>Research-only soccer score model; draw-aware, but not yet locked-holdout qualified.</t>
        </is>
      </c>
      <c r="AG466" s="24" t="inlineStr">
        <is>
          <t>review_required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Liverpool</t>
        </is>
      </c>
      <c r="AQ466" s="24" t="inlineStr">
        <is>
          <t>Liverpool</t>
        </is>
      </c>
      <c r="AR466" s="24" t="inlineStr">
        <is>
          <t>Liverpool</t>
        </is>
      </c>
      <c r="AS466" s="24" t="inlineStr">
        <is>
          <t>Ipswich Town</t>
        </is>
      </c>
      <c r="AT466" s="24" t="inlineStr">
        <is>
          <t>Ipswich Town</t>
        </is>
      </c>
      <c r="AU466" s="24" t="inlineStr">
        <is>
          <t>Ipswich Town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f585a7f3cb7ee04f9a319a60fa601ef15e86636fadaaa8c1380ac0f28f75c58a</t>
        </is>
      </c>
      <c r="BB466" s="24" t="inlineStr">
        <is>
          <t>poisson_dixon_coles</t>
        </is>
      </c>
      <c r="BC466" s="24" t="inlineStr">
        <is>
          <t>soccer-poisson-dc-v1</t>
        </is>
      </c>
      <c r="BD466" s="24" t="inlineStr">
        <is>
          <t>f585a7f3cb7ee04f9a319a60fa601ef15e86636fadaaa8c1380ac0f28f75c58a</t>
        </is>
      </c>
      <c r="BE466" s="24" t="inlineStr">
        <is>
          <t>soccer-poisson-dc-v1</t>
        </is>
      </c>
      <c r="BF466" s="24" t="inlineStr">
        <is>
          <t>1</t>
        </is>
      </c>
      <c r="BG466" s="24" t="inlineStr">
        <is>
          <t>f585a7f3cb7ee04f9a319a60fa601ef15e86636fadaaa8c1380ac0f28f75c58a</t>
        </is>
      </c>
      <c r="BH466" s="24" t="inlineStr">
        <is>
          <t>2026-09-04T16:11:54.923948Z</t>
        </is>
      </c>
      <c r="BI466" s="24" t="inlineStr">
        <is>
          <t>["same_event","same_team_same_day","same_league_same_day"]</t>
        </is>
      </c>
      <c r="BJ466" s="25" t="n"/>
      <c r="BK466" s="26" t="n">
        <v>525</v>
      </c>
      <c r="BL466" s="27" t="n">
        <v>6.25</v>
      </c>
      <c r="BM466" s="28" t="n">
        <v>0.16</v>
      </c>
      <c r="BN466" s="28" t="n"/>
      <c r="BO466" s="28" t="n"/>
      <c r="BP466" s="25" t="n"/>
      <c r="BQ466" s="27" t="n">
        <v>6.25</v>
      </c>
      <c r="BR466" s="28" t="n">
        <v>0.16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0.16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f813b7a0b9254a92</t>
        </is>
      </c>
      <c r="B467" s="24" t="inlineStr">
        <is>
          <t>2026-09-04T16:12:51.559787Z</t>
        </is>
      </c>
      <c r="C467" s="24" t="inlineStr">
        <is>
          <t>2026-09-04T19:00Z</t>
        </is>
      </c>
      <c r="D467" s="24" t="inlineStr">
        <is>
          <t>401882894</t>
        </is>
      </c>
      <c r="E467" s="24" t="inlineStr">
        <is>
          <t>SOCCER</t>
        </is>
      </c>
      <c r="F467" s="24" t="inlineStr">
        <is>
          <t>Real Madrid</t>
        </is>
      </c>
      <c r="G467" s="24" t="inlineStr">
        <is>
          <t>Real Betis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-223</v>
      </c>
      <c r="M467" s="27" t="n">
        <v>1.44843</v>
      </c>
      <c r="N467" s="28" t="n">
        <v>0.690402</v>
      </c>
      <c r="O467" s="28" t="n">
        <v>0.391143</v>
      </c>
      <c r="P467" s="28" t="n">
        <v>0.04</v>
      </c>
      <c r="Q467" s="28" t="n">
        <v>-0.299259</v>
      </c>
      <c r="R467" s="26" t="n">
        <v>0</v>
      </c>
      <c r="S467" s="29" t="n">
        <v>1</v>
      </c>
      <c r="T467" s="24" t="inlineStr">
        <is>
          <t>soccer-poisson-dc-v1</t>
        </is>
      </c>
      <c r="U467" s="24" t="inlineStr">
        <is>
          <t>settled</t>
        </is>
      </c>
      <c r="V467" s="24" t="inlineStr">
        <is>
          <t>loss</t>
        </is>
      </c>
      <c r="W467" s="26" t="n">
        <v>0</v>
      </c>
      <c r="X467" s="26" t="n">
        <v>1</v>
      </c>
      <c r="Y467" s="25" t="n"/>
      <c r="Z467" s="26" t="n">
        <v>212</v>
      </c>
      <c r="AA467" s="28" t="n">
        <v>0.32</v>
      </c>
      <c r="AB467" s="28" t="n">
        <v>-0.370402</v>
      </c>
      <c r="AC467" s="30" t="n">
        <v>-1</v>
      </c>
      <c r="AD467" s="24" t="inlineStr">
        <is>
          <t>2026-09-04T22:00:35.463424Z</t>
        </is>
      </c>
      <c r="AE467" s="31" t="inlineStr">
        <is>
          <t>Poisson-DC rates 1.48 (home) / 1.58 (away) from EWMA attack/defense strengths. Executable ask 0.6900 (atc-lal-bet-rma-2026-09-04-rma).</t>
        </is>
      </c>
      <c r="AF467" s="31" t="inlineStr">
        <is>
          <t>Research-only soccer score model; draw-aware, but not yet locked-holdout qualified.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Real Madrid</t>
        </is>
      </c>
      <c r="AQ467" s="24" t="inlineStr">
        <is>
          <t>Real Madrid</t>
        </is>
      </c>
      <c r="AR467" s="24" t="inlineStr">
        <is>
          <t>Real Madrid</t>
        </is>
      </c>
      <c r="AS467" s="24" t="inlineStr">
        <is>
          <t>Real Betis</t>
        </is>
      </c>
      <c r="AT467" s="24" t="inlineStr">
        <is>
          <t>Real Betis</t>
        </is>
      </c>
      <c r="AU467" s="24" t="inlineStr">
        <is>
          <t>Real Betis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f585a7f3cb7ee04f9a319a60fa601ef15e86636fadaaa8c1380ac0f28f75c58a</t>
        </is>
      </c>
      <c r="BB467" s="24" t="inlineStr">
        <is>
          <t>poisson_dixon_coles</t>
        </is>
      </c>
      <c r="BC467" s="24" t="inlineStr">
        <is>
          <t>soccer-poisson-dc-v1</t>
        </is>
      </c>
      <c r="BD467" s="24" t="inlineStr">
        <is>
          <t>f585a7f3cb7ee04f9a319a60fa601ef15e86636fadaaa8c1380ac0f28f75c58a</t>
        </is>
      </c>
      <c r="BE467" s="24" t="inlineStr">
        <is>
          <t>soccer-poisson-dc-v1</t>
        </is>
      </c>
      <c r="BF467" s="24" t="inlineStr">
        <is>
          <t>1</t>
        </is>
      </c>
      <c r="BG467" s="24" t="inlineStr">
        <is>
          <t>f585a7f3cb7ee04f9a319a60fa601ef15e86636fadaaa8c1380ac0f28f75c58a</t>
        </is>
      </c>
      <c r="BH467" s="24" t="inlineStr">
        <is>
          <t>2026-09-04T16:11:55.192349Z</t>
        </is>
      </c>
      <c r="BI467" s="24" t="inlineStr">
        <is>
          <t>["same_event","same_team_same_day","same_league_same_day"]</t>
        </is>
      </c>
      <c r="BJ467" s="25" t="n"/>
      <c r="BK467" s="26" t="n">
        <v>-223</v>
      </c>
      <c r="BL467" s="27" t="n">
        <v>1.44843</v>
      </c>
      <c r="BM467" s="28" t="n">
        <v>0.690402</v>
      </c>
      <c r="BN467" s="28" t="n"/>
      <c r="BO467" s="28" t="n"/>
      <c r="BP467" s="25" t="n"/>
      <c r="BQ467" s="27" t="n">
        <v>3.12</v>
      </c>
      <c r="BR467" s="28" t="n">
        <v>0.32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0.690402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3a57844b0e6e436e</t>
        </is>
      </c>
      <c r="B468" s="24" t="inlineStr">
        <is>
          <t>2026-09-04T16:12:51.559787Z</t>
        </is>
      </c>
      <c r="C468" s="24" t="inlineStr">
        <is>
          <t>2026-09-04T18:45Z</t>
        </is>
      </c>
      <c r="D468" s="24" t="inlineStr">
        <is>
          <t>401874744</t>
        </is>
      </c>
      <c r="E468" s="24" t="inlineStr">
        <is>
          <t>SOCCER</t>
        </is>
      </c>
      <c r="F468" s="24" t="inlineStr">
        <is>
          <t>Como</t>
        </is>
      </c>
      <c r="G468" s="24" t="inlineStr">
        <is>
          <t>Genoa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polymarket_us</t>
        </is>
      </c>
      <c r="L468" s="26" t="n">
        <v>-133</v>
      </c>
      <c r="M468" s="27" t="n">
        <v>1.75188</v>
      </c>
      <c r="N468" s="28" t="n">
        <v>0.570815</v>
      </c>
      <c r="O468" s="28" t="n">
        <v>0.510253</v>
      </c>
      <c r="P468" s="28" t="n">
        <v>0.04</v>
      </c>
      <c r="Q468" s="28" t="n">
        <v>-0.060562</v>
      </c>
      <c r="R468" s="26" t="n">
        <v>0</v>
      </c>
      <c r="S468" s="29" t="n">
        <v>1</v>
      </c>
      <c r="T468" s="24" t="inlineStr">
        <is>
          <t>soccer-poisson-dc-v1</t>
        </is>
      </c>
      <c r="U468" s="24" t="inlineStr">
        <is>
          <t>settled</t>
        </is>
      </c>
      <c r="V468" s="24" t="inlineStr">
        <is>
          <t>win</t>
        </is>
      </c>
      <c r="W468" s="26" t="n">
        <v>4</v>
      </c>
      <c r="X468" s="26" t="n">
        <v>1</v>
      </c>
      <c r="Y468" s="25" t="n"/>
      <c r="Z468" s="26" t="n">
        <v>127</v>
      </c>
      <c r="AA468" s="28" t="n">
        <v>0.44</v>
      </c>
      <c r="AB468" s="28" t="n">
        <v>-0.130815</v>
      </c>
      <c r="AC468" s="30" t="n">
        <v>0.7519</v>
      </c>
      <c r="AD468" s="24" t="inlineStr">
        <is>
          <t>2026-09-04T22:00:35.932000Z</t>
        </is>
      </c>
      <c r="AE468" s="31" t="inlineStr">
        <is>
          <t>Poisson-DC rates 0.70 (home) / 1.34 (away) from EWMA attack/defense strengths. Executable ask 0.5700 (atc-sea-gen-com-2026-09-04-com).</t>
        </is>
      </c>
      <c r="AF468" s="31" t="inlineStr">
        <is>
          <t>Research-only soccer score model; draw-aware, but not yet locked-holdout qualified.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Como</t>
        </is>
      </c>
      <c r="AQ468" s="24" t="inlineStr">
        <is>
          <t>Como</t>
        </is>
      </c>
      <c r="AR468" s="24" t="inlineStr">
        <is>
          <t>Como</t>
        </is>
      </c>
      <c r="AS468" s="24" t="inlineStr">
        <is>
          <t>Genoa</t>
        </is>
      </c>
      <c r="AT468" s="24" t="inlineStr">
        <is>
          <t>Genoa</t>
        </is>
      </c>
      <c r="AU468" s="24" t="inlineStr">
        <is>
          <t>Genoa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f585a7f3cb7ee04f9a319a60fa601ef15e86636fadaaa8c1380ac0f28f75c58a</t>
        </is>
      </c>
      <c r="BB468" s="24" t="inlineStr">
        <is>
          <t>poisson_dixon_coles</t>
        </is>
      </c>
      <c r="BC468" s="24" t="inlineStr">
        <is>
          <t>soccer-poisson-dc-v1</t>
        </is>
      </c>
      <c r="BD468" s="24" t="inlineStr">
        <is>
          <t>f585a7f3cb7ee04f9a319a60fa601ef15e86636fadaaa8c1380ac0f28f75c58a</t>
        </is>
      </c>
      <c r="BE468" s="24" t="inlineStr">
        <is>
          <t>soccer-poisson-dc-v1</t>
        </is>
      </c>
      <c r="BF468" s="24" t="inlineStr">
        <is>
          <t>1</t>
        </is>
      </c>
      <c r="BG468" s="24" t="inlineStr">
        <is>
          <t>f585a7f3cb7ee04f9a319a60fa601ef15e86636fadaaa8c1380ac0f28f75c58a</t>
        </is>
      </c>
      <c r="BH468" s="24" t="inlineStr">
        <is>
          <t>2026-09-04T16:11:55.823729Z</t>
        </is>
      </c>
      <c r="BI468" s="24" t="inlineStr">
        <is>
          <t>["same_event","same_team_same_day","same_league_same_day"]</t>
        </is>
      </c>
      <c r="BJ468" s="25" t="n"/>
      <c r="BK468" s="26" t="n">
        <v>-133</v>
      </c>
      <c r="BL468" s="27" t="n">
        <v>1.75188</v>
      </c>
      <c r="BM468" s="28" t="n">
        <v>0.570815</v>
      </c>
      <c r="BN468" s="28" t="n"/>
      <c r="BO468" s="28" t="n"/>
      <c r="BP468" s="25" t="n"/>
      <c r="BQ468" s="27" t="n">
        <v>2.27</v>
      </c>
      <c r="BR468" s="28" t="n">
        <v>0.44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0.570815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d7566c6c65344b9e</t>
        </is>
      </c>
      <c r="B469" s="24" t="inlineStr">
        <is>
          <t>2026-09-04T16:12:51.559787Z</t>
        </is>
      </c>
      <c r="C469" s="24" t="inlineStr">
        <is>
          <t>2026-09-04T22:00Z</t>
        </is>
      </c>
      <c r="D469" s="24" t="inlineStr">
        <is>
          <t>401914272</t>
        </is>
      </c>
      <c r="E469" s="24" t="inlineStr">
        <is>
          <t>SOCCER</t>
        </is>
      </c>
      <c r="F469" s="24" t="inlineStr">
        <is>
          <t>Cerro Largo</t>
        </is>
      </c>
      <c r="G469" s="24" t="inlineStr">
        <is>
          <t>Montevideo City Torque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-186</v>
      </c>
      <c r="M469" s="27" t="n">
        <v>1.537634</v>
      </c>
      <c r="N469" s="28" t="n">
        <v>0.65035</v>
      </c>
      <c r="O469" s="28" t="n">
        <v>0.456135</v>
      </c>
      <c r="P469" s="28" t="n">
        <v>0.2</v>
      </c>
      <c r="Q469" s="28" t="n">
        <v>-0.194215</v>
      </c>
      <c r="R469" s="26" t="n">
        <v>0</v>
      </c>
      <c r="S469" s="29" t="n">
        <v>1</v>
      </c>
      <c r="T469" s="24" t="inlineStr">
        <is>
          <t>soccer-poisson-dc-v1</t>
        </is>
      </c>
      <c r="U469" s="24" t="inlineStr">
        <is>
          <t>settled</t>
        </is>
      </c>
      <c r="V469" s="24" t="inlineStr">
        <is>
          <t>win</t>
        </is>
      </c>
      <c r="W469" s="26" t="n">
        <v>1</v>
      </c>
      <c r="X469" s="26" t="n">
        <v>2</v>
      </c>
      <c r="Y469" s="25" t="n"/>
      <c r="Z469" s="26" t="n">
        <v>-186</v>
      </c>
      <c r="AA469" s="28" t="n">
        <v>0.65</v>
      </c>
      <c r="AB469" s="28" t="n">
        <v>-0.00035</v>
      </c>
      <c r="AC469" s="30" t="n">
        <v>0.5376</v>
      </c>
      <c r="AD469" s="24" t="inlineStr">
        <is>
          <t>2026-09-05T04:38:15.336429Z</t>
        </is>
      </c>
      <c r="AE469" s="31" t="inlineStr">
        <is>
          <t>Poisson-DC rates 1.64 (home) / 1.24 (away) from EWMA attack/defense strengths. Executable ask 0.6500 (atc-uru1-tor-cla-2026-09-04-tor).</t>
        </is>
      </c>
      <c r="AF469" s="31" t="inlineStr">
        <is>
          <t>Research-only soccer score model; draw-aware, but not yet locked-holdout qualified.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PAPER_CALL_MODEL_UNVALIDATED</t>
        </is>
      </c>
      <c r="AP469" s="24" t="inlineStr">
        <is>
          <t>Cerro Largo</t>
        </is>
      </c>
      <c r="AQ469" s="24" t="inlineStr">
        <is>
          <t>Cerro Largo</t>
        </is>
      </c>
      <c r="AR469" s="24" t="inlineStr">
        <is>
          <t>Cerro Largo</t>
        </is>
      </c>
      <c r="AS469" s="24" t="inlineStr">
        <is>
          <t>Montevideo City Torque</t>
        </is>
      </c>
      <c r="AT469" s="24" t="inlineStr">
        <is>
          <t>Montevideo City Torque</t>
        </is>
      </c>
      <c r="AU469" s="24" t="inlineStr">
        <is>
          <t>Montevideo City Torque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f585a7f3cb7ee04f9a319a60fa601ef15e86636fadaaa8c1380ac0f28f75c58a</t>
        </is>
      </c>
      <c r="BB469" s="24" t="inlineStr">
        <is>
          <t>poisson_dixon_coles</t>
        </is>
      </c>
      <c r="BC469" s="24" t="inlineStr">
        <is>
          <t>soccer-poisson-dc-v1</t>
        </is>
      </c>
      <c r="BD469" s="24" t="inlineStr">
        <is>
          <t>f585a7f3cb7ee04f9a319a60fa601ef15e86636fadaaa8c1380ac0f28f75c58a</t>
        </is>
      </c>
      <c r="BE469" s="24" t="inlineStr">
        <is>
          <t>soccer-poisson-dc-v1</t>
        </is>
      </c>
      <c r="BF469" s="24" t="inlineStr">
        <is>
          <t>1</t>
        </is>
      </c>
      <c r="BG469" s="24" t="inlineStr">
        <is>
          <t>f585a7f3cb7ee04f9a319a60fa601ef15e86636fadaaa8c1380ac0f28f75c58a</t>
        </is>
      </c>
      <c r="BH469" s="24" t="inlineStr">
        <is>
          <t>2026-09-04T16:11:57.577114Z</t>
        </is>
      </c>
      <c r="BI469" s="24" t="inlineStr">
        <is>
          <t>["same_event","same_team_same_day","same_league_same_day"]</t>
        </is>
      </c>
      <c r="BJ469" s="25" t="n"/>
      <c r="BK469" s="26" t="n">
        <v>-186</v>
      </c>
      <c r="BL469" s="27" t="n">
        <v>1.537634</v>
      </c>
      <c r="BM469" s="28" t="n">
        <v>0.65035</v>
      </c>
      <c r="BN469" s="28" t="n"/>
      <c r="BO469" s="28" t="n"/>
      <c r="BP469" s="25" t="n"/>
      <c r="BQ469" s="27" t="n">
        <v>1.537634</v>
      </c>
      <c r="BR469" s="28" t="n">
        <v>0.65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0.65035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dd5226fedd5a4938</t>
        </is>
      </c>
      <c r="B470" s="24" t="inlineStr">
        <is>
          <t>2026-09-04T22:03:41.003835Z</t>
        </is>
      </c>
      <c r="C470" s="24" t="inlineStr">
        <is>
          <t>2026-09-04T23:30Z</t>
        </is>
      </c>
      <c r="D470" s="24" t="inlineStr">
        <is>
          <t>761770</t>
        </is>
      </c>
      <c r="E470" s="24" t="inlineStr">
        <is>
          <t>SOCCER</t>
        </is>
      </c>
      <c r="F470" s="24" t="inlineStr">
        <is>
          <t>Nashville SC</t>
        </is>
      </c>
      <c r="G470" s="24" t="inlineStr">
        <is>
          <t>New York City FC</t>
        </is>
      </c>
      <c r="H470" s="24" t="inlineStr">
        <is>
          <t>total</t>
        </is>
      </c>
      <c r="I470" s="24" t="inlineStr">
        <is>
          <t>over</t>
        </is>
      </c>
      <c r="J470" s="25" t="n">
        <v>2.5</v>
      </c>
      <c r="K470" s="24" t="inlineStr">
        <is>
          <t>polymarket_us</t>
        </is>
      </c>
      <c r="L470" s="26" t="n">
        <v>-127</v>
      </c>
      <c r="M470" s="27" t="n">
        <v>1.787402</v>
      </c>
      <c r="N470" s="28" t="n">
        <v>0.5594710000000001</v>
      </c>
      <c r="O470" s="28" t="n">
        <v>0.525845</v>
      </c>
      <c r="P470" s="28" t="n">
        <v>0.04</v>
      </c>
      <c r="Q470" s="28" t="n">
        <v>-0.033626</v>
      </c>
      <c r="R470" s="26" t="n">
        <v>9</v>
      </c>
      <c r="S470" s="29" t="n">
        <v>1</v>
      </c>
      <c r="T470" s="24" t="inlineStr">
        <is>
          <t>soccer-poisson-dc-v1</t>
        </is>
      </c>
      <c r="U470" s="24" t="inlineStr">
        <is>
          <t>settled</t>
        </is>
      </c>
      <c r="V470" s="24" t="inlineStr">
        <is>
          <t>loss</t>
        </is>
      </c>
      <c r="W470" s="26" t="n">
        <v>0</v>
      </c>
      <c r="X470" s="26" t="n">
        <v>0</v>
      </c>
      <c r="Y470" s="25" t="n"/>
      <c r="Z470" s="26" t="n">
        <v>-127</v>
      </c>
      <c r="AA470" s="28" t="n">
        <v>0.5600000000000001</v>
      </c>
      <c r="AB470" s="28" t="n">
        <v>0.000529</v>
      </c>
      <c r="AC470" s="30" t="n">
        <v>-1</v>
      </c>
      <c r="AD470" s="24" t="inlineStr">
        <is>
          <t>2026-09-05T04:38:40.899214Z</t>
        </is>
      </c>
      <c r="AE470" s="31" t="inlineStr">
        <is>
          <t>Poisson-DC rates 1.30 (home) / 1.48 (away) from EWMA attack/defense strengths. Executable ask 0.5600 (tsc-mls-nyc-nas-2026-09-04-2pt5).</t>
        </is>
      </c>
      <c r="AF470" s="31" t="inlineStr">
        <is>
          <t>Research-only soccer score model; draw-aware, but not yet locked-holdout qualified.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Nashville SC</t>
        </is>
      </c>
      <c r="AQ470" s="24" t="inlineStr">
        <is>
          <t>Nashville SC</t>
        </is>
      </c>
      <c r="AR470" s="24" t="inlineStr">
        <is>
          <t>Nashville SC</t>
        </is>
      </c>
      <c r="AS470" s="24" t="inlineStr">
        <is>
          <t>New York City FC</t>
        </is>
      </c>
      <c r="AT470" s="24" t="inlineStr">
        <is>
          <t>New York City FC</t>
        </is>
      </c>
      <c r="AU470" s="24" t="inlineStr">
        <is>
          <t>New York City FC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e64f166eb03d5e657185abb04e25fff4830a8801f3dfa7f84e7c01a3f339baa9</t>
        </is>
      </c>
      <c r="BB470" s="24" t="inlineStr">
        <is>
          <t>poisson_dixon_coles</t>
        </is>
      </c>
      <c r="BC470" s="24" t="inlineStr">
        <is>
          <t>soccer-poisson-dc-v1</t>
        </is>
      </c>
      <c r="BD470" s="24" t="inlineStr">
        <is>
          <t>e64f166eb03d5e657185abb04e25fff4830a8801f3dfa7f84e7c01a3f339baa9</t>
        </is>
      </c>
      <c r="BE470" s="24" t="inlineStr">
        <is>
          <t>soccer-poisson-dc-v1</t>
        </is>
      </c>
      <c r="BF470" s="24" t="inlineStr">
        <is>
          <t>1</t>
        </is>
      </c>
      <c r="BG470" s="24" t="inlineStr">
        <is>
          <t>e64f166eb03d5e657185abb04e25fff4830a8801f3dfa7f84e7c01a3f339baa9</t>
        </is>
      </c>
      <c r="BH470" s="24" t="inlineStr">
        <is>
          <t>2026-09-04T22:02:55.275180Z</t>
        </is>
      </c>
      <c r="BI470" s="24" t="inlineStr">
        <is>
          <t>["same_event","same_team_same_day","same_league_same_day"]</t>
        </is>
      </c>
      <c r="BJ470" s="25" t="n">
        <v>2.5</v>
      </c>
      <c r="BK470" s="26" t="n">
        <v>-127</v>
      </c>
      <c r="BL470" s="27" t="n">
        <v>1.787402</v>
      </c>
      <c r="BM470" s="28" t="n">
        <v>0.5594710000000001</v>
      </c>
      <c r="BN470" s="28" t="n"/>
      <c r="BO470" s="28" t="n"/>
      <c r="BP470" s="25" t="n"/>
      <c r="BQ470" s="27" t="n">
        <v>1.787402</v>
      </c>
      <c r="BR470" s="28" t="n">
        <v>0.5600000000000001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0.559471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5aa774ca4cff46d5</t>
        </is>
      </c>
      <c r="B471" s="24" t="inlineStr">
        <is>
          <t>2026-09-04T22:03:41.003835Z</t>
        </is>
      </c>
      <c r="C471" s="24" t="inlineStr">
        <is>
          <t>2026-09-04T23:30Z</t>
        </is>
      </c>
      <c r="D471" s="24" t="inlineStr">
        <is>
          <t>761770</t>
        </is>
      </c>
      <c r="E471" s="24" t="inlineStr">
        <is>
          <t>SOCCER</t>
        </is>
      </c>
      <c r="F471" s="24" t="inlineStr">
        <is>
          <t>Nashville SC</t>
        </is>
      </c>
      <c r="G471" s="24" t="inlineStr">
        <is>
          <t>New York City FC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122</v>
      </c>
      <c r="M471" s="27" t="n">
        <v>2.22</v>
      </c>
      <c r="N471" s="28" t="n">
        <v>0.45045</v>
      </c>
      <c r="O471" s="28" t="n">
        <v>0.401479</v>
      </c>
      <c r="P471" s="28" t="n">
        <v>0.04</v>
      </c>
      <c r="Q471" s="28" t="n">
        <v>-0.048971</v>
      </c>
      <c r="R471" s="26" t="n">
        <v>2</v>
      </c>
      <c r="S471" s="29" t="n">
        <v>1</v>
      </c>
      <c r="T471" s="24" t="inlineStr">
        <is>
          <t>soccer-poisson-dc-v1</t>
        </is>
      </c>
      <c r="U471" s="24" t="inlineStr">
        <is>
          <t>settled</t>
        </is>
      </c>
      <c r="V471" s="24" t="inlineStr">
        <is>
          <t>loss</t>
        </is>
      </c>
      <c r="W471" s="26" t="n">
        <v>0</v>
      </c>
      <c r="X471" s="26" t="n">
        <v>0</v>
      </c>
      <c r="Y471" s="25" t="n"/>
      <c r="Z471" s="26" t="n">
        <v>-127</v>
      </c>
      <c r="AA471" s="28" t="n">
        <v>0.5600000000000001</v>
      </c>
      <c r="AB471" s="28" t="n">
        <v>0.10955</v>
      </c>
      <c r="AC471" s="30" t="n">
        <v>-1</v>
      </c>
      <c r="AD471" s="24" t="inlineStr">
        <is>
          <t>2026-09-05T04:38:41.367015Z</t>
        </is>
      </c>
      <c r="AE471" s="31" t="inlineStr">
        <is>
          <t>Poisson-DC rates 1.30 (home) / 1.48 (away) from EWMA attack/defense strengths. Executable ask 0.4500 (atc-mls-nyc-nas-2026-09-04-nas).</t>
        </is>
      </c>
      <c r="AF471" s="31" t="inlineStr">
        <is>
          <t>Research-only soccer score model; draw-aware, but not yet locked-holdout qualified.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Nashville SC</t>
        </is>
      </c>
      <c r="AQ471" s="24" t="inlineStr">
        <is>
          <t>Nashville SC</t>
        </is>
      </c>
      <c r="AR471" s="24" t="inlineStr">
        <is>
          <t>Nashville SC</t>
        </is>
      </c>
      <c r="AS471" s="24" t="inlineStr">
        <is>
          <t>New York City FC</t>
        </is>
      </c>
      <c r="AT471" s="24" t="inlineStr">
        <is>
          <t>New York City FC</t>
        </is>
      </c>
      <c r="AU471" s="24" t="inlineStr">
        <is>
          <t>New York City FC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e64f166eb03d5e657185abb04e25fff4830a8801f3dfa7f84e7c01a3f339baa9</t>
        </is>
      </c>
      <c r="BB471" s="24" t="inlineStr">
        <is>
          <t>poisson_dixon_coles</t>
        </is>
      </c>
      <c r="BC471" s="24" t="inlineStr">
        <is>
          <t>soccer-poisson-dc-v1</t>
        </is>
      </c>
      <c r="BD471" s="24" t="inlineStr">
        <is>
          <t>e64f166eb03d5e657185abb04e25fff4830a8801f3dfa7f84e7c01a3f339baa9</t>
        </is>
      </c>
      <c r="BE471" s="24" t="inlineStr">
        <is>
          <t>soccer-poisson-dc-v1</t>
        </is>
      </c>
      <c r="BF471" s="24" t="inlineStr">
        <is>
          <t>1</t>
        </is>
      </c>
      <c r="BG471" s="24" t="inlineStr">
        <is>
          <t>e64f166eb03d5e657185abb04e25fff4830a8801f3dfa7f84e7c01a3f339baa9</t>
        </is>
      </c>
      <c r="BH471" s="24" t="inlineStr">
        <is>
          <t>2026-09-04T22:02:55.230601Z</t>
        </is>
      </c>
      <c r="BI471" s="24" t="inlineStr">
        <is>
          <t>["same_event","same_team_same_day","same_league_same_day"]</t>
        </is>
      </c>
      <c r="BJ471" s="25" t="n"/>
      <c r="BK471" s="26" t="n">
        <v>122</v>
      </c>
      <c r="BL471" s="27" t="n">
        <v>2.22</v>
      </c>
      <c r="BM471" s="28" t="n">
        <v>0.45045</v>
      </c>
      <c r="BN471" s="28" t="n"/>
      <c r="BO471" s="28" t="n"/>
      <c r="BP471" s="25" t="n"/>
      <c r="BQ471" s="27" t="n">
        <v>1.787402</v>
      </c>
      <c r="BR471" s="28" t="n">
        <v>0.5600000000000001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0.45045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102bb8531550475b</t>
        </is>
      </c>
      <c r="B472" s="24" t="inlineStr">
        <is>
          <t>2026-09-04T22:03:41.003835Z</t>
        </is>
      </c>
      <c r="C472" s="24" t="inlineStr">
        <is>
          <t>2026-09-04T23:30Z</t>
        </is>
      </c>
      <c r="D472" s="24" t="inlineStr">
        <is>
          <t>401860320</t>
        </is>
      </c>
      <c r="E472" s="24" t="inlineStr">
        <is>
          <t>SOCCER</t>
        </is>
      </c>
      <c r="F472" s="24" t="inlineStr">
        <is>
          <t>Vila Nova</t>
        </is>
      </c>
      <c r="G472" s="24" t="inlineStr">
        <is>
          <t>Athletic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186</v>
      </c>
      <c r="M472" s="27" t="n">
        <v>2.86</v>
      </c>
      <c r="N472" s="28" t="n">
        <v>0.34965</v>
      </c>
      <c r="O472" s="28" t="n">
        <v>0.486715</v>
      </c>
      <c r="P472" s="28" t="n">
        <v>0.19</v>
      </c>
      <c r="Q472" s="28" t="n">
        <v>0.137065</v>
      </c>
      <c r="R472" s="26" t="n">
        <v>5</v>
      </c>
      <c r="S472" s="29" t="n">
        <v>1</v>
      </c>
      <c r="T472" s="24" t="inlineStr">
        <is>
          <t>soccer-poisson-dc-v1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5</v>
      </c>
      <c r="Y472" s="25" t="n"/>
      <c r="Z472" s="26" t="n">
        <v>186</v>
      </c>
      <c r="AA472" s="28" t="n">
        <v>0.35</v>
      </c>
      <c r="AB472" s="28" t="n">
        <v>0.00035</v>
      </c>
      <c r="AC472" s="30" t="n">
        <v>1.86</v>
      </c>
      <c r="AD472" s="24" t="inlineStr">
        <is>
          <t>2026-09-05T04:38:41.832151Z</t>
        </is>
      </c>
      <c r="AE472" s="31" t="inlineStr">
        <is>
          <t>Poisson-DC rates 1.52 (home) / 0.98 (away) from EWMA attack/defense strengths. Executable ask 0.3500 (atc-brb-ath-vln-2026-09-04-ath).</t>
        </is>
      </c>
      <c r="AF472" s="31" t="inlineStr">
        <is>
          <t>Research-only soccer score model; draw-aware, but not yet locked-holdout qualified.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PAPER_CALL_MODEL_UNVALIDATED</t>
        </is>
      </c>
      <c r="AP472" s="24" t="inlineStr">
        <is>
          <t>Vila Nova</t>
        </is>
      </c>
      <c r="AQ472" s="24" t="inlineStr">
        <is>
          <t>Vila Nova</t>
        </is>
      </c>
      <c r="AR472" s="24" t="inlineStr">
        <is>
          <t>Vila Nova</t>
        </is>
      </c>
      <c r="AS472" s="24" t="inlineStr">
        <is>
          <t>Athletic</t>
        </is>
      </c>
      <c r="AT472" s="24" t="inlineStr">
        <is>
          <t>Athletic</t>
        </is>
      </c>
      <c r="AU472" s="24" t="inlineStr">
        <is>
          <t>Athletic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e64f166eb03d5e657185abb04e25fff4830a8801f3dfa7f84e7c01a3f339baa9</t>
        </is>
      </c>
      <c r="BB472" s="24" t="inlineStr">
        <is>
          <t>poisson_dixon_coles</t>
        </is>
      </c>
      <c r="BC472" s="24" t="inlineStr">
        <is>
          <t>soccer-poisson-dc-v1</t>
        </is>
      </c>
      <c r="BD472" s="24" t="inlineStr">
        <is>
          <t>e64f166eb03d5e657185abb04e25fff4830a8801f3dfa7f84e7c01a3f339baa9</t>
        </is>
      </c>
      <c r="BE472" s="24" t="inlineStr">
        <is>
          <t>soccer-poisson-dc-v1</t>
        </is>
      </c>
      <c r="BF472" s="24" t="inlineStr">
        <is>
          <t>1</t>
        </is>
      </c>
      <c r="BG472" s="24" t="inlineStr">
        <is>
          <t>e64f166eb03d5e657185abb04e25fff4830a8801f3dfa7f84e7c01a3f339baa9</t>
        </is>
      </c>
      <c r="BH472" s="24" t="inlineStr">
        <is>
          <t>2026-09-04T22:02:55.290910Z</t>
        </is>
      </c>
      <c r="BI472" s="24" t="inlineStr">
        <is>
          <t>["same_event","same_team_same_day","same_league_same_day"]</t>
        </is>
      </c>
      <c r="BJ472" s="25" t="n"/>
      <c r="BK472" s="26" t="n">
        <v>186</v>
      </c>
      <c r="BL472" s="27" t="n">
        <v>2.86</v>
      </c>
      <c r="BM472" s="28" t="n">
        <v>0.34965</v>
      </c>
      <c r="BN472" s="28" t="n"/>
      <c r="BO472" s="28" t="n"/>
      <c r="BP472" s="25" t="n"/>
      <c r="BQ472" s="27" t="n">
        <v>2.86</v>
      </c>
      <c r="BR472" s="28" t="n">
        <v>0.35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0.34965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79ba80f485f84c6f</t>
        </is>
      </c>
      <c r="B473" s="24" t="inlineStr">
        <is>
          <t>2026-09-04T22:03:41.003835Z</t>
        </is>
      </c>
      <c r="C473" s="24" t="inlineStr">
        <is>
          <t>2026-09-04T23:00Z</t>
        </is>
      </c>
      <c r="D473" s="24" t="inlineStr">
        <is>
          <t>401844101</t>
        </is>
      </c>
      <c r="E473" s="24" t="inlineStr">
        <is>
          <t>SOCCER</t>
        </is>
      </c>
      <c r="F473" s="24" t="inlineStr">
        <is>
          <t>Mitre (Santiago del Estero)</t>
        </is>
      </c>
      <c r="G473" s="24" t="inlineStr">
        <is>
          <t>Ferro Carril Oeste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-163</v>
      </c>
      <c r="M473" s="27" t="n">
        <v>1.613497</v>
      </c>
      <c r="N473" s="28" t="n">
        <v>0.619772</v>
      </c>
      <c r="O473" s="28" t="n">
        <v>0.456135</v>
      </c>
      <c r="P473" s="28" t="n">
        <v>0.2</v>
      </c>
      <c r="Q473" s="28" t="n">
        <v>-0.163637</v>
      </c>
      <c r="R473" s="26" t="n">
        <v>0</v>
      </c>
      <c r="S473" s="29" t="n">
        <v>1</v>
      </c>
      <c r="T473" s="24" t="inlineStr">
        <is>
          <t>soccer-poisson-dc-v1</t>
        </is>
      </c>
      <c r="U473" s="24" t="inlineStr">
        <is>
          <t>settled</t>
        </is>
      </c>
      <c r="V473" s="24" t="inlineStr">
        <is>
          <t>loss</t>
        </is>
      </c>
      <c r="W473" s="26" t="n">
        <v>0</v>
      </c>
      <c r="X473" s="26" t="n">
        <v>0</v>
      </c>
      <c r="Y473" s="25" t="n"/>
      <c r="Z473" s="26" t="n">
        <v>-163</v>
      </c>
      <c r="AA473" s="28" t="n">
        <v>0.62</v>
      </c>
      <c r="AB473" s="28" t="n">
        <v>0.000228</v>
      </c>
      <c r="AC473" s="30" t="n">
        <v>-1</v>
      </c>
      <c r="AD473" s="24" t="inlineStr">
        <is>
          <t>2026-09-05T04:38:42.287571Z</t>
        </is>
      </c>
      <c r="AE473" s="31" t="inlineStr">
        <is>
          <t>Poisson-DC rates 1.64 (home) / 1.24 (away) from EWMA attack/defense strengths. Executable ask 0.6200 (atc-arg2-fco-cam-2026-09-05-fco).</t>
        </is>
      </c>
      <c r="AF473" s="31" t="inlineStr">
        <is>
          <t>Research-only soccer score model; draw-aware, but not yet locked-holdout qualified.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PAPER_CALL_MODEL_UNVALIDATED</t>
        </is>
      </c>
      <c r="AP473" s="24" t="inlineStr">
        <is>
          <t>Mitre (Santiago del Estero)</t>
        </is>
      </c>
      <c r="AQ473" s="24" t="inlineStr">
        <is>
          <t>Mitre (Santiago del Estero)</t>
        </is>
      </c>
      <c r="AR473" s="24" t="inlineStr">
        <is>
          <t>Mitre (Santiago del Estero)</t>
        </is>
      </c>
      <c r="AS473" s="24" t="inlineStr">
        <is>
          <t>Ferro Carril Oeste</t>
        </is>
      </c>
      <c r="AT473" s="24" t="inlineStr">
        <is>
          <t>Ferro Carril Oeste</t>
        </is>
      </c>
      <c r="AU473" s="24" t="inlineStr">
        <is>
          <t>Ferro Carril Oeste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e64f166eb03d5e657185abb04e25fff4830a8801f3dfa7f84e7c01a3f339baa9</t>
        </is>
      </c>
      <c r="BB473" s="24" t="inlineStr">
        <is>
          <t>poisson_dixon_coles</t>
        </is>
      </c>
      <c r="BC473" s="24" t="inlineStr">
        <is>
          <t>soccer-poisson-dc-v1</t>
        </is>
      </c>
      <c r="BD473" s="24" t="inlineStr">
        <is>
          <t>e64f166eb03d5e657185abb04e25fff4830a8801f3dfa7f84e7c01a3f339baa9</t>
        </is>
      </c>
      <c r="BE473" s="24" t="inlineStr">
        <is>
          <t>soccer-poisson-dc-v1</t>
        </is>
      </c>
      <c r="BF473" s="24" t="inlineStr">
        <is>
          <t>1</t>
        </is>
      </c>
      <c r="BG473" s="24" t="inlineStr">
        <is>
          <t>e64f166eb03d5e657185abb04e25fff4830a8801f3dfa7f84e7c01a3f339baa9</t>
        </is>
      </c>
      <c r="BH473" s="24" t="inlineStr">
        <is>
          <t>2026-09-04T22:02:55.419445Z</t>
        </is>
      </c>
      <c r="BI473" s="24" t="inlineStr">
        <is>
          <t>["same_event","same_team_same_day","same_league_same_day"]</t>
        </is>
      </c>
      <c r="BJ473" s="25" t="n"/>
      <c r="BK473" s="26" t="n">
        <v>-163</v>
      </c>
      <c r="BL473" s="27" t="n">
        <v>1.613497</v>
      </c>
      <c r="BM473" s="28" t="n">
        <v>0.619772</v>
      </c>
      <c r="BN473" s="28" t="n"/>
      <c r="BO473" s="28" t="n"/>
      <c r="BP473" s="25" t="n"/>
      <c r="BQ473" s="27" t="n">
        <v>1.613497</v>
      </c>
      <c r="BR473" s="28" t="n">
        <v>0.62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0.619772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e37ee1737a654b29</t>
        </is>
      </c>
      <c r="B474" s="24" t="inlineStr">
        <is>
          <t>2026-09-05T10:05:13.585890Z</t>
        </is>
      </c>
      <c r="C474" s="24" t="inlineStr">
        <is>
          <t>2026-09-05T11:30Z</t>
        </is>
      </c>
      <c r="D474" s="24" t="inlineStr">
        <is>
          <t>401879286</t>
        </is>
      </c>
      <c r="E474" s="24" t="inlineStr">
        <is>
          <t>SOCCER</t>
        </is>
      </c>
      <c r="F474" s="24" t="inlineStr">
        <is>
          <t>AFC Bournemouth</t>
        </is>
      </c>
      <c r="G474" s="24" t="inlineStr">
        <is>
          <t>Newcastle United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113</v>
      </c>
      <c r="M474" s="27" t="n">
        <v>2.13</v>
      </c>
      <c r="N474" s="28" t="n">
        <v>0.469484</v>
      </c>
      <c r="O474" s="28" t="n">
        <v>0.35784</v>
      </c>
      <c r="P474" s="28" t="n">
        <v>0.04</v>
      </c>
      <c r="Q474" s="28" t="n">
        <v>-0.111644</v>
      </c>
      <c r="R474" s="26" t="n">
        <v>0</v>
      </c>
      <c r="S474" s="29" t="n">
        <v>1</v>
      </c>
      <c r="T474" s="24" t="inlineStr">
        <is>
          <t>soccer-poisson-dc-v1</t>
        </is>
      </c>
      <c r="U474" s="24" t="inlineStr">
        <is>
          <t>settled</t>
        </is>
      </c>
      <c r="V474" s="24" t="inlineStr">
        <is>
          <t>loss</t>
        </is>
      </c>
      <c r="W474" s="26" t="n">
        <v>2</v>
      </c>
      <c r="X474" s="26" t="n">
        <v>2</v>
      </c>
      <c r="Y474" s="25" t="n"/>
      <c r="Z474" s="26" t="n">
        <v>113</v>
      </c>
      <c r="AA474" s="28" t="n">
        <v>0.47</v>
      </c>
      <c r="AB474" s="28" t="n">
        <v>0.000516</v>
      </c>
      <c r="AC474" s="30" t="n">
        <v>-1</v>
      </c>
      <c r="AD474" s="24" t="inlineStr">
        <is>
          <t>2026-09-05T16:00:23.844905Z</t>
        </is>
      </c>
      <c r="AE474" s="31" t="inlineStr">
        <is>
          <t>Poisson-DC rates 1.31 (home) / 1.30 (away) from EWMA attack/defense strengths. Executable ask 0.4700 (atc-epl-new-bor-2026-09-05-new).</t>
        </is>
      </c>
      <c r="AF474" s="31" t="inlineStr">
        <is>
          <t>Research-only soccer score model; draw-aware, but not yet locked-holdout qualified.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AFC Bournemouth</t>
        </is>
      </c>
      <c r="AQ474" s="24" t="inlineStr">
        <is>
          <t>AFC Bournemouth</t>
        </is>
      </c>
      <c r="AR474" s="24" t="inlineStr">
        <is>
          <t>AFC Bournemouth</t>
        </is>
      </c>
      <c r="AS474" s="24" t="inlineStr">
        <is>
          <t>Newcastle United</t>
        </is>
      </c>
      <c r="AT474" s="24" t="inlineStr">
        <is>
          <t>Newcastle United</t>
        </is>
      </c>
      <c r="AU474" s="24" t="inlineStr">
        <is>
          <t>Newcastle United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e64f166eb03d5e657185abb04e25fff4830a8801f3dfa7f84e7c01a3f339baa9</t>
        </is>
      </c>
      <c r="BB474" s="24" t="inlineStr">
        <is>
          <t>poisson_dixon_coles</t>
        </is>
      </c>
      <c r="BC474" s="24" t="inlineStr">
        <is>
          <t>soccer-poisson-dc-v1</t>
        </is>
      </c>
      <c r="BD474" s="24" t="inlineStr">
        <is>
          <t>e64f166eb03d5e657185abb04e25fff4830a8801f3dfa7f84e7c01a3f339baa9</t>
        </is>
      </c>
      <c r="BE474" s="24" t="inlineStr">
        <is>
          <t>soccer-poisson-dc-v1</t>
        </is>
      </c>
      <c r="BF474" s="24" t="inlineStr">
        <is>
          <t>1</t>
        </is>
      </c>
      <c r="BG474" s="24" t="inlineStr">
        <is>
          <t>e64f166eb03d5e657185abb04e25fff4830a8801f3dfa7f84e7c01a3f339baa9</t>
        </is>
      </c>
      <c r="BH474" s="24" t="inlineStr">
        <is>
          <t>2026-09-05T10:04:13.602057Z</t>
        </is>
      </c>
      <c r="BI474" s="24" t="inlineStr">
        <is>
          <t>["same_event","same_team_same_day","same_league_same_day"]</t>
        </is>
      </c>
      <c r="BJ474" s="25" t="n"/>
      <c r="BK474" s="26" t="n">
        <v>113</v>
      </c>
      <c r="BL474" s="27" t="n">
        <v>2.13</v>
      </c>
      <c r="BM474" s="28" t="n">
        <v>0.469484</v>
      </c>
      <c r="BN474" s="28" t="n"/>
      <c r="BO474" s="28" t="n"/>
      <c r="BP474" s="25" t="n"/>
      <c r="BQ474" s="27" t="n">
        <v>2.13</v>
      </c>
      <c r="BR474" s="28" t="n">
        <v>0.47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0.469484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e0012d99cf924b35</t>
        </is>
      </c>
      <c r="B475" s="24" t="inlineStr">
        <is>
          <t>2026-09-05T10:05:13.585890Z</t>
        </is>
      </c>
      <c r="C475" s="24" t="inlineStr">
        <is>
          <t>2026-09-05T14:00Z</t>
        </is>
      </c>
      <c r="D475" s="24" t="inlineStr">
        <is>
          <t>401879311</t>
        </is>
      </c>
      <c r="E475" s="24" t="inlineStr">
        <is>
          <t>SOCCER</t>
        </is>
      </c>
      <c r="F475" s="24" t="inlineStr">
        <is>
          <t>Sunderland</t>
        </is>
      </c>
      <c r="G475" s="24" t="inlineStr">
        <is>
          <t>Brentford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-133</v>
      </c>
      <c r="M475" s="27" t="n">
        <v>1.75188</v>
      </c>
      <c r="N475" s="28" t="n">
        <v>0.570815</v>
      </c>
      <c r="O475" s="28" t="n">
        <v>0.490559</v>
      </c>
      <c r="P475" s="28" t="n">
        <v>0.04</v>
      </c>
      <c r="Q475" s="28" t="n">
        <v>-0.08025599999999999</v>
      </c>
      <c r="R475" s="26" t="n">
        <v>0</v>
      </c>
      <c r="S475" s="29" t="n">
        <v>1</v>
      </c>
      <c r="T475" s="24" t="inlineStr">
        <is>
          <t>soccer-poisson-dc-v1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1</v>
      </c>
      <c r="Y475" s="25" t="n"/>
      <c r="Z475" s="26" t="n">
        <v>-133</v>
      </c>
      <c r="AA475" s="28" t="n">
        <v>0.57</v>
      </c>
      <c r="AB475" s="28" t="n">
        <v>-0.000815</v>
      </c>
      <c r="AC475" s="30" t="n">
        <v>-1</v>
      </c>
      <c r="AD475" s="24" t="inlineStr">
        <is>
          <t>2026-09-05T22:00:37.953995Z</t>
        </is>
      </c>
      <c r="AE475" s="31" t="inlineStr">
        <is>
          <t>Poisson-DC rates 1.54 (home) / 0.98 (away) from EWMA attack/defense strengths. Executable ask 0.5700 (atc-epl-bre-sun-2026-09-05-bre).</t>
        </is>
      </c>
      <c r="AF475" s="31" t="inlineStr">
        <is>
          <t>Research-only soccer score model; draw-aware, but not yet locked-holdout qualified.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Sunderland</t>
        </is>
      </c>
      <c r="AQ475" s="24" t="inlineStr">
        <is>
          <t>Sunderland</t>
        </is>
      </c>
      <c r="AR475" s="24" t="inlineStr">
        <is>
          <t>Sunderland</t>
        </is>
      </c>
      <c r="AS475" s="24" t="inlineStr">
        <is>
          <t>Brentford</t>
        </is>
      </c>
      <c r="AT475" s="24" t="inlineStr">
        <is>
          <t>Brentford</t>
        </is>
      </c>
      <c r="AU475" s="24" t="inlineStr">
        <is>
          <t>Brentford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e64f166eb03d5e657185abb04e25fff4830a8801f3dfa7f84e7c01a3f339baa9</t>
        </is>
      </c>
      <c r="BB475" s="24" t="inlineStr">
        <is>
          <t>poisson_dixon_coles</t>
        </is>
      </c>
      <c r="BC475" s="24" t="inlineStr">
        <is>
          <t>soccer-poisson-dc-v1</t>
        </is>
      </c>
      <c r="BD475" s="24" t="inlineStr">
        <is>
          <t>e64f166eb03d5e657185abb04e25fff4830a8801f3dfa7f84e7c01a3f339baa9</t>
        </is>
      </c>
      <c r="BE475" s="24" t="inlineStr">
        <is>
          <t>soccer-poisson-dc-v1</t>
        </is>
      </c>
      <c r="BF475" s="24" t="inlineStr">
        <is>
          <t>1</t>
        </is>
      </c>
      <c r="BG475" s="24" t="inlineStr">
        <is>
          <t>e64f166eb03d5e657185abb04e25fff4830a8801f3dfa7f84e7c01a3f339baa9</t>
        </is>
      </c>
      <c r="BH475" s="24" t="inlineStr">
        <is>
          <t>2026-09-05T10:04:13.717296Z</t>
        </is>
      </c>
      <c r="BI475" s="24" t="inlineStr">
        <is>
          <t>["same_event","same_team_same_day","same_league_same_day"]</t>
        </is>
      </c>
      <c r="BJ475" s="25" t="n"/>
      <c r="BK475" s="26" t="n">
        <v>-133</v>
      </c>
      <c r="BL475" s="27" t="n">
        <v>1.75188</v>
      </c>
      <c r="BM475" s="28" t="n">
        <v>0.570815</v>
      </c>
      <c r="BN475" s="28" t="n"/>
      <c r="BO475" s="28" t="n"/>
      <c r="BP475" s="25" t="n"/>
      <c r="BQ475" s="27" t="n">
        <v>1.75188</v>
      </c>
      <c r="BR475" s="28" t="n">
        <v>0.57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0.570815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6a449fcc472548e5</t>
        </is>
      </c>
      <c r="B476" s="24" t="inlineStr">
        <is>
          <t>2026-09-05T10:05:13.585890Z</t>
        </is>
      </c>
      <c r="C476" s="24" t="inlineStr">
        <is>
          <t>2026-09-05T14:00Z</t>
        </is>
      </c>
      <c r="D476" s="24" t="inlineStr">
        <is>
          <t>401879290</t>
        </is>
      </c>
      <c r="E476" s="24" t="inlineStr">
        <is>
          <t>SOCCER</t>
        </is>
      </c>
      <c r="F476" s="24" t="inlineStr">
        <is>
          <t>Leeds United</t>
        </is>
      </c>
      <c r="G476" s="24" t="inlineStr">
        <is>
          <t>Brighton &amp; Hove Albion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108</v>
      </c>
      <c r="M476" s="27" t="n">
        <v>2.08</v>
      </c>
      <c r="N476" s="28" t="n">
        <v>0.480769</v>
      </c>
      <c r="O476" s="28" t="n">
        <v>0.460061</v>
      </c>
      <c r="P476" s="28" t="n">
        <v>0.04</v>
      </c>
      <c r="Q476" s="28" t="n">
        <v>-0.020708</v>
      </c>
      <c r="R476" s="26" t="n">
        <v>16</v>
      </c>
      <c r="S476" s="29" t="n">
        <v>1</v>
      </c>
      <c r="T476" s="24" t="inlineStr">
        <is>
          <t>soccer-poisson-dc-v1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1</v>
      </c>
      <c r="Y476" s="25" t="n"/>
      <c r="Z476" s="26" t="n">
        <v>108</v>
      </c>
      <c r="AA476" s="28" t="n">
        <v>0.48</v>
      </c>
      <c r="AB476" s="28" t="n">
        <v>-0.000769</v>
      </c>
      <c r="AC476" s="30" t="n">
        <v>-1</v>
      </c>
      <c r="AD476" s="24" t="inlineStr">
        <is>
          <t>2026-09-05T16:00:24.291593Z</t>
        </is>
      </c>
      <c r="AE476" s="31" t="inlineStr">
        <is>
          <t>Poisson-DC rates 1.40 (home) / 0.95 (away) from EWMA attack/defense strengths. Executable ask 0.4800 (atc-epl-bha-lee-2026-09-05-bha).</t>
        </is>
      </c>
      <c r="AF476" s="31" t="inlineStr">
        <is>
          <t>Research-only soccer score model; draw-aware, but not yet locked-holdout qualified.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Leeds United</t>
        </is>
      </c>
      <c r="AQ476" s="24" t="inlineStr">
        <is>
          <t>Leeds United</t>
        </is>
      </c>
      <c r="AR476" s="24" t="inlineStr">
        <is>
          <t>Leeds United</t>
        </is>
      </c>
      <c r="AS476" s="24" t="inlineStr">
        <is>
          <t>Brighton &amp; Hove Albion</t>
        </is>
      </c>
      <c r="AT476" s="24" t="inlineStr">
        <is>
          <t>Brighton &amp; Hove Albion</t>
        </is>
      </c>
      <c r="AU476" s="24" t="inlineStr">
        <is>
          <t>Brighton &amp; Hove Albion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e64f166eb03d5e657185abb04e25fff4830a8801f3dfa7f84e7c01a3f339baa9</t>
        </is>
      </c>
      <c r="BB476" s="24" t="inlineStr">
        <is>
          <t>poisson_dixon_coles</t>
        </is>
      </c>
      <c r="BC476" s="24" t="inlineStr">
        <is>
          <t>soccer-poisson-dc-v1</t>
        </is>
      </c>
      <c r="BD476" s="24" t="inlineStr">
        <is>
          <t>e64f166eb03d5e657185abb04e25fff4830a8801f3dfa7f84e7c01a3f339baa9</t>
        </is>
      </c>
      <c r="BE476" s="24" t="inlineStr">
        <is>
          <t>soccer-poisson-dc-v1</t>
        </is>
      </c>
      <c r="BF476" s="24" t="inlineStr">
        <is>
          <t>1</t>
        </is>
      </c>
      <c r="BG476" s="24" t="inlineStr">
        <is>
          <t>e64f166eb03d5e657185abb04e25fff4830a8801f3dfa7f84e7c01a3f339baa9</t>
        </is>
      </c>
      <c r="BH476" s="24" t="inlineStr">
        <is>
          <t>2026-09-05T10:04:13.822652Z</t>
        </is>
      </c>
      <c r="BI476" s="24" t="inlineStr">
        <is>
          <t>["same_event","same_team_same_day","same_league_same_day"]</t>
        </is>
      </c>
      <c r="BJ476" s="25" t="n"/>
      <c r="BK476" s="26" t="n">
        <v>108</v>
      </c>
      <c r="BL476" s="27" t="n">
        <v>2.08</v>
      </c>
      <c r="BM476" s="28" t="n">
        <v>0.480769</v>
      </c>
      <c r="BN476" s="28" t="n"/>
      <c r="BO476" s="28" t="n"/>
      <c r="BP476" s="25" t="n"/>
      <c r="BQ476" s="27" t="n">
        <v>2.08</v>
      </c>
      <c r="BR476" s="28" t="n">
        <v>0.48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0.480769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e2c94ffe49ea41e4</t>
        </is>
      </c>
      <c r="B477" s="24" t="inlineStr">
        <is>
          <t>2026-09-05T10:05:13.585890Z</t>
        </is>
      </c>
      <c r="C477" s="24" t="inlineStr">
        <is>
          <t>2026-09-05T14:00Z</t>
        </is>
      </c>
      <c r="D477" s="24" t="inlineStr">
        <is>
          <t>401879289</t>
        </is>
      </c>
      <c r="E477" s="24" t="inlineStr">
        <is>
          <t>SOCCER</t>
        </is>
      </c>
      <c r="F477" s="24" t="inlineStr">
        <is>
          <t>Crystal Palace</t>
        </is>
      </c>
      <c r="G477" s="24" t="inlineStr">
        <is>
          <t>Fulham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117</v>
      </c>
      <c r="M477" s="27" t="n">
        <v>2.17</v>
      </c>
      <c r="N477" s="28" t="n">
        <v>0.460829</v>
      </c>
      <c r="O477" s="28" t="n">
        <v>0.49889</v>
      </c>
      <c r="P477" s="28" t="n">
        <v>0.04</v>
      </c>
      <c r="Q477" s="28" t="n">
        <v>0.038061</v>
      </c>
      <c r="R477" s="26" t="n">
        <v>45</v>
      </c>
      <c r="S477" s="29" t="n">
        <v>1</v>
      </c>
      <c r="T477" s="24" t="inlineStr">
        <is>
          <t>soccer-poisson-dc-v1</t>
        </is>
      </c>
      <c r="U477" s="24" t="inlineStr">
        <is>
          <t>settled</t>
        </is>
      </c>
      <c r="V477" s="24" t="inlineStr">
        <is>
          <t>loss</t>
        </is>
      </c>
      <c r="W477" s="26" t="n">
        <v>3</v>
      </c>
      <c r="X477" s="26" t="n">
        <v>2</v>
      </c>
      <c r="Y477" s="25" t="n"/>
      <c r="Z477" s="26" t="n">
        <v>117</v>
      </c>
      <c r="AA477" s="28" t="n">
        <v>0.46</v>
      </c>
      <c r="AB477" s="28" t="n">
        <v>-0.000829</v>
      </c>
      <c r="AC477" s="30" t="n">
        <v>-1</v>
      </c>
      <c r="AD477" s="24" t="inlineStr">
        <is>
          <t>2026-09-05T16:00:24.736684Z</t>
        </is>
      </c>
      <c r="AE477" s="31" t="inlineStr">
        <is>
          <t>Poisson-DC rates 1.41 (home) / 0.81 (away) from EWMA attack/defense strengths. Executable ask 0.4600 (atc-epl-ful-cry-2026-09-05-ful).</t>
        </is>
      </c>
      <c r="AF477" s="31" t="inlineStr">
        <is>
          <t>Research-only soccer score model; draw-aware, but not yet locked-holdout qualified.</t>
        </is>
      </c>
      <c r="AG477" s="24" t="inlineStr">
        <is>
          <t>review_required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Crystal Palace</t>
        </is>
      </c>
      <c r="AQ477" s="24" t="inlineStr">
        <is>
          <t>Crystal Palace</t>
        </is>
      </c>
      <c r="AR477" s="24" t="inlineStr">
        <is>
          <t>Crystal Palace</t>
        </is>
      </c>
      <c r="AS477" s="24" t="inlineStr">
        <is>
          <t>Fulham</t>
        </is>
      </c>
      <c r="AT477" s="24" t="inlineStr">
        <is>
          <t>Fulham</t>
        </is>
      </c>
      <c r="AU477" s="24" t="inlineStr">
        <is>
          <t>Fulham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e64f166eb03d5e657185abb04e25fff4830a8801f3dfa7f84e7c01a3f339baa9</t>
        </is>
      </c>
      <c r="BB477" s="24" t="inlineStr">
        <is>
          <t>poisson_dixon_coles</t>
        </is>
      </c>
      <c r="BC477" s="24" t="inlineStr">
        <is>
          <t>soccer-poisson-dc-v1</t>
        </is>
      </c>
      <c r="BD477" s="24" t="inlineStr">
        <is>
          <t>e64f166eb03d5e657185abb04e25fff4830a8801f3dfa7f84e7c01a3f339baa9</t>
        </is>
      </c>
      <c r="BE477" s="24" t="inlineStr">
        <is>
          <t>soccer-poisson-dc-v1</t>
        </is>
      </c>
      <c r="BF477" s="24" t="inlineStr">
        <is>
          <t>1</t>
        </is>
      </c>
      <c r="BG477" s="24" t="inlineStr">
        <is>
          <t>e64f166eb03d5e657185abb04e25fff4830a8801f3dfa7f84e7c01a3f339baa9</t>
        </is>
      </c>
      <c r="BH477" s="24" t="inlineStr">
        <is>
          <t>2026-09-05T10:04:14.043464Z</t>
        </is>
      </c>
      <c r="BI477" s="24" t="inlineStr">
        <is>
          <t>["same_event","same_team_same_day","same_league_same_day"]</t>
        </is>
      </c>
      <c r="BJ477" s="25" t="n"/>
      <c r="BK477" s="26" t="n">
        <v>117</v>
      </c>
      <c r="BL477" s="27" t="n">
        <v>2.17</v>
      </c>
      <c r="BM477" s="28" t="n">
        <v>0.460829</v>
      </c>
      <c r="BN477" s="28" t="n"/>
      <c r="BO477" s="28" t="n"/>
      <c r="BP477" s="25" t="n"/>
      <c r="BQ477" s="27" t="n">
        <v>2.17</v>
      </c>
      <c r="BR477" s="28" t="n">
        <v>0.46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0.460829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fd7794f0bdae437a</t>
        </is>
      </c>
      <c r="B478" s="24" t="inlineStr">
        <is>
          <t>2026-09-05T10:05:13.585890Z</t>
        </is>
      </c>
      <c r="C478" s="24" t="inlineStr">
        <is>
          <t>2026-09-05T14:00Z</t>
        </is>
      </c>
      <c r="D478" s="24" t="inlineStr">
        <is>
          <t>401879287</t>
        </is>
      </c>
      <c r="E478" s="24" t="inlineStr">
        <is>
          <t>SOCCER</t>
        </is>
      </c>
      <c r="F478" s="24" t="inlineStr">
        <is>
          <t>Coventry City</t>
        </is>
      </c>
      <c r="G478" s="24" t="inlineStr">
        <is>
          <t>Manchester City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-525</v>
      </c>
      <c r="M478" s="27" t="n">
        <v>1.190476</v>
      </c>
      <c r="N478" s="28" t="n">
        <v>0.84</v>
      </c>
      <c r="O478" s="28" t="n">
        <v>0.6738459999999999</v>
      </c>
      <c r="P478" s="28" t="n">
        <v>0.2</v>
      </c>
      <c r="Q478" s="28" t="n">
        <v>-0.166154</v>
      </c>
      <c r="R478" s="26" t="n">
        <v>0</v>
      </c>
      <c r="S478" s="29" t="n">
        <v>1</v>
      </c>
      <c r="T478" s="24" t="inlineStr">
        <is>
          <t>soccer-poisson-dc-v1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-525</v>
      </c>
      <c r="AA478" s="28" t="n">
        <v>0.84</v>
      </c>
      <c r="AB478" s="28" t="n">
        <v>0</v>
      </c>
      <c r="AC478" s="30" t="n">
        <v>0.1905</v>
      </c>
      <c r="AD478" s="24" t="inlineStr">
        <is>
          <t>2026-09-05T16:00:25.182722Z</t>
        </is>
      </c>
      <c r="AE478" s="31" t="inlineStr">
        <is>
          <t>Poisson-DC rates 2.20 (home) / 0.85 (away) from EWMA attack/defense strengths. Executable ask 0.8400 (atc-epl-mnc-cov-2026-09-05-mnc).</t>
        </is>
      </c>
      <c r="AF478" s="31" t="inlineStr">
        <is>
          <t>Research-only soccer score model; draw-aware, but not yet locked-holdout qualified.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PAPER_CALL_MODEL_UNVALIDATED</t>
        </is>
      </c>
      <c r="AP478" s="24" t="inlineStr">
        <is>
          <t>Coventry City</t>
        </is>
      </c>
      <c r="AQ478" s="24" t="inlineStr">
        <is>
          <t>Coventry City</t>
        </is>
      </c>
      <c r="AR478" s="24" t="inlineStr">
        <is>
          <t>Coventry City</t>
        </is>
      </c>
      <c r="AS478" s="24" t="inlineStr">
        <is>
          <t>Manchester City</t>
        </is>
      </c>
      <c r="AT478" s="24" t="inlineStr">
        <is>
          <t>Manchester City</t>
        </is>
      </c>
      <c r="AU478" s="24" t="inlineStr">
        <is>
          <t>Manchester City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e64f166eb03d5e657185abb04e25fff4830a8801f3dfa7f84e7c01a3f339baa9</t>
        </is>
      </c>
      <c r="BB478" s="24" t="inlineStr">
        <is>
          <t>poisson_dixon_coles</t>
        </is>
      </c>
      <c r="BC478" s="24" t="inlineStr">
        <is>
          <t>soccer-poisson-dc-v1</t>
        </is>
      </c>
      <c r="BD478" s="24" t="inlineStr">
        <is>
          <t>e64f166eb03d5e657185abb04e25fff4830a8801f3dfa7f84e7c01a3f339baa9</t>
        </is>
      </c>
      <c r="BE478" s="24" t="inlineStr">
        <is>
          <t>soccer-poisson-dc-v1</t>
        </is>
      </c>
      <c r="BF478" s="24" t="inlineStr">
        <is>
          <t>1</t>
        </is>
      </c>
      <c r="BG478" s="24" t="inlineStr">
        <is>
          <t>e64f166eb03d5e657185abb04e25fff4830a8801f3dfa7f84e7c01a3f339baa9</t>
        </is>
      </c>
      <c r="BH478" s="24" t="inlineStr">
        <is>
          <t>2026-09-05T10:04:14.431272Z</t>
        </is>
      </c>
      <c r="BI478" s="24" t="inlineStr">
        <is>
          <t>["same_event","same_team_same_day","same_league_same_day"]</t>
        </is>
      </c>
      <c r="BJ478" s="25" t="n"/>
      <c r="BK478" s="26" t="n">
        <v>-525</v>
      </c>
      <c r="BL478" s="27" t="n">
        <v>1.190476</v>
      </c>
      <c r="BM478" s="28" t="n">
        <v>0.84</v>
      </c>
      <c r="BN478" s="28" t="n"/>
      <c r="BO478" s="28" t="n"/>
      <c r="BP478" s="25" t="n"/>
      <c r="BQ478" s="27" t="n">
        <v>1.190476</v>
      </c>
      <c r="BR478" s="28" t="n">
        <v>0.84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0.84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08b70c177cc048d0</t>
        </is>
      </c>
      <c r="B479" s="24" t="inlineStr">
        <is>
          <t>2026-09-05T10:05:13.585890Z</t>
        </is>
      </c>
      <c r="C479" s="24" t="inlineStr">
        <is>
          <t>2026-09-05T14:00Z</t>
        </is>
      </c>
      <c r="D479" s="24" t="inlineStr">
        <is>
          <t>401878780</t>
        </is>
      </c>
      <c r="E479" s="24" t="inlineStr">
        <is>
          <t>SOCCER</t>
        </is>
      </c>
      <c r="F479" s="24" t="inlineStr">
        <is>
          <t>Tottenham Hotspur</t>
        </is>
      </c>
      <c r="G479" s="24" t="inlineStr">
        <is>
          <t>Nottingham Forest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150</v>
      </c>
      <c r="M479" s="27" t="n">
        <v>2.5</v>
      </c>
      <c r="N479" s="28" t="n">
        <v>0.4</v>
      </c>
      <c r="O479" s="28" t="n">
        <v>0.615388</v>
      </c>
      <c r="P479" s="28" t="n">
        <v>0.04</v>
      </c>
      <c r="Q479" s="28" t="n">
        <v>0.215388</v>
      </c>
      <c r="R479" s="26" t="n">
        <v>100</v>
      </c>
      <c r="S479" s="29" t="n">
        <v>2</v>
      </c>
      <c r="T479" s="24" t="inlineStr">
        <is>
          <t>soccer-poisson-dc-v1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0</v>
      </c>
      <c r="Y479" s="25" t="n"/>
      <c r="Z479" s="26" t="n">
        <v>150</v>
      </c>
      <c r="AA479" s="28" t="n">
        <v>0.4</v>
      </c>
      <c r="AB479" s="28" t="n">
        <v>0</v>
      </c>
      <c r="AC479" s="30" t="n">
        <v>-2</v>
      </c>
      <c r="AD479" s="24" t="inlineStr">
        <is>
          <t>2026-09-05T16:00:25.628906Z</t>
        </is>
      </c>
      <c r="AE479" s="31" t="inlineStr">
        <is>
          <t>Poisson-DC rates 1.91 (home) / 0.84 (away) from EWMA attack/defense strengths. Executable ask 0.4000 (atc-epl-not-tot-2026-09-05-not).</t>
        </is>
      </c>
      <c r="AF479" s="31" t="inlineStr">
        <is>
          <t>Research-only soccer score model; draw-aware, but not yet locked-holdout qualified.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Tottenham Hotspur</t>
        </is>
      </c>
      <c r="AQ479" s="24" t="inlineStr">
        <is>
          <t>Tottenham Hotspur</t>
        </is>
      </c>
      <c r="AR479" s="24" t="inlineStr">
        <is>
          <t>Tottenham Hotspur</t>
        </is>
      </c>
      <c r="AS479" s="24" t="inlineStr">
        <is>
          <t>Nottingham Forest</t>
        </is>
      </c>
      <c r="AT479" s="24" t="inlineStr">
        <is>
          <t>Nottingham Forest</t>
        </is>
      </c>
      <c r="AU479" s="24" t="inlineStr">
        <is>
          <t>Nottingham Forest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e64f166eb03d5e657185abb04e25fff4830a8801f3dfa7f84e7c01a3f339baa9</t>
        </is>
      </c>
      <c r="BB479" s="24" t="inlineStr">
        <is>
          <t>poisson_dixon_coles</t>
        </is>
      </c>
      <c r="BC479" s="24" t="inlineStr">
        <is>
          <t>soccer-poisson-dc-v1</t>
        </is>
      </c>
      <c r="BD479" s="24" t="inlineStr">
        <is>
          <t>e64f166eb03d5e657185abb04e25fff4830a8801f3dfa7f84e7c01a3f339baa9</t>
        </is>
      </c>
      <c r="BE479" s="24" t="inlineStr">
        <is>
          <t>soccer-poisson-dc-v1</t>
        </is>
      </c>
      <c r="BF479" s="24" t="inlineStr">
        <is>
          <t>1</t>
        </is>
      </c>
      <c r="BG479" s="24" t="inlineStr">
        <is>
          <t>e64f166eb03d5e657185abb04e25fff4830a8801f3dfa7f84e7c01a3f339baa9</t>
        </is>
      </c>
      <c r="BH479" s="24" t="inlineStr">
        <is>
          <t>2026-09-05T10:04:14.707937Z</t>
        </is>
      </c>
      <c r="BI479" s="24" t="inlineStr">
        <is>
          <t>["same_event","same_team_same_day","same_league_same_day"]</t>
        </is>
      </c>
      <c r="BJ479" s="25" t="n"/>
      <c r="BK479" s="26" t="n">
        <v>150</v>
      </c>
      <c r="BL479" s="27" t="n">
        <v>2.5</v>
      </c>
      <c r="BM479" s="28" t="n">
        <v>0.4</v>
      </c>
      <c r="BN479" s="28" t="n"/>
      <c r="BO479" s="28" t="n"/>
      <c r="BP479" s="25" t="n"/>
      <c r="BQ479" s="27" t="n">
        <v>2.5</v>
      </c>
      <c r="BR479" s="28" t="n">
        <v>0.4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0.4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d8b1d0ae2c6f4cba</t>
        </is>
      </c>
      <c r="B480" s="24" t="inlineStr">
        <is>
          <t>2026-09-05T10:05:13.585890Z</t>
        </is>
      </c>
      <c r="C480" s="24" t="inlineStr">
        <is>
          <t>2026-09-05T13:30Z</t>
        </is>
      </c>
      <c r="D480" s="24" t="inlineStr">
        <is>
          <t>401884806</t>
        </is>
      </c>
      <c r="E480" s="24" t="inlineStr">
        <is>
          <t>SOCCER</t>
        </is>
      </c>
      <c r="F480" s="24" t="inlineStr">
        <is>
          <t>1. FC Union Berlin</t>
        </is>
      </c>
      <c r="G480" s="24" t="inlineStr">
        <is>
          <t>Bayer Leverkusen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-233</v>
      </c>
      <c r="M480" s="27" t="n">
        <v>1.429185</v>
      </c>
      <c r="N480" s="28" t="n">
        <v>0.6997</v>
      </c>
      <c r="O480" s="28" t="n">
        <v>0.651031</v>
      </c>
      <c r="P480" s="28" t="n">
        <v>0.04</v>
      </c>
      <c r="Q480" s="28" t="n">
        <v>-0.048669</v>
      </c>
      <c r="R480" s="26" t="n">
        <v>2</v>
      </c>
      <c r="S480" s="29" t="n">
        <v>1</v>
      </c>
      <c r="T480" s="24" t="inlineStr">
        <is>
          <t>soccer-poisson-dc-v1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4</v>
      </c>
      <c r="Y480" s="25" t="n"/>
      <c r="Z480" s="26" t="n">
        <v>-233</v>
      </c>
      <c r="AA480" s="28" t="n">
        <v>0.7</v>
      </c>
      <c r="AB480" s="28" t="n">
        <v>0.0003</v>
      </c>
      <c r="AC480" s="30" t="n">
        <v>0.4292</v>
      </c>
      <c r="AD480" s="24" t="inlineStr">
        <is>
          <t>2026-09-05T16:00:26.081171Z</t>
        </is>
      </c>
      <c r="AE480" s="31" t="inlineStr">
        <is>
          <t>Poisson-DC rates 2.41 (home) / 1.12 (away) from EWMA attack/defense strengths. Executable ask 0.7000 (atc-bun-lev-unb-2026-09-05-lev).</t>
        </is>
      </c>
      <c r="AF480" s="31" t="inlineStr">
        <is>
          <t>Research-only soccer score model; draw-aware, but not yet locked-holdout qualified.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1. FC Union Berlin</t>
        </is>
      </c>
      <c r="AQ480" s="24" t="inlineStr">
        <is>
          <t>1. FC Union Berlin</t>
        </is>
      </c>
      <c r="AR480" s="24" t="inlineStr">
        <is>
          <t>1. FC Union Berlin</t>
        </is>
      </c>
      <c r="AS480" s="24" t="inlineStr">
        <is>
          <t>Bayer Leverkusen</t>
        </is>
      </c>
      <c r="AT480" s="24" t="inlineStr">
        <is>
          <t>Bayer Leverkusen</t>
        </is>
      </c>
      <c r="AU480" s="24" t="inlineStr">
        <is>
          <t>Bayer Leverkusen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e64f166eb03d5e657185abb04e25fff4830a8801f3dfa7f84e7c01a3f339baa9</t>
        </is>
      </c>
      <c r="BB480" s="24" t="inlineStr">
        <is>
          <t>poisson_dixon_coles</t>
        </is>
      </c>
      <c r="BC480" s="24" t="inlineStr">
        <is>
          <t>soccer-poisson-dc-v1</t>
        </is>
      </c>
      <c r="BD480" s="24" t="inlineStr">
        <is>
          <t>e64f166eb03d5e657185abb04e25fff4830a8801f3dfa7f84e7c01a3f339baa9</t>
        </is>
      </c>
      <c r="BE480" s="24" t="inlineStr">
        <is>
          <t>soccer-poisson-dc-v1</t>
        </is>
      </c>
      <c r="BF480" s="24" t="inlineStr">
        <is>
          <t>1</t>
        </is>
      </c>
      <c r="BG480" s="24" t="inlineStr">
        <is>
          <t>e64f166eb03d5e657185abb04e25fff4830a8801f3dfa7f84e7c01a3f339baa9</t>
        </is>
      </c>
      <c r="BH480" s="24" t="inlineStr">
        <is>
          <t>2026-09-05T10:04:16.878196Z</t>
        </is>
      </c>
      <c r="BI480" s="24" t="inlineStr">
        <is>
          <t>["same_event","same_team_same_day","same_league_same_day"]</t>
        </is>
      </c>
      <c r="BJ480" s="25" t="n"/>
      <c r="BK480" s="26" t="n">
        <v>-233</v>
      </c>
      <c r="BL480" s="27" t="n">
        <v>1.429185</v>
      </c>
      <c r="BM480" s="28" t="n">
        <v>0.6997</v>
      </c>
      <c r="BN480" s="28" t="n"/>
      <c r="BO480" s="28" t="n"/>
      <c r="BP480" s="25" t="n"/>
      <c r="BQ480" s="27" t="n">
        <v>1.429185</v>
      </c>
      <c r="BR480" s="28" t="n">
        <v>0.7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0.6997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8f115416f1014dc9</t>
        </is>
      </c>
      <c r="B481" s="24" t="inlineStr">
        <is>
          <t>2026-09-05T10:05:13.585890Z</t>
        </is>
      </c>
      <c r="C481" s="24" t="inlineStr">
        <is>
          <t>2026-09-05T13:30Z</t>
        </is>
      </c>
      <c r="D481" s="24" t="inlineStr">
        <is>
          <t>401884800</t>
        </is>
      </c>
      <c r="E481" s="24" t="inlineStr">
        <is>
          <t>SOCCER</t>
        </is>
      </c>
      <c r="F481" s="24" t="inlineStr">
        <is>
          <t>SC Freiburg</t>
        </is>
      </c>
      <c r="G481" s="24" t="inlineStr">
        <is>
          <t>SC Paderborn 07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285</v>
      </c>
      <c r="M481" s="27" t="n">
        <v>3.85</v>
      </c>
      <c r="N481" s="28" t="n">
        <v>0.25974</v>
      </c>
      <c r="O481" s="28" t="n">
        <v>0.503275</v>
      </c>
      <c r="P481" s="28" t="n">
        <v>0.2</v>
      </c>
      <c r="Q481" s="28" t="n">
        <v>0.243535</v>
      </c>
      <c r="R481" s="26" t="n">
        <v>52</v>
      </c>
      <c r="S481" s="29" t="n">
        <v>1.25</v>
      </c>
      <c r="T481" s="24" t="inlineStr">
        <is>
          <t>soccer-poisson-dc-v1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285</v>
      </c>
      <c r="AA481" s="28" t="n">
        <v>0.26</v>
      </c>
      <c r="AB481" s="28" t="n">
        <v>0.00026</v>
      </c>
      <c r="AC481" s="30" t="n">
        <v>-1.25</v>
      </c>
      <c r="AD481" s="24" t="inlineStr">
        <is>
          <t>2026-09-05T16:00:26.526915Z</t>
        </is>
      </c>
      <c r="AE481" s="31" t="inlineStr">
        <is>
          <t>Poisson-DC rates 1.94 (home) / 1.35 (away) from EWMA attack/defense strengths. Executable ask 0.2600 (atc-bun-scp-scf-2026-09-05-scp).</t>
        </is>
      </c>
      <c r="AF481" s="31" t="inlineStr">
        <is>
          <t>Research-only soccer score model; draw-aware, but not yet locked-holdout qualified.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PAPER_CALL_MODEL_UNVALIDATED</t>
        </is>
      </c>
      <c r="AP481" s="24" t="inlineStr">
        <is>
          <t>SC Freiburg</t>
        </is>
      </c>
      <c r="AQ481" s="24" t="inlineStr">
        <is>
          <t>SC Freiburg</t>
        </is>
      </c>
      <c r="AR481" s="24" t="inlineStr">
        <is>
          <t>SC Freiburg</t>
        </is>
      </c>
      <c r="AS481" s="24" t="inlineStr">
        <is>
          <t>SC Paderborn 07</t>
        </is>
      </c>
      <c r="AT481" s="24" t="inlineStr">
        <is>
          <t>SC Paderborn 07</t>
        </is>
      </c>
      <c r="AU481" s="24" t="inlineStr">
        <is>
          <t>SC Paderborn 07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e64f166eb03d5e657185abb04e25fff4830a8801f3dfa7f84e7c01a3f339baa9</t>
        </is>
      </c>
      <c r="BB481" s="24" t="inlineStr">
        <is>
          <t>poisson_dixon_coles</t>
        </is>
      </c>
      <c r="BC481" s="24" t="inlineStr">
        <is>
          <t>soccer-poisson-dc-v1</t>
        </is>
      </c>
      <c r="BD481" s="24" t="inlineStr">
        <is>
          <t>e64f166eb03d5e657185abb04e25fff4830a8801f3dfa7f84e7c01a3f339baa9</t>
        </is>
      </c>
      <c r="BE481" s="24" t="inlineStr">
        <is>
          <t>soccer-poisson-dc-v1</t>
        </is>
      </c>
      <c r="BF481" s="24" t="inlineStr">
        <is>
          <t>1</t>
        </is>
      </c>
      <c r="BG481" s="24" t="inlineStr">
        <is>
          <t>e64f166eb03d5e657185abb04e25fff4830a8801f3dfa7f84e7c01a3f339baa9</t>
        </is>
      </c>
      <c r="BH481" s="24" t="inlineStr">
        <is>
          <t>2026-09-05T10:04:17.650365Z</t>
        </is>
      </c>
      <c r="BI481" s="24" t="inlineStr">
        <is>
          <t>["same_event","same_team_same_day","same_league_same_day"]</t>
        </is>
      </c>
      <c r="BJ481" s="25" t="n"/>
      <c r="BK481" s="26" t="n">
        <v>285</v>
      </c>
      <c r="BL481" s="27" t="n">
        <v>3.85</v>
      </c>
      <c r="BM481" s="28" t="n">
        <v>0.25974</v>
      </c>
      <c r="BN481" s="28" t="n"/>
      <c r="BO481" s="28" t="n"/>
      <c r="BP481" s="25" t="n"/>
      <c r="BQ481" s="27" t="n">
        <v>3.85</v>
      </c>
      <c r="BR481" s="28" t="n">
        <v>0.26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0.25974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bb88c9131458400e</t>
        </is>
      </c>
      <c r="B482" s="24" t="inlineStr">
        <is>
          <t>2026-09-05T10:05:13.585890Z</t>
        </is>
      </c>
      <c r="C482" s="24" t="inlineStr">
        <is>
          <t>2026-09-05T13:30Z</t>
        </is>
      </c>
      <c r="D482" s="24" t="inlineStr">
        <is>
          <t>401884807</t>
        </is>
      </c>
      <c r="E482" s="24" t="inlineStr">
        <is>
          <t>SOCCER</t>
        </is>
      </c>
      <c r="F482" s="24" t="inlineStr">
        <is>
          <t>Borussia Dortmund</t>
        </is>
      </c>
      <c r="G482" s="24" t="inlineStr">
        <is>
          <t>TSG Hoffenheim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150</v>
      </c>
      <c r="M482" s="27" t="n">
        <v>2.5</v>
      </c>
      <c r="N482" s="28" t="n">
        <v>0.4</v>
      </c>
      <c r="O482" s="28" t="n">
        <v>0.503765</v>
      </c>
      <c r="P482" s="28" t="n">
        <v>0.04</v>
      </c>
      <c r="Q482" s="28" t="n">
        <v>0.103765</v>
      </c>
      <c r="R482" s="26" t="n">
        <v>78</v>
      </c>
      <c r="S482" s="29" t="n">
        <v>1.5</v>
      </c>
      <c r="T482" s="24" t="inlineStr">
        <is>
          <t>soccer-poisson-dc-v1</t>
        </is>
      </c>
      <c r="U482" s="24" t="inlineStr">
        <is>
          <t>settled</t>
        </is>
      </c>
      <c r="V482" s="24" t="inlineStr">
        <is>
          <t>win</t>
        </is>
      </c>
      <c r="W482" s="26" t="n">
        <v>3</v>
      </c>
      <c r="X482" s="26" t="n">
        <v>2</v>
      </c>
      <c r="Y482" s="25" t="n"/>
      <c r="Z482" s="26" t="n">
        <v>-156</v>
      </c>
      <c r="AA482" s="28" t="n">
        <v>0.61</v>
      </c>
      <c r="AB482" s="28" t="n">
        <v>0.21</v>
      </c>
      <c r="AC482" s="30" t="n">
        <v>2.25</v>
      </c>
      <c r="AD482" s="24" t="inlineStr">
        <is>
          <t>2026-09-05T16:00:26.974969Z</t>
        </is>
      </c>
      <c r="AE482" s="31" t="inlineStr">
        <is>
          <t>Poisson-DC rates 1.37 (home) / 1.96 (away) from EWMA attack/defense strengths. Executable ask 0.4000 (atc-bun-hof-bvb-2026-09-05-bvb).</t>
        </is>
      </c>
      <c r="AF482" s="31" t="inlineStr">
        <is>
          <t>Research-only soccer score model; draw-aware, but not yet locked-holdout qualified.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Borussia Dortmund</t>
        </is>
      </c>
      <c r="AQ482" s="24" t="inlineStr">
        <is>
          <t>Borussia Dortmund</t>
        </is>
      </c>
      <c r="AR482" s="24" t="inlineStr">
        <is>
          <t>Borussia Dortmund</t>
        </is>
      </c>
      <c r="AS482" s="24" t="inlineStr">
        <is>
          <t>TSG Hoffenheim</t>
        </is>
      </c>
      <c r="AT482" s="24" t="inlineStr">
        <is>
          <t>TSG Hoffenheim</t>
        </is>
      </c>
      <c r="AU482" s="24" t="inlineStr">
        <is>
          <t>TSG Hoffenheim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e64f166eb03d5e657185abb04e25fff4830a8801f3dfa7f84e7c01a3f339baa9</t>
        </is>
      </c>
      <c r="BB482" s="24" t="inlineStr">
        <is>
          <t>poisson_dixon_coles</t>
        </is>
      </c>
      <c r="BC482" s="24" t="inlineStr">
        <is>
          <t>soccer-poisson-dc-v1</t>
        </is>
      </c>
      <c r="BD482" s="24" t="inlineStr">
        <is>
          <t>e64f166eb03d5e657185abb04e25fff4830a8801f3dfa7f84e7c01a3f339baa9</t>
        </is>
      </c>
      <c r="BE482" s="24" t="inlineStr">
        <is>
          <t>soccer-poisson-dc-v1</t>
        </is>
      </c>
      <c r="BF482" s="24" t="inlineStr">
        <is>
          <t>1</t>
        </is>
      </c>
      <c r="BG482" s="24" t="inlineStr">
        <is>
          <t>e64f166eb03d5e657185abb04e25fff4830a8801f3dfa7f84e7c01a3f339baa9</t>
        </is>
      </c>
      <c r="BH482" s="24" t="inlineStr">
        <is>
          <t>2026-09-05T10:04:16.669135Z</t>
        </is>
      </c>
      <c r="BI482" s="24" t="inlineStr">
        <is>
          <t>["same_event","same_team_same_day","same_league_same_day"]</t>
        </is>
      </c>
      <c r="BJ482" s="25" t="n"/>
      <c r="BK482" s="26" t="n">
        <v>150</v>
      </c>
      <c r="BL482" s="27" t="n">
        <v>2.5</v>
      </c>
      <c r="BM482" s="28" t="n">
        <v>0.4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0.4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3f15b25e3f9e430b</t>
        </is>
      </c>
      <c r="B483" s="24" t="inlineStr">
        <is>
          <t>2026-09-05T10:05:13.585890Z</t>
        </is>
      </c>
      <c r="C483" s="24" t="inlineStr">
        <is>
          <t>2026-09-05T13:30Z</t>
        </is>
      </c>
      <c r="D483" s="24" t="inlineStr">
        <is>
          <t>401884802</t>
        </is>
      </c>
      <c r="E483" s="24" t="inlineStr">
        <is>
          <t>SOCCER</t>
        </is>
      </c>
      <c r="F483" s="24" t="inlineStr">
        <is>
          <t>RB Leipzig</t>
        </is>
      </c>
      <c r="G483" s="24" t="inlineStr">
        <is>
          <t>Werder Bremen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-127</v>
      </c>
      <c r="M483" s="27" t="n">
        <v>1.787402</v>
      </c>
      <c r="N483" s="28" t="n">
        <v>0.5594710000000001</v>
      </c>
      <c r="O483" s="28" t="n">
        <v>0.474158</v>
      </c>
      <c r="P483" s="28" t="n">
        <v>0.04</v>
      </c>
      <c r="Q483" s="28" t="n">
        <v>-0.085313</v>
      </c>
      <c r="R483" s="26" t="n">
        <v>0</v>
      </c>
      <c r="S483" s="29" t="n">
        <v>1</v>
      </c>
      <c r="T483" s="24" t="inlineStr">
        <is>
          <t>soccer-poisson-dc-v1</t>
        </is>
      </c>
      <c r="U483" s="24" t="inlineStr">
        <is>
          <t>settled</t>
        </is>
      </c>
      <c r="V483" s="24" t="inlineStr">
        <is>
          <t>loss</t>
        </is>
      </c>
      <c r="W483" s="26" t="n">
        <v>1</v>
      </c>
      <c r="X483" s="26" t="n">
        <v>3</v>
      </c>
      <c r="Y483" s="25" t="n"/>
      <c r="Z483" s="26" t="n">
        <v>122</v>
      </c>
      <c r="AA483" s="28" t="n">
        <v>0.45</v>
      </c>
      <c r="AB483" s="28" t="n">
        <v>-0.109471</v>
      </c>
      <c r="AC483" s="30" t="n">
        <v>-1</v>
      </c>
      <c r="AD483" s="24" t="inlineStr">
        <is>
          <t>2026-09-05T16:00:27.422367Z</t>
        </is>
      </c>
      <c r="AE483" s="31" t="inlineStr">
        <is>
          <t>Poisson-DC rates 1.22 (home) / 1.70 (away) from EWMA attack/defense strengths. Executable ask 0.5600 (atc-bun-bre-rbl-2026-09-05-rbl).</t>
        </is>
      </c>
      <c r="AF483" s="31" t="inlineStr">
        <is>
          <t>Research-only soccer score model; draw-aware, but not yet locked-holdout qualified.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RB Leipzig</t>
        </is>
      </c>
      <c r="AQ483" s="24" t="inlineStr">
        <is>
          <t>RB Leipzig</t>
        </is>
      </c>
      <c r="AR483" s="24" t="inlineStr">
        <is>
          <t>RB Leipzig</t>
        </is>
      </c>
      <c r="AS483" s="24" t="inlineStr">
        <is>
          <t>Werder Bremen</t>
        </is>
      </c>
      <c r="AT483" s="24" t="inlineStr">
        <is>
          <t>Werder Bremen</t>
        </is>
      </c>
      <c r="AU483" s="24" t="inlineStr">
        <is>
          <t>Werder Bremen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e64f166eb03d5e657185abb04e25fff4830a8801f3dfa7f84e7c01a3f339baa9</t>
        </is>
      </c>
      <c r="BB483" s="24" t="inlineStr">
        <is>
          <t>poisson_dixon_coles</t>
        </is>
      </c>
      <c r="BC483" s="24" t="inlineStr">
        <is>
          <t>soccer-poisson-dc-v1</t>
        </is>
      </c>
      <c r="BD483" s="24" t="inlineStr">
        <is>
          <t>e64f166eb03d5e657185abb04e25fff4830a8801f3dfa7f84e7c01a3f339baa9</t>
        </is>
      </c>
      <c r="BE483" s="24" t="inlineStr">
        <is>
          <t>soccer-poisson-dc-v1</t>
        </is>
      </c>
      <c r="BF483" s="24" t="inlineStr">
        <is>
          <t>1</t>
        </is>
      </c>
      <c r="BG483" s="24" t="inlineStr">
        <is>
          <t>e64f166eb03d5e657185abb04e25fff4830a8801f3dfa7f84e7c01a3f339baa9</t>
        </is>
      </c>
      <c r="BH483" s="24" t="inlineStr">
        <is>
          <t>2026-09-05T10:04:16.631495Z</t>
        </is>
      </c>
      <c r="BI483" s="24" t="inlineStr">
        <is>
          <t>["same_event","same_team_same_day","same_league_same_day"]</t>
        </is>
      </c>
      <c r="BJ483" s="25" t="n"/>
      <c r="BK483" s="26" t="n">
        <v>-127</v>
      </c>
      <c r="BL483" s="27" t="n">
        <v>1.787402</v>
      </c>
      <c r="BM483" s="28" t="n">
        <v>0.5594710000000001</v>
      </c>
      <c r="BN483" s="28" t="n"/>
      <c r="BO483" s="28" t="n"/>
      <c r="BP483" s="25" t="n"/>
      <c r="BQ483" s="27" t="n">
        <v>2.22</v>
      </c>
      <c r="BR483" s="28" t="n">
        <v>0.45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0.559471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b87c4af09d634fc0</t>
        </is>
      </c>
      <c r="B484" s="24" t="inlineStr">
        <is>
          <t>2026-09-05T10:05:13.585890Z</t>
        </is>
      </c>
      <c r="C484" s="24" t="inlineStr">
        <is>
          <t>2026-09-05T13:00Z</t>
        </is>
      </c>
      <c r="D484" s="24" t="inlineStr">
        <is>
          <t>401874939</t>
        </is>
      </c>
      <c r="E484" s="24" t="inlineStr">
        <is>
          <t>SOCCER</t>
        </is>
      </c>
      <c r="F484" s="24" t="inlineStr">
        <is>
          <t>Torino</t>
        </is>
      </c>
      <c r="G484" s="24" t="inlineStr">
        <is>
          <t>Fiorentina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100</v>
      </c>
      <c r="M484" s="27" t="n">
        <v>2</v>
      </c>
      <c r="N484" s="28" t="n">
        <v>0.5</v>
      </c>
      <c r="O484" s="28" t="n">
        <v>0.497341</v>
      </c>
      <c r="P484" s="28" t="n">
        <v>0.04</v>
      </c>
      <c r="Q484" s="28" t="n">
        <v>-0.002659</v>
      </c>
      <c r="R484" s="26" t="n">
        <v>25</v>
      </c>
      <c r="S484" s="29" t="n">
        <v>1</v>
      </c>
      <c r="T484" s="24" t="inlineStr">
        <is>
          <t>soccer-poisson-dc-v1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</v>
      </c>
      <c r="X484" s="26" t="n">
        <v>1</v>
      </c>
      <c r="Y484" s="25" t="n"/>
      <c r="Z484" s="26" t="n">
        <v>100</v>
      </c>
      <c r="AA484" s="28" t="n">
        <v>0.5</v>
      </c>
      <c r="AB484" s="28" t="n">
        <v>0</v>
      </c>
      <c r="AC484" s="30" t="n">
        <v>-1</v>
      </c>
      <c r="AD484" s="24" t="inlineStr">
        <is>
          <t>2026-09-05T16:00:27.884663Z</t>
        </is>
      </c>
      <c r="AE484" s="31" t="inlineStr">
        <is>
          <t>Poisson-DC rates 1.55 (home) / 0.96 (away) from EWMA attack/defense strengths. Executable ask 0.5000 (atc-sea-fio-tor-2026-09-05-fio).</t>
        </is>
      </c>
      <c r="AF484" s="31" t="inlineStr">
        <is>
          <t>Research-only soccer score model; draw-aware, but not yet locked-holdout qualified.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Torino</t>
        </is>
      </c>
      <c r="AQ484" s="24" t="inlineStr">
        <is>
          <t>Torino</t>
        </is>
      </c>
      <c r="AR484" s="24" t="inlineStr">
        <is>
          <t>Torino</t>
        </is>
      </c>
      <c r="AS484" s="24" t="inlineStr">
        <is>
          <t>Fiorentina</t>
        </is>
      </c>
      <c r="AT484" s="24" t="inlineStr">
        <is>
          <t>Fiorentina</t>
        </is>
      </c>
      <c r="AU484" s="24" t="inlineStr">
        <is>
          <t>Fiorentina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e64f166eb03d5e657185abb04e25fff4830a8801f3dfa7f84e7c01a3f339baa9</t>
        </is>
      </c>
      <c r="BB484" s="24" t="inlineStr">
        <is>
          <t>poisson_dixon_coles</t>
        </is>
      </c>
      <c r="BC484" s="24" t="inlineStr">
        <is>
          <t>soccer-poisson-dc-v1</t>
        </is>
      </c>
      <c r="BD484" s="24" t="inlineStr">
        <is>
          <t>e64f166eb03d5e657185abb04e25fff4830a8801f3dfa7f84e7c01a3f339baa9</t>
        </is>
      </c>
      <c r="BE484" s="24" t="inlineStr">
        <is>
          <t>soccer-poisson-dc-v1</t>
        </is>
      </c>
      <c r="BF484" s="24" t="inlineStr">
        <is>
          <t>1</t>
        </is>
      </c>
      <c r="BG484" s="24" t="inlineStr">
        <is>
          <t>e64f166eb03d5e657185abb04e25fff4830a8801f3dfa7f84e7c01a3f339baa9</t>
        </is>
      </c>
      <c r="BH484" s="24" t="inlineStr">
        <is>
          <t>2026-09-05T10:04:17.893560Z</t>
        </is>
      </c>
      <c r="BI484" s="24" t="inlineStr">
        <is>
          <t>["same_event","same_team_same_day","same_league_same_day"]</t>
        </is>
      </c>
      <c r="BJ484" s="25" t="n"/>
      <c r="BK484" s="26" t="n">
        <v>100</v>
      </c>
      <c r="BL484" s="27" t="n">
        <v>2</v>
      </c>
      <c r="BM484" s="28" t="n">
        <v>0.5</v>
      </c>
      <c r="BN484" s="28" t="n"/>
      <c r="BO484" s="28" t="n"/>
      <c r="BP484" s="25" t="n"/>
      <c r="BQ484" s="27" t="n">
        <v>2</v>
      </c>
      <c r="BR484" s="28" t="n">
        <v>0.5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f6308d9205db4015</t>
        </is>
      </c>
      <c r="B485" s="24" t="inlineStr">
        <is>
          <t>2026-09-05T10:05:13.585890Z</t>
        </is>
      </c>
      <c r="C485" s="24" t="inlineStr">
        <is>
          <t>2026-09-05T16:00Z</t>
        </is>
      </c>
      <c r="D485" s="24" t="inlineStr">
        <is>
          <t>401874937</t>
        </is>
      </c>
      <c r="E485" s="24" t="inlineStr">
        <is>
          <t>SOCCER</t>
        </is>
      </c>
      <c r="F485" s="24" t="inlineStr">
        <is>
          <t>Napoli</t>
        </is>
      </c>
      <c r="G485" s="24" t="inlineStr">
        <is>
          <t>Internazionale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-144</v>
      </c>
      <c r="M485" s="27" t="n">
        <v>1.694444</v>
      </c>
      <c r="N485" s="28" t="n">
        <v>0.590164</v>
      </c>
      <c r="O485" s="28" t="n">
        <v>0.558021</v>
      </c>
      <c r="P485" s="28" t="n">
        <v>0.04</v>
      </c>
      <c r="Q485" s="28" t="n">
        <v>-0.032143</v>
      </c>
      <c r="R485" s="26" t="n">
        <v>10</v>
      </c>
      <c r="S485" s="29" t="n">
        <v>1</v>
      </c>
      <c r="T485" s="24" t="inlineStr">
        <is>
          <t>soccer-poisson-dc-v1</t>
        </is>
      </c>
      <c r="U485" s="24" t="inlineStr">
        <is>
          <t>settled</t>
        </is>
      </c>
      <c r="V485" s="24" t="inlineStr">
        <is>
          <t>win</t>
        </is>
      </c>
      <c r="W485" s="26" t="n">
        <v>2</v>
      </c>
      <c r="X485" s="26" t="n">
        <v>3</v>
      </c>
      <c r="Y485" s="25" t="n"/>
      <c r="Z485" s="26" t="n">
        <v>-144</v>
      </c>
      <c r="AA485" s="28" t="n">
        <v>0.59</v>
      </c>
      <c r="AB485" s="28" t="n">
        <v>-0.000164</v>
      </c>
      <c r="AC485" s="30" t="n">
        <v>0.6944</v>
      </c>
      <c r="AD485" s="24" t="inlineStr">
        <is>
          <t>2026-09-05T22:00:38.433611Z</t>
        </is>
      </c>
      <c r="AE485" s="31" t="inlineStr">
        <is>
          <t>Poisson-DC rates 1.90 (home) / 1.07 (away) from EWMA attack/defense strengths. Executable ask 0.5900 (atc-sea-int-nap-2026-09-05-int).</t>
        </is>
      </c>
      <c r="AF485" s="31" t="inlineStr">
        <is>
          <t>Research-only soccer score model; draw-aware, but not yet locked-holdout qualified.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Napoli</t>
        </is>
      </c>
      <c r="AQ485" s="24" t="inlineStr">
        <is>
          <t>Napoli</t>
        </is>
      </c>
      <c r="AR485" s="24" t="inlineStr">
        <is>
          <t>Napoli</t>
        </is>
      </c>
      <c r="AS485" s="24" t="inlineStr">
        <is>
          <t>Internazionale</t>
        </is>
      </c>
      <c r="AT485" s="24" t="inlineStr">
        <is>
          <t>Internazionale</t>
        </is>
      </c>
      <c r="AU485" s="24" t="inlineStr">
        <is>
          <t>Internazionale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e64f166eb03d5e657185abb04e25fff4830a8801f3dfa7f84e7c01a3f339baa9</t>
        </is>
      </c>
      <c r="BB485" s="24" t="inlineStr">
        <is>
          <t>poisson_dixon_coles</t>
        </is>
      </c>
      <c r="BC485" s="24" t="inlineStr">
        <is>
          <t>soccer-poisson-dc-v1</t>
        </is>
      </c>
      <c r="BD485" s="24" t="inlineStr">
        <is>
          <t>e64f166eb03d5e657185abb04e25fff4830a8801f3dfa7f84e7c01a3f339baa9</t>
        </is>
      </c>
      <c r="BE485" s="24" t="inlineStr">
        <is>
          <t>soccer-poisson-dc-v1</t>
        </is>
      </c>
      <c r="BF485" s="24" t="inlineStr">
        <is>
          <t>1</t>
        </is>
      </c>
      <c r="BG485" s="24" t="inlineStr">
        <is>
          <t>e64f166eb03d5e657185abb04e25fff4830a8801f3dfa7f84e7c01a3f339baa9</t>
        </is>
      </c>
      <c r="BH485" s="24" t="inlineStr">
        <is>
          <t>2026-09-05T10:04:18.663108Z</t>
        </is>
      </c>
      <c r="BI485" s="24" t="inlineStr">
        <is>
          <t>["same_event","same_team_same_day","same_league_same_day"]</t>
        </is>
      </c>
      <c r="BJ485" s="25" t="n"/>
      <c r="BK485" s="26" t="n">
        <v>-144</v>
      </c>
      <c r="BL485" s="27" t="n">
        <v>1.694444</v>
      </c>
      <c r="BM485" s="28" t="n">
        <v>0.590164</v>
      </c>
      <c r="BN485" s="28" t="n"/>
      <c r="BO485" s="28" t="n"/>
      <c r="BP485" s="25" t="n"/>
      <c r="BQ485" s="27" t="n">
        <v>1.694444</v>
      </c>
      <c r="BR485" s="28" t="n">
        <v>0.59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0.590164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1ecb6d7ec9d74c14</t>
        </is>
      </c>
      <c r="B486" s="24" t="inlineStr">
        <is>
          <t>2026-09-05T16:05:14.106953Z</t>
        </is>
      </c>
      <c r="C486" s="24" t="inlineStr">
        <is>
          <t>2026-09-05T16:30Z</t>
        </is>
      </c>
      <c r="D486" s="24" t="inlineStr">
        <is>
          <t>401878781</t>
        </is>
      </c>
      <c r="E486" s="24" t="inlineStr">
        <is>
          <t>SOCCER</t>
        </is>
      </c>
      <c r="F486" s="24" t="inlineStr">
        <is>
          <t>Aston Villa</t>
        </is>
      </c>
      <c r="G486" s="24" t="inlineStr">
        <is>
          <t>Hull City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335</v>
      </c>
      <c r="M486" s="27" t="n">
        <v>4.35</v>
      </c>
      <c r="N486" s="28" t="n">
        <v>0.229885</v>
      </c>
      <c r="O486" s="28" t="n">
        <v>0.435087</v>
      </c>
      <c r="P486" s="28" t="n">
        <v>0.2</v>
      </c>
      <c r="Q486" s="28" t="n">
        <v>0.205202</v>
      </c>
      <c r="R486" s="26" t="n">
        <v>33</v>
      </c>
      <c r="S486" s="29" t="n">
        <v>1</v>
      </c>
      <c r="T486" s="24" t="inlineStr">
        <is>
          <t>soccer-poisson-dc-v1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0</v>
      </c>
      <c r="Y486" s="25" t="n"/>
      <c r="Z486" s="26" t="n">
        <v>335</v>
      </c>
      <c r="AA486" s="28" t="n">
        <v>0.23</v>
      </c>
      <c r="AB486" s="28" t="n">
        <v>0.000115</v>
      </c>
      <c r="AC486" s="30" t="n">
        <v>-1</v>
      </c>
      <c r="AD486" s="24" t="inlineStr">
        <is>
          <t>2026-09-05T22:00:40.069628Z</t>
        </is>
      </c>
      <c r="AE486" s="31" t="inlineStr">
        <is>
          <t>Poisson-DC rates 1.68 (home) / 1.38 (away) from EWMA attack/defense strengths. Executable ask 0.2300 (atc-epl-hul-ast-2026-09-05-hul).</t>
        </is>
      </c>
      <c r="AF486" s="31" t="inlineStr">
        <is>
          <t>Research-only soccer score model; draw-aware, but not yet locked-holdout qualified.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Aston Villa</t>
        </is>
      </c>
      <c r="AQ486" s="24" t="inlineStr">
        <is>
          <t>Aston Villa</t>
        </is>
      </c>
      <c r="AR486" s="24" t="inlineStr">
        <is>
          <t>Aston Villa</t>
        </is>
      </c>
      <c r="AS486" s="24" t="inlineStr">
        <is>
          <t>Hull City</t>
        </is>
      </c>
      <c r="AT486" s="24" t="inlineStr">
        <is>
          <t>Hull City</t>
        </is>
      </c>
      <c r="AU486" s="24" t="inlineStr">
        <is>
          <t>Hull City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e64f166eb03d5e657185abb04e25fff4830a8801f3dfa7f84e7c01a3f339baa9</t>
        </is>
      </c>
      <c r="BB486" s="24" t="inlineStr">
        <is>
          <t>poisson_dixon_coles</t>
        </is>
      </c>
      <c r="BC486" s="24" t="inlineStr">
        <is>
          <t>soccer-poisson-dc-v1</t>
        </is>
      </c>
      <c r="BD486" s="24" t="inlineStr">
        <is>
          <t>e64f166eb03d5e657185abb04e25fff4830a8801f3dfa7f84e7c01a3f339baa9</t>
        </is>
      </c>
      <c r="BE486" s="24" t="inlineStr">
        <is>
          <t>soccer-poisson-dc-v1</t>
        </is>
      </c>
      <c r="BF486" s="24" t="inlineStr">
        <is>
          <t>1</t>
        </is>
      </c>
      <c r="BG486" s="24" t="inlineStr">
        <is>
          <t>e64f166eb03d5e657185abb04e25fff4830a8801f3dfa7f84e7c01a3f339baa9</t>
        </is>
      </c>
      <c r="BH486" s="24" t="inlineStr">
        <is>
          <t>2026-09-05T16:04:23.461472Z</t>
        </is>
      </c>
      <c r="BI486" s="24" t="inlineStr">
        <is>
          <t>["same_event","same_team_same_day","same_league_same_day"]</t>
        </is>
      </c>
      <c r="BJ486" s="25" t="n"/>
      <c r="BK486" s="26" t="n">
        <v>335</v>
      </c>
      <c r="BL486" s="27" t="n">
        <v>4.35</v>
      </c>
      <c r="BM486" s="28" t="n">
        <v>0.229885</v>
      </c>
      <c r="BN486" s="28" t="n"/>
      <c r="BO486" s="28" t="n"/>
      <c r="BP486" s="25" t="n"/>
      <c r="BQ486" s="27" t="n">
        <v>4.35</v>
      </c>
      <c r="BR486" s="28" t="n">
        <v>0.23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0.229885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901ea17c8d1e4e36</t>
        </is>
      </c>
      <c r="B487" s="24" t="inlineStr">
        <is>
          <t>2026-09-05T16:05:14.106953Z</t>
        </is>
      </c>
      <c r="C487" s="24" t="inlineStr">
        <is>
          <t>2026-09-05T19:00Z</t>
        </is>
      </c>
      <c r="D487" s="24" t="inlineStr">
        <is>
          <t>401882887</t>
        </is>
      </c>
      <c r="E487" s="24" t="inlineStr">
        <is>
          <t>SOCCER</t>
        </is>
      </c>
      <c r="F487" s="24" t="inlineStr">
        <is>
          <t>Deportivo</t>
        </is>
      </c>
      <c r="G487" s="24" t="inlineStr">
        <is>
          <t>Villarreal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-213</v>
      </c>
      <c r="M487" s="27" t="n">
        <v>1.469484</v>
      </c>
      <c r="N487" s="28" t="n">
        <v>0.680511</v>
      </c>
      <c r="O487" s="28" t="n">
        <v>0.600855</v>
      </c>
      <c r="P487" s="28" t="n">
        <v>0.2</v>
      </c>
      <c r="Q487" s="28" t="n">
        <v>-0.079656</v>
      </c>
      <c r="R487" s="26" t="n">
        <v>0</v>
      </c>
      <c r="S487" s="29" t="n">
        <v>1</v>
      </c>
      <c r="T487" s="24" t="inlineStr">
        <is>
          <t>soccer-poisson-dc-v1</t>
        </is>
      </c>
      <c r="U487" s="24" t="inlineStr">
        <is>
          <t>settled</t>
        </is>
      </c>
      <c r="V487" s="24" t="inlineStr">
        <is>
          <t>loss</t>
        </is>
      </c>
      <c r="W487" s="26" t="n">
        <v>3</v>
      </c>
      <c r="X487" s="26" t="n">
        <v>2</v>
      </c>
      <c r="Y487" s="25" t="n"/>
      <c r="Z487" s="26" t="n">
        <v>-213</v>
      </c>
      <c r="AA487" s="28" t="n">
        <v>0.68</v>
      </c>
      <c r="AB487" s="28" t="n">
        <v>-0.000511</v>
      </c>
      <c r="AC487" s="30" t="n">
        <v>-1</v>
      </c>
      <c r="AD487" s="24" t="inlineStr">
        <is>
          <t>2026-09-05T22:00:40.543248Z</t>
        </is>
      </c>
      <c r="AE487" s="31" t="inlineStr">
        <is>
          <t>Poisson-DC rates 2.20 (home) / 1.16 (away) from EWMA attack/defense strengths. Executable ask 0.6800 (atc-lal-vil-dep-2026-09-05-vil).</t>
        </is>
      </c>
      <c r="AF487" s="31" t="inlineStr">
        <is>
          <t>Research-only soccer score model; draw-aware, but not yet locked-holdout qualified.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Deportivo</t>
        </is>
      </c>
      <c r="AQ487" s="24" t="inlineStr">
        <is>
          <t>Deportivo</t>
        </is>
      </c>
      <c r="AR487" s="24" t="inlineStr">
        <is>
          <t>Deportivo</t>
        </is>
      </c>
      <c r="AS487" s="24" t="inlineStr">
        <is>
          <t>Villarreal</t>
        </is>
      </c>
      <c r="AT487" s="24" t="inlineStr">
        <is>
          <t>Villarreal</t>
        </is>
      </c>
      <c r="AU487" s="24" t="inlineStr">
        <is>
          <t>Villarreal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e64f166eb03d5e657185abb04e25fff4830a8801f3dfa7f84e7c01a3f339baa9</t>
        </is>
      </c>
      <c r="BB487" s="24" t="inlineStr">
        <is>
          <t>poisson_dixon_coles</t>
        </is>
      </c>
      <c r="BC487" s="24" t="inlineStr">
        <is>
          <t>soccer-poisson-dc-v1</t>
        </is>
      </c>
      <c r="BD487" s="24" t="inlineStr">
        <is>
          <t>e64f166eb03d5e657185abb04e25fff4830a8801f3dfa7f84e7c01a3f339baa9</t>
        </is>
      </c>
      <c r="BE487" s="24" t="inlineStr">
        <is>
          <t>soccer-poisson-dc-v1</t>
        </is>
      </c>
      <c r="BF487" s="24" t="inlineStr">
        <is>
          <t>1</t>
        </is>
      </c>
      <c r="BG487" s="24" t="inlineStr">
        <is>
          <t>e64f166eb03d5e657185abb04e25fff4830a8801f3dfa7f84e7c01a3f339baa9</t>
        </is>
      </c>
      <c r="BH487" s="24" t="inlineStr">
        <is>
          <t>2026-09-05T16:04:24.473293Z</t>
        </is>
      </c>
      <c r="BI487" s="24" t="inlineStr">
        <is>
          <t>["same_event","same_team_same_day","same_league_same_day"]</t>
        </is>
      </c>
      <c r="BJ487" s="25" t="n"/>
      <c r="BK487" s="26" t="n">
        <v>-213</v>
      </c>
      <c r="BL487" s="27" t="n">
        <v>1.469484</v>
      </c>
      <c r="BM487" s="28" t="n">
        <v>0.680511</v>
      </c>
      <c r="BN487" s="28" t="n"/>
      <c r="BO487" s="28" t="n"/>
      <c r="BP487" s="25" t="n"/>
      <c r="BQ487" s="27" t="n">
        <v>1.469484</v>
      </c>
      <c r="BR487" s="28" t="n">
        <v>0.68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0.680511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8f7cfb52a4a94476</t>
        </is>
      </c>
      <c r="B488" s="24" t="inlineStr">
        <is>
          <t>2026-09-05T16:05:14.106953Z</t>
        </is>
      </c>
      <c r="C488" s="24" t="inlineStr">
        <is>
          <t>2026-09-05T18:45Z</t>
        </is>
      </c>
      <c r="D488" s="24" t="inlineStr">
        <is>
          <t>401874781</t>
        </is>
      </c>
      <c r="E488" s="24" t="inlineStr">
        <is>
          <t>SOCCER</t>
        </is>
      </c>
      <c r="F488" s="24" t="inlineStr">
        <is>
          <t>Atalanta</t>
        </is>
      </c>
      <c r="G488" s="24" t="inlineStr">
        <is>
          <t>AS Roma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-144</v>
      </c>
      <c r="M488" s="27" t="n">
        <v>1.694444</v>
      </c>
      <c r="N488" s="28" t="n">
        <v>0.590164</v>
      </c>
      <c r="O488" s="28" t="n">
        <v>0.552555</v>
      </c>
      <c r="P488" s="28" t="n">
        <v>0.04</v>
      </c>
      <c r="Q488" s="28" t="n">
        <v>-0.037609</v>
      </c>
      <c r="R488" s="26" t="n">
        <v>7</v>
      </c>
      <c r="S488" s="29" t="n">
        <v>1</v>
      </c>
      <c r="T488" s="24" t="inlineStr">
        <is>
          <t>soccer-poisson-dc-v1</t>
        </is>
      </c>
      <c r="U488" s="24" t="inlineStr">
        <is>
          <t>settled</t>
        </is>
      </c>
      <c r="V488" s="24" t="inlineStr">
        <is>
          <t>win</t>
        </is>
      </c>
      <c r="W488" s="26" t="n">
        <v>1</v>
      </c>
      <c r="X488" s="26" t="n">
        <v>2</v>
      </c>
      <c r="Y488" s="25" t="n"/>
      <c r="Z488" s="26" t="n">
        <v>-144</v>
      </c>
      <c r="AA488" s="28" t="n">
        <v>0.59</v>
      </c>
      <c r="AB488" s="28" t="n">
        <v>-0.000164</v>
      </c>
      <c r="AC488" s="30" t="n">
        <v>0.6944</v>
      </c>
      <c r="AD488" s="24" t="inlineStr">
        <is>
          <t>2026-09-05T22:00:41.010842Z</t>
        </is>
      </c>
      <c r="AE488" s="31" t="inlineStr">
        <is>
          <t>Poisson-DC rates 1.66 (home) / 0.85 (away) from EWMA attack/defense strengths. Executable ask 0.5900 (atc-sea-rom-ata-2026-09-05-rom).</t>
        </is>
      </c>
      <c r="AF488" s="31" t="inlineStr">
        <is>
          <t>Research-only soccer score model; draw-aware, but not yet locked-holdout qualified.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Atalanta</t>
        </is>
      </c>
      <c r="AQ488" s="24" t="inlineStr">
        <is>
          <t>Atalanta</t>
        </is>
      </c>
      <c r="AR488" s="24" t="inlineStr">
        <is>
          <t>Atalanta</t>
        </is>
      </c>
      <c r="AS488" s="24" t="inlineStr">
        <is>
          <t>AS Roma</t>
        </is>
      </c>
      <c r="AT488" s="24" t="inlineStr">
        <is>
          <t>AS Roma</t>
        </is>
      </c>
      <c r="AU488" s="24" t="inlineStr">
        <is>
          <t>AS Roma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e64f166eb03d5e657185abb04e25fff4830a8801f3dfa7f84e7c01a3f339baa9</t>
        </is>
      </c>
      <c r="BB488" s="24" t="inlineStr">
        <is>
          <t>poisson_dixon_coles</t>
        </is>
      </c>
      <c r="BC488" s="24" t="inlineStr">
        <is>
          <t>soccer-poisson-dc-v1</t>
        </is>
      </c>
      <c r="BD488" s="24" t="inlineStr">
        <is>
          <t>e64f166eb03d5e657185abb04e25fff4830a8801f3dfa7f84e7c01a3f339baa9</t>
        </is>
      </c>
      <c r="BE488" s="24" t="inlineStr">
        <is>
          <t>soccer-poisson-dc-v1</t>
        </is>
      </c>
      <c r="BF488" s="24" t="inlineStr">
        <is>
          <t>1</t>
        </is>
      </c>
      <c r="BG488" s="24" t="inlineStr">
        <is>
          <t>e64f166eb03d5e657185abb04e25fff4830a8801f3dfa7f84e7c01a3f339baa9</t>
        </is>
      </c>
      <c r="BH488" s="24" t="inlineStr">
        <is>
          <t>2026-09-05T16:04:24.899207Z</t>
        </is>
      </c>
      <c r="BI488" s="24" t="inlineStr">
        <is>
          <t>["same_event","same_team_same_day","same_league_same_day"]</t>
        </is>
      </c>
      <c r="BJ488" s="25" t="n"/>
      <c r="BK488" s="26" t="n">
        <v>-144</v>
      </c>
      <c r="BL488" s="27" t="n">
        <v>1.694444</v>
      </c>
      <c r="BM488" s="28" t="n">
        <v>0.590164</v>
      </c>
      <c r="BN488" s="28" t="n"/>
      <c r="BO488" s="28" t="n"/>
      <c r="BP488" s="25" t="n"/>
      <c r="BQ488" s="27" t="n">
        <v>1.694444</v>
      </c>
      <c r="BR488" s="28" t="n">
        <v>0.59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0.590164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d66f3ad7646b4573</t>
        </is>
      </c>
      <c r="B489" s="24" t="inlineStr">
        <is>
          <t>2026-09-05T16:05:14.106953Z</t>
        </is>
      </c>
      <c r="C489" s="24" t="inlineStr">
        <is>
          <t>2026-09-05T19:00Z</t>
        </is>
      </c>
      <c r="D489" s="24" t="inlineStr">
        <is>
          <t>401841224</t>
        </is>
      </c>
      <c r="E489" s="24" t="inlineStr">
        <is>
          <t>SOCCER</t>
        </is>
      </c>
      <c r="F489" s="24" t="inlineStr">
        <is>
          <t>Bahia</t>
        </is>
      </c>
      <c r="G489" s="24" t="inlineStr">
        <is>
          <t>Red Bull Bragantino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108</v>
      </c>
      <c r="M489" s="27" t="n">
        <v>2.08</v>
      </c>
      <c r="N489" s="28" t="n">
        <v>0.480769</v>
      </c>
      <c r="O489" s="28" t="n">
        <v>0.456135</v>
      </c>
      <c r="P489" s="28" t="n">
        <v>0.2</v>
      </c>
      <c r="Q489" s="28" t="n">
        <v>-0.024634</v>
      </c>
      <c r="R489" s="26" t="n">
        <v>0</v>
      </c>
      <c r="S489" s="29" t="n">
        <v>1</v>
      </c>
      <c r="T489" s="24" t="inlineStr">
        <is>
          <t>soccer-poisson-dc-v1</t>
        </is>
      </c>
      <c r="U489" s="24" t="inlineStr">
        <is>
          <t>settled</t>
        </is>
      </c>
      <c r="V489" s="24" t="inlineStr">
        <is>
          <t>loss</t>
        </is>
      </c>
      <c r="W489" s="26" t="n">
        <v>3</v>
      </c>
      <c r="X489" s="26" t="n">
        <v>2</v>
      </c>
      <c r="Y489" s="25" t="n"/>
      <c r="Z489" s="26" t="n">
        <v>108</v>
      </c>
      <c r="AA489" s="28" t="n">
        <v>0.48</v>
      </c>
      <c r="AB489" s="28" t="n">
        <v>-0.000769</v>
      </c>
      <c r="AC489" s="30" t="n">
        <v>-1</v>
      </c>
      <c r="AD489" s="24" t="inlineStr">
        <is>
          <t>2026-09-05T22:00:41.483634Z</t>
        </is>
      </c>
      <c r="AE489" s="31" t="inlineStr">
        <is>
          <t>Poisson-DC rates 1.64 (home) / 1.24 (away) from EWMA attack/defense strengths. Executable ask 0.4800 (atc-bra-bra-bah-2026-09-05-bra).</t>
        </is>
      </c>
      <c r="AF489" s="31" t="inlineStr">
        <is>
          <t>Research-only soccer score model; draw-aware, but not yet locked-holdout qualified.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Bahia</t>
        </is>
      </c>
      <c r="AQ489" s="24" t="inlineStr">
        <is>
          <t>Bahia</t>
        </is>
      </c>
      <c r="AR489" s="24" t="inlineStr">
        <is>
          <t>Bahia</t>
        </is>
      </c>
      <c r="AS489" s="24" t="inlineStr">
        <is>
          <t>Red Bull Bragantino</t>
        </is>
      </c>
      <c r="AT489" s="24" t="inlineStr">
        <is>
          <t>Red Bull Bragantino</t>
        </is>
      </c>
      <c r="AU489" s="24" t="inlineStr">
        <is>
          <t>Red Bull Bragantino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e64f166eb03d5e657185abb04e25fff4830a8801f3dfa7f84e7c01a3f339baa9</t>
        </is>
      </c>
      <c r="BB489" s="24" t="inlineStr">
        <is>
          <t>poisson_dixon_coles</t>
        </is>
      </c>
      <c r="BC489" s="24" t="inlineStr">
        <is>
          <t>soccer-poisson-dc-v1</t>
        </is>
      </c>
      <c r="BD489" s="24" t="inlineStr">
        <is>
          <t>e64f166eb03d5e657185abb04e25fff4830a8801f3dfa7f84e7c01a3f339baa9</t>
        </is>
      </c>
      <c r="BE489" s="24" t="inlineStr">
        <is>
          <t>soccer-poisson-dc-v1</t>
        </is>
      </c>
      <c r="BF489" s="24" t="inlineStr">
        <is>
          <t>1</t>
        </is>
      </c>
      <c r="BG489" s="24" t="inlineStr">
        <is>
          <t>e64f166eb03d5e657185abb04e25fff4830a8801f3dfa7f84e7c01a3f339baa9</t>
        </is>
      </c>
      <c r="BH489" s="24" t="inlineStr">
        <is>
          <t>2026-09-05T16:04:28.534969Z</t>
        </is>
      </c>
      <c r="BI489" s="24" t="inlineStr">
        <is>
          <t>["same_event","same_team_same_day","same_league_same_day"]</t>
        </is>
      </c>
      <c r="BJ489" s="25" t="n"/>
      <c r="BK489" s="26" t="n">
        <v>108</v>
      </c>
      <c r="BL489" s="27" t="n">
        <v>2.08</v>
      </c>
      <c r="BM489" s="28" t="n">
        <v>0.480769</v>
      </c>
      <c r="BN489" s="28" t="n"/>
      <c r="BO489" s="28" t="n"/>
      <c r="BP489" s="25" t="n"/>
      <c r="BQ489" s="27" t="n">
        <v>2.08</v>
      </c>
      <c r="BR489" s="28" t="n">
        <v>0.48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0.480769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bf2b9cdada8f4627</t>
        </is>
      </c>
      <c r="B490" s="24" t="inlineStr">
        <is>
          <t>2026-09-05T16:05:14.106953Z</t>
        </is>
      </c>
      <c r="C490" s="24" t="inlineStr">
        <is>
          <t>2026-09-05T19:00Z</t>
        </is>
      </c>
      <c r="D490" s="24" t="inlineStr">
        <is>
          <t>401860316</t>
        </is>
      </c>
      <c r="E490" s="24" t="inlineStr">
        <is>
          <t>SOCCER</t>
        </is>
      </c>
      <c r="F490" s="24" t="inlineStr">
        <is>
          <t>Avaí</t>
        </is>
      </c>
      <c r="G490" s="24" t="inlineStr">
        <is>
          <t>Novorizontino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polymarket_us</t>
        </is>
      </c>
      <c r="L490" s="26" t="n">
        <v>-194</v>
      </c>
      <c r="M490" s="27" t="n">
        <v>1.515464</v>
      </c>
      <c r="N490" s="28" t="n">
        <v>0.659864</v>
      </c>
      <c r="O490" s="28" t="n">
        <v>0.440521</v>
      </c>
      <c r="P490" s="28" t="n">
        <v>0.2</v>
      </c>
      <c r="Q490" s="28" t="n">
        <v>-0.219343</v>
      </c>
      <c r="R490" s="26" t="n">
        <v>0</v>
      </c>
      <c r="S490" s="29" t="n">
        <v>1</v>
      </c>
      <c r="T490" s="24" t="inlineStr">
        <is>
          <t>soccer-poisson-dc-v1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3</v>
      </c>
      <c r="Y490" s="25" t="n"/>
      <c r="Z490" s="26" t="n">
        <v>-194</v>
      </c>
      <c r="AA490" s="28" t="n">
        <v>0.66</v>
      </c>
      <c r="AB490" s="28" t="n">
        <v>0.000136</v>
      </c>
      <c r="AC490" s="30" t="n">
        <v>0.5155</v>
      </c>
      <c r="AD490" s="24" t="inlineStr">
        <is>
          <t>2026-09-05T22:00:41.953292Z</t>
        </is>
      </c>
      <c r="AE490" s="31" t="inlineStr">
        <is>
          <t>Poisson-DC rates 1.46 (home) / 1.10 (away) from EWMA attack/defense strengths. Executable ask 0.6600 (atc-brb-nov-ava-2026-09-05-nov).</t>
        </is>
      </c>
      <c r="AF490" s="31" t="inlineStr">
        <is>
          <t>Research-only soccer score model; draw-aware, but not yet locked-holdout qualified.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Avaí</t>
        </is>
      </c>
      <c r="AQ490" s="24" t="inlineStr">
        <is>
          <t>Avaí</t>
        </is>
      </c>
      <c r="AR490" s="24" t="inlineStr">
        <is>
          <t>Avaí</t>
        </is>
      </c>
      <c r="AS490" s="24" t="inlineStr">
        <is>
          <t>Novorizontino</t>
        </is>
      </c>
      <c r="AT490" s="24" t="inlineStr">
        <is>
          <t>Novorizontino</t>
        </is>
      </c>
      <c r="AU490" s="24" t="inlineStr">
        <is>
          <t>Novorizontino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e64f166eb03d5e657185abb04e25fff4830a8801f3dfa7f84e7c01a3f339baa9</t>
        </is>
      </c>
      <c r="BB490" s="24" t="inlineStr">
        <is>
          <t>poisson_dixon_coles</t>
        </is>
      </c>
      <c r="BC490" s="24" t="inlineStr">
        <is>
          <t>soccer-poisson-dc-v1</t>
        </is>
      </c>
      <c r="BD490" s="24" t="inlineStr">
        <is>
          <t>e64f166eb03d5e657185abb04e25fff4830a8801f3dfa7f84e7c01a3f339baa9</t>
        </is>
      </c>
      <c r="BE490" s="24" t="inlineStr">
        <is>
          <t>soccer-poisson-dc-v1</t>
        </is>
      </c>
      <c r="BF490" s="24" t="inlineStr">
        <is>
          <t>1</t>
        </is>
      </c>
      <c r="BG490" s="24" t="inlineStr">
        <is>
          <t>e64f166eb03d5e657185abb04e25fff4830a8801f3dfa7f84e7c01a3f339baa9</t>
        </is>
      </c>
      <c r="BH490" s="24" t="inlineStr">
        <is>
          <t>2026-09-05T16:04:28.584510Z</t>
        </is>
      </c>
      <c r="BI490" s="24" t="inlineStr">
        <is>
          <t>["same_event","same_team_same_day","same_league_same_day"]</t>
        </is>
      </c>
      <c r="BJ490" s="25" t="n"/>
      <c r="BK490" s="26" t="n">
        <v>-194</v>
      </c>
      <c r="BL490" s="27" t="n">
        <v>1.515464</v>
      </c>
      <c r="BM490" s="28" t="n">
        <v>0.659864</v>
      </c>
      <c r="BN490" s="28" t="n"/>
      <c r="BO490" s="28" t="n"/>
      <c r="BP490" s="25" t="n"/>
      <c r="BQ490" s="27" t="n">
        <v>1.515464</v>
      </c>
      <c r="BR490" s="28" t="n">
        <v>0.66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0.659864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0e62b6e436344fb0</t>
        </is>
      </c>
      <c r="B491" s="24" t="inlineStr">
        <is>
          <t>2026-09-05T16:05:14.106953Z</t>
        </is>
      </c>
      <c r="C491" s="24" t="inlineStr">
        <is>
          <t>2026-09-05T16:30Z</t>
        </is>
      </c>
      <c r="D491" s="24" t="inlineStr">
        <is>
          <t>401841545</t>
        </is>
      </c>
      <c r="E491" s="24" t="inlineStr">
        <is>
          <t>SOCCER</t>
        </is>
      </c>
      <c r="F491" s="24" t="inlineStr">
        <is>
          <t>Banfield</t>
        </is>
      </c>
      <c r="G491" s="24" t="inlineStr">
        <is>
          <t>Aldosivi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194</v>
      </c>
      <c r="M491" s="27" t="n">
        <v>2.94</v>
      </c>
      <c r="N491" s="28" t="n">
        <v>0.340136</v>
      </c>
      <c r="O491" s="28" t="n">
        <v>0.456135</v>
      </c>
      <c r="P491" s="28" t="n">
        <v>0.2</v>
      </c>
      <c r="Q491" s="28" t="n">
        <v>0.115999</v>
      </c>
      <c r="R491" s="26" t="n">
        <v>0</v>
      </c>
      <c r="S491" s="29" t="n">
        <v>1</v>
      </c>
      <c r="T491" s="24" t="inlineStr">
        <is>
          <t>soccer-poisson-dc-v1</t>
        </is>
      </c>
      <c r="U491" s="24" t="inlineStr">
        <is>
          <t>settled</t>
        </is>
      </c>
      <c r="V491" s="24" t="inlineStr">
        <is>
          <t>win</t>
        </is>
      </c>
      <c r="W491" s="26" t="n">
        <v>1</v>
      </c>
      <c r="X491" s="26" t="n">
        <v>3</v>
      </c>
      <c r="Y491" s="25" t="n"/>
      <c r="Z491" s="26" t="n">
        <v>194</v>
      </c>
      <c r="AA491" s="28" t="n">
        <v>0.34</v>
      </c>
      <c r="AB491" s="28" t="n">
        <v>-0.000136</v>
      </c>
      <c r="AC491" s="30" t="n">
        <v>1.94</v>
      </c>
      <c r="AD491" s="24" t="inlineStr">
        <is>
          <t>2026-09-05T22:00:42.425407Z</t>
        </is>
      </c>
      <c r="AE491" s="31" t="inlineStr">
        <is>
          <t>Poisson-DC rates 1.64 (home) / 1.24 (away) from EWMA attack/defense strengths. Executable ask 0.3400 (atc-lpa-ald-ban-2026-09-05-ald).</t>
        </is>
      </c>
      <c r="AF491" s="31" t="inlineStr">
        <is>
          <t>Research-only soccer score model; draw-aware, but not yet locked-holdout qualified.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Banfield</t>
        </is>
      </c>
      <c r="AQ491" s="24" t="inlineStr">
        <is>
          <t>Banfield</t>
        </is>
      </c>
      <c r="AR491" s="24" t="inlineStr">
        <is>
          <t>Banfield</t>
        </is>
      </c>
      <c r="AS491" s="24" t="inlineStr">
        <is>
          <t>Aldosivi</t>
        </is>
      </c>
      <c r="AT491" s="24" t="inlineStr">
        <is>
          <t>Aldosivi</t>
        </is>
      </c>
      <c r="AU491" s="24" t="inlineStr">
        <is>
          <t>Aldosivi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e64f166eb03d5e657185abb04e25fff4830a8801f3dfa7f84e7c01a3f339baa9</t>
        </is>
      </c>
      <c r="BB491" s="24" t="inlineStr">
        <is>
          <t>poisson_dixon_coles</t>
        </is>
      </c>
      <c r="BC491" s="24" t="inlineStr">
        <is>
          <t>soccer-poisson-dc-v1</t>
        </is>
      </c>
      <c r="BD491" s="24" t="inlineStr">
        <is>
          <t>e64f166eb03d5e657185abb04e25fff4830a8801f3dfa7f84e7c01a3f339baa9</t>
        </is>
      </c>
      <c r="BE491" s="24" t="inlineStr">
        <is>
          <t>soccer-poisson-dc-v1</t>
        </is>
      </c>
      <c r="BF491" s="24" t="inlineStr">
        <is>
          <t>1</t>
        </is>
      </c>
      <c r="BG491" s="24" t="inlineStr">
        <is>
          <t>e64f166eb03d5e657185abb04e25fff4830a8801f3dfa7f84e7c01a3f339baa9</t>
        </is>
      </c>
      <c r="BH491" s="24" t="inlineStr">
        <is>
          <t>2026-09-05T16:04:28.711221Z</t>
        </is>
      </c>
      <c r="BI491" s="24" t="inlineStr">
        <is>
          <t>["same_event","same_team_same_day","same_league_same_day"]</t>
        </is>
      </c>
      <c r="BJ491" s="25" t="n"/>
      <c r="BK491" s="26" t="n">
        <v>194</v>
      </c>
      <c r="BL491" s="27" t="n">
        <v>2.94</v>
      </c>
      <c r="BM491" s="28" t="n">
        <v>0.340136</v>
      </c>
      <c r="BN491" s="28" t="n"/>
      <c r="BO491" s="28" t="n"/>
      <c r="BP491" s="25" t="n"/>
      <c r="BQ491" s="27" t="n">
        <v>2.94</v>
      </c>
      <c r="BR491" s="28" t="n">
        <v>0.34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0.340136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3b7f24b113fb4b83</t>
        </is>
      </c>
      <c r="B492" s="24" t="inlineStr">
        <is>
          <t>2026-09-05T16:05:14.106953Z</t>
        </is>
      </c>
      <c r="C492" s="24" t="inlineStr">
        <is>
          <t>2026-09-05T17:30Z</t>
        </is>
      </c>
      <c r="D492" s="24" t="inlineStr">
        <is>
          <t>401841553</t>
        </is>
      </c>
      <c r="E492" s="24" t="inlineStr">
        <is>
          <t>SOCCER</t>
        </is>
      </c>
      <c r="F492" s="24" t="inlineStr">
        <is>
          <t>Tigre</t>
        </is>
      </c>
      <c r="G492" s="24" t="inlineStr">
        <is>
          <t>Gimnasia La Plata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170</v>
      </c>
      <c r="M492" s="27" t="n">
        <v>2.7</v>
      </c>
      <c r="N492" s="28" t="n">
        <v>0.37037</v>
      </c>
      <c r="O492" s="28" t="n">
        <v>0.456135</v>
      </c>
      <c r="P492" s="28" t="n">
        <v>0.2</v>
      </c>
      <c r="Q492" s="28" t="n">
        <v>0.08576499999999999</v>
      </c>
      <c r="R492" s="26" t="n">
        <v>0</v>
      </c>
      <c r="S492" s="29" t="n">
        <v>1</v>
      </c>
      <c r="T492" s="24" t="inlineStr">
        <is>
          <t>soccer-poisson-dc-v1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2</v>
      </c>
      <c r="Y492" s="25" t="n"/>
      <c r="Z492" s="26" t="n">
        <v>170</v>
      </c>
      <c r="AA492" s="28" t="n">
        <v>0.37</v>
      </c>
      <c r="AB492" s="28" t="n">
        <v>-0.00037</v>
      </c>
      <c r="AC492" s="30" t="n">
        <v>1.7</v>
      </c>
      <c r="AD492" s="24" t="inlineStr">
        <is>
          <t>2026-09-05T22:00:42.897285Z</t>
        </is>
      </c>
      <c r="AE492" s="31" t="inlineStr">
        <is>
          <t>Poisson-DC rates 1.64 (home) / 1.24 (away) from EWMA attack/defense strengths. Executable ask 0.3700 (atc-lpa-gim-tig-2026-09-05-gim).</t>
        </is>
      </c>
      <c r="AF492" s="31" t="inlineStr">
        <is>
          <t>Research-only soccer score model; draw-aware, but not yet locked-holdout qualified.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Tigre</t>
        </is>
      </c>
      <c r="AQ492" s="24" t="inlineStr">
        <is>
          <t>Tigre</t>
        </is>
      </c>
      <c r="AR492" s="24" t="inlineStr">
        <is>
          <t>Tigre</t>
        </is>
      </c>
      <c r="AS492" s="24" t="inlineStr">
        <is>
          <t>Gimnasia La Plata</t>
        </is>
      </c>
      <c r="AT492" s="24" t="inlineStr">
        <is>
          <t>Gimnasia La Plata</t>
        </is>
      </c>
      <c r="AU492" s="24" t="inlineStr">
        <is>
          <t>Gimnasia La Plata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e64f166eb03d5e657185abb04e25fff4830a8801f3dfa7f84e7c01a3f339baa9</t>
        </is>
      </c>
      <c r="BB492" s="24" t="inlineStr">
        <is>
          <t>poisson_dixon_coles</t>
        </is>
      </c>
      <c r="BC492" s="24" t="inlineStr">
        <is>
          <t>soccer-poisson-dc-v1</t>
        </is>
      </c>
      <c r="BD492" s="24" t="inlineStr">
        <is>
          <t>e64f166eb03d5e657185abb04e25fff4830a8801f3dfa7f84e7c01a3f339baa9</t>
        </is>
      </c>
      <c r="BE492" s="24" t="inlineStr">
        <is>
          <t>soccer-poisson-dc-v1</t>
        </is>
      </c>
      <c r="BF492" s="24" t="inlineStr">
        <is>
          <t>1</t>
        </is>
      </c>
      <c r="BG492" s="24" t="inlineStr">
        <is>
          <t>e64f166eb03d5e657185abb04e25fff4830a8801f3dfa7f84e7c01a3f339baa9</t>
        </is>
      </c>
      <c r="BH492" s="24" t="inlineStr">
        <is>
          <t>2026-09-05T16:04:28.624185Z</t>
        </is>
      </c>
      <c r="BI492" s="24" t="inlineStr">
        <is>
          <t>["same_event","same_team_same_day","same_league_same_day"]</t>
        </is>
      </c>
      <c r="BJ492" s="25" t="n"/>
      <c r="BK492" s="26" t="n">
        <v>170</v>
      </c>
      <c r="BL492" s="27" t="n">
        <v>2.7</v>
      </c>
      <c r="BM492" s="28" t="n">
        <v>0.37037</v>
      </c>
      <c r="BN492" s="28" t="n"/>
      <c r="BO492" s="28" t="n"/>
      <c r="BP492" s="25" t="n"/>
      <c r="BQ492" s="27" t="n">
        <v>2.7</v>
      </c>
      <c r="BR492" s="28" t="n">
        <v>0.37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0.37037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65544ca80d9141e5</t>
        </is>
      </c>
      <c r="B493" s="24" t="inlineStr">
        <is>
          <t>2026-09-05T16:05:14.106953Z</t>
        </is>
      </c>
      <c r="C493" s="24" t="inlineStr">
        <is>
          <t>2026-09-05T19:30Z</t>
        </is>
      </c>
      <c r="D493" s="24" t="inlineStr">
        <is>
          <t>401841539</t>
        </is>
      </c>
      <c r="E493" s="24" t="inlineStr">
        <is>
          <t>SOCCER</t>
        </is>
      </c>
      <c r="F493" s="24" t="inlineStr">
        <is>
          <t>Boca Juniors</t>
        </is>
      </c>
      <c r="G493" s="24" t="inlineStr">
        <is>
          <t>Gimnasia (Mendoza)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245</v>
      </c>
      <c r="M493" s="27" t="n">
        <v>3.45</v>
      </c>
      <c r="N493" s="28" t="n">
        <v>0.289855</v>
      </c>
      <c r="O493" s="28" t="n">
        <v>0.398039</v>
      </c>
      <c r="P493" s="28" t="n">
        <v>0.2</v>
      </c>
      <c r="Q493" s="28" t="n">
        <v>0.108184</v>
      </c>
      <c r="R493" s="26" t="n">
        <v>0</v>
      </c>
      <c r="S493" s="29" t="n">
        <v>1</v>
      </c>
      <c r="T493" s="24" t="inlineStr">
        <is>
          <t>soccer-poisson-dc-v1</t>
        </is>
      </c>
      <c r="U493" s="24" t="inlineStr">
        <is>
          <t>settled</t>
        </is>
      </c>
      <c r="V493" s="24" t="inlineStr">
        <is>
          <t>loss</t>
        </is>
      </c>
      <c r="W493" s="26" t="n">
        <v>2</v>
      </c>
      <c r="X493" s="26" t="n">
        <v>2</v>
      </c>
      <c r="Y493" s="25" t="n"/>
      <c r="Z493" s="26" t="n">
        <v>245</v>
      </c>
      <c r="AA493" s="28" t="n">
        <v>0.29</v>
      </c>
      <c r="AB493" s="28" t="n">
        <v>0.000145</v>
      </c>
      <c r="AC493" s="30" t="n">
        <v>-1</v>
      </c>
      <c r="AD493" s="24" t="inlineStr">
        <is>
          <t>2026-09-05T22:00:43.376433Z</t>
        </is>
      </c>
      <c r="AE493" s="31" t="inlineStr">
        <is>
          <t>Poisson-DC rates 1.46 (home) / 1.30 (away) from EWMA attack/defense strengths. Executable ask 0.2900 (atc-lpa-gye-boc-2026-09-05-gye).</t>
        </is>
      </c>
      <c r="AF493" s="31" t="inlineStr">
        <is>
          <t>Research-only soccer score model; draw-aware, but not yet locked-holdout qualified.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Boca Juniors</t>
        </is>
      </c>
      <c r="AQ493" s="24" t="inlineStr">
        <is>
          <t>Boca Juniors</t>
        </is>
      </c>
      <c r="AR493" s="24" t="inlineStr">
        <is>
          <t>Boca Juniors</t>
        </is>
      </c>
      <c r="AS493" s="24" t="inlineStr">
        <is>
          <t>Gimnasia (Mendoza)</t>
        </is>
      </c>
      <c r="AT493" s="24" t="inlineStr">
        <is>
          <t>Gimnasia (Mendoza)</t>
        </is>
      </c>
      <c r="AU493" s="24" t="inlineStr">
        <is>
          <t>Gimnasia (Mendoza)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e64f166eb03d5e657185abb04e25fff4830a8801f3dfa7f84e7c01a3f339baa9</t>
        </is>
      </c>
      <c r="BB493" s="24" t="inlineStr">
        <is>
          <t>poisson_dixon_coles</t>
        </is>
      </c>
      <c r="BC493" s="24" t="inlineStr">
        <is>
          <t>soccer-poisson-dc-v1</t>
        </is>
      </c>
      <c r="BD493" s="24" t="inlineStr">
        <is>
          <t>e64f166eb03d5e657185abb04e25fff4830a8801f3dfa7f84e7c01a3f339baa9</t>
        </is>
      </c>
      <c r="BE493" s="24" t="inlineStr">
        <is>
          <t>soccer-poisson-dc-v1</t>
        </is>
      </c>
      <c r="BF493" s="24" t="inlineStr">
        <is>
          <t>1</t>
        </is>
      </c>
      <c r="BG493" s="24" t="inlineStr">
        <is>
          <t>e64f166eb03d5e657185abb04e25fff4830a8801f3dfa7f84e7c01a3f339baa9</t>
        </is>
      </c>
      <c r="BH493" s="24" t="inlineStr">
        <is>
          <t>2026-09-05T16:04:28.651920Z</t>
        </is>
      </c>
      <c r="BI493" s="24" t="inlineStr">
        <is>
          <t>["same_event","same_team_same_day","same_league_same_day"]</t>
        </is>
      </c>
      <c r="BJ493" s="25" t="n"/>
      <c r="BK493" s="26" t="n">
        <v>245</v>
      </c>
      <c r="BL493" s="27" t="n">
        <v>3.45</v>
      </c>
      <c r="BM493" s="28" t="n">
        <v>0.289855</v>
      </c>
      <c r="BN493" s="28" t="n"/>
      <c r="BO493" s="28" t="n"/>
      <c r="BP493" s="25" t="n"/>
      <c r="BQ493" s="27" t="n">
        <v>3.45</v>
      </c>
      <c r="BR493" s="28" t="n">
        <v>0.29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0.289855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ebbc7e11741a42f1</t>
        </is>
      </c>
      <c r="B494" s="24" t="inlineStr">
        <is>
          <t>2026-09-05T16:05:14.106953Z</t>
        </is>
      </c>
      <c r="C494" s="24" t="inlineStr">
        <is>
          <t>2026-09-05T18:00Z</t>
        </is>
      </c>
      <c r="D494" s="24" t="inlineStr">
        <is>
          <t>401844106</t>
        </is>
      </c>
      <c r="E494" s="24" t="inlineStr">
        <is>
          <t>SOCCER</t>
        </is>
      </c>
      <c r="F494" s="24" t="inlineStr">
        <is>
          <t>Los Andes</t>
        </is>
      </c>
      <c r="G494" s="24" t="inlineStr">
        <is>
          <t>San Telmo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245</v>
      </c>
      <c r="M494" s="27" t="n">
        <v>3.45</v>
      </c>
      <c r="N494" s="28" t="n">
        <v>0.289855</v>
      </c>
      <c r="O494" s="28" t="n">
        <v>0.456135</v>
      </c>
      <c r="P494" s="28" t="n">
        <v>0.2</v>
      </c>
      <c r="Q494" s="28" t="n">
        <v>0.16628</v>
      </c>
      <c r="R494" s="26" t="n">
        <v>13</v>
      </c>
      <c r="S494" s="29" t="n">
        <v>1</v>
      </c>
      <c r="T494" s="24" t="inlineStr">
        <is>
          <t>soccer-poisson-dc-v1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0</v>
      </c>
      <c r="Y494" s="25" t="n"/>
      <c r="Z494" s="26" t="n">
        <v>245</v>
      </c>
      <c r="AA494" s="28" t="n">
        <v>0.29</v>
      </c>
      <c r="AB494" s="28" t="n">
        <v>0.000145</v>
      </c>
      <c r="AC494" s="30" t="n">
        <v>-1</v>
      </c>
      <c r="AD494" s="24" t="inlineStr">
        <is>
          <t>2026-09-05T22:00:43.845831Z</t>
        </is>
      </c>
      <c r="AE494" s="31" t="inlineStr">
        <is>
          <t>Poisson-DC rates 1.64 (home) / 1.24 (away) from EWMA attack/defense strengths. Executable ask 0.2900 (atc-arg2-ste-ala-2026-09-05-ste).</t>
        </is>
      </c>
      <c r="AF494" s="31" t="inlineStr">
        <is>
          <t>Research-only soccer score model; draw-aware, but not yet locked-holdout qualified.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Los Andes</t>
        </is>
      </c>
      <c r="AQ494" s="24" t="inlineStr">
        <is>
          <t>Los Andes</t>
        </is>
      </c>
      <c r="AR494" s="24" t="inlineStr">
        <is>
          <t>Los Andes</t>
        </is>
      </c>
      <c r="AS494" s="24" t="inlineStr">
        <is>
          <t>San Telmo</t>
        </is>
      </c>
      <c r="AT494" s="24" t="inlineStr">
        <is>
          <t>San Telmo</t>
        </is>
      </c>
      <c r="AU494" s="24" t="inlineStr">
        <is>
          <t>San Telmo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e64f166eb03d5e657185abb04e25fff4830a8801f3dfa7f84e7c01a3f339baa9</t>
        </is>
      </c>
      <c r="BB494" s="24" t="inlineStr">
        <is>
          <t>poisson_dixon_coles</t>
        </is>
      </c>
      <c r="BC494" s="24" t="inlineStr">
        <is>
          <t>soccer-poisson-dc-v1</t>
        </is>
      </c>
      <c r="BD494" s="24" t="inlineStr">
        <is>
          <t>e64f166eb03d5e657185abb04e25fff4830a8801f3dfa7f84e7c01a3f339baa9</t>
        </is>
      </c>
      <c r="BE494" s="24" t="inlineStr">
        <is>
          <t>soccer-poisson-dc-v1</t>
        </is>
      </c>
      <c r="BF494" s="24" t="inlineStr">
        <is>
          <t>1</t>
        </is>
      </c>
      <c r="BG494" s="24" t="inlineStr">
        <is>
          <t>e64f166eb03d5e657185abb04e25fff4830a8801f3dfa7f84e7c01a3f339baa9</t>
        </is>
      </c>
      <c r="BH494" s="24" t="inlineStr">
        <is>
          <t>2026-09-05T16:04:28.682232Z</t>
        </is>
      </c>
      <c r="BI494" s="24" t="inlineStr">
        <is>
          <t>["same_event","same_team_same_day","same_league_same_day"]</t>
        </is>
      </c>
      <c r="BJ494" s="25" t="n"/>
      <c r="BK494" s="26" t="n">
        <v>245</v>
      </c>
      <c r="BL494" s="27" t="n">
        <v>3.45</v>
      </c>
      <c r="BM494" s="28" t="n">
        <v>0.289855</v>
      </c>
      <c r="BN494" s="28" t="n"/>
      <c r="BO494" s="28" t="n"/>
      <c r="BP494" s="25" t="n"/>
      <c r="BQ494" s="27" t="n">
        <v>3.45</v>
      </c>
      <c r="BR494" s="28" t="n">
        <v>0.29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0.289855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3a75486b198c4569</t>
        </is>
      </c>
      <c r="B495" s="24" t="inlineStr">
        <is>
          <t>2026-09-05T16:05:14.106953Z</t>
        </is>
      </c>
      <c r="C495" s="24" t="inlineStr">
        <is>
          <t>2026-09-05T18:30Z</t>
        </is>
      </c>
      <c r="D495" s="24" t="inlineStr">
        <is>
          <t>401844109</t>
        </is>
      </c>
      <c r="E495" s="24" t="inlineStr">
        <is>
          <t>SOCCER</t>
        </is>
      </c>
      <c r="F495" s="24" t="inlineStr">
        <is>
          <t>All Boys</t>
        </is>
      </c>
      <c r="G495" s="24" t="inlineStr">
        <is>
          <t>Acassuso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212</v>
      </c>
      <c r="M495" s="27" t="n">
        <v>3.12</v>
      </c>
      <c r="N495" s="28" t="n">
        <v>0.320513</v>
      </c>
      <c r="O495" s="28" t="n">
        <v>0.456135</v>
      </c>
      <c r="P495" s="28" t="n">
        <v>0.2</v>
      </c>
      <c r="Q495" s="28" t="n">
        <v>0.135622</v>
      </c>
      <c r="R495" s="26" t="n">
        <v>0</v>
      </c>
      <c r="S495" s="29" t="n">
        <v>1</v>
      </c>
      <c r="T495" s="24" t="inlineStr">
        <is>
          <t>soccer-poisson-dc-v1</t>
        </is>
      </c>
      <c r="U495" s="24" t="inlineStr">
        <is>
          <t>settled</t>
        </is>
      </c>
      <c r="V495" s="24" t="inlineStr">
        <is>
          <t>loss</t>
        </is>
      </c>
      <c r="W495" s="26" t="n">
        <v>1</v>
      </c>
      <c r="X495" s="26" t="n">
        <v>0</v>
      </c>
      <c r="Y495" s="25" t="n"/>
      <c r="Z495" s="26" t="n">
        <v>212</v>
      </c>
      <c r="AA495" s="28" t="n">
        <v>0.32</v>
      </c>
      <c r="AB495" s="28" t="n">
        <v>-0.000513</v>
      </c>
      <c r="AC495" s="30" t="n">
        <v>-1</v>
      </c>
      <c r="AD495" s="24" t="inlineStr">
        <is>
          <t>2026-09-05T22:00:44.325862Z</t>
        </is>
      </c>
      <c r="AE495" s="31" t="inlineStr">
        <is>
          <t>Poisson-DC rates 1.64 (home) / 1.24 (away) from EWMA attack/defense strengths. Executable ask 0.3200 (atc-arg2-aca-abo-2026-09-05-aca).</t>
        </is>
      </c>
      <c r="AF495" s="31" t="inlineStr">
        <is>
          <t>Research-only soccer score model; draw-aware, but not yet locked-holdout qualified.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All Boys</t>
        </is>
      </c>
      <c r="AQ495" s="24" t="inlineStr">
        <is>
          <t>All Boys</t>
        </is>
      </c>
      <c r="AR495" s="24" t="inlineStr">
        <is>
          <t>All Boys</t>
        </is>
      </c>
      <c r="AS495" s="24" t="inlineStr">
        <is>
          <t>Acassuso</t>
        </is>
      </c>
      <c r="AT495" s="24" t="inlineStr">
        <is>
          <t>Acassuso</t>
        </is>
      </c>
      <c r="AU495" s="24" t="inlineStr">
        <is>
          <t>Acassuso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e64f166eb03d5e657185abb04e25fff4830a8801f3dfa7f84e7c01a3f339baa9</t>
        </is>
      </c>
      <c r="BB495" s="24" t="inlineStr">
        <is>
          <t>poisson_dixon_coles</t>
        </is>
      </c>
      <c r="BC495" s="24" t="inlineStr">
        <is>
          <t>soccer-poisson-dc-v1</t>
        </is>
      </c>
      <c r="BD495" s="24" t="inlineStr">
        <is>
          <t>e64f166eb03d5e657185abb04e25fff4830a8801f3dfa7f84e7c01a3f339baa9</t>
        </is>
      </c>
      <c r="BE495" s="24" t="inlineStr">
        <is>
          <t>soccer-poisson-dc-v1</t>
        </is>
      </c>
      <c r="BF495" s="24" t="inlineStr">
        <is>
          <t>1</t>
        </is>
      </c>
      <c r="BG495" s="24" t="inlineStr">
        <is>
          <t>e64f166eb03d5e657185abb04e25fff4830a8801f3dfa7f84e7c01a3f339baa9</t>
        </is>
      </c>
      <c r="BH495" s="24" t="inlineStr">
        <is>
          <t>2026-09-05T16:04:28.701722Z</t>
        </is>
      </c>
      <c r="BI495" s="24" t="inlineStr">
        <is>
          <t>["same_event","same_team_same_day","same_league_same_day"]</t>
        </is>
      </c>
      <c r="BJ495" s="25" t="n"/>
      <c r="BK495" s="26" t="n">
        <v>212</v>
      </c>
      <c r="BL495" s="27" t="n">
        <v>3.12</v>
      </c>
      <c r="BM495" s="28" t="n">
        <v>0.320513</v>
      </c>
      <c r="BN495" s="28" t="n"/>
      <c r="BO495" s="28" t="n"/>
      <c r="BP495" s="25" t="n"/>
      <c r="BQ495" s="27" t="n">
        <v>3.12</v>
      </c>
      <c r="BR495" s="28" t="n">
        <v>0.32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0.320513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0d84910011c74560</t>
        </is>
      </c>
      <c r="B496" s="24" t="inlineStr">
        <is>
          <t>2026-09-05T16:05:14.106953Z</t>
        </is>
      </c>
      <c r="C496" s="24" t="inlineStr">
        <is>
          <t>2026-09-05T18:30Z</t>
        </is>
      </c>
      <c r="D496" s="24" t="inlineStr">
        <is>
          <t>401844113</t>
        </is>
      </c>
      <c r="E496" s="24" t="inlineStr">
        <is>
          <t>SOCCER</t>
        </is>
      </c>
      <c r="F496" s="24" t="inlineStr">
        <is>
          <t>Atlanta</t>
        </is>
      </c>
      <c r="G496" s="24" t="inlineStr">
        <is>
          <t>Chacarita Juniors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133</v>
      </c>
      <c r="M496" s="27" t="n">
        <v>2.33</v>
      </c>
      <c r="N496" s="28" t="n">
        <v>0.429185</v>
      </c>
      <c r="O496" s="28" t="n">
        <v>0.456135</v>
      </c>
      <c r="P496" s="28" t="n">
        <v>0.2</v>
      </c>
      <c r="Q496" s="28" t="n">
        <v>0.02695</v>
      </c>
      <c r="R496" s="26" t="n">
        <v>0</v>
      </c>
      <c r="S496" s="29" t="n">
        <v>1</v>
      </c>
      <c r="T496" s="24" t="inlineStr">
        <is>
          <t>soccer-poisson-dc-v1</t>
        </is>
      </c>
      <c r="U496" s="24" t="inlineStr">
        <is>
          <t>settled</t>
        </is>
      </c>
      <c r="V496" s="24" t="inlineStr">
        <is>
          <t>loss</t>
        </is>
      </c>
      <c r="W496" s="26" t="n">
        <v>1</v>
      </c>
      <c r="X496" s="26" t="n">
        <v>0</v>
      </c>
      <c r="Y496" s="25" t="n"/>
      <c r="Z496" s="26" t="n">
        <v>133</v>
      </c>
      <c r="AA496" s="28" t="n">
        <v>0.43</v>
      </c>
      <c r="AB496" s="28" t="n">
        <v>0.000815</v>
      </c>
      <c r="AC496" s="30" t="n">
        <v>-1</v>
      </c>
      <c r="AD496" s="24" t="inlineStr">
        <is>
          <t>2026-09-05T22:00:44.800111Z</t>
        </is>
      </c>
      <c r="AE496" s="31" t="inlineStr">
        <is>
          <t>Poisson-DC rates 1.64 (home) / 1.24 (away) from EWMA attack/defense strengths. Executable ask 0.4300 (atc-arg2-cjh-atl-2026-09-05-cjh).</t>
        </is>
      </c>
      <c r="AF496" s="31" t="inlineStr">
        <is>
          <t>Research-only soccer score model; draw-aware, but not yet locked-holdout qualified.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Atlanta</t>
        </is>
      </c>
      <c r="AQ496" s="24" t="inlineStr">
        <is>
          <t>Atlanta</t>
        </is>
      </c>
      <c r="AR496" s="24" t="inlineStr">
        <is>
          <t>Atlanta</t>
        </is>
      </c>
      <c r="AS496" s="24" t="inlineStr">
        <is>
          <t>Chacarita Juniors</t>
        </is>
      </c>
      <c r="AT496" s="24" t="inlineStr">
        <is>
          <t>Chacarita Juniors</t>
        </is>
      </c>
      <c r="AU496" s="24" t="inlineStr">
        <is>
          <t>Chacarita Juniors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e64f166eb03d5e657185abb04e25fff4830a8801f3dfa7f84e7c01a3f339baa9</t>
        </is>
      </c>
      <c r="BB496" s="24" t="inlineStr">
        <is>
          <t>poisson_dixon_coles</t>
        </is>
      </c>
      <c r="BC496" s="24" t="inlineStr">
        <is>
          <t>soccer-poisson-dc-v1</t>
        </is>
      </c>
      <c r="BD496" s="24" t="inlineStr">
        <is>
          <t>e64f166eb03d5e657185abb04e25fff4830a8801f3dfa7f84e7c01a3f339baa9</t>
        </is>
      </c>
      <c r="BE496" s="24" t="inlineStr">
        <is>
          <t>soccer-poisson-dc-v1</t>
        </is>
      </c>
      <c r="BF496" s="24" t="inlineStr">
        <is>
          <t>1</t>
        </is>
      </c>
      <c r="BG496" s="24" t="inlineStr">
        <is>
          <t>e64f166eb03d5e657185abb04e25fff4830a8801f3dfa7f84e7c01a3f339baa9</t>
        </is>
      </c>
      <c r="BH496" s="24" t="inlineStr">
        <is>
          <t>2026-09-05T16:04:28.797403Z</t>
        </is>
      </c>
      <c r="BI496" s="24" t="inlineStr">
        <is>
          <t>["same_event","same_team_same_day","same_league_same_day"]</t>
        </is>
      </c>
      <c r="BJ496" s="25" t="n"/>
      <c r="BK496" s="26" t="n">
        <v>133</v>
      </c>
      <c r="BL496" s="27" t="n">
        <v>2.33</v>
      </c>
      <c r="BM496" s="28" t="n">
        <v>0.429185</v>
      </c>
      <c r="BN496" s="28" t="n"/>
      <c r="BO496" s="28" t="n"/>
      <c r="BP496" s="25" t="n"/>
      <c r="BQ496" s="27" t="n">
        <v>2.33</v>
      </c>
      <c r="BR496" s="28" t="n">
        <v>0.43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0.429185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c023ed1bc6b9419c</t>
        </is>
      </c>
      <c r="B497" s="24" t="inlineStr">
        <is>
          <t>2026-09-05T16:05:14.106953Z</t>
        </is>
      </c>
      <c r="C497" s="24" t="inlineStr">
        <is>
          <t>2026-09-05T21:00Z</t>
        </is>
      </c>
      <c r="D497" s="24" t="inlineStr">
        <is>
          <t>401914289</t>
        </is>
      </c>
      <c r="E497" s="24" t="inlineStr">
        <is>
          <t>SOCCER</t>
        </is>
      </c>
      <c r="F497" s="24" t="inlineStr">
        <is>
          <t>Montevideo Wanderers</t>
        </is>
      </c>
      <c r="G497" s="24" t="inlineStr">
        <is>
          <t>Deportivo Maldonado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108</v>
      </c>
      <c r="M497" s="27" t="n">
        <v>2.08</v>
      </c>
      <c r="N497" s="28" t="n">
        <v>0.480769</v>
      </c>
      <c r="O497" s="28" t="n">
        <v>0.404769</v>
      </c>
      <c r="P497" s="28" t="n">
        <v>0.19</v>
      </c>
      <c r="Q497" s="28" t="n">
        <v>-0.076</v>
      </c>
      <c r="R497" s="26" t="n">
        <v>0</v>
      </c>
      <c r="S497" s="29" t="n">
        <v>1</v>
      </c>
      <c r="T497" s="24" t="inlineStr">
        <is>
          <t>soccer-poisson-dc-v1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2</v>
      </c>
      <c r="Y497" s="25" t="n"/>
      <c r="Z497" s="26" t="n">
        <v>108</v>
      </c>
      <c r="AA497" s="28" t="n">
        <v>0.48</v>
      </c>
      <c r="AB497" s="28" t="n">
        <v>-0.000769</v>
      </c>
      <c r="AC497" s="30" t="n">
        <v>1.08</v>
      </c>
      <c r="AD497" s="24" t="inlineStr">
        <is>
          <t>2026-09-06T04:31:26.986245Z</t>
        </is>
      </c>
      <c r="AE497" s="31" t="inlineStr">
        <is>
          <t>Poisson-DC rates 1.30 (home) / 1.07 (away) from EWMA attack/defense strengths. Executable ask 0.4800 (atc-uru1-mal-wan-2026-09-05-mal).</t>
        </is>
      </c>
      <c r="AF497" s="31" t="inlineStr">
        <is>
          <t>Research-only soccer score model; draw-aware, but not yet locked-holdout qualified.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Montevideo Wanderers</t>
        </is>
      </c>
      <c r="AQ497" s="24" t="inlineStr">
        <is>
          <t>Montevideo Wanderers</t>
        </is>
      </c>
      <c r="AR497" s="24" t="inlineStr">
        <is>
          <t>Montevideo Wanderers</t>
        </is>
      </c>
      <c r="AS497" s="24" t="inlineStr">
        <is>
          <t>Deportivo Maldonado</t>
        </is>
      </c>
      <c r="AT497" s="24" t="inlineStr">
        <is>
          <t>Deportivo Maldonado</t>
        </is>
      </c>
      <c r="AU497" s="24" t="inlineStr">
        <is>
          <t>Deportivo Maldonado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e64f166eb03d5e657185abb04e25fff4830a8801f3dfa7f84e7c01a3f339baa9</t>
        </is>
      </c>
      <c r="BB497" s="24" t="inlineStr">
        <is>
          <t>poisson_dixon_coles</t>
        </is>
      </c>
      <c r="BC497" s="24" t="inlineStr">
        <is>
          <t>soccer-poisson-dc-v1</t>
        </is>
      </c>
      <c r="BD497" s="24" t="inlineStr">
        <is>
          <t>e64f166eb03d5e657185abb04e25fff4830a8801f3dfa7f84e7c01a3f339baa9</t>
        </is>
      </c>
      <c r="BE497" s="24" t="inlineStr">
        <is>
          <t>soccer-poisson-dc-v1</t>
        </is>
      </c>
      <c r="BF497" s="24" t="inlineStr">
        <is>
          <t>1</t>
        </is>
      </c>
      <c r="BG497" s="24" t="inlineStr">
        <is>
          <t>e64f166eb03d5e657185abb04e25fff4830a8801f3dfa7f84e7c01a3f339baa9</t>
        </is>
      </c>
      <c r="BH497" s="24" t="inlineStr">
        <is>
          <t>2026-09-05T16:04:28.928149Z</t>
        </is>
      </c>
      <c r="BI497" s="24" t="inlineStr">
        <is>
          <t>["same_event","same_team_same_day","same_league_same_day"]</t>
        </is>
      </c>
      <c r="BJ497" s="25" t="n"/>
      <c r="BK497" s="26" t="n">
        <v>108</v>
      </c>
      <c r="BL497" s="27" t="n">
        <v>2.08</v>
      </c>
      <c r="BM497" s="28" t="n">
        <v>0.480769</v>
      </c>
      <c r="BN497" s="28" t="n"/>
      <c r="BO497" s="28" t="n"/>
      <c r="BP497" s="25" t="n"/>
      <c r="BQ497" s="27" t="n">
        <v>2.08</v>
      </c>
      <c r="BR497" s="28" t="n">
        <v>0.48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0.480769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21571878af10498d</t>
        </is>
      </c>
      <c r="B498" s="24" t="inlineStr">
        <is>
          <t>2026-09-05T22:05:14.461440Z</t>
        </is>
      </c>
      <c r="C498" s="24" t="inlineStr">
        <is>
          <t>2026-09-05T23:30Z</t>
        </is>
      </c>
      <c r="D498" s="24" t="inlineStr">
        <is>
          <t>761774</t>
        </is>
      </c>
      <c r="E498" s="24" t="inlineStr">
        <is>
          <t>SOCCER</t>
        </is>
      </c>
      <c r="F498" s="24" t="inlineStr">
        <is>
          <t>Houston Dynamo FC</t>
        </is>
      </c>
      <c r="G498" s="24" t="inlineStr">
        <is>
          <t>Charlotte FC</t>
        </is>
      </c>
      <c r="H498" s="24" t="inlineStr">
        <is>
          <t>total</t>
        </is>
      </c>
      <c r="I498" s="24" t="inlineStr">
        <is>
          <t>over</t>
        </is>
      </c>
      <c r="J498" s="25" t="n">
        <v>2.5</v>
      </c>
      <c r="K498" s="24" t="inlineStr">
        <is>
          <t>polymarket_us</t>
        </is>
      </c>
      <c r="L498" s="26" t="n">
        <v>-138</v>
      </c>
      <c r="M498" s="27" t="n">
        <v>1.724638</v>
      </c>
      <c r="N498" s="28" t="n">
        <v>0.579832</v>
      </c>
      <c r="O498" s="28" t="n">
        <v>0.520607</v>
      </c>
      <c r="P498" s="28" t="n">
        <v>0.04</v>
      </c>
      <c r="Q498" s="28" t="n">
        <v>-0.059225</v>
      </c>
      <c r="R498" s="26" t="n">
        <v>0</v>
      </c>
      <c r="S498" s="29" t="n">
        <v>1</v>
      </c>
      <c r="T498" s="24" t="inlineStr">
        <is>
          <t>soccer-poisson-dc-v1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>
        <v>-138</v>
      </c>
      <c r="AA498" s="28" t="n">
        <v>0.58</v>
      </c>
      <c r="AB498" s="28" t="n">
        <v>0.000168</v>
      </c>
      <c r="AC498" s="30" t="n">
        <v>-1</v>
      </c>
      <c r="AD498" s="24" t="inlineStr">
        <is>
          <t>2026-09-06T04:31:51.444708Z</t>
        </is>
      </c>
      <c r="AE498" s="31" t="inlineStr">
        <is>
          <t>Poisson-DC rates 1.72 (home) / 1.04 (away) from EWMA attack/defense strengths. Executable ask 0.5800 (tsc-mls-clt-hou-2026-09-05-2pt5).</t>
        </is>
      </c>
      <c r="AF498" s="31" t="inlineStr">
        <is>
          <t>Research-only soccer score model; draw-aware, but not yet locked-holdout qualified.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Houston Dynamo FC</t>
        </is>
      </c>
      <c r="AQ498" s="24" t="inlineStr">
        <is>
          <t>Houston Dynamo FC</t>
        </is>
      </c>
      <c r="AR498" s="24" t="inlineStr">
        <is>
          <t>Houston Dynamo FC</t>
        </is>
      </c>
      <c r="AS498" s="24" t="inlineStr">
        <is>
          <t>Charlotte FC</t>
        </is>
      </c>
      <c r="AT498" s="24" t="inlineStr">
        <is>
          <t>Charlotte FC</t>
        </is>
      </c>
      <c r="AU498" s="24" t="inlineStr">
        <is>
          <t>Charlotte FC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e64f166eb03d5e657185abb04e25fff4830a8801f3dfa7f84e7c01a3f339baa9</t>
        </is>
      </c>
      <c r="BB498" s="24" t="inlineStr">
        <is>
          <t>poisson_dixon_coles</t>
        </is>
      </c>
      <c r="BC498" s="24" t="inlineStr">
        <is>
          <t>soccer-poisson-dc-v1</t>
        </is>
      </c>
      <c r="BD498" s="24" t="inlineStr">
        <is>
          <t>e64f166eb03d5e657185abb04e25fff4830a8801f3dfa7f84e7c01a3f339baa9</t>
        </is>
      </c>
      <c r="BE498" s="24" t="inlineStr">
        <is>
          <t>soccer-poisson-dc-v1</t>
        </is>
      </c>
      <c r="BF498" s="24" t="inlineStr">
        <is>
          <t>1</t>
        </is>
      </c>
      <c r="BG498" s="24" t="inlineStr">
        <is>
          <t>e64f166eb03d5e657185abb04e25fff4830a8801f3dfa7f84e7c01a3f339baa9</t>
        </is>
      </c>
      <c r="BH498" s="24" t="inlineStr">
        <is>
          <t>2026-09-05T22:04:31.300027Z</t>
        </is>
      </c>
      <c r="BI498" s="24" t="inlineStr">
        <is>
          <t>["same_event","same_team_same_day","same_league_same_day"]</t>
        </is>
      </c>
      <c r="BJ498" s="25" t="n">
        <v>2.5</v>
      </c>
      <c r="BK498" s="26" t="n">
        <v>-138</v>
      </c>
      <c r="BL498" s="27" t="n">
        <v>1.724638</v>
      </c>
      <c r="BM498" s="28" t="n">
        <v>0.579832</v>
      </c>
      <c r="BN498" s="28" t="n"/>
      <c r="BO498" s="28" t="n"/>
      <c r="BP498" s="25" t="n"/>
      <c r="BQ498" s="27" t="n">
        <v>1.724638</v>
      </c>
      <c r="BR498" s="28" t="n">
        <v>0.58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0.579832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07a4b08ed2ba4482</t>
        </is>
      </c>
      <c r="B499" s="24" t="inlineStr">
        <is>
          <t>2026-09-05T22:05:14.461440Z</t>
        </is>
      </c>
      <c r="C499" s="24" t="inlineStr">
        <is>
          <t>2026-09-05T23:30Z</t>
        </is>
      </c>
      <c r="D499" s="24" t="inlineStr">
        <is>
          <t>761775</t>
        </is>
      </c>
      <c r="E499" s="24" t="inlineStr">
        <is>
          <t>SOCCER</t>
        </is>
      </c>
      <c r="F499" s="24" t="inlineStr">
        <is>
          <t>Colorado Rapids</t>
        </is>
      </c>
      <c r="G499" s="24" t="inlineStr">
        <is>
          <t>Columbus Crew</t>
        </is>
      </c>
      <c r="H499" s="24" t="inlineStr">
        <is>
          <t>total</t>
        </is>
      </c>
      <c r="I499" s="24" t="inlineStr">
        <is>
          <t>over</t>
        </is>
      </c>
      <c r="J499" s="25" t="n">
        <v>2.5</v>
      </c>
      <c r="K499" s="24" t="inlineStr">
        <is>
          <t>polymarket_us</t>
        </is>
      </c>
      <c r="L499" s="26" t="n">
        <v>-117</v>
      </c>
      <c r="M499" s="27" t="n">
        <v>1.854701</v>
      </c>
      <c r="N499" s="28" t="n">
        <v>0.539171</v>
      </c>
      <c r="O499" s="28" t="n">
        <v>0.598321</v>
      </c>
      <c r="P499" s="28" t="n">
        <v>0.04</v>
      </c>
      <c r="Q499" s="28" t="n">
        <v>0.05915</v>
      </c>
      <c r="R499" s="26" t="n">
        <v>56</v>
      </c>
      <c r="S499" s="29" t="n">
        <v>1.25</v>
      </c>
      <c r="T499" s="24" t="inlineStr">
        <is>
          <t>soccer-poisson-dc-v1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3</v>
      </c>
      <c r="Y499" s="25" t="n"/>
      <c r="Z499" s="26" t="n">
        <v>-117</v>
      </c>
      <c r="AA499" s="28" t="n">
        <v>0.54</v>
      </c>
      <c r="AB499" s="28" t="n">
        <v>0.000829</v>
      </c>
      <c r="AC499" s="30" t="n">
        <v>1.0684</v>
      </c>
      <c r="AD499" s="24" t="inlineStr">
        <is>
          <t>2026-09-06T04:31:51.943865Z</t>
        </is>
      </c>
      <c r="AE499" s="31" t="inlineStr">
        <is>
          <t>Poisson-DC rates 1.86 (home) / 1.23 (away) from EWMA attack/defense strengths. Executable ask 0.5400 (tsc-mls-clb-col-2026-09-05-2pt5).</t>
        </is>
      </c>
      <c r="AF499" s="31" t="inlineStr">
        <is>
          <t>Research-only soccer score model; draw-aware, but not yet locked-holdout qualified.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Colorado Rapids</t>
        </is>
      </c>
      <c r="AQ499" s="24" t="inlineStr">
        <is>
          <t>Colorado Rapids</t>
        </is>
      </c>
      <c r="AR499" s="24" t="inlineStr">
        <is>
          <t>Colorado Rapids</t>
        </is>
      </c>
      <c r="AS499" s="24" t="inlineStr">
        <is>
          <t>Columbus Crew</t>
        </is>
      </c>
      <c r="AT499" s="24" t="inlineStr">
        <is>
          <t>Columbus Crew</t>
        </is>
      </c>
      <c r="AU499" s="24" t="inlineStr">
        <is>
          <t>Columbus Crew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e64f166eb03d5e657185abb04e25fff4830a8801f3dfa7f84e7c01a3f339baa9</t>
        </is>
      </c>
      <c r="BB499" s="24" t="inlineStr">
        <is>
          <t>poisson_dixon_coles</t>
        </is>
      </c>
      <c r="BC499" s="24" t="inlineStr">
        <is>
          <t>soccer-poisson-dc-v1</t>
        </is>
      </c>
      <c r="BD499" s="24" t="inlineStr">
        <is>
          <t>e64f166eb03d5e657185abb04e25fff4830a8801f3dfa7f84e7c01a3f339baa9</t>
        </is>
      </c>
      <c r="BE499" s="24" t="inlineStr">
        <is>
          <t>soccer-poisson-dc-v1</t>
        </is>
      </c>
      <c r="BF499" s="24" t="inlineStr">
        <is>
          <t>1</t>
        </is>
      </c>
      <c r="BG499" s="24" t="inlineStr">
        <is>
          <t>e64f166eb03d5e657185abb04e25fff4830a8801f3dfa7f84e7c01a3f339baa9</t>
        </is>
      </c>
      <c r="BH499" s="24" t="inlineStr">
        <is>
          <t>2026-09-05T22:04:32.423984Z</t>
        </is>
      </c>
      <c r="BI499" s="24" t="inlineStr">
        <is>
          <t>["same_event","same_team_same_day","same_league_same_day"]</t>
        </is>
      </c>
      <c r="BJ499" s="25" t="n">
        <v>2.5</v>
      </c>
      <c r="BK499" s="26" t="n">
        <v>-117</v>
      </c>
      <c r="BL499" s="27" t="n">
        <v>1.854701</v>
      </c>
      <c r="BM499" s="28" t="n">
        <v>0.539171</v>
      </c>
      <c r="BN499" s="28" t="n"/>
      <c r="BO499" s="28" t="n"/>
      <c r="BP499" s="25" t="n"/>
      <c r="BQ499" s="27" t="n">
        <v>1.854701</v>
      </c>
      <c r="BR499" s="28" t="n">
        <v>0.54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0.539171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553999caf5f6445e</t>
        </is>
      </c>
      <c r="B500" s="24" t="inlineStr">
        <is>
          <t>2026-09-05T22:05:14.461440Z</t>
        </is>
      </c>
      <c r="C500" s="24" t="inlineStr">
        <is>
          <t>2026-09-05T23:30Z</t>
        </is>
      </c>
      <c r="D500" s="24" t="inlineStr">
        <is>
          <t>761773</t>
        </is>
      </c>
      <c r="E500" s="24" t="inlineStr">
        <is>
          <t>SOCCER</t>
        </is>
      </c>
      <c r="F500" s="24" t="inlineStr">
        <is>
          <t>D.C. United</t>
        </is>
      </c>
      <c r="G500" s="24" t="inlineStr">
        <is>
          <t>FC Cincinnati</t>
        </is>
      </c>
      <c r="H500" s="24" t="inlineStr">
        <is>
          <t>total</t>
        </is>
      </c>
      <c r="I500" s="24" t="inlineStr">
        <is>
          <t>over</t>
        </is>
      </c>
      <c r="J500" s="25" t="n">
        <v>2.5</v>
      </c>
      <c r="K500" s="24" t="inlineStr">
        <is>
          <t>polymarket_us</t>
        </is>
      </c>
      <c r="L500" s="26" t="n">
        <v>-233</v>
      </c>
      <c r="M500" s="27" t="n">
        <v>1.429185</v>
      </c>
      <c r="N500" s="28" t="n">
        <v>0.6997</v>
      </c>
      <c r="O500" s="28" t="n">
        <v>0.838917</v>
      </c>
      <c r="P500" s="28" t="n">
        <v>0.04</v>
      </c>
      <c r="Q500" s="28" t="n">
        <v>0.139217</v>
      </c>
      <c r="R500" s="26" t="n">
        <v>96</v>
      </c>
      <c r="S500" s="29" t="n">
        <v>1.75</v>
      </c>
      <c r="T500" s="24" t="inlineStr">
        <is>
          <t>soccer-poisson-dc-v1</t>
        </is>
      </c>
      <c r="U500" s="24" t="inlineStr">
        <is>
          <t>settled</t>
        </is>
      </c>
      <c r="V500" s="24" t="inlineStr">
        <is>
          <t>loss</t>
        </is>
      </c>
      <c r="W500" s="26" t="n">
        <v>0</v>
      </c>
      <c r="X500" s="26" t="n">
        <v>0</v>
      </c>
      <c r="Y500" s="25" t="n"/>
      <c r="Z500" s="26" t="n">
        <v>-233</v>
      </c>
      <c r="AA500" s="28" t="n">
        <v>0.7</v>
      </c>
      <c r="AB500" s="28" t="n">
        <v>0.0003</v>
      </c>
      <c r="AC500" s="30" t="n">
        <v>-1.75</v>
      </c>
      <c r="AD500" s="24" t="inlineStr">
        <is>
          <t>2026-09-10T16:01:15.104302Z</t>
        </is>
      </c>
      <c r="AE500" s="31" t="inlineStr">
        <is>
          <t>Poisson-DC rates 3.00 (home) / 1.62 (away) from EWMA attack/defense strengths. Executable ask 0.7000 (tsc-mls-fcc-dcu-2026-09-05-2pt5).</t>
        </is>
      </c>
      <c r="AF500" s="31" t="inlineStr">
        <is>
          <t>Research-only soccer score model; draw-aware, but not yet locked-holdout qualified.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D.C. United</t>
        </is>
      </c>
      <c r="AQ500" s="24" t="inlineStr">
        <is>
          <t>D.C. United</t>
        </is>
      </c>
      <c r="AR500" s="24" t="inlineStr">
        <is>
          <t>D.C. United</t>
        </is>
      </c>
      <c r="AS500" s="24" t="inlineStr">
        <is>
          <t>FC Cincinnati</t>
        </is>
      </c>
      <c r="AT500" s="24" t="inlineStr">
        <is>
          <t>FC Cincinnati</t>
        </is>
      </c>
      <c r="AU500" s="24" t="inlineStr">
        <is>
          <t>FC Cincinnati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e64f166eb03d5e657185abb04e25fff4830a8801f3dfa7f84e7c01a3f339baa9</t>
        </is>
      </c>
      <c r="BB500" s="24" t="inlineStr">
        <is>
          <t>poisson_dixon_coles</t>
        </is>
      </c>
      <c r="BC500" s="24" t="inlineStr">
        <is>
          <t>soccer-poisson-dc-v1</t>
        </is>
      </c>
      <c r="BD500" s="24" t="inlineStr">
        <is>
          <t>e64f166eb03d5e657185abb04e25fff4830a8801f3dfa7f84e7c01a3f339baa9</t>
        </is>
      </c>
      <c r="BE500" s="24" t="inlineStr">
        <is>
          <t>soccer-poisson-dc-v1</t>
        </is>
      </c>
      <c r="BF500" s="24" t="inlineStr">
        <is>
          <t>1</t>
        </is>
      </c>
      <c r="BG500" s="24" t="inlineStr">
        <is>
          <t>e64f166eb03d5e657185abb04e25fff4830a8801f3dfa7f84e7c01a3f339baa9</t>
        </is>
      </c>
      <c r="BH500" s="24" t="inlineStr">
        <is>
          <t>2026-09-05T22:04:32.335884Z</t>
        </is>
      </c>
      <c r="BI500" s="24" t="inlineStr">
        <is>
          <t>["same_event","same_team_same_day","same_league_same_day"]</t>
        </is>
      </c>
      <c r="BJ500" s="25" t="n">
        <v>2.5</v>
      </c>
      <c r="BK500" s="26" t="n">
        <v>-233</v>
      </c>
      <c r="BL500" s="27" t="n">
        <v>1.429185</v>
      </c>
      <c r="BM500" s="28" t="n">
        <v>0.6997</v>
      </c>
      <c r="BN500" s="28" t="n"/>
      <c r="BO500" s="28" t="n"/>
      <c r="BP500" s="25" t="n"/>
      <c r="BQ500" s="27" t="n">
        <v>1.429185</v>
      </c>
      <c r="BR500" s="28" t="n">
        <v>0.7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0.6997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cde8260121434a34</t>
        </is>
      </c>
      <c r="B501" s="24" t="inlineStr">
        <is>
          <t>2026-09-05T22:05:14.461440Z</t>
        </is>
      </c>
      <c r="C501" s="24" t="inlineStr">
        <is>
          <t>2026-09-05T23:30Z</t>
        </is>
      </c>
      <c r="D501" s="24" t="inlineStr">
        <is>
          <t>761777</t>
        </is>
      </c>
      <c r="E501" s="24" t="inlineStr">
        <is>
          <t>SOCCER</t>
        </is>
      </c>
      <c r="F501" s="24" t="inlineStr">
        <is>
          <t>Atlanta United FC</t>
        </is>
      </c>
      <c r="G501" s="24" t="inlineStr">
        <is>
          <t>Inter Miami CF</t>
        </is>
      </c>
      <c r="H501" s="24" t="inlineStr">
        <is>
          <t>total</t>
        </is>
      </c>
      <c r="I501" s="24" t="inlineStr">
        <is>
          <t>over</t>
        </is>
      </c>
      <c r="J501" s="25" t="n">
        <v>2.5</v>
      </c>
      <c r="K501" s="24" t="inlineStr">
        <is>
          <t>polymarket_us</t>
        </is>
      </c>
      <c r="L501" s="26" t="n">
        <v>-400</v>
      </c>
      <c r="M501" s="27" t="n">
        <v>1.25</v>
      </c>
      <c r="N501" s="28" t="n">
        <v>0.8</v>
      </c>
      <c r="O501" s="28" t="n">
        <v>0.810665</v>
      </c>
      <c r="P501" s="28" t="n">
        <v>0.04</v>
      </c>
      <c r="Q501" s="28" t="n">
        <v>0.010665</v>
      </c>
      <c r="R501" s="26" t="n">
        <v>31</v>
      </c>
      <c r="S501" s="29" t="n">
        <v>1</v>
      </c>
      <c r="T501" s="24" t="inlineStr">
        <is>
          <t>soccer-poisson-dc-v1</t>
        </is>
      </c>
      <c r="U501" s="24" t="inlineStr">
        <is>
          <t>settled</t>
        </is>
      </c>
      <c r="V501" s="24" t="inlineStr">
        <is>
          <t>win</t>
        </is>
      </c>
      <c r="W501" s="26" t="n">
        <v>2</v>
      </c>
      <c r="X501" s="26" t="n">
        <v>2</v>
      </c>
      <c r="Y501" s="25" t="n"/>
      <c r="Z501" s="26" t="n">
        <v>-400</v>
      </c>
      <c r="AA501" s="28" t="n">
        <v>0.8</v>
      </c>
      <c r="AB501" s="28" t="n">
        <v>0</v>
      </c>
      <c r="AC501" s="30" t="n">
        <v>0.25</v>
      </c>
      <c r="AD501" s="24" t="inlineStr">
        <is>
          <t>2026-09-06T04:31:52.432916Z</t>
        </is>
      </c>
      <c r="AE501" s="31" t="inlineStr">
        <is>
          <t>Poisson-DC rates 3.39 (home) / 0.98 (away) from EWMA attack/defense strengths. Executable ask 0.8000 (tsc-mls-mia-atl-2026-09-05-2pt5).</t>
        </is>
      </c>
      <c r="AF501" s="31" t="inlineStr">
        <is>
          <t>Research-only soccer score model; draw-aware, but not yet locked-holdout qualified.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Atlanta United FC</t>
        </is>
      </c>
      <c r="AQ501" s="24" t="inlineStr">
        <is>
          <t>Atlanta United FC</t>
        </is>
      </c>
      <c r="AR501" s="24" t="inlineStr">
        <is>
          <t>Atlanta United FC</t>
        </is>
      </c>
      <c r="AS501" s="24" t="inlineStr">
        <is>
          <t>Inter Miami CF</t>
        </is>
      </c>
      <c r="AT501" s="24" t="inlineStr">
        <is>
          <t>Inter Miami CF</t>
        </is>
      </c>
      <c r="AU501" s="24" t="inlineStr">
        <is>
          <t>Inter Miami CF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e64f166eb03d5e657185abb04e25fff4830a8801f3dfa7f84e7c01a3f339baa9</t>
        </is>
      </c>
      <c r="BB501" s="24" t="inlineStr">
        <is>
          <t>poisson_dixon_coles</t>
        </is>
      </c>
      <c r="BC501" s="24" t="inlineStr">
        <is>
          <t>soccer-poisson-dc-v1</t>
        </is>
      </c>
      <c r="BD501" s="24" t="inlineStr">
        <is>
          <t>e64f166eb03d5e657185abb04e25fff4830a8801f3dfa7f84e7c01a3f339baa9</t>
        </is>
      </c>
      <c r="BE501" s="24" t="inlineStr">
        <is>
          <t>soccer-poisson-dc-v1</t>
        </is>
      </c>
      <c r="BF501" s="24" t="inlineStr">
        <is>
          <t>1</t>
        </is>
      </c>
      <c r="BG501" s="24" t="inlineStr">
        <is>
          <t>e64f166eb03d5e657185abb04e25fff4830a8801f3dfa7f84e7c01a3f339baa9</t>
        </is>
      </c>
      <c r="BH501" s="24" t="inlineStr">
        <is>
          <t>2026-09-05T22:04:31.354248Z</t>
        </is>
      </c>
      <c r="BI501" s="24" t="inlineStr">
        <is>
          <t>["same_event","same_team_same_day","same_league_same_day"]</t>
        </is>
      </c>
      <c r="BJ501" s="25" t="n">
        <v>2.5</v>
      </c>
      <c r="BK501" s="26" t="n">
        <v>-400</v>
      </c>
      <c r="BL501" s="27" t="n">
        <v>1.25</v>
      </c>
      <c r="BM501" s="28" t="n">
        <v>0.8</v>
      </c>
      <c r="BN501" s="28" t="n"/>
      <c r="BO501" s="28" t="n"/>
      <c r="BP501" s="25" t="n"/>
      <c r="BQ501" s="27" t="n">
        <v>1.25</v>
      </c>
      <c r="BR501" s="28" t="n">
        <v>0.8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0.8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09838c5c6fe8441f</t>
        </is>
      </c>
      <c r="B502" s="24" t="inlineStr">
        <is>
          <t>2026-09-05T22:05:14.461440Z</t>
        </is>
      </c>
      <c r="C502" s="24" t="inlineStr">
        <is>
          <t>2026-09-05T23:30Z</t>
        </is>
      </c>
      <c r="D502" s="24" t="inlineStr">
        <is>
          <t>761771</t>
        </is>
      </c>
      <c r="E502" s="24" t="inlineStr">
        <is>
          <t>SOCCER</t>
        </is>
      </c>
      <c r="F502" s="24" t="inlineStr">
        <is>
          <t>San Diego FC</t>
        </is>
      </c>
      <c r="G502" s="24" t="inlineStr">
        <is>
          <t>Orlando City SC</t>
        </is>
      </c>
      <c r="H502" s="24" t="inlineStr">
        <is>
          <t>total</t>
        </is>
      </c>
      <c r="I502" s="24" t="inlineStr">
        <is>
          <t>over</t>
        </is>
      </c>
      <c r="J502" s="25" t="n">
        <v>2.5</v>
      </c>
      <c r="K502" s="24" t="inlineStr">
        <is>
          <t>polymarket_us</t>
        </is>
      </c>
      <c r="L502" s="26" t="n">
        <v>-233</v>
      </c>
      <c r="M502" s="27" t="n">
        <v>1.429185</v>
      </c>
      <c r="N502" s="28" t="n">
        <v>0.6997</v>
      </c>
      <c r="O502" s="28" t="n">
        <v>0.849117</v>
      </c>
      <c r="P502" s="28" t="n">
        <v>0.04</v>
      </c>
      <c r="Q502" s="28" t="n">
        <v>0.149417</v>
      </c>
      <c r="R502" s="26" t="n">
        <v>100</v>
      </c>
      <c r="S502" s="29" t="n">
        <v>1.75</v>
      </c>
      <c r="T502" s="24" t="inlineStr">
        <is>
          <t>soccer-poisson-dc-v1</t>
        </is>
      </c>
      <c r="U502" s="24" t="inlineStr">
        <is>
          <t>settled</t>
        </is>
      </c>
      <c r="V502" s="24" t="inlineStr">
        <is>
          <t>loss</t>
        </is>
      </c>
      <c r="W502" s="26" t="n">
        <v>0</v>
      </c>
      <c r="X502" s="26" t="n">
        <v>1</v>
      </c>
      <c r="Y502" s="25" t="n"/>
      <c r="Z502" s="26" t="n">
        <v>-233</v>
      </c>
      <c r="AA502" s="28" t="n">
        <v>0.7</v>
      </c>
      <c r="AB502" s="28" t="n">
        <v>0.0003</v>
      </c>
      <c r="AC502" s="30" t="n">
        <v>-1.75</v>
      </c>
      <c r="AD502" s="24" t="inlineStr">
        <is>
          <t>2026-09-06T04:31:52.928719Z</t>
        </is>
      </c>
      <c r="AE502" s="31" t="inlineStr">
        <is>
          <t>Poisson-DC rates 2.09 (home) / 2.62 (away) from EWMA attack/defense strengths. Executable ask 0.7000 (tsc-mls-orl-sdg-2026-09-05-2pt5).</t>
        </is>
      </c>
      <c r="AF502" s="31" t="inlineStr">
        <is>
          <t>Research-only soccer score model; draw-aware, but not yet locked-holdout qualified.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San Diego FC</t>
        </is>
      </c>
      <c r="AQ502" s="24" t="inlineStr">
        <is>
          <t>San Diego FC</t>
        </is>
      </c>
      <c r="AR502" s="24" t="inlineStr">
        <is>
          <t>San Diego FC</t>
        </is>
      </c>
      <c r="AS502" s="24" t="inlineStr">
        <is>
          <t>Orlando City SC</t>
        </is>
      </c>
      <c r="AT502" s="24" t="inlineStr">
        <is>
          <t>Orlando City SC</t>
        </is>
      </c>
      <c r="AU502" s="24" t="inlineStr">
        <is>
          <t>Orlando City SC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e64f166eb03d5e657185abb04e25fff4830a8801f3dfa7f84e7c01a3f339baa9</t>
        </is>
      </c>
      <c r="BB502" s="24" t="inlineStr">
        <is>
          <t>poisson_dixon_coles</t>
        </is>
      </c>
      <c r="BC502" s="24" t="inlineStr">
        <is>
          <t>soccer-poisson-dc-v1</t>
        </is>
      </c>
      <c r="BD502" s="24" t="inlineStr">
        <is>
          <t>e64f166eb03d5e657185abb04e25fff4830a8801f3dfa7f84e7c01a3f339baa9</t>
        </is>
      </c>
      <c r="BE502" s="24" t="inlineStr">
        <is>
          <t>soccer-poisson-dc-v1</t>
        </is>
      </c>
      <c r="BF502" s="24" t="inlineStr">
        <is>
          <t>1</t>
        </is>
      </c>
      <c r="BG502" s="24" t="inlineStr">
        <is>
          <t>e64f166eb03d5e657185abb04e25fff4830a8801f3dfa7f84e7c01a3f339baa9</t>
        </is>
      </c>
      <c r="BH502" s="24" t="inlineStr">
        <is>
          <t>2026-09-05T22:04:32.402851Z</t>
        </is>
      </c>
      <c r="BI502" s="24" t="inlineStr">
        <is>
          <t>["same_event","same_team_same_day","same_league_same_day"]</t>
        </is>
      </c>
      <c r="BJ502" s="25" t="n">
        <v>2.5</v>
      </c>
      <c r="BK502" s="26" t="n">
        <v>-233</v>
      </c>
      <c r="BL502" s="27" t="n">
        <v>1.429185</v>
      </c>
      <c r="BM502" s="28" t="n">
        <v>0.6997</v>
      </c>
      <c r="BN502" s="28" t="n"/>
      <c r="BO502" s="28" t="n"/>
      <c r="BP502" s="25" t="n"/>
      <c r="BQ502" s="27" t="n">
        <v>1.429185</v>
      </c>
      <c r="BR502" s="28" t="n">
        <v>0.7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0.6997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9e361b82ae5945dc</t>
        </is>
      </c>
      <c r="B503" s="24" t="inlineStr">
        <is>
          <t>2026-09-05T22:05:14.461440Z</t>
        </is>
      </c>
      <c r="C503" s="24" t="inlineStr">
        <is>
          <t>2026-09-05T23:30Z</t>
        </is>
      </c>
      <c r="D503" s="24" t="inlineStr">
        <is>
          <t>761776</t>
        </is>
      </c>
      <c r="E503" s="24" t="inlineStr">
        <is>
          <t>SOCCER</t>
        </is>
      </c>
      <c r="F503" s="24" t="inlineStr">
        <is>
          <t>Chicago Fire FC</t>
        </is>
      </c>
      <c r="G503" s="24" t="inlineStr">
        <is>
          <t>Toronto FC</t>
        </is>
      </c>
      <c r="H503" s="24" t="inlineStr">
        <is>
          <t>total</t>
        </is>
      </c>
      <c r="I503" s="24" t="inlineStr">
        <is>
          <t>over</t>
        </is>
      </c>
      <c r="J503" s="25" t="n">
        <v>2.5</v>
      </c>
      <c r="K503" s="24" t="inlineStr">
        <is>
          <t>polymarket_us</t>
        </is>
      </c>
      <c r="L503" s="26" t="n">
        <v>-163</v>
      </c>
      <c r="M503" s="27" t="n">
        <v>1.613497</v>
      </c>
      <c r="N503" s="28" t="n">
        <v>0.619772</v>
      </c>
      <c r="O503" s="28" t="n">
        <v>0.63973</v>
      </c>
      <c r="P503" s="28" t="n">
        <v>0.04</v>
      </c>
      <c r="Q503" s="28" t="n">
        <v>0.019958</v>
      </c>
      <c r="R503" s="26" t="n">
        <v>36</v>
      </c>
      <c r="S503" s="29" t="n">
        <v>1</v>
      </c>
      <c r="T503" s="24" t="inlineStr">
        <is>
          <t>soccer-poisson-dc-v1</t>
        </is>
      </c>
      <c r="U503" s="24" t="inlineStr">
        <is>
          <t>settled</t>
        </is>
      </c>
      <c r="V503" s="24" t="inlineStr">
        <is>
          <t>win</t>
        </is>
      </c>
      <c r="W503" s="26" t="n">
        <v>4</v>
      </c>
      <c r="X503" s="26" t="n">
        <v>4</v>
      </c>
      <c r="Y503" s="25" t="n"/>
      <c r="Z503" s="26" t="n">
        <v>-163</v>
      </c>
      <c r="AA503" s="28" t="n">
        <v>0.62</v>
      </c>
      <c r="AB503" s="28" t="n">
        <v>0.000228</v>
      </c>
      <c r="AC503" s="30" t="n">
        <v>0.6135</v>
      </c>
      <c r="AD503" s="24" t="inlineStr">
        <is>
          <t>2026-09-06T04:31:53.426190Z</t>
        </is>
      </c>
      <c r="AE503" s="31" t="inlineStr">
        <is>
          <t>Poisson-DC rates 1.42 (home) / 1.88 (away) from EWMA attack/defense strengths. Executable ask 0.6200 (tsc-mls-tor-chi-2026-09-05-2pt5).</t>
        </is>
      </c>
      <c r="AF503" s="31" t="inlineStr">
        <is>
          <t>Research-only soccer score model; draw-aware, but not yet locked-holdout qualified.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Chicago Fire FC</t>
        </is>
      </c>
      <c r="AQ503" s="24" t="inlineStr">
        <is>
          <t>Chicago Fire FC</t>
        </is>
      </c>
      <c r="AR503" s="24" t="inlineStr">
        <is>
          <t>Chicago Fire FC</t>
        </is>
      </c>
      <c r="AS503" s="24" t="inlineStr">
        <is>
          <t>Toronto FC</t>
        </is>
      </c>
      <c r="AT503" s="24" t="inlineStr">
        <is>
          <t>Toronto FC</t>
        </is>
      </c>
      <c r="AU503" s="24" t="inlineStr">
        <is>
          <t>Toronto FC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e64f166eb03d5e657185abb04e25fff4830a8801f3dfa7f84e7c01a3f339baa9</t>
        </is>
      </c>
      <c r="BB503" s="24" t="inlineStr">
        <is>
          <t>poisson_dixon_coles</t>
        </is>
      </c>
      <c r="BC503" s="24" t="inlineStr">
        <is>
          <t>soccer-poisson-dc-v1</t>
        </is>
      </c>
      <c r="BD503" s="24" t="inlineStr">
        <is>
          <t>e64f166eb03d5e657185abb04e25fff4830a8801f3dfa7f84e7c01a3f339baa9</t>
        </is>
      </c>
      <c r="BE503" s="24" t="inlineStr">
        <is>
          <t>soccer-poisson-dc-v1</t>
        </is>
      </c>
      <c r="BF503" s="24" t="inlineStr">
        <is>
          <t>1</t>
        </is>
      </c>
      <c r="BG503" s="24" t="inlineStr">
        <is>
          <t>e64f166eb03d5e657185abb04e25fff4830a8801f3dfa7f84e7c01a3f339baa9</t>
        </is>
      </c>
      <c r="BH503" s="24" t="inlineStr">
        <is>
          <t>2026-09-05T22:04:31.415072Z</t>
        </is>
      </c>
      <c r="BI503" s="24" t="inlineStr">
        <is>
          <t>["same_event","same_team_same_day","same_league_same_day"]</t>
        </is>
      </c>
      <c r="BJ503" s="25" t="n">
        <v>2.5</v>
      </c>
      <c r="BK503" s="26" t="n">
        <v>-163</v>
      </c>
      <c r="BL503" s="27" t="n">
        <v>1.613497</v>
      </c>
      <c r="BM503" s="28" t="n">
        <v>0.619772</v>
      </c>
      <c r="BN503" s="28" t="n"/>
      <c r="BO503" s="28" t="n"/>
      <c r="BP503" s="25" t="n"/>
      <c r="BQ503" s="27" t="n">
        <v>1.613497</v>
      </c>
      <c r="BR503" s="28" t="n">
        <v>0.62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0.619772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10345f7cf35f4df8</t>
        </is>
      </c>
      <c r="B504" s="24" t="inlineStr">
        <is>
          <t>2026-09-05T22:05:14.461440Z</t>
        </is>
      </c>
      <c r="C504" s="24" t="inlineStr">
        <is>
          <t>2026-09-06T00:30Z</t>
        </is>
      </c>
      <c r="D504" s="24" t="inlineStr">
        <is>
          <t>761778</t>
        </is>
      </c>
      <c r="E504" s="24" t="inlineStr">
        <is>
          <t>SOCCER</t>
        </is>
      </c>
      <c r="F504" s="24" t="inlineStr">
        <is>
          <t>San Jose Earthquakes</t>
        </is>
      </c>
      <c r="G504" s="24" t="inlineStr">
        <is>
          <t>Austin FC</t>
        </is>
      </c>
      <c r="H504" s="24" t="inlineStr">
        <is>
          <t>total</t>
        </is>
      </c>
      <c r="I504" s="24" t="inlineStr">
        <is>
          <t>over</t>
        </is>
      </c>
      <c r="J504" s="25" t="n">
        <v>2.5</v>
      </c>
      <c r="K504" s="24" t="inlineStr">
        <is>
          <t>polymarket_us</t>
        </is>
      </c>
      <c r="L504" s="26" t="n">
        <v>-170</v>
      </c>
      <c r="M504" s="27" t="n">
        <v>1.588235</v>
      </c>
      <c r="N504" s="28" t="n">
        <v>0.62963</v>
      </c>
      <c r="O504" s="28" t="n">
        <v>0.696556</v>
      </c>
      <c r="P504" s="28" t="n">
        <v>0.04</v>
      </c>
      <c r="Q504" s="28" t="n">
        <v>0.066926</v>
      </c>
      <c r="R504" s="26" t="n">
        <v>59</v>
      </c>
      <c r="S504" s="29" t="n">
        <v>1.25</v>
      </c>
      <c r="T504" s="24" t="inlineStr">
        <is>
          <t>soccer-poisson-dc-v1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1</v>
      </c>
      <c r="Y504" s="25" t="n"/>
      <c r="Z504" s="26" t="n">
        <v>-170</v>
      </c>
      <c r="AA504" s="28" t="n">
        <v>0.63</v>
      </c>
      <c r="AB504" s="28" t="n">
        <v>0.00037</v>
      </c>
      <c r="AC504" s="30" t="n">
        <v>-1.25</v>
      </c>
      <c r="AD504" s="24" t="inlineStr">
        <is>
          <t>2026-09-06T04:31:53.917280Z</t>
        </is>
      </c>
      <c r="AE504" s="31" t="inlineStr">
        <is>
          <t>Poisson-DC rates 1.38 (home) / 2.21 (away) from EWMA attack/defense strengths. Executable ask 0.6300 (tsc-mls-aus-sje-2026-09-05-2pt5).</t>
        </is>
      </c>
      <c r="AF504" s="31" t="inlineStr">
        <is>
          <t>Research-only soccer score model; draw-aware, but not yet locked-holdout qualified.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San Jose Earthquakes</t>
        </is>
      </c>
      <c r="AQ504" s="24" t="inlineStr">
        <is>
          <t>San Jose Earthquakes</t>
        </is>
      </c>
      <c r="AR504" s="24" t="inlineStr">
        <is>
          <t>San Jose Earthquakes</t>
        </is>
      </c>
      <c r="AS504" s="24" t="inlineStr">
        <is>
          <t>Austin FC</t>
        </is>
      </c>
      <c r="AT504" s="24" t="inlineStr">
        <is>
          <t>Austin FC</t>
        </is>
      </c>
      <c r="AU504" s="24" t="inlineStr">
        <is>
          <t>Austin FC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e64f166eb03d5e657185abb04e25fff4830a8801f3dfa7f84e7c01a3f339baa9</t>
        </is>
      </c>
      <c r="BB504" s="24" t="inlineStr">
        <is>
          <t>poisson_dixon_coles</t>
        </is>
      </c>
      <c r="BC504" s="24" t="inlineStr">
        <is>
          <t>soccer-poisson-dc-v1</t>
        </is>
      </c>
      <c r="BD504" s="24" t="inlineStr">
        <is>
          <t>e64f166eb03d5e657185abb04e25fff4830a8801f3dfa7f84e7c01a3f339baa9</t>
        </is>
      </c>
      <c r="BE504" s="24" t="inlineStr">
        <is>
          <t>soccer-poisson-dc-v1</t>
        </is>
      </c>
      <c r="BF504" s="24" t="inlineStr">
        <is>
          <t>1</t>
        </is>
      </c>
      <c r="BG504" s="24" t="inlineStr">
        <is>
          <t>e64f166eb03d5e657185abb04e25fff4830a8801f3dfa7f84e7c01a3f339baa9</t>
        </is>
      </c>
      <c r="BH504" s="24" t="inlineStr">
        <is>
          <t>2026-09-05T22:04:32.626212Z</t>
        </is>
      </c>
      <c r="BI504" s="24" t="inlineStr">
        <is>
          <t>["same_event","same_team_same_day","same_league_same_day"]</t>
        </is>
      </c>
      <c r="BJ504" s="25" t="n">
        <v>2.5</v>
      </c>
      <c r="BK504" s="26" t="n">
        <v>-170</v>
      </c>
      <c r="BL504" s="27" t="n">
        <v>1.588235</v>
      </c>
      <c r="BM504" s="28" t="n">
        <v>0.62963</v>
      </c>
      <c r="BN504" s="28" t="n"/>
      <c r="BO504" s="28" t="n"/>
      <c r="BP504" s="25" t="n"/>
      <c r="BQ504" s="27" t="n">
        <v>1.588235</v>
      </c>
      <c r="BR504" s="28" t="n">
        <v>0.63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0.62963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c912ee995f584f53</t>
        </is>
      </c>
      <c r="B505" s="24" t="inlineStr">
        <is>
          <t>2026-09-05T22:05:14.461440Z</t>
        </is>
      </c>
      <c r="C505" s="24" t="inlineStr">
        <is>
          <t>2026-09-06T00:30Z</t>
        </is>
      </c>
      <c r="D505" s="24" t="inlineStr">
        <is>
          <t>761779</t>
        </is>
      </c>
      <c r="E505" s="24" t="inlineStr">
        <is>
          <t>SOCCER</t>
        </is>
      </c>
      <c r="F505" s="24" t="inlineStr">
        <is>
          <t>Sporting Kansas City</t>
        </is>
      </c>
      <c r="G505" s="24" t="inlineStr">
        <is>
          <t>FC Dallas</t>
        </is>
      </c>
      <c r="H505" s="24" t="inlineStr">
        <is>
          <t>total</t>
        </is>
      </c>
      <c r="I505" s="24" t="inlineStr">
        <is>
          <t>over</t>
        </is>
      </c>
      <c r="J505" s="25" t="n">
        <v>2.5</v>
      </c>
      <c r="K505" s="24" t="inlineStr">
        <is>
          <t>polymarket_us</t>
        </is>
      </c>
      <c r="L505" s="26" t="n">
        <v>-213</v>
      </c>
      <c r="M505" s="27" t="n">
        <v>1.469484</v>
      </c>
      <c r="N505" s="28" t="n">
        <v>0.680511</v>
      </c>
      <c r="O505" s="28" t="n">
        <v>0.793735</v>
      </c>
      <c r="P505" s="28" t="n">
        <v>0.04</v>
      </c>
      <c r="Q505" s="28" t="n">
        <v>0.113224</v>
      </c>
      <c r="R505" s="26" t="n">
        <v>83</v>
      </c>
      <c r="S505" s="29" t="n">
        <v>1.5</v>
      </c>
      <c r="T505" s="24" t="inlineStr">
        <is>
          <t>soccer-poisson-dc-v1</t>
        </is>
      </c>
      <c r="U505" s="24" t="inlineStr">
        <is>
          <t>settled</t>
        </is>
      </c>
      <c r="V505" s="24" t="inlineStr">
        <is>
          <t>win</t>
        </is>
      </c>
      <c r="W505" s="26" t="n">
        <v>3</v>
      </c>
      <c r="X505" s="26" t="n">
        <v>4</v>
      </c>
      <c r="Y505" s="25" t="n"/>
      <c r="Z505" s="26" t="n">
        <v>-213</v>
      </c>
      <c r="AA505" s="28" t="n">
        <v>0.68</v>
      </c>
      <c r="AB505" s="28" t="n">
        <v>-0.000511</v>
      </c>
      <c r="AC505" s="30" t="n">
        <v>0.7042</v>
      </c>
      <c r="AD505" s="24" t="inlineStr">
        <is>
          <t>2026-09-06T04:31:54.416772Z</t>
        </is>
      </c>
      <c r="AE505" s="31" t="inlineStr">
        <is>
          <t>Poisson-DC rates 3.21 (home) / 1.02 (away) from EWMA attack/defense strengths. Executable ask 0.6800 (tsc-mls-dal-skc-2026-09-05-2pt5).</t>
        </is>
      </c>
      <c r="AF505" s="31" t="inlineStr">
        <is>
          <t>Research-only soccer score model; draw-aware, but not yet locked-holdout qualified.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Sporting Kansas City</t>
        </is>
      </c>
      <c r="AQ505" s="24" t="inlineStr">
        <is>
          <t>Sporting Kansas City</t>
        </is>
      </c>
      <c r="AR505" s="24" t="inlineStr">
        <is>
          <t>Sporting Kansas City</t>
        </is>
      </c>
      <c r="AS505" s="24" t="inlineStr">
        <is>
          <t>FC Dallas</t>
        </is>
      </c>
      <c r="AT505" s="24" t="inlineStr">
        <is>
          <t>FC Dallas</t>
        </is>
      </c>
      <c r="AU505" s="24" t="inlineStr">
        <is>
          <t>FC Dallas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e64f166eb03d5e657185abb04e25fff4830a8801f3dfa7f84e7c01a3f339baa9</t>
        </is>
      </c>
      <c r="BB505" s="24" t="inlineStr">
        <is>
          <t>poisson_dixon_coles</t>
        </is>
      </c>
      <c r="BC505" s="24" t="inlineStr">
        <is>
          <t>soccer-poisson-dc-v1</t>
        </is>
      </c>
      <c r="BD505" s="24" t="inlineStr">
        <is>
          <t>e64f166eb03d5e657185abb04e25fff4830a8801f3dfa7f84e7c01a3f339baa9</t>
        </is>
      </c>
      <c r="BE505" s="24" t="inlineStr">
        <is>
          <t>soccer-poisson-dc-v1</t>
        </is>
      </c>
      <c r="BF505" s="24" t="inlineStr">
        <is>
          <t>1</t>
        </is>
      </c>
      <c r="BG505" s="24" t="inlineStr">
        <is>
          <t>e64f166eb03d5e657185abb04e25fff4830a8801f3dfa7f84e7c01a3f339baa9</t>
        </is>
      </c>
      <c r="BH505" s="24" t="inlineStr">
        <is>
          <t>2026-09-05T22:04:32.470448Z</t>
        </is>
      </c>
      <c r="BI505" s="24" t="inlineStr">
        <is>
          <t>["same_event","same_team_same_day","same_league_same_day"]</t>
        </is>
      </c>
      <c r="BJ505" s="25" t="n">
        <v>2.5</v>
      </c>
      <c r="BK505" s="26" t="n">
        <v>-213</v>
      </c>
      <c r="BL505" s="27" t="n">
        <v>1.469484</v>
      </c>
      <c r="BM505" s="28" t="n">
        <v>0.680511</v>
      </c>
      <c r="BN505" s="28" t="n"/>
      <c r="BO505" s="28" t="n"/>
      <c r="BP505" s="25" t="n"/>
      <c r="BQ505" s="27" t="n">
        <v>1.469484</v>
      </c>
      <c r="BR505" s="28" t="n">
        <v>0.68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0.680511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4b4ebc7a2d404a57</t>
        </is>
      </c>
      <c r="B506" s="24" t="inlineStr">
        <is>
          <t>2026-09-05T22:05:14.461440Z</t>
        </is>
      </c>
      <c r="C506" s="24" t="inlineStr">
        <is>
          <t>2026-09-06T01:30Z</t>
        </is>
      </c>
      <c r="D506" s="24" t="inlineStr">
        <is>
          <t>761782</t>
        </is>
      </c>
      <c r="E506" s="24" t="inlineStr">
        <is>
          <t>SOCCER</t>
        </is>
      </c>
      <c r="F506" s="24" t="inlineStr">
        <is>
          <t>New England Revolution</t>
        </is>
      </c>
      <c r="G506" s="24" t="inlineStr">
        <is>
          <t>LA Galaxy</t>
        </is>
      </c>
      <c r="H506" s="24" t="inlineStr">
        <is>
          <t>total</t>
        </is>
      </c>
      <c r="I506" s="24" t="inlineStr">
        <is>
          <t>over</t>
        </is>
      </c>
      <c r="J506" s="25" t="n">
        <v>2.5</v>
      </c>
      <c r="K506" s="24" t="inlineStr">
        <is>
          <t>polymarket_us</t>
        </is>
      </c>
      <c r="L506" s="26" t="n">
        <v>-194</v>
      </c>
      <c r="M506" s="27" t="n">
        <v>1.515464</v>
      </c>
      <c r="N506" s="28" t="n">
        <v>0.659864</v>
      </c>
      <c r="O506" s="28" t="n">
        <v>0.542723</v>
      </c>
      <c r="P506" s="28" t="n">
        <v>0.04</v>
      </c>
      <c r="Q506" s="28" t="n">
        <v>-0.117141</v>
      </c>
      <c r="R506" s="26" t="n">
        <v>0</v>
      </c>
      <c r="S506" s="29" t="n">
        <v>1</v>
      </c>
      <c r="T506" s="24" t="inlineStr">
        <is>
          <t>soccer-poisson-dc-v1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2</v>
      </c>
      <c r="Y506" s="25" t="n"/>
      <c r="Z506" s="26" t="n">
        <v>-194</v>
      </c>
      <c r="AA506" s="28" t="n">
        <v>0.66</v>
      </c>
      <c r="AB506" s="28" t="n">
        <v>0.000136</v>
      </c>
      <c r="AC506" s="30" t="n">
        <v>0.5155</v>
      </c>
      <c r="AD506" s="24" t="inlineStr">
        <is>
          <t>2026-09-06T04:31:54.909626Z</t>
        </is>
      </c>
      <c r="AE506" s="31" t="inlineStr">
        <is>
          <t>Poisson-DC rates 1.57 (home) / 1.29 (away) from EWMA attack/defense strengths. Executable ask 0.6600 (tsc-mls-lag-ner-2026-09-05-2pt5).</t>
        </is>
      </c>
      <c r="AF506" s="31" t="inlineStr">
        <is>
          <t>Research-only soccer score model; draw-aware, but not yet locked-holdout qualified.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New England Revolution</t>
        </is>
      </c>
      <c r="AQ506" s="24" t="inlineStr">
        <is>
          <t>New England Revolution</t>
        </is>
      </c>
      <c r="AR506" s="24" t="inlineStr">
        <is>
          <t>New England Revolution</t>
        </is>
      </c>
      <c r="AS506" s="24" t="inlineStr">
        <is>
          <t>LA Galaxy</t>
        </is>
      </c>
      <c r="AT506" s="24" t="inlineStr">
        <is>
          <t>LA Galaxy</t>
        </is>
      </c>
      <c r="AU506" s="24" t="inlineStr">
        <is>
          <t>LA Galaxy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e64f166eb03d5e657185abb04e25fff4830a8801f3dfa7f84e7c01a3f339baa9</t>
        </is>
      </c>
      <c r="BB506" s="24" t="inlineStr">
        <is>
          <t>poisson_dixon_coles</t>
        </is>
      </c>
      <c r="BC506" s="24" t="inlineStr">
        <is>
          <t>soccer-poisson-dc-v1</t>
        </is>
      </c>
      <c r="BD506" s="24" t="inlineStr">
        <is>
          <t>e64f166eb03d5e657185abb04e25fff4830a8801f3dfa7f84e7c01a3f339baa9</t>
        </is>
      </c>
      <c r="BE506" s="24" t="inlineStr">
        <is>
          <t>soccer-poisson-dc-v1</t>
        </is>
      </c>
      <c r="BF506" s="24" t="inlineStr">
        <is>
          <t>1</t>
        </is>
      </c>
      <c r="BG506" s="24" t="inlineStr">
        <is>
          <t>e64f166eb03d5e657185abb04e25fff4830a8801f3dfa7f84e7c01a3f339baa9</t>
        </is>
      </c>
      <c r="BH506" s="24" t="inlineStr">
        <is>
          <t>2026-09-05T22:04:33.289785Z</t>
        </is>
      </c>
      <c r="BI506" s="24" t="inlineStr">
        <is>
          <t>["same_event","same_team_same_day","same_league_same_day"]</t>
        </is>
      </c>
      <c r="BJ506" s="25" t="n">
        <v>2.5</v>
      </c>
      <c r="BK506" s="26" t="n">
        <v>-194</v>
      </c>
      <c r="BL506" s="27" t="n">
        <v>1.515464</v>
      </c>
      <c r="BM506" s="28" t="n">
        <v>0.659864</v>
      </c>
      <c r="BN506" s="28" t="n"/>
      <c r="BO506" s="28" t="n"/>
      <c r="BP506" s="25" t="n"/>
      <c r="BQ506" s="27" t="n">
        <v>1.515464</v>
      </c>
      <c r="BR506" s="28" t="n">
        <v>0.66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0.659864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f4fcfa5c152c4766</t>
        </is>
      </c>
      <c r="B507" s="24" t="inlineStr">
        <is>
          <t>2026-09-05T22:05:14.461440Z</t>
        </is>
      </c>
      <c r="C507" s="24" t="inlineStr">
        <is>
          <t>2026-09-06T02:30Z</t>
        </is>
      </c>
      <c r="D507" s="24" t="inlineStr">
        <is>
          <t>761783</t>
        </is>
      </c>
      <c r="E507" s="24" t="inlineStr">
        <is>
          <t>SOCCER</t>
        </is>
      </c>
      <c r="F507" s="24" t="inlineStr">
        <is>
          <t>Minnesota United FC</t>
        </is>
      </c>
      <c r="G507" s="24" t="inlineStr">
        <is>
          <t>Portland Timbers</t>
        </is>
      </c>
      <c r="H507" s="24" t="inlineStr">
        <is>
          <t>total</t>
        </is>
      </c>
      <c r="I507" s="24" t="inlineStr">
        <is>
          <t>over</t>
        </is>
      </c>
      <c r="J507" s="25" t="n">
        <v>2.5</v>
      </c>
      <c r="K507" s="24" t="inlineStr">
        <is>
          <t>polymarket_us</t>
        </is>
      </c>
      <c r="L507" s="26" t="n">
        <v>-178</v>
      </c>
      <c r="M507" s="27" t="n">
        <v>1.561798</v>
      </c>
      <c r="N507" s="28" t="n">
        <v>0.640288</v>
      </c>
      <c r="O507" s="28" t="n">
        <v>0.592068</v>
      </c>
      <c r="P507" s="28" t="n">
        <v>0.04</v>
      </c>
      <c r="Q507" s="28" t="n">
        <v>-0.04822</v>
      </c>
      <c r="R507" s="26" t="n">
        <v>2</v>
      </c>
      <c r="S507" s="29" t="n">
        <v>1</v>
      </c>
      <c r="T507" s="24" t="inlineStr">
        <is>
          <t>soccer-poisson-dc-v1</t>
        </is>
      </c>
      <c r="U507" s="24" t="inlineStr">
        <is>
          <t>settled</t>
        </is>
      </c>
      <c r="V507" s="24" t="inlineStr">
        <is>
          <t>win</t>
        </is>
      </c>
      <c r="W507" s="26" t="n">
        <v>4</v>
      </c>
      <c r="X507" s="26" t="n">
        <v>5</v>
      </c>
      <c r="Y507" s="25" t="n"/>
      <c r="Z507" s="26" t="n">
        <v>-178</v>
      </c>
      <c r="AA507" s="28" t="n">
        <v>0.64</v>
      </c>
      <c r="AB507" s="28" t="n">
        <v>-0.000288</v>
      </c>
      <c r="AC507" s="30" t="n">
        <v>0.5618</v>
      </c>
      <c r="AD507" s="24" t="inlineStr">
        <is>
          <t>2026-09-06T10:00:19.895797Z</t>
        </is>
      </c>
      <c r="AE507" s="31" t="inlineStr">
        <is>
          <t>Poisson-DC rates 1.73 (home) / 1.34 (away) from EWMA attack/defense strengths. Executable ask 0.6400 (tsc-mls-por-min-2026-09-05-2pt5).</t>
        </is>
      </c>
      <c r="AF507" s="31" t="inlineStr">
        <is>
          <t>Research-only soccer score model; draw-aware, but not yet locked-holdout qualified.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Minnesota United FC</t>
        </is>
      </c>
      <c r="AQ507" s="24" t="inlineStr">
        <is>
          <t>Minnesota United FC</t>
        </is>
      </c>
      <c r="AR507" s="24" t="inlineStr">
        <is>
          <t>Minnesota United FC</t>
        </is>
      </c>
      <c r="AS507" s="24" t="inlineStr">
        <is>
          <t>Portland Timbers</t>
        </is>
      </c>
      <c r="AT507" s="24" t="inlineStr">
        <is>
          <t>Portland Timbers</t>
        </is>
      </c>
      <c r="AU507" s="24" t="inlineStr">
        <is>
          <t>Portland Timbers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e64f166eb03d5e657185abb04e25fff4830a8801f3dfa7f84e7c01a3f339baa9</t>
        </is>
      </c>
      <c r="BB507" s="24" t="inlineStr">
        <is>
          <t>poisson_dixon_coles</t>
        </is>
      </c>
      <c r="BC507" s="24" t="inlineStr">
        <is>
          <t>soccer-poisson-dc-v1</t>
        </is>
      </c>
      <c r="BD507" s="24" t="inlineStr">
        <is>
          <t>e64f166eb03d5e657185abb04e25fff4830a8801f3dfa7f84e7c01a3f339baa9</t>
        </is>
      </c>
      <c r="BE507" s="24" t="inlineStr">
        <is>
          <t>soccer-poisson-dc-v1</t>
        </is>
      </c>
      <c r="BF507" s="24" t="inlineStr">
        <is>
          <t>1</t>
        </is>
      </c>
      <c r="BG507" s="24" t="inlineStr">
        <is>
          <t>e64f166eb03d5e657185abb04e25fff4830a8801f3dfa7f84e7c01a3f339baa9</t>
        </is>
      </c>
      <c r="BH507" s="24" t="inlineStr">
        <is>
          <t>2026-09-05T22:04:33.511948Z</t>
        </is>
      </c>
      <c r="BI507" s="24" t="inlineStr">
        <is>
          <t>["same_event","same_team_same_day","same_league_same_day"]</t>
        </is>
      </c>
      <c r="BJ507" s="25" t="n">
        <v>2.5</v>
      </c>
      <c r="BK507" s="26" t="n">
        <v>-178</v>
      </c>
      <c r="BL507" s="27" t="n">
        <v>1.561798</v>
      </c>
      <c r="BM507" s="28" t="n">
        <v>0.640288</v>
      </c>
      <c r="BN507" s="28" t="n"/>
      <c r="BO507" s="28" t="n"/>
      <c r="BP507" s="25" t="n"/>
      <c r="BQ507" s="27" t="n">
        <v>1.561798</v>
      </c>
      <c r="BR507" s="28" t="n">
        <v>0.64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False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0.640288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bc9d754139af4c72</t>
        </is>
      </c>
      <c r="B508" s="24" t="inlineStr">
        <is>
          <t>2026-09-05T22:05:14.461440Z</t>
        </is>
      </c>
      <c r="C508" s="24" t="inlineStr">
        <is>
          <t>2026-09-06T02:30Z</t>
        </is>
      </c>
      <c r="D508" s="24" t="inlineStr">
        <is>
          <t>761784</t>
        </is>
      </c>
      <c r="E508" s="24" t="inlineStr">
        <is>
          <t>SOCCER</t>
        </is>
      </c>
      <c r="F508" s="24" t="inlineStr">
        <is>
          <t>St. Louis CITY SC</t>
        </is>
      </c>
      <c r="G508" s="24" t="inlineStr">
        <is>
          <t>Vancouver Whitecaps</t>
        </is>
      </c>
      <c r="H508" s="24" t="inlineStr">
        <is>
          <t>total</t>
        </is>
      </c>
      <c r="I508" s="24" t="inlineStr">
        <is>
          <t>over</t>
        </is>
      </c>
      <c r="J508" s="25" t="n">
        <v>2.5</v>
      </c>
      <c r="K508" s="24" t="inlineStr">
        <is>
          <t>polymarket_us</t>
        </is>
      </c>
      <c r="L508" s="26" t="n">
        <v>-213</v>
      </c>
      <c r="M508" s="27" t="n">
        <v>1.469484</v>
      </c>
      <c r="N508" s="28" t="n">
        <v>0.680511</v>
      </c>
      <c r="O508" s="28" t="n">
        <v>0.674032</v>
      </c>
      <c r="P508" s="28" t="n">
        <v>0.04</v>
      </c>
      <c r="Q508" s="28" t="n">
        <v>-0.006479</v>
      </c>
      <c r="R508" s="26" t="n">
        <v>23</v>
      </c>
      <c r="S508" s="29" t="n">
        <v>1</v>
      </c>
      <c r="T508" s="24" t="inlineStr">
        <is>
          <t>soccer-poisson-dc-v1</t>
        </is>
      </c>
      <c r="U508" s="24" t="inlineStr">
        <is>
          <t>settled</t>
        </is>
      </c>
      <c r="V508" s="24" t="inlineStr">
        <is>
          <t>win</t>
        </is>
      </c>
      <c r="W508" s="26" t="n">
        <v>3</v>
      </c>
      <c r="X508" s="26" t="n">
        <v>1</v>
      </c>
      <c r="Y508" s="25" t="n"/>
      <c r="Z508" s="26" t="n">
        <v>-213</v>
      </c>
      <c r="AA508" s="28" t="n">
        <v>0.68</v>
      </c>
      <c r="AB508" s="28" t="n">
        <v>-0.000511</v>
      </c>
      <c r="AC508" s="30" t="n">
        <v>0.4695</v>
      </c>
      <c r="AD508" s="24" t="inlineStr">
        <is>
          <t>2026-09-06T10:00:20.373399Z</t>
        </is>
      </c>
      <c r="AE508" s="31" t="inlineStr">
        <is>
          <t>Poisson-DC rates 2.52 (home) / 0.95 (away) from EWMA attack/defense strengths. Executable ask 0.6800 (tsc-mls-vwh-stl-2026-09-05-2pt5).</t>
        </is>
      </c>
      <c r="AF508" s="31" t="inlineStr">
        <is>
          <t>Research-only soccer score model; draw-aware, but not yet locked-holdout qualified.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St. Louis CITY SC</t>
        </is>
      </c>
      <c r="AQ508" s="24" t="inlineStr">
        <is>
          <t>St. Louis CITY SC</t>
        </is>
      </c>
      <c r="AR508" s="24" t="inlineStr">
        <is>
          <t>St. Louis CITY SC</t>
        </is>
      </c>
      <c r="AS508" s="24" t="inlineStr">
        <is>
          <t>Vancouver Whitecaps</t>
        </is>
      </c>
      <c r="AT508" s="24" t="inlineStr">
        <is>
          <t>Vancouver Whitecaps</t>
        </is>
      </c>
      <c r="AU508" s="24" t="inlineStr">
        <is>
          <t>Vancouver Whitecaps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e64f166eb03d5e657185abb04e25fff4830a8801f3dfa7f84e7c01a3f339baa9</t>
        </is>
      </c>
      <c r="BB508" s="24" t="inlineStr">
        <is>
          <t>poisson_dixon_coles</t>
        </is>
      </c>
      <c r="BC508" s="24" t="inlineStr">
        <is>
          <t>soccer-poisson-dc-v1</t>
        </is>
      </c>
      <c r="BD508" s="24" t="inlineStr">
        <is>
          <t>e64f166eb03d5e657185abb04e25fff4830a8801f3dfa7f84e7c01a3f339baa9</t>
        </is>
      </c>
      <c r="BE508" s="24" t="inlineStr">
        <is>
          <t>soccer-poisson-dc-v1</t>
        </is>
      </c>
      <c r="BF508" s="24" t="inlineStr">
        <is>
          <t>1</t>
        </is>
      </c>
      <c r="BG508" s="24" t="inlineStr">
        <is>
          <t>e64f166eb03d5e657185abb04e25fff4830a8801f3dfa7f84e7c01a3f339baa9</t>
        </is>
      </c>
      <c r="BH508" s="24" t="inlineStr">
        <is>
          <t>2026-09-05T22:04:33.540267Z</t>
        </is>
      </c>
      <c r="BI508" s="24" t="inlineStr">
        <is>
          <t>["same_event","same_team_same_day","same_league_same_day"]</t>
        </is>
      </c>
      <c r="BJ508" s="25" t="n">
        <v>2.5</v>
      </c>
      <c r="BK508" s="26" t="n">
        <v>-213</v>
      </c>
      <c r="BL508" s="27" t="n">
        <v>1.469484</v>
      </c>
      <c r="BM508" s="28" t="n">
        <v>0.680511</v>
      </c>
      <c r="BN508" s="28" t="n"/>
      <c r="BO508" s="28" t="n"/>
      <c r="BP508" s="25" t="n"/>
      <c r="BQ508" s="27" t="n">
        <v>1.469484</v>
      </c>
      <c r="BR508" s="28" t="n">
        <v>0.68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0.680511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4568eb78c52a4b94</t>
        </is>
      </c>
      <c r="B509" s="24" t="inlineStr">
        <is>
          <t>2026-09-05T22:05:14.461440Z</t>
        </is>
      </c>
      <c r="C509" s="24" t="inlineStr">
        <is>
          <t>2026-09-05T23:30Z</t>
        </is>
      </c>
      <c r="D509" s="24" t="inlineStr">
        <is>
          <t>761774</t>
        </is>
      </c>
      <c r="E509" s="24" t="inlineStr">
        <is>
          <t>SOCCER</t>
        </is>
      </c>
      <c r="F509" s="24" t="inlineStr">
        <is>
          <t>Houston Dynamo FC</t>
        </is>
      </c>
      <c r="G509" s="24" t="inlineStr">
        <is>
          <t>Charlotte FC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127</v>
      </c>
      <c r="M509" s="27" t="n">
        <v>2.27</v>
      </c>
      <c r="N509" s="28" t="n">
        <v>0.440529</v>
      </c>
      <c r="O509" s="28" t="n">
        <v>0.520647</v>
      </c>
      <c r="P509" s="28" t="n">
        <v>0.04</v>
      </c>
      <c r="Q509" s="28" t="n">
        <v>0.08011799999999999</v>
      </c>
      <c r="R509" s="26" t="n">
        <v>66</v>
      </c>
      <c r="S509" s="29" t="n">
        <v>1.25</v>
      </c>
      <c r="T509" s="24" t="inlineStr">
        <is>
          <t>soccer-poisson-dc-v1</t>
        </is>
      </c>
      <c r="U509" s="24" t="inlineStr">
        <is>
          <t>settled</t>
        </is>
      </c>
      <c r="V509" s="24" t="inlineStr">
        <is>
          <t>loss</t>
        </is>
      </c>
      <c r="W509" s="26" t="n">
        <v>0</v>
      </c>
      <c r="X509" s="26" t="n">
        <v>0</v>
      </c>
      <c r="Y509" s="25" t="n"/>
      <c r="Z509" s="26" t="n">
        <v>127</v>
      </c>
      <c r="AA509" s="28" t="n">
        <v>0.44</v>
      </c>
      <c r="AB509" s="28" t="n">
        <v>-0.000529</v>
      </c>
      <c r="AC509" s="30" t="n">
        <v>-1.25</v>
      </c>
      <c r="AD509" s="24" t="inlineStr">
        <is>
          <t>2026-09-06T04:31:55.402509Z</t>
        </is>
      </c>
      <c r="AE509" s="31" t="inlineStr">
        <is>
          <t>Poisson-DC rates 1.72 (home) / 1.04 (away) from EWMA attack/defense strengths. Executable ask 0.4400 (atc-mls-clt-hou-2026-09-05-clt).</t>
        </is>
      </c>
      <c r="AF509" s="31" t="inlineStr">
        <is>
          <t>Research-only soccer score model; draw-aware, but not yet locked-holdout qualified.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Houston Dynamo FC</t>
        </is>
      </c>
      <c r="AQ509" s="24" t="inlineStr">
        <is>
          <t>Houston Dynamo FC</t>
        </is>
      </c>
      <c r="AR509" s="24" t="inlineStr">
        <is>
          <t>Houston Dynamo FC</t>
        </is>
      </c>
      <c r="AS509" s="24" t="inlineStr">
        <is>
          <t>Charlotte FC</t>
        </is>
      </c>
      <c r="AT509" s="24" t="inlineStr">
        <is>
          <t>Charlotte FC</t>
        </is>
      </c>
      <c r="AU509" s="24" t="inlineStr">
        <is>
          <t>Charlotte FC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e64f166eb03d5e657185abb04e25fff4830a8801f3dfa7f84e7c01a3f339baa9</t>
        </is>
      </c>
      <c r="BB509" s="24" t="inlineStr">
        <is>
          <t>poisson_dixon_coles</t>
        </is>
      </c>
      <c r="BC509" s="24" t="inlineStr">
        <is>
          <t>soccer-poisson-dc-v1</t>
        </is>
      </c>
      <c r="BD509" s="24" t="inlineStr">
        <is>
          <t>e64f166eb03d5e657185abb04e25fff4830a8801f3dfa7f84e7c01a3f339baa9</t>
        </is>
      </c>
      <c r="BE509" s="24" t="inlineStr">
        <is>
          <t>soccer-poisson-dc-v1</t>
        </is>
      </c>
      <c r="BF509" s="24" t="inlineStr">
        <is>
          <t>1</t>
        </is>
      </c>
      <c r="BG509" s="24" t="inlineStr">
        <is>
          <t>e64f166eb03d5e657185abb04e25fff4830a8801f3dfa7f84e7c01a3f339baa9</t>
        </is>
      </c>
      <c r="BH509" s="24" t="inlineStr">
        <is>
          <t>2026-09-05T22:04:31.262467Z</t>
        </is>
      </c>
      <c r="BI509" s="24" t="inlineStr">
        <is>
          <t>["same_event","same_team_same_day","same_league_same_day"]</t>
        </is>
      </c>
      <c r="BJ509" s="25" t="n"/>
      <c r="BK509" s="26" t="n">
        <v>127</v>
      </c>
      <c r="BL509" s="27" t="n">
        <v>2.27</v>
      </c>
      <c r="BM509" s="28" t="n">
        <v>0.440529</v>
      </c>
      <c r="BN509" s="28" t="n"/>
      <c r="BO509" s="28" t="n"/>
      <c r="BP509" s="25" t="n"/>
      <c r="BQ509" s="27" t="n">
        <v>2.27</v>
      </c>
      <c r="BR509" s="28" t="n">
        <v>0.44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0.440529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46dc2328453a44da</t>
        </is>
      </c>
      <c r="B510" s="24" t="inlineStr">
        <is>
          <t>2026-09-05T22:05:14.461440Z</t>
        </is>
      </c>
      <c r="C510" s="24" t="inlineStr">
        <is>
          <t>2026-09-05T23:30Z</t>
        </is>
      </c>
      <c r="D510" s="24" t="inlineStr">
        <is>
          <t>761775</t>
        </is>
      </c>
      <c r="E510" s="24" t="inlineStr">
        <is>
          <t>SOCCER</t>
        </is>
      </c>
      <c r="F510" s="24" t="inlineStr">
        <is>
          <t>Colorado Rapids</t>
        </is>
      </c>
      <c r="G510" s="24" t="inlineStr">
        <is>
          <t>Columbus Crew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127</v>
      </c>
      <c r="M510" s="27" t="n">
        <v>2.27</v>
      </c>
      <c r="N510" s="28" t="n">
        <v>0.440529</v>
      </c>
      <c r="O510" s="28" t="n">
        <v>0.51075</v>
      </c>
      <c r="P510" s="28" t="n">
        <v>0.04</v>
      </c>
      <c r="Q510" s="28" t="n">
        <v>0.07022100000000001</v>
      </c>
      <c r="R510" s="26" t="n">
        <v>61</v>
      </c>
      <c r="S510" s="29" t="n">
        <v>1.25</v>
      </c>
      <c r="T510" s="24" t="inlineStr">
        <is>
          <t>soccer-poisson-dc-v1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3</v>
      </c>
      <c r="Y510" s="25" t="n"/>
      <c r="Z510" s="26" t="n">
        <v>127</v>
      </c>
      <c r="AA510" s="28" t="n">
        <v>0.44</v>
      </c>
      <c r="AB510" s="28" t="n">
        <v>-0.000529</v>
      </c>
      <c r="AC510" s="30" t="n">
        <v>1.5875</v>
      </c>
      <c r="AD510" s="24" t="inlineStr">
        <is>
          <t>2026-09-06T04:31:55.911315Z</t>
        </is>
      </c>
      <c r="AE510" s="31" t="inlineStr">
        <is>
          <t>Poisson-DC rates 1.86 (home) / 1.23 (away) from EWMA attack/defense strengths. Executable ask 0.4400 (atc-mls-clb-col-2026-09-05-clb).</t>
        </is>
      </c>
      <c r="AF510" s="31" t="inlineStr">
        <is>
          <t>Research-only soccer score model; draw-aware, but not yet locked-holdout qualified.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Colorado Rapids</t>
        </is>
      </c>
      <c r="AQ510" s="24" t="inlineStr">
        <is>
          <t>Colorado Rapids</t>
        </is>
      </c>
      <c r="AR510" s="24" t="inlineStr">
        <is>
          <t>Colorado Rapids</t>
        </is>
      </c>
      <c r="AS510" s="24" t="inlineStr">
        <is>
          <t>Columbus Crew</t>
        </is>
      </c>
      <c r="AT510" s="24" t="inlineStr">
        <is>
          <t>Columbus Crew</t>
        </is>
      </c>
      <c r="AU510" s="24" t="inlineStr">
        <is>
          <t>Columbus Crew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e64f166eb03d5e657185abb04e25fff4830a8801f3dfa7f84e7c01a3f339baa9</t>
        </is>
      </c>
      <c r="BB510" s="24" t="inlineStr">
        <is>
          <t>poisson_dixon_coles</t>
        </is>
      </c>
      <c r="BC510" s="24" t="inlineStr">
        <is>
          <t>soccer-poisson-dc-v1</t>
        </is>
      </c>
      <c r="BD510" s="24" t="inlineStr">
        <is>
          <t>e64f166eb03d5e657185abb04e25fff4830a8801f3dfa7f84e7c01a3f339baa9</t>
        </is>
      </c>
      <c r="BE510" s="24" t="inlineStr">
        <is>
          <t>soccer-poisson-dc-v1</t>
        </is>
      </c>
      <c r="BF510" s="24" t="inlineStr">
        <is>
          <t>1</t>
        </is>
      </c>
      <c r="BG510" s="24" t="inlineStr">
        <is>
          <t>e64f166eb03d5e657185abb04e25fff4830a8801f3dfa7f84e7c01a3f339baa9</t>
        </is>
      </c>
      <c r="BH510" s="24" t="inlineStr">
        <is>
          <t>2026-09-05T22:04:32.191789Z</t>
        </is>
      </c>
      <c r="BI510" s="24" t="inlineStr">
        <is>
          <t>["same_event","same_team_same_day","same_league_same_day"]</t>
        </is>
      </c>
      <c r="BJ510" s="25" t="n"/>
      <c r="BK510" s="26" t="n">
        <v>127</v>
      </c>
      <c r="BL510" s="27" t="n">
        <v>2.27</v>
      </c>
      <c r="BM510" s="28" t="n">
        <v>0.440529</v>
      </c>
      <c r="BN510" s="28" t="n"/>
      <c r="BO510" s="28" t="n"/>
      <c r="BP510" s="25" t="n"/>
      <c r="BQ510" s="27" t="n">
        <v>2.27</v>
      </c>
      <c r="BR510" s="28" t="n">
        <v>0.44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0.440529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2681ad0fd3ff48b4</t>
        </is>
      </c>
      <c r="B511" s="24" t="inlineStr">
        <is>
          <t>2026-09-05T22:05:14.461440Z</t>
        </is>
      </c>
      <c r="C511" s="24" t="inlineStr">
        <is>
          <t>2026-09-05T23:30Z</t>
        </is>
      </c>
      <c r="D511" s="24" t="inlineStr">
        <is>
          <t>761773</t>
        </is>
      </c>
      <c r="E511" s="24" t="inlineStr">
        <is>
          <t>SOCCER</t>
        </is>
      </c>
      <c r="F511" s="24" t="inlineStr">
        <is>
          <t>D.C. United</t>
        </is>
      </c>
      <c r="G511" s="24" t="inlineStr">
        <is>
          <t>FC Cincinnati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-150</v>
      </c>
      <c r="M511" s="27" t="n">
        <v>1.666667</v>
      </c>
      <c r="N511" s="28" t="n">
        <v>0.6</v>
      </c>
      <c r="O511" s="28" t="n">
        <v>0.651223</v>
      </c>
      <c r="P511" s="28" t="n">
        <v>0.04</v>
      </c>
      <c r="Q511" s="28" t="n">
        <v>0.051223</v>
      </c>
      <c r="R511" s="26" t="n">
        <v>52</v>
      </c>
      <c r="S511" s="29" t="n">
        <v>1</v>
      </c>
      <c r="T511" s="24" t="inlineStr">
        <is>
          <t>soccer-poisson-dc-v1</t>
        </is>
      </c>
      <c r="U511" s="24" t="inlineStr">
        <is>
          <t>settled</t>
        </is>
      </c>
      <c r="V511" s="24" t="inlineStr">
        <is>
          <t>loss</t>
        </is>
      </c>
      <c r="W511" s="26" t="n">
        <v>0</v>
      </c>
      <c r="X511" s="26" t="n">
        <v>0</v>
      </c>
      <c r="Y511" s="25" t="n"/>
      <c r="Z511" s="26" t="n">
        <v>-150</v>
      </c>
      <c r="AA511" s="28" t="n">
        <v>0.6</v>
      </c>
      <c r="AB511" s="28" t="n">
        <v>0</v>
      </c>
      <c r="AC511" s="30" t="n">
        <v>-1</v>
      </c>
      <c r="AD511" s="24" t="inlineStr">
        <is>
          <t>2026-09-10T16:01:16.344497Z</t>
        </is>
      </c>
      <c r="AE511" s="31" t="inlineStr">
        <is>
          <t>Poisson-DC rates 3.00 (home) / 1.62 (away) from EWMA attack/defense strengths. Executable ask 0.6000 (atc-mls-fcc-dcu-2026-09-05-fcc).</t>
        </is>
      </c>
      <c r="AF511" s="31" t="inlineStr">
        <is>
          <t>Research-only soccer score model; draw-aware, but not yet locked-holdout qualified.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D.C. United</t>
        </is>
      </c>
      <c r="AQ511" s="24" t="inlineStr">
        <is>
          <t>D.C. United</t>
        </is>
      </c>
      <c r="AR511" s="24" t="inlineStr">
        <is>
          <t>D.C. United</t>
        </is>
      </c>
      <c r="AS511" s="24" t="inlineStr">
        <is>
          <t>FC Cincinnati</t>
        </is>
      </c>
      <c r="AT511" s="24" t="inlineStr">
        <is>
          <t>FC Cincinnati</t>
        </is>
      </c>
      <c r="AU511" s="24" t="inlineStr">
        <is>
          <t>FC Cincinnati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e64f166eb03d5e657185abb04e25fff4830a8801f3dfa7f84e7c01a3f339baa9</t>
        </is>
      </c>
      <c r="BB511" s="24" t="inlineStr">
        <is>
          <t>poisson_dixon_coles</t>
        </is>
      </c>
      <c r="BC511" s="24" t="inlineStr">
        <is>
          <t>soccer-poisson-dc-v1</t>
        </is>
      </c>
      <c r="BD511" s="24" t="inlineStr">
        <is>
          <t>e64f166eb03d5e657185abb04e25fff4830a8801f3dfa7f84e7c01a3f339baa9</t>
        </is>
      </c>
      <c r="BE511" s="24" t="inlineStr">
        <is>
          <t>soccer-poisson-dc-v1</t>
        </is>
      </c>
      <c r="BF511" s="24" t="inlineStr">
        <is>
          <t>1</t>
        </is>
      </c>
      <c r="BG511" s="24" t="inlineStr">
        <is>
          <t>e64f166eb03d5e657185abb04e25fff4830a8801f3dfa7f84e7c01a3f339baa9</t>
        </is>
      </c>
      <c r="BH511" s="24" t="inlineStr">
        <is>
          <t>2026-09-05T22:04:32.293518Z</t>
        </is>
      </c>
      <c r="BI511" s="24" t="inlineStr">
        <is>
          <t>["same_event","same_team_same_day","same_league_same_day"]</t>
        </is>
      </c>
      <c r="BJ511" s="25" t="n"/>
      <c r="BK511" s="26" t="n">
        <v>-150</v>
      </c>
      <c r="BL511" s="27" t="n">
        <v>1.666667</v>
      </c>
      <c r="BM511" s="28" t="n">
        <v>0.6</v>
      </c>
      <c r="BN511" s="28" t="n"/>
      <c r="BO511" s="28" t="n"/>
      <c r="BP511" s="25" t="n"/>
      <c r="BQ511" s="27" t="n">
        <v>1.666667</v>
      </c>
      <c r="BR511" s="28" t="n">
        <v>0.6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0.6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89d73cc881dd439d</t>
        </is>
      </c>
      <c r="B512" s="24" t="inlineStr">
        <is>
          <t>2026-09-05T22:05:14.461440Z</t>
        </is>
      </c>
      <c r="C512" s="24" t="inlineStr">
        <is>
          <t>2026-09-05T23:30Z</t>
        </is>
      </c>
      <c r="D512" s="24" t="inlineStr">
        <is>
          <t>761777</t>
        </is>
      </c>
      <c r="E512" s="24" t="inlineStr">
        <is>
          <t>SOCCER</t>
        </is>
      </c>
      <c r="F512" s="24" t="inlineStr">
        <is>
          <t>Atlanta United FC</t>
        </is>
      </c>
      <c r="G512" s="24" t="inlineStr">
        <is>
          <t>Inter Miami CF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-317</v>
      </c>
      <c r="M512" s="27" t="n">
        <v>1.315457</v>
      </c>
      <c r="N512" s="28" t="n">
        <v>0.760192</v>
      </c>
      <c r="O512" s="28" t="n">
        <v>0.819572</v>
      </c>
      <c r="P512" s="28" t="n">
        <v>0.04</v>
      </c>
      <c r="Q512" s="28" t="n">
        <v>0.05938</v>
      </c>
      <c r="R512" s="26" t="n">
        <v>56</v>
      </c>
      <c r="S512" s="29" t="n">
        <v>1.25</v>
      </c>
      <c r="T512" s="24" t="inlineStr">
        <is>
          <t>soccer-poisson-dc-v1</t>
        </is>
      </c>
      <c r="U512" s="24" t="inlineStr">
        <is>
          <t>settled</t>
        </is>
      </c>
      <c r="V512" s="24" t="inlineStr">
        <is>
          <t>loss</t>
        </is>
      </c>
      <c r="W512" s="26" t="n">
        <v>2</v>
      </c>
      <c r="X512" s="26" t="n">
        <v>2</v>
      </c>
      <c r="Y512" s="25" t="n"/>
      <c r="Z512" s="26" t="n">
        <v>-317</v>
      </c>
      <c r="AA512" s="28" t="n">
        <v>0.76</v>
      </c>
      <c r="AB512" s="28" t="n">
        <v>-0.000192</v>
      </c>
      <c r="AC512" s="30" t="n">
        <v>-1.25</v>
      </c>
      <c r="AD512" s="24" t="inlineStr">
        <is>
          <t>2026-09-06T04:31:56.403870Z</t>
        </is>
      </c>
      <c r="AE512" s="31" t="inlineStr">
        <is>
          <t>Poisson-DC rates 3.39 (home) / 0.98 (away) from EWMA attack/defense strengths. Executable ask 0.7600 (atc-mls-mia-atl-2026-09-05-mia).</t>
        </is>
      </c>
      <c r="AF512" s="31" t="inlineStr">
        <is>
          <t>Research-only soccer score model; draw-aware, but not yet locked-holdout qualified.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Atlanta United FC</t>
        </is>
      </c>
      <c r="AQ512" s="24" t="inlineStr">
        <is>
          <t>Atlanta United FC</t>
        </is>
      </c>
      <c r="AR512" s="24" t="inlineStr">
        <is>
          <t>Atlanta United FC</t>
        </is>
      </c>
      <c r="AS512" s="24" t="inlineStr">
        <is>
          <t>Inter Miami CF</t>
        </is>
      </c>
      <c r="AT512" s="24" t="inlineStr">
        <is>
          <t>Inter Miami CF</t>
        </is>
      </c>
      <c r="AU512" s="24" t="inlineStr">
        <is>
          <t>Inter Miami CF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e64f166eb03d5e657185abb04e25fff4830a8801f3dfa7f84e7c01a3f339baa9</t>
        </is>
      </c>
      <c r="BB512" s="24" t="inlineStr">
        <is>
          <t>poisson_dixon_coles</t>
        </is>
      </c>
      <c r="BC512" s="24" t="inlineStr">
        <is>
          <t>soccer-poisson-dc-v1</t>
        </is>
      </c>
      <c r="BD512" s="24" t="inlineStr">
        <is>
          <t>e64f166eb03d5e657185abb04e25fff4830a8801f3dfa7f84e7c01a3f339baa9</t>
        </is>
      </c>
      <c r="BE512" s="24" t="inlineStr">
        <is>
          <t>soccer-poisson-dc-v1</t>
        </is>
      </c>
      <c r="BF512" s="24" t="inlineStr">
        <is>
          <t>1</t>
        </is>
      </c>
      <c r="BG512" s="24" t="inlineStr">
        <is>
          <t>e64f166eb03d5e657185abb04e25fff4830a8801f3dfa7f84e7c01a3f339baa9</t>
        </is>
      </c>
      <c r="BH512" s="24" t="inlineStr">
        <is>
          <t>2026-09-05T22:04:31.342443Z</t>
        </is>
      </c>
      <c r="BI512" s="24" t="inlineStr">
        <is>
          <t>["same_event","same_team_same_day","same_league_same_day"]</t>
        </is>
      </c>
      <c r="BJ512" s="25" t="n"/>
      <c r="BK512" s="26" t="n">
        <v>-317</v>
      </c>
      <c r="BL512" s="27" t="n">
        <v>1.315457</v>
      </c>
      <c r="BM512" s="28" t="n">
        <v>0.760192</v>
      </c>
      <c r="BN512" s="28" t="n"/>
      <c r="BO512" s="28" t="n"/>
      <c r="BP512" s="25" t="n"/>
      <c r="BQ512" s="27" t="n">
        <v>1.315457</v>
      </c>
      <c r="BR512" s="28" t="n">
        <v>0.76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0.760192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31b400c3a9214093</t>
        </is>
      </c>
      <c r="B513" s="24" t="inlineStr">
        <is>
          <t>2026-09-05T22:05:14.461440Z</t>
        </is>
      </c>
      <c r="C513" s="24" t="inlineStr">
        <is>
          <t>2026-09-05T23:30Z</t>
        </is>
      </c>
      <c r="D513" s="24" t="inlineStr">
        <is>
          <t>761771</t>
        </is>
      </c>
      <c r="E513" s="24" t="inlineStr">
        <is>
          <t>SOCCER</t>
        </is>
      </c>
      <c r="F513" s="24" t="inlineStr">
        <is>
          <t>San Diego FC</t>
        </is>
      </c>
      <c r="G513" s="24" t="inlineStr">
        <is>
          <t>Orlando City SC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186</v>
      </c>
      <c r="M513" s="27" t="n">
        <v>2.86</v>
      </c>
      <c r="N513" s="28" t="n">
        <v>0.34965</v>
      </c>
      <c r="O513" s="28" t="n">
        <v>0.496219</v>
      </c>
      <c r="P513" s="28" t="n">
        <v>0.04</v>
      </c>
      <c r="Q513" s="28" t="n">
        <v>0.146569</v>
      </c>
      <c r="R513" s="26" t="n">
        <v>99</v>
      </c>
      <c r="S513" s="29" t="n">
        <v>1.75</v>
      </c>
      <c r="T513" s="24" t="inlineStr">
        <is>
          <t>soccer-poisson-dc-v1</t>
        </is>
      </c>
      <c r="U513" s="24" t="inlineStr">
        <is>
          <t>settled</t>
        </is>
      </c>
      <c r="V513" s="24" t="inlineStr">
        <is>
          <t>loss</t>
        </is>
      </c>
      <c r="W513" s="26" t="n">
        <v>0</v>
      </c>
      <c r="X513" s="26" t="n">
        <v>1</v>
      </c>
      <c r="Y513" s="25" t="n"/>
      <c r="Z513" s="26" t="n">
        <v>-203</v>
      </c>
      <c r="AA513" s="28" t="n">
        <v>0.67</v>
      </c>
      <c r="AB513" s="28" t="n">
        <v>0.32035</v>
      </c>
      <c r="AC513" s="30" t="n">
        <v>-1.75</v>
      </c>
      <c r="AD513" s="24" t="inlineStr">
        <is>
          <t>2026-09-06T04:31:56.898467Z</t>
        </is>
      </c>
      <c r="AE513" s="31" t="inlineStr">
        <is>
          <t>Poisson-DC rates 2.09 (home) / 2.62 (away) from EWMA attack/defense strengths. Executable ask 0.3500 (atc-mls-orl-sdg-2026-09-05-sdg).</t>
        </is>
      </c>
      <c r="AF513" s="31" t="inlineStr">
        <is>
          <t>Research-only soccer score model; draw-aware, but not yet locked-holdout qualified.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San Diego FC</t>
        </is>
      </c>
      <c r="AQ513" s="24" t="inlineStr">
        <is>
          <t>San Diego FC</t>
        </is>
      </c>
      <c r="AR513" s="24" t="inlineStr">
        <is>
          <t>San Diego FC</t>
        </is>
      </c>
      <c r="AS513" s="24" t="inlineStr">
        <is>
          <t>Orlando City SC</t>
        </is>
      </c>
      <c r="AT513" s="24" t="inlineStr">
        <is>
          <t>Orlando City SC</t>
        </is>
      </c>
      <c r="AU513" s="24" t="inlineStr">
        <is>
          <t>Orlando City SC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e64f166eb03d5e657185abb04e25fff4830a8801f3dfa7f84e7c01a3f339baa9</t>
        </is>
      </c>
      <c r="BB513" s="24" t="inlineStr">
        <is>
          <t>poisson_dixon_coles</t>
        </is>
      </c>
      <c r="BC513" s="24" t="inlineStr">
        <is>
          <t>soccer-poisson-dc-v1</t>
        </is>
      </c>
      <c r="BD513" s="24" t="inlineStr">
        <is>
          <t>e64f166eb03d5e657185abb04e25fff4830a8801f3dfa7f84e7c01a3f339baa9</t>
        </is>
      </c>
      <c r="BE513" s="24" t="inlineStr">
        <is>
          <t>soccer-poisson-dc-v1</t>
        </is>
      </c>
      <c r="BF513" s="24" t="inlineStr">
        <is>
          <t>1</t>
        </is>
      </c>
      <c r="BG513" s="24" t="inlineStr">
        <is>
          <t>e64f166eb03d5e657185abb04e25fff4830a8801f3dfa7f84e7c01a3f339baa9</t>
        </is>
      </c>
      <c r="BH513" s="24" t="inlineStr">
        <is>
          <t>2026-09-05T22:04:32.360747Z</t>
        </is>
      </c>
      <c r="BI513" s="24" t="inlineStr">
        <is>
          <t>["same_event","same_team_same_day","same_league_same_day"]</t>
        </is>
      </c>
      <c r="BJ513" s="25" t="n"/>
      <c r="BK513" s="26" t="n">
        <v>186</v>
      </c>
      <c r="BL513" s="27" t="n">
        <v>2.86</v>
      </c>
      <c r="BM513" s="28" t="n">
        <v>0.34965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0.34965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44013b822fbb482f</t>
        </is>
      </c>
      <c r="B514" s="24" t="inlineStr">
        <is>
          <t>2026-09-05T22:05:14.461440Z</t>
        </is>
      </c>
      <c r="C514" s="24" t="inlineStr">
        <is>
          <t>2026-09-05T23:30Z</t>
        </is>
      </c>
      <c r="D514" s="24" t="inlineStr">
        <is>
          <t>761776</t>
        </is>
      </c>
      <c r="E514" s="24" t="inlineStr">
        <is>
          <t>SOCCER</t>
        </is>
      </c>
      <c r="F514" s="24" t="inlineStr">
        <is>
          <t>Chicago Fire FC</t>
        </is>
      </c>
      <c r="G514" s="24" t="inlineStr">
        <is>
          <t>Toronto FC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127</v>
      </c>
      <c r="M514" s="27" t="n">
        <v>2.27</v>
      </c>
      <c r="N514" s="28" t="n">
        <v>0.440529</v>
      </c>
      <c r="O514" s="28" t="n">
        <v>0.473307</v>
      </c>
      <c r="P514" s="28" t="n">
        <v>0.04</v>
      </c>
      <c r="Q514" s="28" t="n">
        <v>0.032778</v>
      </c>
      <c r="R514" s="26" t="n">
        <v>42</v>
      </c>
      <c r="S514" s="29" t="n">
        <v>1</v>
      </c>
      <c r="T514" s="24" t="inlineStr">
        <is>
          <t>soccer-poisson-dc-v1</t>
        </is>
      </c>
      <c r="U514" s="24" t="inlineStr">
        <is>
          <t>settled</t>
        </is>
      </c>
      <c r="V514" s="24" t="inlineStr">
        <is>
          <t>loss</t>
        </is>
      </c>
      <c r="W514" s="26" t="n">
        <v>4</v>
      </c>
      <c r="X514" s="26" t="n">
        <v>4</v>
      </c>
      <c r="Y514" s="25" t="n"/>
      <c r="Z514" s="26" t="n">
        <v>-138</v>
      </c>
      <c r="AA514" s="28" t="n">
        <v>0.58</v>
      </c>
      <c r="AB514" s="28" t="n">
        <v>0.139471</v>
      </c>
      <c r="AC514" s="30" t="n">
        <v>-1</v>
      </c>
      <c r="AD514" s="24" t="inlineStr">
        <is>
          <t>2026-09-06T04:31:57.399100Z</t>
        </is>
      </c>
      <c r="AE514" s="31" t="inlineStr">
        <is>
          <t>Poisson-DC rates 1.42 (home) / 1.88 (away) from EWMA attack/defense strengths. Executable ask 0.4400 (atc-mls-tor-chi-2026-09-05-chi).</t>
        </is>
      </c>
      <c r="AF514" s="31" t="inlineStr">
        <is>
          <t>Research-only soccer score model; draw-aware, but not yet locked-holdout qualified.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Chicago Fire FC</t>
        </is>
      </c>
      <c r="AQ514" s="24" t="inlineStr">
        <is>
          <t>Chicago Fire FC</t>
        </is>
      </c>
      <c r="AR514" s="24" t="inlineStr">
        <is>
          <t>Chicago Fire FC</t>
        </is>
      </c>
      <c r="AS514" s="24" t="inlineStr">
        <is>
          <t>Toronto FC</t>
        </is>
      </c>
      <c r="AT514" s="24" t="inlineStr">
        <is>
          <t>Toronto FC</t>
        </is>
      </c>
      <c r="AU514" s="24" t="inlineStr">
        <is>
          <t>Toronto FC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e64f166eb03d5e657185abb04e25fff4830a8801f3dfa7f84e7c01a3f339baa9</t>
        </is>
      </c>
      <c r="BB514" s="24" t="inlineStr">
        <is>
          <t>poisson_dixon_coles</t>
        </is>
      </c>
      <c r="BC514" s="24" t="inlineStr">
        <is>
          <t>soccer-poisson-dc-v1</t>
        </is>
      </c>
      <c r="BD514" s="24" t="inlineStr">
        <is>
          <t>e64f166eb03d5e657185abb04e25fff4830a8801f3dfa7f84e7c01a3f339baa9</t>
        </is>
      </c>
      <c r="BE514" s="24" t="inlineStr">
        <is>
          <t>soccer-poisson-dc-v1</t>
        </is>
      </c>
      <c r="BF514" s="24" t="inlineStr">
        <is>
          <t>1</t>
        </is>
      </c>
      <c r="BG514" s="24" t="inlineStr">
        <is>
          <t>e64f166eb03d5e657185abb04e25fff4830a8801f3dfa7f84e7c01a3f339baa9</t>
        </is>
      </c>
      <c r="BH514" s="24" t="inlineStr">
        <is>
          <t>2026-09-05T22:04:31.388347Z</t>
        </is>
      </c>
      <c r="BI514" s="24" t="inlineStr">
        <is>
          <t>["same_event","same_team_same_day","same_league_same_day"]</t>
        </is>
      </c>
      <c r="BJ514" s="25" t="n"/>
      <c r="BK514" s="26" t="n">
        <v>127</v>
      </c>
      <c r="BL514" s="27" t="n">
        <v>2.27</v>
      </c>
      <c r="BM514" s="28" t="n">
        <v>0.440529</v>
      </c>
      <c r="BN514" s="28" t="n"/>
      <c r="BO514" s="28" t="n"/>
      <c r="BP514" s="25" t="n"/>
      <c r="BQ514" s="27" t="n">
        <v>1.724638</v>
      </c>
      <c r="BR514" s="28" t="n">
        <v>0.58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0.440529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1ebdb2b618e843ce</t>
        </is>
      </c>
      <c r="B515" s="24" t="inlineStr">
        <is>
          <t>2026-09-05T22:05:14.461440Z</t>
        </is>
      </c>
      <c r="C515" s="24" t="inlineStr">
        <is>
          <t>2026-09-06T00:30Z</t>
        </is>
      </c>
      <c r="D515" s="24" t="inlineStr">
        <is>
          <t>761778</t>
        </is>
      </c>
      <c r="E515" s="24" t="inlineStr">
        <is>
          <t>SOCCER</t>
        </is>
      </c>
      <c r="F515" s="24" t="inlineStr">
        <is>
          <t>San Jose Earthquakes</t>
        </is>
      </c>
      <c r="G515" s="24" t="inlineStr">
        <is>
          <t>Austin FC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212</v>
      </c>
      <c r="M515" s="27" t="n">
        <v>3.12</v>
      </c>
      <c r="N515" s="28" t="n">
        <v>0.320513</v>
      </c>
      <c r="O515" s="28" t="n">
        <v>0.554708</v>
      </c>
      <c r="P515" s="28" t="n">
        <v>0.04</v>
      </c>
      <c r="Q515" s="28" t="n">
        <v>0.234195</v>
      </c>
      <c r="R515" s="26" t="n">
        <v>100</v>
      </c>
      <c r="S515" s="29" t="n">
        <v>2</v>
      </c>
      <c r="T515" s="24" t="inlineStr">
        <is>
          <t>soccer-poisson-dc-v1</t>
        </is>
      </c>
      <c r="U515" s="24" t="inlineStr">
        <is>
          <t>settled</t>
        </is>
      </c>
      <c r="V515" s="24" t="inlineStr">
        <is>
          <t>loss</t>
        </is>
      </c>
      <c r="W515" s="26" t="n">
        <v>1</v>
      </c>
      <c r="X515" s="26" t="n">
        <v>1</v>
      </c>
      <c r="Y515" s="25" t="n"/>
      <c r="Z515" s="26" t="n">
        <v>-223</v>
      </c>
      <c r="AA515" s="28" t="n">
        <v>0.6899999999999999</v>
      </c>
      <c r="AB515" s="28" t="n">
        <v>0.369487</v>
      </c>
      <c r="AC515" s="30" t="n">
        <v>-2</v>
      </c>
      <c r="AD515" s="24" t="inlineStr">
        <is>
          <t>2026-09-06T04:31:57.888570Z</t>
        </is>
      </c>
      <c r="AE515" s="31" t="inlineStr">
        <is>
          <t>Poisson-DC rates 1.38 (home) / 2.21 (away) from EWMA attack/defense strengths. Executable ask 0.3200 (atc-mls-aus-sje-2026-09-05-sje).</t>
        </is>
      </c>
      <c r="AF515" s="31" t="inlineStr">
        <is>
          <t>Research-only soccer score model; draw-aware, but not yet locked-holdout qualified.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San Jose Earthquakes</t>
        </is>
      </c>
      <c r="AQ515" s="24" t="inlineStr">
        <is>
          <t>San Jose Earthquakes</t>
        </is>
      </c>
      <c r="AR515" s="24" t="inlineStr">
        <is>
          <t>San Jose Earthquakes</t>
        </is>
      </c>
      <c r="AS515" s="24" t="inlineStr">
        <is>
          <t>Austin FC</t>
        </is>
      </c>
      <c r="AT515" s="24" t="inlineStr">
        <is>
          <t>Austin FC</t>
        </is>
      </c>
      <c r="AU515" s="24" t="inlineStr">
        <is>
          <t>Austin FC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e64f166eb03d5e657185abb04e25fff4830a8801f3dfa7f84e7c01a3f339baa9</t>
        </is>
      </c>
      <c r="BB515" s="24" t="inlineStr">
        <is>
          <t>poisson_dixon_coles</t>
        </is>
      </c>
      <c r="BC515" s="24" t="inlineStr">
        <is>
          <t>soccer-poisson-dc-v1</t>
        </is>
      </c>
      <c r="BD515" s="24" t="inlineStr">
        <is>
          <t>e64f166eb03d5e657185abb04e25fff4830a8801f3dfa7f84e7c01a3f339baa9</t>
        </is>
      </c>
      <c r="BE515" s="24" t="inlineStr">
        <is>
          <t>soccer-poisson-dc-v1</t>
        </is>
      </c>
      <c r="BF515" s="24" t="inlineStr">
        <is>
          <t>1</t>
        </is>
      </c>
      <c r="BG515" s="24" t="inlineStr">
        <is>
          <t>e64f166eb03d5e657185abb04e25fff4830a8801f3dfa7f84e7c01a3f339baa9</t>
        </is>
      </c>
      <c r="BH515" s="24" t="inlineStr">
        <is>
          <t>2026-09-05T22:04:32.578417Z</t>
        </is>
      </c>
      <c r="BI515" s="24" t="inlineStr">
        <is>
          <t>["same_event","same_team_same_day","same_league_same_day"]</t>
        </is>
      </c>
      <c r="BJ515" s="25" t="n"/>
      <c r="BK515" s="26" t="n">
        <v>212</v>
      </c>
      <c r="BL515" s="27" t="n">
        <v>3.12</v>
      </c>
      <c r="BM515" s="28" t="n">
        <v>0.320513</v>
      </c>
      <c r="BN515" s="28" t="n"/>
      <c r="BO515" s="28" t="n"/>
      <c r="BP515" s="25" t="n"/>
      <c r="BQ515" s="27" t="n">
        <v>1.44843</v>
      </c>
      <c r="BR515" s="28" t="n">
        <v>0.6899999999999999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0.320513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2d355ff06d104530</t>
        </is>
      </c>
      <c r="B516" s="24" t="inlineStr">
        <is>
          <t>2026-09-05T22:05:14.461440Z</t>
        </is>
      </c>
      <c r="C516" s="24" t="inlineStr">
        <is>
          <t>2026-09-06T00:30Z</t>
        </is>
      </c>
      <c r="D516" s="24" t="inlineStr">
        <is>
          <t>761779</t>
        </is>
      </c>
      <c r="E516" s="24" t="inlineStr">
        <is>
          <t>SOCCER</t>
        </is>
      </c>
      <c r="F516" s="24" t="inlineStr">
        <is>
          <t>Sporting Kansas City</t>
        </is>
      </c>
      <c r="G516" s="24" t="inlineStr">
        <is>
          <t>FC Dallas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-245</v>
      </c>
      <c r="M516" s="27" t="n">
        <v>1.408163</v>
      </c>
      <c r="N516" s="28" t="n">
        <v>0.710145</v>
      </c>
      <c r="O516" s="28" t="n">
        <v>0.793944</v>
      </c>
      <c r="P516" s="28" t="n">
        <v>0.04</v>
      </c>
      <c r="Q516" s="28" t="n">
        <v>0.083799</v>
      </c>
      <c r="R516" s="26" t="n">
        <v>68</v>
      </c>
      <c r="S516" s="29" t="n">
        <v>1.25</v>
      </c>
      <c r="T516" s="24" t="inlineStr">
        <is>
          <t>soccer-poisson-dc-v1</t>
        </is>
      </c>
      <c r="U516" s="24" t="inlineStr">
        <is>
          <t>settled</t>
        </is>
      </c>
      <c r="V516" s="24" t="inlineStr">
        <is>
          <t>win</t>
        </is>
      </c>
      <c r="W516" s="26" t="n">
        <v>3</v>
      </c>
      <c r="X516" s="26" t="n">
        <v>4</v>
      </c>
      <c r="Y516" s="25" t="n"/>
      <c r="Z516" s="26" t="n">
        <v>-245</v>
      </c>
      <c r="AA516" s="28" t="n">
        <v>0.71</v>
      </c>
      <c r="AB516" s="28" t="n">
        <v>-0.000145</v>
      </c>
      <c r="AC516" s="30" t="n">
        <v>0.5102</v>
      </c>
      <c r="AD516" s="24" t="inlineStr">
        <is>
          <t>2026-09-06T04:31:58.386609Z</t>
        </is>
      </c>
      <c r="AE516" s="31" t="inlineStr">
        <is>
          <t>Poisson-DC rates 3.21 (home) / 1.02 (away) from EWMA attack/defense strengths. Executable ask 0.7100 (atc-mls-dal-skc-2026-09-05-dal).</t>
        </is>
      </c>
      <c r="AF516" s="31" t="inlineStr">
        <is>
          <t>Research-only soccer score model; draw-aware, but not yet locked-holdout qualified.</t>
        </is>
      </c>
      <c r="AG516" s="24" t="inlineStr">
        <is>
          <t>not_applicable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Sporting Kansas City</t>
        </is>
      </c>
      <c r="AQ516" s="24" t="inlineStr">
        <is>
          <t>Sporting Kansas City</t>
        </is>
      </c>
      <c r="AR516" s="24" t="inlineStr">
        <is>
          <t>Sporting Kansas City</t>
        </is>
      </c>
      <c r="AS516" s="24" t="inlineStr">
        <is>
          <t>FC Dallas</t>
        </is>
      </c>
      <c r="AT516" s="24" t="inlineStr">
        <is>
          <t>FC Dallas</t>
        </is>
      </c>
      <c r="AU516" s="24" t="inlineStr">
        <is>
          <t>FC Dallas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e64f166eb03d5e657185abb04e25fff4830a8801f3dfa7f84e7c01a3f339baa9</t>
        </is>
      </c>
      <c r="BB516" s="24" t="inlineStr">
        <is>
          <t>poisson_dixon_coles</t>
        </is>
      </c>
      <c r="BC516" s="24" t="inlineStr">
        <is>
          <t>soccer-poisson-dc-v1</t>
        </is>
      </c>
      <c r="BD516" s="24" t="inlineStr">
        <is>
          <t>e64f166eb03d5e657185abb04e25fff4830a8801f3dfa7f84e7c01a3f339baa9</t>
        </is>
      </c>
      <c r="BE516" s="24" t="inlineStr">
        <is>
          <t>soccer-poisson-dc-v1</t>
        </is>
      </c>
      <c r="BF516" s="24" t="inlineStr">
        <is>
          <t>1</t>
        </is>
      </c>
      <c r="BG516" s="24" t="inlineStr">
        <is>
          <t>e64f166eb03d5e657185abb04e25fff4830a8801f3dfa7f84e7c01a3f339baa9</t>
        </is>
      </c>
      <c r="BH516" s="24" t="inlineStr">
        <is>
          <t>2026-09-05T22:04:32.427213Z</t>
        </is>
      </c>
      <c r="BI516" s="24" t="inlineStr">
        <is>
          <t>["same_event","same_team_same_day","same_league_same_day"]</t>
        </is>
      </c>
      <c r="BJ516" s="25" t="n"/>
      <c r="BK516" s="26" t="n">
        <v>-245</v>
      </c>
      <c r="BL516" s="27" t="n">
        <v>1.408163</v>
      </c>
      <c r="BM516" s="28" t="n">
        <v>0.710145</v>
      </c>
      <c r="BN516" s="28" t="n"/>
      <c r="BO516" s="28" t="n"/>
      <c r="BP516" s="25" t="n"/>
      <c r="BQ516" s="27" t="n">
        <v>1.408163</v>
      </c>
      <c r="BR516" s="28" t="n">
        <v>0.71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0.710145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a1227e96ccc74ac5</t>
        </is>
      </c>
      <c r="B517" s="24" t="inlineStr">
        <is>
          <t>2026-09-05T22:05:14.461440Z</t>
        </is>
      </c>
      <c r="C517" s="24" t="inlineStr">
        <is>
          <t>2026-09-06T01:30Z</t>
        </is>
      </c>
      <c r="D517" s="24" t="inlineStr">
        <is>
          <t>761782</t>
        </is>
      </c>
      <c r="E517" s="24" t="inlineStr">
        <is>
          <t>SOCCER</t>
        </is>
      </c>
      <c r="F517" s="24" t="inlineStr">
        <is>
          <t>New England Revolution</t>
        </is>
      </c>
      <c r="G517" s="24" t="inlineStr">
        <is>
          <t>LA Galaxy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156</v>
      </c>
      <c r="M517" s="27" t="n">
        <v>2.56</v>
      </c>
      <c r="N517" s="28" t="n">
        <v>0.390625</v>
      </c>
      <c r="O517" s="28" t="n">
        <v>0.427346</v>
      </c>
      <c r="P517" s="28" t="n">
        <v>0.04</v>
      </c>
      <c r="Q517" s="28" t="n">
        <v>0.036721</v>
      </c>
      <c r="R517" s="26" t="n">
        <v>44</v>
      </c>
      <c r="S517" s="29" t="n">
        <v>1</v>
      </c>
      <c r="T517" s="24" t="inlineStr">
        <is>
          <t>soccer-poisson-dc-v1</t>
        </is>
      </c>
      <c r="U517" s="24" t="inlineStr">
        <is>
          <t>settled</t>
        </is>
      </c>
      <c r="V517" s="24" t="inlineStr">
        <is>
          <t>win</t>
        </is>
      </c>
      <c r="W517" s="26" t="n">
        <v>1</v>
      </c>
      <c r="X517" s="26" t="n">
        <v>2</v>
      </c>
      <c r="Y517" s="25" t="n"/>
      <c r="Z517" s="26" t="n">
        <v>156</v>
      </c>
      <c r="AA517" s="28" t="n">
        <v>0.39</v>
      </c>
      <c r="AB517" s="28" t="n">
        <v>-0.000625</v>
      </c>
      <c r="AC517" s="30" t="n">
        <v>1.56</v>
      </c>
      <c r="AD517" s="24" t="inlineStr">
        <is>
          <t>2026-09-06T04:31:58.882537Z</t>
        </is>
      </c>
      <c r="AE517" s="31" t="inlineStr">
        <is>
          <t>Poisson-DC rates 1.57 (home) / 1.29 (away) from EWMA attack/defense strengths. Executable ask 0.3900 (atc-mls-lag-ner-2026-09-05-lag).</t>
        </is>
      </c>
      <c r="AF517" s="31" t="inlineStr">
        <is>
          <t>Research-only soccer score model; draw-aware, but not yet locked-holdout qualified.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New England Revolution</t>
        </is>
      </c>
      <c r="AQ517" s="24" t="inlineStr">
        <is>
          <t>New England Revolution</t>
        </is>
      </c>
      <c r="AR517" s="24" t="inlineStr">
        <is>
          <t>New England Revolution</t>
        </is>
      </c>
      <c r="AS517" s="24" t="inlineStr">
        <is>
          <t>LA Galaxy</t>
        </is>
      </c>
      <c r="AT517" s="24" t="inlineStr">
        <is>
          <t>LA Galaxy</t>
        </is>
      </c>
      <c r="AU517" s="24" t="inlineStr">
        <is>
          <t>LA Galaxy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e64f166eb03d5e657185abb04e25fff4830a8801f3dfa7f84e7c01a3f339baa9</t>
        </is>
      </c>
      <c r="BB517" s="24" t="inlineStr">
        <is>
          <t>poisson_dixon_coles</t>
        </is>
      </c>
      <c r="BC517" s="24" t="inlineStr">
        <is>
          <t>soccer-poisson-dc-v1</t>
        </is>
      </c>
      <c r="BD517" s="24" t="inlineStr">
        <is>
          <t>e64f166eb03d5e657185abb04e25fff4830a8801f3dfa7f84e7c01a3f339baa9</t>
        </is>
      </c>
      <c r="BE517" s="24" t="inlineStr">
        <is>
          <t>soccer-poisson-dc-v1</t>
        </is>
      </c>
      <c r="BF517" s="24" t="inlineStr">
        <is>
          <t>1</t>
        </is>
      </c>
      <c r="BG517" s="24" t="inlineStr">
        <is>
          <t>e64f166eb03d5e657185abb04e25fff4830a8801f3dfa7f84e7c01a3f339baa9</t>
        </is>
      </c>
      <c r="BH517" s="24" t="inlineStr">
        <is>
          <t>2026-09-05T22:04:32.599203Z</t>
        </is>
      </c>
      <c r="BI517" s="24" t="inlineStr">
        <is>
          <t>["same_event","same_team_same_day","same_league_same_day"]</t>
        </is>
      </c>
      <c r="BJ517" s="25" t="n"/>
      <c r="BK517" s="26" t="n">
        <v>156</v>
      </c>
      <c r="BL517" s="27" t="n">
        <v>2.56</v>
      </c>
      <c r="BM517" s="28" t="n">
        <v>0.390625</v>
      </c>
      <c r="BN517" s="28" t="n"/>
      <c r="BO517" s="28" t="n"/>
      <c r="BP517" s="25" t="n"/>
      <c r="BQ517" s="27" t="n">
        <v>2.56</v>
      </c>
      <c r="BR517" s="28" t="n">
        <v>0.39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0.390625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4a491ece02314e1d</t>
        </is>
      </c>
      <c r="B518" s="24" t="inlineStr">
        <is>
          <t>2026-09-05T22:05:14.461440Z</t>
        </is>
      </c>
      <c r="C518" s="24" t="inlineStr">
        <is>
          <t>2026-09-06T02:30Z</t>
        </is>
      </c>
      <c r="D518" s="24" t="inlineStr">
        <is>
          <t>761783</t>
        </is>
      </c>
      <c r="E518" s="24" t="inlineStr">
        <is>
          <t>SOCCER</t>
        </is>
      </c>
      <c r="F518" s="24" t="inlineStr">
        <is>
          <t>Minnesota United FC</t>
        </is>
      </c>
      <c r="G518" s="24" t="inlineStr">
        <is>
          <t>Portland Timbers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133</v>
      </c>
      <c r="M518" s="27" t="n">
        <v>2.33</v>
      </c>
      <c r="N518" s="28" t="n">
        <v>0.429185</v>
      </c>
      <c r="O518" s="28" t="n">
        <v>0.457116</v>
      </c>
      <c r="P518" s="28" t="n">
        <v>0.04</v>
      </c>
      <c r="Q518" s="28" t="n">
        <v>0.027931</v>
      </c>
      <c r="R518" s="26" t="n">
        <v>40</v>
      </c>
      <c r="S518" s="29" t="n">
        <v>1</v>
      </c>
      <c r="T518" s="24" t="inlineStr">
        <is>
          <t>soccer-poisson-dc-v1</t>
        </is>
      </c>
      <c r="U518" s="24" t="inlineStr">
        <is>
          <t>settled</t>
        </is>
      </c>
      <c r="V518" s="24" t="inlineStr">
        <is>
          <t>win</t>
        </is>
      </c>
      <c r="W518" s="26" t="n">
        <v>4</v>
      </c>
      <c r="X518" s="26" t="n">
        <v>5</v>
      </c>
      <c r="Y518" s="25" t="n"/>
      <c r="Z518" s="26" t="n">
        <v>133</v>
      </c>
      <c r="AA518" s="28" t="n">
        <v>0.43</v>
      </c>
      <c r="AB518" s="28" t="n">
        <v>0.000815</v>
      </c>
      <c r="AC518" s="30" t="n">
        <v>1.33</v>
      </c>
      <c r="AD518" s="24" t="inlineStr">
        <is>
          <t>2026-09-06T10:00:20.845225Z</t>
        </is>
      </c>
      <c r="AE518" s="31" t="inlineStr">
        <is>
          <t>Poisson-DC rates 1.73 (home) / 1.34 (away) from EWMA attack/defense strengths. Executable ask 0.4300 (atc-mls-por-min-2026-09-05-por).</t>
        </is>
      </c>
      <c r="AF518" s="31" t="inlineStr">
        <is>
          <t>Research-only soccer score model; draw-aware, but not yet locked-holdout qualified.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Minnesota United FC</t>
        </is>
      </c>
      <c r="AQ518" s="24" t="inlineStr">
        <is>
          <t>Minnesota United FC</t>
        </is>
      </c>
      <c r="AR518" s="24" t="inlineStr">
        <is>
          <t>Minnesota United FC</t>
        </is>
      </c>
      <c r="AS518" s="24" t="inlineStr">
        <is>
          <t>Portland Timbers</t>
        </is>
      </c>
      <c r="AT518" s="24" t="inlineStr">
        <is>
          <t>Portland Timbers</t>
        </is>
      </c>
      <c r="AU518" s="24" t="inlineStr">
        <is>
          <t>Portland Timbers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e64f166eb03d5e657185abb04e25fff4830a8801f3dfa7f84e7c01a3f339baa9</t>
        </is>
      </c>
      <c r="BB518" s="24" t="inlineStr">
        <is>
          <t>poisson_dixon_coles</t>
        </is>
      </c>
      <c r="BC518" s="24" t="inlineStr">
        <is>
          <t>soccer-poisson-dc-v1</t>
        </is>
      </c>
      <c r="BD518" s="24" t="inlineStr">
        <is>
          <t>e64f166eb03d5e657185abb04e25fff4830a8801f3dfa7f84e7c01a3f339baa9</t>
        </is>
      </c>
      <c r="BE518" s="24" t="inlineStr">
        <is>
          <t>soccer-poisson-dc-v1</t>
        </is>
      </c>
      <c r="BF518" s="24" t="inlineStr">
        <is>
          <t>1</t>
        </is>
      </c>
      <c r="BG518" s="24" t="inlineStr">
        <is>
          <t>e64f166eb03d5e657185abb04e25fff4830a8801f3dfa7f84e7c01a3f339baa9</t>
        </is>
      </c>
      <c r="BH518" s="24" t="inlineStr">
        <is>
          <t>2026-09-05T22:04:33.391320Z</t>
        </is>
      </c>
      <c r="BI518" s="24" t="inlineStr">
        <is>
          <t>["same_event","same_team_same_day","same_league_same_day"]</t>
        </is>
      </c>
      <c r="BJ518" s="25" t="n"/>
      <c r="BK518" s="26" t="n">
        <v>133</v>
      </c>
      <c r="BL518" s="27" t="n">
        <v>2.33</v>
      </c>
      <c r="BM518" s="28" t="n">
        <v>0.429185</v>
      </c>
      <c r="BN518" s="28" t="n"/>
      <c r="BO518" s="28" t="n"/>
      <c r="BP518" s="25" t="n"/>
      <c r="BQ518" s="27" t="n">
        <v>2.33</v>
      </c>
      <c r="BR518" s="28" t="n">
        <v>0.43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0.429185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b449e31dfebb49f2</t>
        </is>
      </c>
      <c r="B519" s="24" t="inlineStr">
        <is>
          <t>2026-09-05T22:05:14.461440Z</t>
        </is>
      </c>
      <c r="C519" s="24" t="inlineStr">
        <is>
          <t>2026-09-06T02:30Z</t>
        </is>
      </c>
      <c r="D519" s="24" t="inlineStr">
        <is>
          <t>761784</t>
        </is>
      </c>
      <c r="E519" s="24" t="inlineStr">
        <is>
          <t>SOCCER</t>
        </is>
      </c>
      <c r="F519" s="24" t="inlineStr">
        <is>
          <t>St. Louis CITY SC</t>
        </is>
      </c>
      <c r="G519" s="24" t="inlineStr">
        <is>
          <t>Vancouver Whitecaps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-186</v>
      </c>
      <c r="M519" s="27" t="n">
        <v>1.537634</v>
      </c>
      <c r="N519" s="28" t="n">
        <v>0.65035</v>
      </c>
      <c r="O519" s="28" t="n">
        <v>0.7059569999999999</v>
      </c>
      <c r="P519" s="28" t="n">
        <v>0.04</v>
      </c>
      <c r="Q519" s="28" t="n">
        <v>0.055607</v>
      </c>
      <c r="R519" s="26" t="n">
        <v>54</v>
      </c>
      <c r="S519" s="29" t="n">
        <v>1</v>
      </c>
      <c r="T519" s="24" t="inlineStr">
        <is>
          <t>soccer-poisson-dc-v1</t>
        </is>
      </c>
      <c r="U519" s="24" t="inlineStr">
        <is>
          <t>settled</t>
        </is>
      </c>
      <c r="V519" s="24" t="inlineStr">
        <is>
          <t>loss</t>
        </is>
      </c>
      <c r="W519" s="26" t="n">
        <v>3</v>
      </c>
      <c r="X519" s="26" t="n">
        <v>1</v>
      </c>
      <c r="Y519" s="25" t="n"/>
      <c r="Z519" s="26" t="n">
        <v>-186</v>
      </c>
      <c r="AA519" s="28" t="n">
        <v>0.65</v>
      </c>
      <c r="AB519" s="28" t="n">
        <v>-0.00035</v>
      </c>
      <c r="AC519" s="30" t="n">
        <v>-1</v>
      </c>
      <c r="AD519" s="24" t="inlineStr">
        <is>
          <t>2026-09-06T10:00:21.321192Z</t>
        </is>
      </c>
      <c r="AE519" s="31" t="inlineStr">
        <is>
          <t>Poisson-DC rates 2.52 (home) / 0.95 (away) from EWMA attack/defense strengths. Executable ask 0.6500 (atc-mls-vwh-stl-2026-09-05-vwh).</t>
        </is>
      </c>
      <c r="AF519" s="31" t="inlineStr">
        <is>
          <t>Research-only soccer score model; draw-aware, but not yet locked-holdout qualified.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St. Louis CITY SC</t>
        </is>
      </c>
      <c r="AQ519" s="24" t="inlineStr">
        <is>
          <t>St. Louis CITY SC</t>
        </is>
      </c>
      <c r="AR519" s="24" t="inlineStr">
        <is>
          <t>St. Louis CITY SC</t>
        </is>
      </c>
      <c r="AS519" s="24" t="inlineStr">
        <is>
          <t>Vancouver Whitecaps</t>
        </is>
      </c>
      <c r="AT519" s="24" t="inlineStr">
        <is>
          <t>Vancouver Whitecaps</t>
        </is>
      </c>
      <c r="AU519" s="24" t="inlineStr">
        <is>
          <t>Vancouver Whitecaps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e64f166eb03d5e657185abb04e25fff4830a8801f3dfa7f84e7c01a3f339baa9</t>
        </is>
      </c>
      <c r="BB519" s="24" t="inlineStr">
        <is>
          <t>poisson_dixon_coles</t>
        </is>
      </c>
      <c r="BC519" s="24" t="inlineStr">
        <is>
          <t>soccer-poisson-dc-v1</t>
        </is>
      </c>
      <c r="BD519" s="24" t="inlineStr">
        <is>
          <t>e64f166eb03d5e657185abb04e25fff4830a8801f3dfa7f84e7c01a3f339baa9</t>
        </is>
      </c>
      <c r="BE519" s="24" t="inlineStr">
        <is>
          <t>soccer-poisson-dc-v1</t>
        </is>
      </c>
      <c r="BF519" s="24" t="inlineStr">
        <is>
          <t>1</t>
        </is>
      </c>
      <c r="BG519" s="24" t="inlineStr">
        <is>
          <t>e64f166eb03d5e657185abb04e25fff4830a8801f3dfa7f84e7c01a3f339baa9</t>
        </is>
      </c>
      <c r="BH519" s="24" t="inlineStr">
        <is>
          <t>2026-09-05T22:04:33.455563Z</t>
        </is>
      </c>
      <c r="BI519" s="24" t="inlineStr">
        <is>
          <t>["same_event","same_team_same_day","same_league_same_day"]</t>
        </is>
      </c>
      <c r="BJ519" s="25" t="n"/>
      <c r="BK519" s="26" t="n">
        <v>-186</v>
      </c>
      <c r="BL519" s="27" t="n">
        <v>1.537634</v>
      </c>
      <c r="BM519" s="28" t="n">
        <v>0.65035</v>
      </c>
      <c r="BN519" s="28" t="n"/>
      <c r="BO519" s="28" t="n"/>
      <c r="BP519" s="25" t="n"/>
      <c r="BQ519" s="27" t="n">
        <v>1.537634</v>
      </c>
      <c r="BR519" s="28" t="n">
        <v>0.65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0.65035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364ad53a1547402b</t>
        </is>
      </c>
      <c r="B520" s="24" t="inlineStr">
        <is>
          <t>2026-09-05T22:05:14.461440Z</t>
        </is>
      </c>
      <c r="C520" s="24" t="inlineStr">
        <is>
          <t>2026-09-06T00:00Z</t>
        </is>
      </c>
      <c r="D520" s="24" t="inlineStr">
        <is>
          <t>401841227</t>
        </is>
      </c>
      <c r="E520" s="24" t="inlineStr">
        <is>
          <t>SOCCER</t>
        </is>
      </c>
      <c r="F520" s="24" t="inlineStr">
        <is>
          <t>Vasco da Gama</t>
        </is>
      </c>
      <c r="G520" s="24" t="inlineStr">
        <is>
          <t>Fluminense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127</v>
      </c>
      <c r="M520" s="27" t="n">
        <v>2.27</v>
      </c>
      <c r="N520" s="28" t="n">
        <v>0.440529</v>
      </c>
      <c r="O520" s="28" t="n">
        <v>0.456135</v>
      </c>
      <c r="P520" s="28" t="n">
        <v>0.2</v>
      </c>
      <c r="Q520" s="28" t="n">
        <v>0.015606</v>
      </c>
      <c r="R520" s="26" t="n">
        <v>0</v>
      </c>
      <c r="S520" s="29" t="n">
        <v>1</v>
      </c>
      <c r="T520" s="24" t="inlineStr">
        <is>
          <t>soccer-poisson-dc-v1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127</v>
      </c>
      <c r="AA520" s="28" t="n">
        <v>0.44</v>
      </c>
      <c r="AB520" s="28" t="n">
        <v>-0.000529</v>
      </c>
      <c r="AC520" s="30" t="n">
        <v>1.27</v>
      </c>
      <c r="AD520" s="24" t="inlineStr">
        <is>
          <t>2026-09-06T04:31:59.375027Z</t>
        </is>
      </c>
      <c r="AE520" s="31" t="inlineStr">
        <is>
          <t>Poisson-DC rates 1.64 (home) / 1.24 (away) from EWMA attack/defense strengths. Executable ask 0.4400 (atc-bra-flu-vas-2026-09-05-flu).</t>
        </is>
      </c>
      <c r="AF520" s="31" t="inlineStr">
        <is>
          <t>Research-only soccer score model; draw-aware, but not yet locked-holdout qualified.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PAPER_CALL_MODEL_UNVALIDATED</t>
        </is>
      </c>
      <c r="AP520" s="24" t="inlineStr">
        <is>
          <t>Vasco da Gama</t>
        </is>
      </c>
      <c r="AQ520" s="24" t="inlineStr">
        <is>
          <t>Vasco da Gama</t>
        </is>
      </c>
      <c r="AR520" s="24" t="inlineStr">
        <is>
          <t>Vasco da Gama</t>
        </is>
      </c>
      <c r="AS520" s="24" t="inlineStr">
        <is>
          <t>Fluminense</t>
        </is>
      </c>
      <c r="AT520" s="24" t="inlineStr">
        <is>
          <t>Fluminense</t>
        </is>
      </c>
      <c r="AU520" s="24" t="inlineStr">
        <is>
          <t>Fluminense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e64f166eb03d5e657185abb04e25fff4830a8801f3dfa7f84e7c01a3f339baa9</t>
        </is>
      </c>
      <c r="BB520" s="24" t="inlineStr">
        <is>
          <t>poisson_dixon_coles</t>
        </is>
      </c>
      <c r="BC520" s="24" t="inlineStr">
        <is>
          <t>soccer-poisson-dc-v1</t>
        </is>
      </c>
      <c r="BD520" s="24" t="inlineStr">
        <is>
          <t>e64f166eb03d5e657185abb04e25fff4830a8801f3dfa7f84e7c01a3f339baa9</t>
        </is>
      </c>
      <c r="BE520" s="24" t="inlineStr">
        <is>
          <t>soccer-poisson-dc-v1</t>
        </is>
      </c>
      <c r="BF520" s="24" t="inlineStr">
        <is>
          <t>1</t>
        </is>
      </c>
      <c r="BG520" s="24" t="inlineStr">
        <is>
          <t>e64f166eb03d5e657185abb04e25fff4830a8801f3dfa7f84e7c01a3f339baa9</t>
        </is>
      </c>
      <c r="BH520" s="24" t="inlineStr">
        <is>
          <t>2026-09-05T22:04:33.599138Z</t>
        </is>
      </c>
      <c r="BI520" s="24" t="inlineStr">
        <is>
          <t>["same_event","same_team_same_day","same_league_same_day"]</t>
        </is>
      </c>
      <c r="BJ520" s="25" t="n"/>
      <c r="BK520" s="26" t="n">
        <v>127</v>
      </c>
      <c r="BL520" s="27" t="n">
        <v>2.27</v>
      </c>
      <c r="BM520" s="28" t="n">
        <v>0.440529</v>
      </c>
      <c r="BN520" s="28" t="n"/>
      <c r="BO520" s="28" t="n"/>
      <c r="BP520" s="25" t="n"/>
      <c r="BQ520" s="27" t="n">
        <v>2.27</v>
      </c>
      <c r="BR520" s="28" t="n">
        <v>0.44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0.440529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e39482fd8ea843cb</t>
        </is>
      </c>
      <c r="B521" s="24" t="inlineStr">
        <is>
          <t>2026-09-05T22:05:14.461440Z</t>
        </is>
      </c>
      <c r="C521" s="24" t="inlineStr">
        <is>
          <t>2026-09-06T00:00Z</t>
        </is>
      </c>
      <c r="D521" s="24" t="inlineStr">
        <is>
          <t>401850646</t>
        </is>
      </c>
      <c r="E521" s="24" t="inlineStr">
        <is>
          <t>SOCCER</t>
        </is>
      </c>
      <c r="F521" s="24" t="inlineStr">
        <is>
          <t>Coquimbo Unido</t>
        </is>
      </c>
      <c r="G521" s="24" t="inlineStr">
        <is>
          <t>Universidad de Chile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-108</v>
      </c>
      <c r="M521" s="27" t="n">
        <v>1.925926</v>
      </c>
      <c r="N521" s="28" t="n">
        <v>0.519231</v>
      </c>
      <c r="O521" s="28" t="n">
        <v>0.451659</v>
      </c>
      <c r="P521" s="28" t="n">
        <v>0.2</v>
      </c>
      <c r="Q521" s="28" t="n">
        <v>-0.06757199999999999</v>
      </c>
      <c r="R521" s="26" t="n">
        <v>0</v>
      </c>
      <c r="S521" s="29" t="n">
        <v>1</v>
      </c>
      <c r="T521" s="24" t="inlineStr">
        <is>
          <t>soccer-poisson-dc-v1</t>
        </is>
      </c>
      <c r="U521" s="24" t="inlineStr">
        <is>
          <t>settled</t>
        </is>
      </c>
      <c r="V521" s="24" t="inlineStr">
        <is>
          <t>win</t>
        </is>
      </c>
      <c r="W521" s="26" t="n">
        <v>2</v>
      </c>
      <c r="X521" s="26" t="n">
        <v>4</v>
      </c>
      <c r="Y521" s="25" t="n"/>
      <c r="Z521" s="26" t="n">
        <v>-108</v>
      </c>
      <c r="AA521" s="28" t="n">
        <v>0.52</v>
      </c>
      <c r="AB521" s="28" t="n">
        <v>0.000769</v>
      </c>
      <c r="AC521" s="30" t="n">
        <v>0.9258999999999999</v>
      </c>
      <c r="AD521" s="24" t="inlineStr">
        <is>
          <t>2026-09-06T04:31:59.873262Z</t>
        </is>
      </c>
      <c r="AE521" s="31" t="inlineStr">
        <is>
          <t>Poisson-DC rates 1.59 (home) / 1.20 (away) from EWMA attack/defense strengths. Executable ask 0.5200 (atc-pdc-unc-coq-2026-09-05-unc).</t>
        </is>
      </c>
      <c r="AF521" s="31" t="inlineStr">
        <is>
          <t>Research-only soccer score model; draw-aware, but not yet locked-holdout qualified.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PAPER_CALL_MODEL_UNVALIDATED</t>
        </is>
      </c>
      <c r="AP521" s="24" t="inlineStr">
        <is>
          <t>Coquimbo Unido</t>
        </is>
      </c>
      <c r="AQ521" s="24" t="inlineStr">
        <is>
          <t>Coquimbo Unido</t>
        </is>
      </c>
      <c r="AR521" s="24" t="inlineStr">
        <is>
          <t>Coquimbo Unido</t>
        </is>
      </c>
      <c r="AS521" s="24" t="inlineStr">
        <is>
          <t>Universidad de Chile</t>
        </is>
      </c>
      <c r="AT521" s="24" t="inlineStr">
        <is>
          <t>Universidad de Chile</t>
        </is>
      </c>
      <c r="AU521" s="24" t="inlineStr">
        <is>
          <t>Universidad de Chile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e64f166eb03d5e657185abb04e25fff4830a8801f3dfa7f84e7c01a3f339baa9</t>
        </is>
      </c>
      <c r="BB521" s="24" t="inlineStr">
        <is>
          <t>poisson_dixon_coles</t>
        </is>
      </c>
      <c r="BC521" s="24" t="inlineStr">
        <is>
          <t>soccer-poisson-dc-v1</t>
        </is>
      </c>
      <c r="BD521" s="24" t="inlineStr">
        <is>
          <t>e64f166eb03d5e657185abb04e25fff4830a8801f3dfa7f84e7c01a3f339baa9</t>
        </is>
      </c>
      <c r="BE521" s="24" t="inlineStr">
        <is>
          <t>soccer-poisson-dc-v1</t>
        </is>
      </c>
      <c r="BF521" s="24" t="inlineStr">
        <is>
          <t>1</t>
        </is>
      </c>
      <c r="BG521" s="24" t="inlineStr">
        <is>
          <t>e64f166eb03d5e657185abb04e25fff4830a8801f3dfa7f84e7c01a3f339baa9</t>
        </is>
      </c>
      <c r="BH521" s="24" t="inlineStr">
        <is>
          <t>2026-09-05T22:04:34.593341Z</t>
        </is>
      </c>
      <c r="BI521" s="24" t="inlineStr">
        <is>
          <t>["same_event","same_team_same_day","same_league_same_day"]</t>
        </is>
      </c>
      <c r="BJ521" s="25" t="n"/>
      <c r="BK521" s="26" t="n">
        <v>-108</v>
      </c>
      <c r="BL521" s="27" t="n">
        <v>1.925926</v>
      </c>
      <c r="BM521" s="28" t="n">
        <v>0.519231</v>
      </c>
      <c r="BN521" s="28" t="n"/>
      <c r="BO521" s="28" t="n"/>
      <c r="BP521" s="25" t="n"/>
      <c r="BQ521" s="27" t="n">
        <v>1.925926</v>
      </c>
      <c r="BR521" s="28" t="n">
        <v>0.52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0.519231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a72f860cbd9949c0</t>
        </is>
      </c>
      <c r="B522" s="24" t="inlineStr">
        <is>
          <t>2026-09-05T22:05:14.461440Z</t>
        </is>
      </c>
      <c r="C522" s="24" t="inlineStr">
        <is>
          <t>2026-09-05T23:00Z</t>
        </is>
      </c>
      <c r="D522" s="24" t="inlineStr">
        <is>
          <t>401859688</t>
        </is>
      </c>
      <c r="E522" s="24" t="inlineStr">
        <is>
          <t>SOCCER</t>
        </is>
      </c>
      <c r="F522" s="24" t="inlineStr">
        <is>
          <t>Macará</t>
        </is>
      </c>
      <c r="G522" s="24" t="inlineStr">
        <is>
          <t>Independiente del Valle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-245</v>
      </c>
      <c r="M522" s="27" t="n">
        <v>1.408163</v>
      </c>
      <c r="N522" s="28" t="n">
        <v>0.710145</v>
      </c>
      <c r="O522" s="28" t="n">
        <v>0.456135</v>
      </c>
      <c r="P522" s="28" t="n">
        <v>0.2</v>
      </c>
      <c r="Q522" s="28" t="n">
        <v>-0.25401</v>
      </c>
      <c r="R522" s="26" t="n">
        <v>0</v>
      </c>
      <c r="S522" s="29" t="n">
        <v>1</v>
      </c>
      <c r="T522" s="24" t="inlineStr">
        <is>
          <t>soccer-poisson-dc-v1</t>
        </is>
      </c>
      <c r="U522" s="24" t="inlineStr">
        <is>
          <t>settled</t>
        </is>
      </c>
      <c r="V522" s="24" t="inlineStr">
        <is>
          <t>win</t>
        </is>
      </c>
      <c r="W522" s="26" t="n">
        <v>1</v>
      </c>
      <c r="X522" s="26" t="n">
        <v>3</v>
      </c>
      <c r="Y522" s="25" t="n"/>
      <c r="Z522" s="26" t="n">
        <v>-245</v>
      </c>
      <c r="AA522" s="28" t="n">
        <v>0.71</v>
      </c>
      <c r="AB522" s="28" t="n">
        <v>-0.000145</v>
      </c>
      <c r="AC522" s="30" t="n">
        <v>0.4082</v>
      </c>
      <c r="AD522" s="24" t="inlineStr">
        <is>
          <t>2026-09-06T04:32:00.367966Z</t>
        </is>
      </c>
      <c r="AE522" s="31" t="inlineStr">
        <is>
          <t>Poisson-DC rates 1.64 (home) / 1.24 (away) from EWMA attack/defense strengths. Executable ask 0.7100 (atc-ecu1-ind-mac-2026-09-06-ind).</t>
        </is>
      </c>
      <c r="AF522" s="31" t="inlineStr">
        <is>
          <t>Research-only soccer score model; draw-aware, but not yet locked-holdout qualified.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PAPER_CALL_MODEL_UNVALIDATED</t>
        </is>
      </c>
      <c r="AP522" s="24" t="inlineStr">
        <is>
          <t>Macará</t>
        </is>
      </c>
      <c r="AQ522" s="24" t="inlineStr">
        <is>
          <t>Macará</t>
        </is>
      </c>
      <c r="AR522" s="24" t="inlineStr">
        <is>
          <t>Macará</t>
        </is>
      </c>
      <c r="AS522" s="24" t="inlineStr">
        <is>
          <t>Independiente del Valle</t>
        </is>
      </c>
      <c r="AT522" s="24" t="inlineStr">
        <is>
          <t>Independiente del Valle</t>
        </is>
      </c>
      <c r="AU522" s="24" t="inlineStr">
        <is>
          <t>Independiente del Valle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e64f166eb03d5e657185abb04e25fff4830a8801f3dfa7f84e7c01a3f339baa9</t>
        </is>
      </c>
      <c r="BB522" s="24" t="inlineStr">
        <is>
          <t>poisson_dixon_coles</t>
        </is>
      </c>
      <c r="BC522" s="24" t="inlineStr">
        <is>
          <t>soccer-poisson-dc-v1</t>
        </is>
      </c>
      <c r="BD522" s="24" t="inlineStr">
        <is>
          <t>e64f166eb03d5e657185abb04e25fff4830a8801f3dfa7f84e7c01a3f339baa9</t>
        </is>
      </c>
      <c r="BE522" s="24" t="inlineStr">
        <is>
          <t>soccer-poisson-dc-v1</t>
        </is>
      </c>
      <c r="BF522" s="24" t="inlineStr">
        <is>
          <t>1</t>
        </is>
      </c>
      <c r="BG522" s="24" t="inlineStr">
        <is>
          <t>e64f166eb03d5e657185abb04e25fff4830a8801f3dfa7f84e7c01a3f339baa9</t>
        </is>
      </c>
      <c r="BH522" s="24" t="inlineStr">
        <is>
          <t>2026-09-05T22:04:34.641931Z</t>
        </is>
      </c>
      <c r="BI522" s="24" t="inlineStr">
        <is>
          <t>["same_event","same_team_same_day","same_league_same_day"]</t>
        </is>
      </c>
      <c r="BJ522" s="25" t="n"/>
      <c r="BK522" s="26" t="n">
        <v>-245</v>
      </c>
      <c r="BL522" s="27" t="n">
        <v>1.408163</v>
      </c>
      <c r="BM522" s="28" t="n">
        <v>0.710145</v>
      </c>
      <c r="BN522" s="28" t="n"/>
      <c r="BO522" s="28" t="n"/>
      <c r="BP522" s="25" t="n"/>
      <c r="BQ522" s="27" t="n">
        <v>1.408163</v>
      </c>
      <c r="BR522" s="28" t="n">
        <v>0.71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0.710145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cf3f867a20cb405f</t>
        </is>
      </c>
      <c r="B523" s="24" t="inlineStr">
        <is>
          <t>2026-09-05T22:05:14.461440Z</t>
        </is>
      </c>
      <c r="C523" s="24" t="inlineStr">
        <is>
          <t>2026-09-06T01:30Z</t>
        </is>
      </c>
      <c r="D523" s="24" t="inlineStr">
        <is>
          <t>401886206</t>
        </is>
      </c>
      <c r="E523" s="24" t="inlineStr">
        <is>
          <t>SOCCER</t>
        </is>
      </c>
      <c r="F523" s="24" t="inlineStr">
        <is>
          <t>Comerciantes Unidos</t>
        </is>
      </c>
      <c r="G523" s="24" t="inlineStr">
        <is>
          <t>Universitario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-335</v>
      </c>
      <c r="M523" s="27" t="n">
        <v>1.298507</v>
      </c>
      <c r="N523" s="28" t="n">
        <v>0.770115</v>
      </c>
      <c r="O523" s="28" t="n">
        <v>0.489617</v>
      </c>
      <c r="P523" s="28" t="n">
        <v>0.19</v>
      </c>
      <c r="Q523" s="28" t="n">
        <v>-0.280498</v>
      </c>
      <c r="R523" s="26" t="n">
        <v>0</v>
      </c>
      <c r="S523" s="29" t="n">
        <v>1</v>
      </c>
      <c r="T523" s="24" t="inlineStr">
        <is>
          <t>soccer-poisson-dc-v1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</v>
      </c>
      <c r="X523" s="26" t="n">
        <v>2</v>
      </c>
      <c r="Y523" s="25" t="n"/>
      <c r="Z523" s="26" t="n">
        <v>-335</v>
      </c>
      <c r="AA523" s="28" t="n">
        <v>0.77</v>
      </c>
      <c r="AB523" s="28" t="n">
        <v>-0.000115</v>
      </c>
      <c r="AC523" s="30" t="n">
        <v>-1</v>
      </c>
      <c r="AD523" s="24" t="inlineStr">
        <is>
          <t>2026-09-06T04:32:00.887052Z</t>
        </is>
      </c>
      <c r="AE523" s="31" t="inlineStr">
        <is>
          <t>Poisson-DC rates 1.79 (home) / 1.25 (away) from EWMA attack/defense strengths. Executable ask 0.7700 (atc-pl1-uni-cou-2026-09-05-uni).</t>
        </is>
      </c>
      <c r="AF523" s="31" t="inlineStr">
        <is>
          <t>Research-only soccer score model; draw-aware, but not yet locked-holdout qualified.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PAPER_CALL_MODEL_UNVALIDATED</t>
        </is>
      </c>
      <c r="AP523" s="24" t="inlineStr">
        <is>
          <t>Comerciantes Unidos</t>
        </is>
      </c>
      <c r="AQ523" s="24" t="inlineStr">
        <is>
          <t>Comerciantes Unidos</t>
        </is>
      </c>
      <c r="AR523" s="24" t="inlineStr">
        <is>
          <t>Comerciantes Unidos</t>
        </is>
      </c>
      <c r="AS523" s="24" t="inlineStr">
        <is>
          <t>Universitario</t>
        </is>
      </c>
      <c r="AT523" s="24" t="inlineStr">
        <is>
          <t>Universitario</t>
        </is>
      </c>
      <c r="AU523" s="24" t="inlineStr">
        <is>
          <t>Universitario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e64f166eb03d5e657185abb04e25fff4830a8801f3dfa7f84e7c01a3f339baa9</t>
        </is>
      </c>
      <c r="BB523" s="24" t="inlineStr">
        <is>
          <t>poisson_dixon_coles</t>
        </is>
      </c>
      <c r="BC523" s="24" t="inlineStr">
        <is>
          <t>soccer-poisson-dc-v1</t>
        </is>
      </c>
      <c r="BD523" s="24" t="inlineStr">
        <is>
          <t>e64f166eb03d5e657185abb04e25fff4830a8801f3dfa7f84e7c01a3f339baa9</t>
        </is>
      </c>
      <c r="BE523" s="24" t="inlineStr">
        <is>
          <t>soccer-poisson-dc-v1</t>
        </is>
      </c>
      <c r="BF523" s="24" t="inlineStr">
        <is>
          <t>1</t>
        </is>
      </c>
      <c r="BG523" s="24" t="inlineStr">
        <is>
          <t>e64f166eb03d5e657185abb04e25fff4830a8801f3dfa7f84e7c01a3f339baa9</t>
        </is>
      </c>
      <c r="BH523" s="24" t="inlineStr">
        <is>
          <t>2026-09-05T22:04:34.676985Z</t>
        </is>
      </c>
      <c r="BI523" s="24" t="inlineStr">
        <is>
          <t>["same_event","same_team_same_day","same_league_same_day"]</t>
        </is>
      </c>
      <c r="BJ523" s="25" t="n"/>
      <c r="BK523" s="26" t="n">
        <v>-335</v>
      </c>
      <c r="BL523" s="27" t="n">
        <v>1.298507</v>
      </c>
      <c r="BM523" s="28" t="n">
        <v>0.770115</v>
      </c>
      <c r="BN523" s="28" t="n"/>
      <c r="BO523" s="28" t="n"/>
      <c r="BP523" s="25" t="n"/>
      <c r="BQ523" s="27" t="n">
        <v>1.298507</v>
      </c>
      <c r="BR523" s="28" t="n">
        <v>0.77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0.770115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dc8c42e0e19d44a8</t>
        </is>
      </c>
      <c r="B524" s="24" t="inlineStr">
        <is>
          <t>2026-09-06T10:03:23.742788Z</t>
        </is>
      </c>
      <c r="C524" s="24" t="inlineStr">
        <is>
          <t>2026-09-06T13:00Z</t>
        </is>
      </c>
      <c r="D524" s="24" t="inlineStr">
        <is>
          <t>401879291</t>
        </is>
      </c>
      <c r="E524" s="24" t="inlineStr">
        <is>
          <t>SOCCER</t>
        </is>
      </c>
      <c r="F524" s="24" t="inlineStr">
        <is>
          <t>Manchester United</t>
        </is>
      </c>
      <c r="G524" s="24" t="inlineStr">
        <is>
          <t>Everton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113</v>
      </c>
      <c r="M524" s="27" t="n">
        <v>2.13</v>
      </c>
      <c r="N524" s="28" t="n">
        <v>0.469484</v>
      </c>
      <c r="O524" s="28" t="n">
        <v>0.439791</v>
      </c>
      <c r="P524" s="28" t="n">
        <v>0.04</v>
      </c>
      <c r="Q524" s="28" t="n">
        <v>-0.029693</v>
      </c>
      <c r="R524" s="26" t="n">
        <v>11</v>
      </c>
      <c r="S524" s="29" t="n">
        <v>1</v>
      </c>
      <c r="T524" s="24" t="inlineStr">
        <is>
          <t>soccer-poisson-dc-v1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</v>
      </c>
      <c r="X524" s="26" t="n">
        <v>2</v>
      </c>
      <c r="Y524" s="25" t="n"/>
      <c r="Z524" s="26" t="n">
        <v>-117</v>
      </c>
      <c r="AA524" s="28" t="n">
        <v>0.54</v>
      </c>
      <c r="AB524" s="28" t="n">
        <v>0.070516</v>
      </c>
      <c r="AC524" s="30" t="n">
        <v>-1</v>
      </c>
      <c r="AD524" s="24" t="inlineStr">
        <is>
          <t>2026-09-06T16:00:21.000889Z</t>
        </is>
      </c>
      <c r="AE524" s="31" t="inlineStr">
        <is>
          <t>Poisson-DC rates 1.26 (home) / 1.59 (away) from EWMA attack/defense strengths. Executable ask 0.4700 (atc-epl-eve-mnu-2026-09-06-mnu).</t>
        </is>
      </c>
      <c r="AF524" s="31" t="inlineStr">
        <is>
          <t>Research-only soccer score model; draw-aware, but not yet locked-holdout qualified.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Manchester United</t>
        </is>
      </c>
      <c r="AQ524" s="24" t="inlineStr">
        <is>
          <t>Manchester United</t>
        </is>
      </c>
      <c r="AR524" s="24" t="inlineStr">
        <is>
          <t>Manchester United</t>
        </is>
      </c>
      <c r="AS524" s="24" t="inlineStr">
        <is>
          <t>Everton</t>
        </is>
      </c>
      <c r="AT524" s="24" t="inlineStr">
        <is>
          <t>Everton</t>
        </is>
      </c>
      <c r="AU524" s="24" t="inlineStr">
        <is>
          <t>Everton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e64f166eb03d5e657185abb04e25fff4830a8801f3dfa7f84e7c01a3f339baa9</t>
        </is>
      </c>
      <c r="BB524" s="24" t="inlineStr">
        <is>
          <t>poisson_dixon_coles</t>
        </is>
      </c>
      <c r="BC524" s="24" t="inlineStr">
        <is>
          <t>soccer-poisson-dc-v1</t>
        </is>
      </c>
      <c r="BD524" s="24" t="inlineStr">
        <is>
          <t>e64f166eb03d5e657185abb04e25fff4830a8801f3dfa7f84e7c01a3f339baa9</t>
        </is>
      </c>
      <c r="BE524" s="24" t="inlineStr">
        <is>
          <t>soccer-poisson-dc-v1</t>
        </is>
      </c>
      <c r="BF524" s="24" t="inlineStr">
        <is>
          <t>1</t>
        </is>
      </c>
      <c r="BG524" s="24" t="inlineStr">
        <is>
          <t>e64f166eb03d5e657185abb04e25fff4830a8801f3dfa7f84e7c01a3f339baa9</t>
        </is>
      </c>
      <c r="BH524" s="24" t="inlineStr">
        <is>
          <t>2026-09-06T04:34:41.001723Z</t>
        </is>
      </c>
      <c r="BI524" s="24" t="inlineStr">
        <is>
          <t>["same_event","same_team_same_day","same_league_same_day"]</t>
        </is>
      </c>
      <c r="BJ524" s="25" t="n"/>
      <c r="BK524" s="26" t="n">
        <v>113</v>
      </c>
      <c r="BL524" s="27" t="n">
        <v>2.13</v>
      </c>
      <c r="BM524" s="28" t="n">
        <v>0.469484</v>
      </c>
      <c r="BN524" s="28" t="n"/>
      <c r="BO524" s="28" t="n"/>
      <c r="BP524" s="25" t="n"/>
      <c r="BQ524" s="27" t="n">
        <v>1.854701</v>
      </c>
      <c r="BR524" s="28" t="n">
        <v>0.54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0.469484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4f812c9039f14804</t>
        </is>
      </c>
      <c r="B525" s="24" t="inlineStr">
        <is>
          <t>2026-09-06T10:03:23.742788Z</t>
        </is>
      </c>
      <c r="C525" s="24" t="inlineStr">
        <is>
          <t>2026-09-06T15:30Z</t>
        </is>
      </c>
      <c r="D525" s="24" t="inlineStr">
        <is>
          <t>401879292</t>
        </is>
      </c>
      <c r="E525" s="24" t="inlineStr">
        <is>
          <t>SOCCER</t>
        </is>
      </c>
      <c r="F525" s="24" t="inlineStr">
        <is>
          <t>Chelsea</t>
        </is>
      </c>
      <c r="G525" s="24" t="inlineStr">
        <is>
          <t>Arsenal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0.720503</v>
      </c>
      <c r="P525" s="28" t="n">
        <v>0.04</v>
      </c>
      <c r="Q525" s="28" t="n">
        <v>0.140671</v>
      </c>
      <c r="R525" s="26" t="n">
        <v>96</v>
      </c>
      <c r="S525" s="29" t="n">
        <v>1.75</v>
      </c>
      <c r="T525" s="24" t="inlineStr">
        <is>
          <t>soccer-poisson-dc-v1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2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1.2681</v>
      </c>
      <c r="AD525" s="24" t="inlineStr">
        <is>
          <t>2026-09-06T22:01:07.554699Z</t>
        </is>
      </c>
      <c r="AE525" s="31" t="inlineStr">
        <is>
          <t>Poisson-DC rates 2.14 (home) / 0.61 (away) from EWMA attack/defense strengths. Executable ask 0.5800 (atc-epl-ars-cfc-2026-09-06-ars).</t>
        </is>
      </c>
      <c r="AF525" s="31" t="inlineStr">
        <is>
          <t>Research-only soccer score model; draw-aware, but not yet locked-holdout qualified.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Chelsea</t>
        </is>
      </c>
      <c r="AQ525" s="24" t="inlineStr">
        <is>
          <t>Chelsea</t>
        </is>
      </c>
      <c r="AR525" s="24" t="inlineStr">
        <is>
          <t>Chelsea</t>
        </is>
      </c>
      <c r="AS525" s="24" t="inlineStr">
        <is>
          <t>Arsenal</t>
        </is>
      </c>
      <c r="AT525" s="24" t="inlineStr">
        <is>
          <t>Arsenal</t>
        </is>
      </c>
      <c r="AU525" s="24" t="inlineStr">
        <is>
          <t>Arsenal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e64f166eb03d5e657185abb04e25fff4830a8801f3dfa7f84e7c01a3f339baa9</t>
        </is>
      </c>
      <c r="BB525" s="24" t="inlineStr">
        <is>
          <t>poisson_dixon_coles</t>
        </is>
      </c>
      <c r="BC525" s="24" t="inlineStr">
        <is>
          <t>soccer-poisson-dc-v1</t>
        </is>
      </c>
      <c r="BD525" s="24" t="inlineStr">
        <is>
          <t>e64f166eb03d5e657185abb04e25fff4830a8801f3dfa7f84e7c01a3f339baa9</t>
        </is>
      </c>
      <c r="BE525" s="24" t="inlineStr">
        <is>
          <t>soccer-poisson-dc-v1</t>
        </is>
      </c>
      <c r="BF525" s="24" t="inlineStr">
        <is>
          <t>1</t>
        </is>
      </c>
      <c r="BG525" s="24" t="inlineStr">
        <is>
          <t>e64f166eb03d5e657185abb04e25fff4830a8801f3dfa7f84e7c01a3f339baa9</t>
        </is>
      </c>
      <c r="BH525" s="24" t="inlineStr">
        <is>
          <t>2026-09-06T04:34:41.150188Z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e36a3fc2a0a54545</t>
        </is>
      </c>
      <c r="B526" s="24" t="inlineStr">
        <is>
          <t>2026-09-06T10:03:23.742788Z</t>
        </is>
      </c>
      <c r="C526" s="24" t="inlineStr">
        <is>
          <t>2026-09-06T14:15Z</t>
        </is>
      </c>
      <c r="D526" s="24" t="inlineStr">
        <is>
          <t>401882888</t>
        </is>
      </c>
      <c r="E526" s="24" t="inlineStr">
        <is>
          <t>SOCCER</t>
        </is>
      </c>
      <c r="F526" s="24" t="inlineStr">
        <is>
          <t>Barcelona</t>
        </is>
      </c>
      <c r="G526" s="24" t="inlineStr">
        <is>
          <t>Valencia</t>
        </is>
      </c>
      <c r="H526" s="24" t="inlineStr">
        <is>
          <t>moneyline</t>
        </is>
      </c>
      <c r="I526" s="24" t="inlineStr">
        <is>
          <t>away</t>
        </is>
      </c>
      <c r="J526" s="25" t="n"/>
      <c r="K526" s="24" t="inlineStr">
        <is>
          <t>polymarket_us</t>
        </is>
      </c>
      <c r="L526" s="26" t="n">
        <v>-335</v>
      </c>
      <c r="M526" s="27" t="n">
        <v>1.298507</v>
      </c>
      <c r="N526" s="28" t="n">
        <v>0.770115</v>
      </c>
      <c r="O526" s="28" t="n">
        <v>0.538886</v>
      </c>
      <c r="P526" s="28" t="n">
        <v>0.04</v>
      </c>
      <c r="Q526" s="28" t="n">
        <v>-0.231229</v>
      </c>
      <c r="R526" s="26" t="n">
        <v>0</v>
      </c>
      <c r="S526" s="29" t="n">
        <v>1</v>
      </c>
      <c r="T526" s="24" t="inlineStr">
        <is>
          <t>soccer-poisson-dc-v1</t>
        </is>
      </c>
      <c r="U526" s="24" t="inlineStr">
        <is>
          <t>settled</t>
        </is>
      </c>
      <c r="V526" s="24" t="inlineStr">
        <is>
          <t>win</t>
        </is>
      </c>
      <c r="W526" s="26" t="n">
        <v>5</v>
      </c>
      <c r="X526" s="26" t="n">
        <v>0</v>
      </c>
      <c r="Y526" s="25" t="n"/>
      <c r="Z526" s="26" t="n">
        <v>317</v>
      </c>
      <c r="AA526" s="28" t="n">
        <v>0.24</v>
      </c>
      <c r="AB526" s="28" t="n">
        <v>-0.530115</v>
      </c>
      <c r="AC526" s="30" t="n">
        <v>0.2985</v>
      </c>
      <c r="AD526" s="24" t="inlineStr">
        <is>
          <t>2026-09-06T22:01:08.041177Z</t>
        </is>
      </c>
      <c r="AE526" s="31" t="inlineStr">
        <is>
          <t>Poisson-DC rates 1.18 (home) / 1.94 (away) from EWMA attack/defense strengths. Executable ask 0.7700 (atc-lal-val-fcb-2026-09-06-fcb).</t>
        </is>
      </c>
      <c r="AF526" s="31" t="inlineStr">
        <is>
          <t>Research-only soccer score model; draw-aware, but not yet locked-holdout qualified.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Barcelona</t>
        </is>
      </c>
      <c r="AQ526" s="24" t="inlineStr">
        <is>
          <t>Barcelona</t>
        </is>
      </c>
      <c r="AR526" s="24" t="inlineStr">
        <is>
          <t>Barcelona</t>
        </is>
      </c>
      <c r="AS526" s="24" t="inlineStr">
        <is>
          <t>Valencia</t>
        </is>
      </c>
      <c r="AT526" s="24" t="inlineStr">
        <is>
          <t>Valencia</t>
        </is>
      </c>
      <c r="AU526" s="24" t="inlineStr">
        <is>
          <t>Valencia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e64f166eb03d5e657185abb04e25fff4830a8801f3dfa7f84e7c01a3f339baa9</t>
        </is>
      </c>
      <c r="BB526" s="24" t="inlineStr">
        <is>
          <t>poisson_dixon_coles</t>
        </is>
      </c>
      <c r="BC526" s="24" t="inlineStr">
        <is>
          <t>soccer-poisson-dc-v1</t>
        </is>
      </c>
      <c r="BD526" s="24" t="inlineStr">
        <is>
          <t>e64f166eb03d5e657185abb04e25fff4830a8801f3dfa7f84e7c01a3f339baa9</t>
        </is>
      </c>
      <c r="BE526" s="24" t="inlineStr">
        <is>
          <t>soccer-poisson-dc-v1</t>
        </is>
      </c>
      <c r="BF526" s="24" t="inlineStr">
        <is>
          <t>1</t>
        </is>
      </c>
      <c r="BG526" s="24" t="inlineStr">
        <is>
          <t>e64f166eb03d5e657185abb04e25fff4830a8801f3dfa7f84e7c01a3f339baa9</t>
        </is>
      </c>
      <c r="BH526" s="24" t="inlineStr">
        <is>
          <t>2026-09-06T04:34:41.280618Z</t>
        </is>
      </c>
      <c r="BI526" s="24" t="inlineStr">
        <is>
          <t>["same_event","same_team_same_day","same_league_same_day"]</t>
        </is>
      </c>
      <c r="BJ526" s="25" t="n"/>
      <c r="BK526" s="26" t="n">
        <v>-335</v>
      </c>
      <c r="BL526" s="27" t="n">
        <v>1.298507</v>
      </c>
      <c r="BM526" s="28" t="n">
        <v>0.770115</v>
      </c>
      <c r="BN526" s="28" t="n"/>
      <c r="BO526" s="28" t="n"/>
      <c r="BP526" s="25" t="n"/>
      <c r="BQ526" s="27" t="n">
        <v>4.17</v>
      </c>
      <c r="BR526" s="28" t="n">
        <v>0.24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0.770115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99be1a7b37394d92</t>
        </is>
      </c>
      <c r="B527" s="24" t="inlineStr">
        <is>
          <t>2026-09-06T10:03:23.742788Z</t>
        </is>
      </c>
      <c r="C527" s="24" t="inlineStr">
        <is>
          <t>2026-09-06T15:30Z</t>
        </is>
      </c>
      <c r="D527" s="24" t="inlineStr">
        <is>
          <t>401884805</t>
        </is>
      </c>
      <c r="E527" s="24" t="inlineStr">
        <is>
          <t>SOCCER</t>
        </is>
      </c>
      <c r="F527" s="24" t="inlineStr">
        <is>
          <t>FC Augsburg</t>
        </is>
      </c>
      <c r="G527" s="24" t="inlineStr">
        <is>
          <t>Eintracht Frankfurt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100</v>
      </c>
      <c r="M527" s="27" t="n">
        <v>2</v>
      </c>
      <c r="N527" s="28" t="n">
        <v>0.5</v>
      </c>
      <c r="O527" s="28" t="n">
        <v>0.51957</v>
      </c>
      <c r="P527" s="28" t="n">
        <v>0.04</v>
      </c>
      <c r="Q527" s="28" t="n">
        <v>0.01957</v>
      </c>
      <c r="R527" s="26" t="n">
        <v>36</v>
      </c>
      <c r="S527" s="29" t="n">
        <v>1</v>
      </c>
      <c r="T527" s="24" t="inlineStr">
        <is>
          <t>soccer-poisson-dc-v1</t>
        </is>
      </c>
      <c r="U527" s="24" t="inlineStr">
        <is>
          <t>settled</t>
        </is>
      </c>
      <c r="V527" s="24" t="inlineStr">
        <is>
          <t>loss</t>
        </is>
      </c>
      <c r="W527" s="26" t="n">
        <v>4</v>
      </c>
      <c r="X527" s="26" t="n">
        <v>1</v>
      </c>
      <c r="Y527" s="25" t="n"/>
      <c r="Z527" s="26" t="n">
        <v>100</v>
      </c>
      <c r="AA527" s="28" t="n">
        <v>0.5</v>
      </c>
      <c r="AB527" s="28" t="n">
        <v>0</v>
      </c>
      <c r="AC527" s="30" t="n">
        <v>-1</v>
      </c>
      <c r="AD527" s="24" t="inlineStr">
        <is>
          <t>2026-09-06T22:01:08.525754Z</t>
        </is>
      </c>
      <c r="AE527" s="31" t="inlineStr">
        <is>
          <t>Poisson-DC rates 2.02 (home) / 1.36 (away) from EWMA attack/defense strengths. Executable ask 0.5000 (atc-bun-fra-aug-2026-09-06-fra).</t>
        </is>
      </c>
      <c r="AF527" s="31" t="inlineStr">
        <is>
          <t>Research-only soccer score model; draw-aware, but not yet locked-holdout qualified.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FC Augsburg</t>
        </is>
      </c>
      <c r="AQ527" s="24" t="inlineStr">
        <is>
          <t>FC Augsburg</t>
        </is>
      </c>
      <c r="AR527" s="24" t="inlineStr">
        <is>
          <t>FC Augsburg</t>
        </is>
      </c>
      <c r="AS527" s="24" t="inlineStr">
        <is>
          <t>Eintracht Frankfurt</t>
        </is>
      </c>
      <c r="AT527" s="24" t="inlineStr">
        <is>
          <t>Eintracht Frankfurt</t>
        </is>
      </c>
      <c r="AU527" s="24" t="inlineStr">
        <is>
          <t>Eintracht Frankfurt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e64f166eb03d5e657185abb04e25fff4830a8801f3dfa7f84e7c01a3f339baa9</t>
        </is>
      </c>
      <c r="BB527" s="24" t="inlineStr">
        <is>
          <t>poisson_dixon_coles</t>
        </is>
      </c>
      <c r="BC527" s="24" t="inlineStr">
        <is>
          <t>soccer-poisson-dc-v1</t>
        </is>
      </c>
      <c r="BD527" s="24" t="inlineStr">
        <is>
          <t>e64f166eb03d5e657185abb04e25fff4830a8801f3dfa7f84e7c01a3f339baa9</t>
        </is>
      </c>
      <c r="BE527" s="24" t="inlineStr">
        <is>
          <t>soccer-poisson-dc-v1</t>
        </is>
      </c>
      <c r="BF527" s="24" t="inlineStr">
        <is>
          <t>1</t>
        </is>
      </c>
      <c r="BG527" s="24" t="inlineStr">
        <is>
          <t>e64f166eb03d5e657185abb04e25fff4830a8801f3dfa7f84e7c01a3f339baa9</t>
        </is>
      </c>
      <c r="BH527" s="24" t="inlineStr">
        <is>
          <t>2026-09-06T04:34:41.908102Z</t>
        </is>
      </c>
      <c r="BI527" s="24" t="inlineStr">
        <is>
          <t>["same_event","same_team_same_day","same_league_same_day"]</t>
        </is>
      </c>
      <c r="BJ527" s="25" t="n"/>
      <c r="BK527" s="26" t="n">
        <v>100</v>
      </c>
      <c r="BL527" s="27" t="n">
        <v>2</v>
      </c>
      <c r="BM527" s="28" t="n">
        <v>0.5</v>
      </c>
      <c r="BN527" s="28" t="n"/>
      <c r="BO527" s="28" t="n"/>
      <c r="BP527" s="25" t="n"/>
      <c r="BQ527" s="27" t="n">
        <v>2</v>
      </c>
      <c r="BR527" s="28" t="n">
        <v>0.5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56ff75ac68a64616</t>
        </is>
      </c>
      <c r="B528" s="24" t="inlineStr">
        <is>
          <t>2026-09-06T10:03:23.742788Z</t>
        </is>
      </c>
      <c r="C528" s="24" t="inlineStr">
        <is>
          <t>2026-09-06T13:00Z</t>
        </is>
      </c>
      <c r="D528" s="24" t="inlineStr">
        <is>
          <t>401874768</t>
        </is>
      </c>
      <c r="E528" s="24" t="inlineStr">
        <is>
          <t>SOCCER</t>
        </is>
      </c>
      <c r="F528" s="24" t="inlineStr">
        <is>
          <t>Venezia</t>
        </is>
      </c>
      <c r="G528" s="24" t="inlineStr">
        <is>
          <t>Frosinone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178</v>
      </c>
      <c r="M528" s="27" t="n">
        <v>2.78</v>
      </c>
      <c r="N528" s="28" t="n">
        <v>0.359712</v>
      </c>
      <c r="O528" s="28" t="n">
        <v>0.430365</v>
      </c>
      <c r="P528" s="28" t="n">
        <v>0.04</v>
      </c>
      <c r="Q528" s="28" t="n">
        <v>0.07065299999999999</v>
      </c>
      <c r="R528" s="26" t="n">
        <v>61</v>
      </c>
      <c r="S528" s="29" t="n">
        <v>1.25</v>
      </c>
      <c r="T528" s="24" t="inlineStr">
        <is>
          <t>soccer-poisson-dc-v1</t>
        </is>
      </c>
      <c r="U528" s="24" t="inlineStr">
        <is>
          <t>settled</t>
        </is>
      </c>
      <c r="V528" s="24" t="inlineStr">
        <is>
          <t>win</t>
        </is>
      </c>
      <c r="W528" s="26" t="n">
        <v>2</v>
      </c>
      <c r="X528" s="26" t="n">
        <v>3</v>
      </c>
      <c r="Y528" s="25" t="n"/>
      <c r="Z528" s="26" t="n">
        <v>178</v>
      </c>
      <c r="AA528" s="28" t="n">
        <v>0.36</v>
      </c>
      <c r="AB528" s="28" t="n">
        <v>0.000288</v>
      </c>
      <c r="AC528" s="30" t="n">
        <v>2.225</v>
      </c>
      <c r="AD528" s="24" t="inlineStr">
        <is>
          <t>2026-09-06T16:00:21.467537Z</t>
        </is>
      </c>
      <c r="AE528" s="31" t="inlineStr">
        <is>
          <t>Poisson-DC rates 1.31 (home) / 0.98 (away) from EWMA attack/defense strengths. Executable ask 0.3600 (atc-sea-fro-ven-2026-09-06-fro).</t>
        </is>
      </c>
      <c r="AF528" s="31" t="inlineStr">
        <is>
          <t>Research-only soccer score model; draw-aware, but not yet locked-holdout qualified.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Venezia</t>
        </is>
      </c>
      <c r="AQ528" s="24" t="inlineStr">
        <is>
          <t>Venezia</t>
        </is>
      </c>
      <c r="AR528" s="24" t="inlineStr">
        <is>
          <t>Venezia</t>
        </is>
      </c>
      <c r="AS528" s="24" t="inlineStr">
        <is>
          <t>Frosinone</t>
        </is>
      </c>
      <c r="AT528" s="24" t="inlineStr">
        <is>
          <t>Frosinone</t>
        </is>
      </c>
      <c r="AU528" s="24" t="inlineStr">
        <is>
          <t>Frosinone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e64f166eb03d5e657185abb04e25fff4830a8801f3dfa7f84e7c01a3f339baa9</t>
        </is>
      </c>
      <c r="BB528" s="24" t="inlineStr">
        <is>
          <t>poisson_dixon_coles</t>
        </is>
      </c>
      <c r="BC528" s="24" t="inlineStr">
        <is>
          <t>soccer-poisson-dc-v1</t>
        </is>
      </c>
      <c r="BD528" s="24" t="inlineStr">
        <is>
          <t>e64f166eb03d5e657185abb04e25fff4830a8801f3dfa7f84e7c01a3f339baa9</t>
        </is>
      </c>
      <c r="BE528" s="24" t="inlineStr">
        <is>
          <t>soccer-poisson-dc-v1</t>
        </is>
      </c>
      <c r="BF528" s="24" t="inlineStr">
        <is>
          <t>1</t>
        </is>
      </c>
      <c r="BG528" s="24" t="inlineStr">
        <is>
          <t>e64f166eb03d5e657185abb04e25fff4830a8801f3dfa7f84e7c01a3f339baa9</t>
        </is>
      </c>
      <c r="BH528" s="24" t="inlineStr">
        <is>
          <t>2026-09-06T04:34:42.027268Z</t>
        </is>
      </c>
      <c r="BI528" s="24" t="inlineStr">
        <is>
          <t>["same_event","same_team_same_day","same_league_same_day"]</t>
        </is>
      </c>
      <c r="BJ528" s="25" t="n"/>
      <c r="BK528" s="26" t="n">
        <v>178</v>
      </c>
      <c r="BL528" s="27" t="n">
        <v>2.78</v>
      </c>
      <c r="BM528" s="28" t="n">
        <v>0.359712</v>
      </c>
      <c r="BN528" s="28" t="n"/>
      <c r="BO528" s="28" t="n"/>
      <c r="BP528" s="25" t="n"/>
      <c r="BQ528" s="27" t="n">
        <v>2.78</v>
      </c>
      <c r="BR528" s="28" t="n">
        <v>0.36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0.359712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a8afb36cac654f9b</t>
        </is>
      </c>
      <c r="B529" s="24" t="inlineStr">
        <is>
          <t>2026-09-06T10:03:23.742788Z</t>
        </is>
      </c>
      <c r="C529" s="24" t="inlineStr">
        <is>
          <t>2026-09-06T13:00Z</t>
        </is>
      </c>
      <c r="D529" s="24" t="inlineStr">
        <is>
          <t>401874987</t>
        </is>
      </c>
      <c r="E529" s="24" t="inlineStr">
        <is>
          <t>SOCCER</t>
        </is>
      </c>
      <c r="F529" s="24" t="inlineStr">
        <is>
          <t>Monza</t>
        </is>
      </c>
      <c r="G529" s="24" t="inlineStr">
        <is>
          <t>Parma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178</v>
      </c>
      <c r="M529" s="27" t="n">
        <v>2.78</v>
      </c>
      <c r="N529" s="28" t="n">
        <v>0.359712</v>
      </c>
      <c r="O529" s="28" t="n">
        <v>0.577825</v>
      </c>
      <c r="P529" s="28" t="n">
        <v>0.04</v>
      </c>
      <c r="Q529" s="28" t="n">
        <v>0.218113</v>
      </c>
      <c r="R529" s="26" t="n">
        <v>100</v>
      </c>
      <c r="S529" s="29" t="n">
        <v>2</v>
      </c>
      <c r="T529" s="24" t="inlineStr">
        <is>
          <t>soccer-poisson-dc-v1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1</v>
      </c>
      <c r="Y529" s="25" t="n"/>
      <c r="Z529" s="26" t="n">
        <v>178</v>
      </c>
      <c r="AA529" s="28" t="n">
        <v>0.36</v>
      </c>
      <c r="AB529" s="28" t="n">
        <v>0.000288</v>
      </c>
      <c r="AC529" s="30" t="n">
        <v>-2</v>
      </c>
      <c r="AD529" s="24" t="inlineStr">
        <is>
          <t>2026-09-06T16:00:21.922944Z</t>
        </is>
      </c>
      <c r="AE529" s="31" t="inlineStr">
        <is>
          <t>Poisson-DC rates 1.50 (home) / 0.61 (away) from EWMA attack/defense strengths. Executable ask 0.3600 (atc-sea-par-mon-2026-09-06-par).</t>
        </is>
      </c>
      <c r="AF529" s="31" t="inlineStr">
        <is>
          <t>Research-only soccer score model; draw-aware, but not yet locked-holdout qualified.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Monza</t>
        </is>
      </c>
      <c r="AQ529" s="24" t="inlineStr">
        <is>
          <t>Monza</t>
        </is>
      </c>
      <c r="AR529" s="24" t="inlineStr">
        <is>
          <t>Monza</t>
        </is>
      </c>
      <c r="AS529" s="24" t="inlineStr">
        <is>
          <t>Parma</t>
        </is>
      </c>
      <c r="AT529" s="24" t="inlineStr">
        <is>
          <t>Parma</t>
        </is>
      </c>
      <c r="AU529" s="24" t="inlineStr">
        <is>
          <t>Parma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e64f166eb03d5e657185abb04e25fff4830a8801f3dfa7f84e7c01a3f339baa9</t>
        </is>
      </c>
      <c r="BB529" s="24" t="inlineStr">
        <is>
          <t>poisson_dixon_coles</t>
        </is>
      </c>
      <c r="BC529" s="24" t="inlineStr">
        <is>
          <t>soccer-poisson-dc-v1</t>
        </is>
      </c>
      <c r="BD529" s="24" t="inlineStr">
        <is>
          <t>e64f166eb03d5e657185abb04e25fff4830a8801f3dfa7f84e7c01a3f339baa9</t>
        </is>
      </c>
      <c r="BE529" s="24" t="inlineStr">
        <is>
          <t>soccer-poisson-dc-v1</t>
        </is>
      </c>
      <c r="BF529" s="24" t="inlineStr">
        <is>
          <t>1</t>
        </is>
      </c>
      <c r="BG529" s="24" t="inlineStr">
        <is>
          <t>e64f166eb03d5e657185abb04e25fff4830a8801f3dfa7f84e7c01a3f339baa9</t>
        </is>
      </c>
      <c r="BH529" s="24" t="inlineStr">
        <is>
          <t>2026-09-06T04:34:42.169500Z</t>
        </is>
      </c>
      <c r="BI529" s="24" t="inlineStr">
        <is>
          <t>["same_event","same_team_same_day","same_league_same_day"]</t>
        </is>
      </c>
      <c r="BJ529" s="25" t="n"/>
      <c r="BK529" s="26" t="n">
        <v>178</v>
      </c>
      <c r="BL529" s="27" t="n">
        <v>2.78</v>
      </c>
      <c r="BM529" s="28" t="n">
        <v>0.359712</v>
      </c>
      <c r="BN529" s="28" t="n"/>
      <c r="BO529" s="28" t="n"/>
      <c r="BP529" s="25" t="n"/>
      <c r="BQ529" s="27" t="n">
        <v>2.78</v>
      </c>
      <c r="BR529" s="28" t="n">
        <v>0.36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0.359712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ff2eee3300ea45f7</t>
        </is>
      </c>
      <c r="B530" s="24" t="inlineStr">
        <is>
          <t>2026-09-06T10:03:23.742788Z</t>
        </is>
      </c>
      <c r="C530" s="24" t="inlineStr">
        <is>
          <t>2026-09-06T16:00Z</t>
        </is>
      </c>
      <c r="D530" s="24" t="inlineStr">
        <is>
          <t>401874751</t>
        </is>
      </c>
      <c r="E530" s="24" t="inlineStr">
        <is>
          <t>SOCCER</t>
        </is>
      </c>
      <c r="F530" s="24" t="inlineStr">
        <is>
          <t>Sassuolo</t>
        </is>
      </c>
      <c r="G530" s="24" t="inlineStr">
        <is>
          <t>Bologna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113</v>
      </c>
      <c r="M530" s="27" t="n">
        <v>2.13</v>
      </c>
      <c r="N530" s="28" t="n">
        <v>0.469484</v>
      </c>
      <c r="O530" s="28" t="n">
        <v>0.475116</v>
      </c>
      <c r="P530" s="28" t="n">
        <v>0.04</v>
      </c>
      <c r="Q530" s="28" t="n">
        <v>0.005632</v>
      </c>
      <c r="R530" s="26" t="n">
        <v>29</v>
      </c>
      <c r="S530" s="29" t="n">
        <v>1</v>
      </c>
      <c r="T530" s="24" t="inlineStr">
        <is>
          <t>soccer-poisson-dc-v1</t>
        </is>
      </c>
      <c r="U530" s="24" t="inlineStr">
        <is>
          <t>settled</t>
        </is>
      </c>
      <c r="V530" s="24" t="inlineStr">
        <is>
          <t>loss</t>
        </is>
      </c>
      <c r="W530" s="26" t="n">
        <v>2</v>
      </c>
      <c r="X530" s="26" t="n">
        <v>2</v>
      </c>
      <c r="Y530" s="25" t="n"/>
      <c r="Z530" s="26" t="n">
        <v>113</v>
      </c>
      <c r="AA530" s="28" t="n">
        <v>0.47</v>
      </c>
      <c r="AB530" s="28" t="n">
        <v>0.000516</v>
      </c>
      <c r="AC530" s="30" t="n">
        <v>-1</v>
      </c>
      <c r="AD530" s="24" t="inlineStr">
        <is>
          <t>2026-09-06T22:01:09.007645Z</t>
        </is>
      </c>
      <c r="AE530" s="31" t="inlineStr">
        <is>
          <t>Poisson-DC rates 1.55 (home) / 1.06 (away) from EWMA attack/defense strengths. Executable ask 0.4700 (atc-sea-bol-sas-2026-09-06-bol).</t>
        </is>
      </c>
      <c r="AF530" s="31" t="inlineStr">
        <is>
          <t>Research-only soccer score model; draw-aware, but not yet locked-holdout qualified.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Sassuolo</t>
        </is>
      </c>
      <c r="AQ530" s="24" t="inlineStr">
        <is>
          <t>Sassuolo</t>
        </is>
      </c>
      <c r="AR530" s="24" t="inlineStr">
        <is>
          <t>Sassuolo</t>
        </is>
      </c>
      <c r="AS530" s="24" t="inlineStr">
        <is>
          <t>Bologna</t>
        </is>
      </c>
      <c r="AT530" s="24" t="inlineStr">
        <is>
          <t>Bologna</t>
        </is>
      </c>
      <c r="AU530" s="24" t="inlineStr">
        <is>
          <t>Bologna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e64f166eb03d5e657185abb04e25fff4830a8801f3dfa7f84e7c01a3f339baa9</t>
        </is>
      </c>
      <c r="BB530" s="24" t="inlineStr">
        <is>
          <t>poisson_dixon_coles</t>
        </is>
      </c>
      <c r="BC530" s="24" t="inlineStr">
        <is>
          <t>soccer-poisson-dc-v1</t>
        </is>
      </c>
      <c r="BD530" s="24" t="inlineStr">
        <is>
          <t>e64f166eb03d5e657185abb04e25fff4830a8801f3dfa7f84e7c01a3f339baa9</t>
        </is>
      </c>
      <c r="BE530" s="24" t="inlineStr">
        <is>
          <t>soccer-poisson-dc-v1</t>
        </is>
      </c>
      <c r="BF530" s="24" t="inlineStr">
        <is>
          <t>1</t>
        </is>
      </c>
      <c r="BG530" s="24" t="inlineStr">
        <is>
          <t>e64f166eb03d5e657185abb04e25fff4830a8801f3dfa7f84e7c01a3f339baa9</t>
        </is>
      </c>
      <c r="BH530" s="24" t="inlineStr">
        <is>
          <t>2026-09-06T04:34:42.311376Z</t>
        </is>
      </c>
      <c r="BI530" s="24" t="inlineStr">
        <is>
          <t>["same_event","same_team_same_day","same_league_same_day"]</t>
        </is>
      </c>
      <c r="BJ530" s="25" t="n"/>
      <c r="BK530" s="26" t="n">
        <v>113</v>
      </c>
      <c r="BL530" s="27" t="n">
        <v>2.13</v>
      </c>
      <c r="BM530" s="28" t="n">
        <v>0.469484</v>
      </c>
      <c r="BN530" s="28" t="n"/>
      <c r="BO530" s="28" t="n"/>
      <c r="BP530" s="25" t="n"/>
      <c r="BQ530" s="27" t="n">
        <v>2.13</v>
      </c>
      <c r="BR530" s="28" t="n">
        <v>0.47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0.469484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6082a97b378b4a0c</t>
        </is>
      </c>
      <c r="B531" s="24" t="inlineStr">
        <is>
          <t>2026-09-06T10:03:23.742788Z</t>
        </is>
      </c>
      <c r="C531" s="24" t="inlineStr">
        <is>
          <t>2026-09-06T14:00Z</t>
        </is>
      </c>
      <c r="D531" s="24" t="inlineStr">
        <is>
          <t>401841219</t>
        </is>
      </c>
      <c r="E531" s="24" t="inlineStr">
        <is>
          <t>SOCCER</t>
        </is>
      </c>
      <c r="F531" s="24" t="inlineStr">
        <is>
          <t>Mirassol</t>
        </is>
      </c>
      <c r="G531" s="24" t="inlineStr">
        <is>
          <t>Coritiba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144</v>
      </c>
      <c r="M531" s="27" t="n">
        <v>2.44</v>
      </c>
      <c r="N531" s="28" t="n">
        <v>0.409836</v>
      </c>
      <c r="O531" s="28" t="n">
        <v>0.440521</v>
      </c>
      <c r="P531" s="28" t="n">
        <v>0.2</v>
      </c>
      <c r="Q531" s="28" t="n">
        <v>0.030685</v>
      </c>
      <c r="R531" s="26" t="n">
        <v>0</v>
      </c>
      <c r="S531" s="29" t="n">
        <v>1</v>
      </c>
      <c r="T531" s="24" t="inlineStr">
        <is>
          <t>soccer-poisson-dc-v1</t>
        </is>
      </c>
      <c r="U531" s="24" t="inlineStr">
        <is>
          <t>settled</t>
        </is>
      </c>
      <c r="V531" s="24" t="inlineStr">
        <is>
          <t>loss</t>
        </is>
      </c>
      <c r="W531" s="26" t="n">
        <v>2</v>
      </c>
      <c r="X531" s="26" t="n">
        <v>1</v>
      </c>
      <c r="Y531" s="25" t="n"/>
      <c r="Z531" s="26" t="n">
        <v>144</v>
      </c>
      <c r="AA531" s="28" t="n">
        <v>0.41</v>
      </c>
      <c r="AB531" s="28" t="n">
        <v>0.000164</v>
      </c>
      <c r="AC531" s="30" t="n">
        <v>-1</v>
      </c>
      <c r="AD531" s="24" t="inlineStr">
        <is>
          <t>2026-09-06T22:01:09.493865Z</t>
        </is>
      </c>
      <c r="AE531" s="31" t="inlineStr">
        <is>
          <t>Poisson-DC rates 1.46 (home) / 1.10 (away) from EWMA attack/defense strengths. Executable ask 0.4100 (atc-bra-cor-mir-2026-09-06-cor).</t>
        </is>
      </c>
      <c r="AF531" s="31" t="inlineStr">
        <is>
          <t>Research-only soccer score model; draw-aware, but not yet locked-holdout qualified.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PAPER_CALL_MODEL_UNVALIDATED</t>
        </is>
      </c>
      <c r="AP531" s="24" t="inlineStr">
        <is>
          <t>Mirassol</t>
        </is>
      </c>
      <c r="AQ531" s="24" t="inlineStr">
        <is>
          <t>Mirassol</t>
        </is>
      </c>
      <c r="AR531" s="24" t="inlineStr">
        <is>
          <t>Mirassol</t>
        </is>
      </c>
      <c r="AS531" s="24" t="inlineStr">
        <is>
          <t>Coritiba</t>
        </is>
      </c>
      <c r="AT531" s="24" t="inlineStr">
        <is>
          <t>Coritiba</t>
        </is>
      </c>
      <c r="AU531" s="24" t="inlineStr">
        <is>
          <t>Coritiba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e64f166eb03d5e657185abb04e25fff4830a8801f3dfa7f84e7c01a3f339baa9</t>
        </is>
      </c>
      <c r="BB531" s="24" t="inlineStr">
        <is>
          <t>poisson_dixon_coles</t>
        </is>
      </c>
      <c r="BC531" s="24" t="inlineStr">
        <is>
          <t>soccer-poisson-dc-v1</t>
        </is>
      </c>
      <c r="BD531" s="24" t="inlineStr">
        <is>
          <t>e64f166eb03d5e657185abb04e25fff4830a8801f3dfa7f84e7c01a3f339baa9</t>
        </is>
      </c>
      <c r="BE531" s="24" t="inlineStr">
        <is>
          <t>soccer-poisson-dc-v1</t>
        </is>
      </c>
      <c r="BF531" s="24" t="inlineStr">
        <is>
          <t>1</t>
        </is>
      </c>
      <c r="BG531" s="24" t="inlineStr">
        <is>
          <t>e64f166eb03d5e657185abb04e25fff4830a8801f3dfa7f84e7c01a3f339baa9</t>
        </is>
      </c>
      <c r="BH531" s="24" t="inlineStr">
        <is>
          <t>2026-09-06T04:34:43.642897Z</t>
        </is>
      </c>
      <c r="BI531" s="24" t="inlineStr">
        <is>
          <t>["same_event","same_team_same_day","same_league_same_day"]</t>
        </is>
      </c>
      <c r="BJ531" s="25" t="n"/>
      <c r="BK531" s="26" t="n">
        <v>144</v>
      </c>
      <c r="BL531" s="27" t="n">
        <v>2.44</v>
      </c>
      <c r="BM531" s="28" t="n">
        <v>0.409836</v>
      </c>
      <c r="BN531" s="28" t="n"/>
      <c r="BO531" s="28" t="n"/>
      <c r="BP531" s="25" t="n"/>
      <c r="BQ531" s="27" t="n">
        <v>2.44</v>
      </c>
      <c r="BR531" s="28" t="n">
        <v>0.41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0.409836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4607f06559c74862</t>
        </is>
      </c>
      <c r="B532" s="24" t="inlineStr">
        <is>
          <t>2026-09-06T10:03:23.742788Z</t>
        </is>
      </c>
      <c r="C532" s="24" t="inlineStr">
        <is>
          <t>2026-09-06T15:30Z</t>
        </is>
      </c>
      <c r="D532" s="24" t="inlineStr">
        <is>
          <t>401850649</t>
        </is>
      </c>
      <c r="E532" s="24" t="inlineStr">
        <is>
          <t>SOCCER</t>
        </is>
      </c>
      <c r="F532" s="24" t="inlineStr">
        <is>
          <t>Ñublense</t>
        </is>
      </c>
      <c r="G532" s="24" t="inlineStr">
        <is>
          <t>La Serena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156</v>
      </c>
      <c r="M532" s="27" t="n">
        <v>2.56</v>
      </c>
      <c r="N532" s="28" t="n">
        <v>0.390625</v>
      </c>
      <c r="O532" s="28" t="n">
        <v>0.473701</v>
      </c>
      <c r="P532" s="28" t="n">
        <v>0.2</v>
      </c>
      <c r="Q532" s="28" t="n">
        <v>0.083076</v>
      </c>
      <c r="R532" s="26" t="n">
        <v>0</v>
      </c>
      <c r="S532" s="29" t="n">
        <v>1</v>
      </c>
      <c r="T532" s="24" t="inlineStr">
        <is>
          <t>soccer-poisson-dc-v1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/>
      <c r="Z532" s="26" t="n">
        <v>156</v>
      </c>
      <c r="AA532" s="28" t="n">
        <v>0.39</v>
      </c>
      <c r="AB532" s="28" t="n">
        <v>-0.000625</v>
      </c>
      <c r="AC532" s="30" t="n">
        <v>1.56</v>
      </c>
      <c r="AD532" s="24" t="inlineStr">
        <is>
          <t>2026-09-06T22:01:09.977424Z</t>
        </is>
      </c>
      <c r="AE532" s="31" t="inlineStr">
        <is>
          <t>Poisson-DC rates 1.59 (home) / 1.10 (away) from EWMA attack/defense strengths. Executable ask 0.3900 (atc-pdc-ser-nub-2026-09-06-ser).</t>
        </is>
      </c>
      <c r="AF532" s="31" t="inlineStr">
        <is>
          <t>Research-only soccer score model; draw-aware, but not yet locked-holdout qualified.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PAPER_CALL_MODEL_UNVALIDATED</t>
        </is>
      </c>
      <c r="AP532" s="24" t="inlineStr">
        <is>
          <t>Ñublense</t>
        </is>
      </c>
      <c r="AQ532" s="24" t="inlineStr">
        <is>
          <t>Ñublense</t>
        </is>
      </c>
      <c r="AR532" s="24" t="inlineStr">
        <is>
          <t>Ñublense</t>
        </is>
      </c>
      <c r="AS532" s="24" t="inlineStr">
        <is>
          <t>La Serena</t>
        </is>
      </c>
      <c r="AT532" s="24" t="inlineStr">
        <is>
          <t>La Serena</t>
        </is>
      </c>
      <c r="AU532" s="24" t="inlineStr">
        <is>
          <t>La Serena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e64f166eb03d5e657185abb04e25fff4830a8801f3dfa7f84e7c01a3f339baa9</t>
        </is>
      </c>
      <c r="BB532" s="24" t="inlineStr">
        <is>
          <t>poisson_dixon_coles</t>
        </is>
      </c>
      <c r="BC532" s="24" t="inlineStr">
        <is>
          <t>soccer-poisson-dc-v1</t>
        </is>
      </c>
      <c r="BD532" s="24" t="inlineStr">
        <is>
          <t>e64f166eb03d5e657185abb04e25fff4830a8801f3dfa7f84e7c01a3f339baa9</t>
        </is>
      </c>
      <c r="BE532" s="24" t="inlineStr">
        <is>
          <t>soccer-poisson-dc-v1</t>
        </is>
      </c>
      <c r="BF532" s="24" t="inlineStr">
        <is>
          <t>1</t>
        </is>
      </c>
      <c r="BG532" s="24" t="inlineStr">
        <is>
          <t>e64f166eb03d5e657185abb04e25fff4830a8801f3dfa7f84e7c01a3f339baa9</t>
        </is>
      </c>
      <c r="BH532" s="24" t="inlineStr">
        <is>
          <t>2026-09-06T04:34:45.303238Z</t>
        </is>
      </c>
      <c r="BI532" s="24" t="inlineStr">
        <is>
          <t>["same_event","same_team_same_day","same_league_same_day"]</t>
        </is>
      </c>
      <c r="BJ532" s="25" t="n"/>
      <c r="BK532" s="26" t="n">
        <v>156</v>
      </c>
      <c r="BL532" s="27" t="n">
        <v>2.56</v>
      </c>
      <c r="BM532" s="28" t="n">
        <v>0.390625</v>
      </c>
      <c r="BN532" s="28" t="n"/>
      <c r="BO532" s="28" t="n"/>
      <c r="BP532" s="25" t="n"/>
      <c r="BQ532" s="27" t="n">
        <v>2.56</v>
      </c>
      <c r="BR532" s="28" t="n">
        <v>0.39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0.390625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8a2b74d0d0ca4296</t>
        </is>
      </c>
      <c r="B533" s="24" t="inlineStr">
        <is>
          <t>2026-09-06T10:03:23.742788Z</t>
        </is>
      </c>
      <c r="C533" s="24" t="inlineStr">
        <is>
          <t>2026-09-06T13:00Z</t>
        </is>
      </c>
      <c r="D533" s="24" t="inlineStr">
        <is>
          <t>401914271</t>
        </is>
      </c>
      <c r="E533" s="24" t="inlineStr">
        <is>
          <t>SOCCER</t>
        </is>
      </c>
      <c r="F533" s="24" t="inlineStr">
        <is>
          <t>Racing (Montevideo)</t>
        </is>
      </c>
      <c r="G533" s="24" t="inlineStr">
        <is>
          <t>Cerro</t>
        </is>
      </c>
      <c r="H533" s="24" t="inlineStr">
        <is>
          <t>moneyline</t>
        </is>
      </c>
      <c r="I533" s="24" t="inlineStr">
        <is>
          <t>home</t>
        </is>
      </c>
      <c r="J533" s="25" t="n"/>
      <c r="K533" s="24" t="inlineStr">
        <is>
          <t>polymarket_us</t>
        </is>
      </c>
      <c r="L533" s="26" t="n">
        <v>400</v>
      </c>
      <c r="M533" s="27" t="n">
        <v>5</v>
      </c>
      <c r="N533" s="28" t="n">
        <v>0.2</v>
      </c>
      <c r="O533" s="28" t="n">
        <v>0.456135</v>
      </c>
      <c r="P533" s="28" t="n">
        <v>0.2</v>
      </c>
      <c r="Q533" s="28" t="n">
        <v>0.256135</v>
      </c>
      <c r="R533" s="26" t="n">
        <v>58</v>
      </c>
      <c r="S533" s="29" t="n">
        <v>1.25</v>
      </c>
      <c r="T533" s="24" t="inlineStr">
        <is>
          <t>soccer-poisson-dc-v1</t>
        </is>
      </c>
      <c r="U533" s="24" t="inlineStr">
        <is>
          <t>settled</t>
        </is>
      </c>
      <c r="V533" s="24" t="inlineStr">
        <is>
          <t>win</t>
        </is>
      </c>
      <c r="W533" s="26" t="n">
        <v>0</v>
      </c>
      <c r="X533" s="26" t="n">
        <v>1</v>
      </c>
      <c r="Y533" s="25" t="n"/>
      <c r="Z533" s="26" t="n">
        <v>400</v>
      </c>
      <c r="AA533" s="28" t="n">
        <v>0.2</v>
      </c>
      <c r="AB533" s="28" t="n">
        <v>0</v>
      </c>
      <c r="AC533" s="30" t="n">
        <v>5</v>
      </c>
      <c r="AD533" s="24" t="inlineStr">
        <is>
          <t>2026-09-06T16:00:22.378235Z</t>
        </is>
      </c>
      <c r="AE533" s="31" t="inlineStr">
        <is>
          <t>Poisson-DC rates 1.64 (home) / 1.24 (away) from EWMA attack/defense strengths. Executable ask 0.2000 (atc-uru1-cer-rcm-2026-09-06-cer).</t>
        </is>
      </c>
      <c r="AF533" s="31" t="inlineStr">
        <is>
          <t>Research-only soccer score model; draw-aware, but not yet locked-holdout qualified.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Racing (Montevideo)</t>
        </is>
      </c>
      <c r="AQ533" s="24" t="inlineStr">
        <is>
          <t>Racing (Montevideo)</t>
        </is>
      </c>
      <c r="AR533" s="24" t="inlineStr">
        <is>
          <t>Racing (Montevideo)</t>
        </is>
      </c>
      <c r="AS533" s="24" t="inlineStr">
        <is>
          <t>Cerro</t>
        </is>
      </c>
      <c r="AT533" s="24" t="inlineStr">
        <is>
          <t>Cerro</t>
        </is>
      </c>
      <c r="AU533" s="24" t="inlineStr">
        <is>
          <t>Cerro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e64f166eb03d5e657185abb04e25fff4830a8801f3dfa7f84e7c01a3f339baa9</t>
        </is>
      </c>
      <c r="BB533" s="24" t="inlineStr">
        <is>
          <t>poisson_dixon_coles</t>
        </is>
      </c>
      <c r="BC533" s="24" t="inlineStr">
        <is>
          <t>soccer-poisson-dc-v1</t>
        </is>
      </c>
      <c r="BD533" s="24" t="inlineStr">
        <is>
          <t>e64f166eb03d5e657185abb04e25fff4830a8801f3dfa7f84e7c01a3f339baa9</t>
        </is>
      </c>
      <c r="BE533" s="24" t="inlineStr">
        <is>
          <t>soccer-poisson-dc-v1</t>
        </is>
      </c>
      <c r="BF533" s="24" t="inlineStr">
        <is>
          <t>1</t>
        </is>
      </c>
      <c r="BG533" s="24" t="inlineStr">
        <is>
          <t>e64f166eb03d5e657185abb04e25fff4830a8801f3dfa7f84e7c01a3f339baa9</t>
        </is>
      </c>
      <c r="BH533" s="24" t="inlineStr">
        <is>
          <t>2026-09-06T04:34:45.363631Z</t>
        </is>
      </c>
      <c r="BI533" s="24" t="inlineStr">
        <is>
          <t>["same_event","same_team_same_day","same_league_same_day"]</t>
        </is>
      </c>
      <c r="BJ533" s="25" t="n"/>
      <c r="BK533" s="26" t="n">
        <v>400</v>
      </c>
      <c r="BL533" s="27" t="n">
        <v>5</v>
      </c>
      <c r="BM533" s="28" t="n">
        <v>0.2</v>
      </c>
      <c r="BN533" s="28" t="n"/>
      <c r="BO533" s="28" t="n"/>
      <c r="BP533" s="25" t="n"/>
      <c r="BQ533" s="27" t="n">
        <v>5</v>
      </c>
      <c r="BR533" s="28" t="n">
        <v>0.2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0.2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7470de84d13642bd</t>
        </is>
      </c>
      <c r="B534" s="24" t="inlineStr">
        <is>
          <t>2026-09-06T16:03:10.038643Z</t>
        </is>
      </c>
      <c r="C534" s="24" t="inlineStr">
        <is>
          <t>2026-09-06T19:00Z</t>
        </is>
      </c>
      <c r="D534" s="24" t="inlineStr">
        <is>
          <t>401882892</t>
        </is>
      </c>
      <c r="E534" s="24" t="inlineStr">
        <is>
          <t>SOCCER</t>
        </is>
      </c>
      <c r="F534" s="24" t="inlineStr">
        <is>
          <t>Sevilla</t>
        </is>
      </c>
      <c r="G534" s="24" t="inlineStr">
        <is>
          <t>Espanyol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133</v>
      </c>
      <c r="M534" s="27" t="n">
        <v>2.33</v>
      </c>
      <c r="N534" s="28" t="n">
        <v>0.429185</v>
      </c>
      <c r="O534" s="28" t="n">
        <v>0.435896</v>
      </c>
      <c r="P534" s="28" t="n">
        <v>0.04</v>
      </c>
      <c r="Q534" s="28" t="n">
        <v>0.006711</v>
      </c>
      <c r="R534" s="26" t="n">
        <v>29</v>
      </c>
      <c r="S534" s="29" t="n">
        <v>1</v>
      </c>
      <c r="T534" s="24" t="inlineStr">
        <is>
          <t>soccer-poisson-dc-v1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1</v>
      </c>
      <c r="Y534" s="25" t="n"/>
      <c r="Z534" s="26" t="n">
        <v>133</v>
      </c>
      <c r="AA534" s="28" t="n">
        <v>0.43</v>
      </c>
      <c r="AB534" s="28" t="n">
        <v>0.000815</v>
      </c>
      <c r="AC534" s="30" t="n">
        <v>-1</v>
      </c>
      <c r="AD534" s="24" t="inlineStr">
        <is>
          <t>2026-09-06T22:01:30.040803Z</t>
        </is>
      </c>
      <c r="AE534" s="31" t="inlineStr">
        <is>
          <t>Poisson-DC rates 1.40 (home) / 1.06 (away) from EWMA attack/defense strengths. Executable ask 0.4300 (atc-lal-esp-sev-2026-09-06-esp).</t>
        </is>
      </c>
      <c r="AF534" s="31" t="inlineStr">
        <is>
          <t>Research-only soccer score model; draw-aware, but not yet locked-holdout qualified.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Sevilla</t>
        </is>
      </c>
      <c r="AQ534" s="24" t="inlineStr">
        <is>
          <t>Sevilla</t>
        </is>
      </c>
      <c r="AR534" s="24" t="inlineStr">
        <is>
          <t>Sevilla</t>
        </is>
      </c>
      <c r="AS534" s="24" t="inlineStr">
        <is>
          <t>Espanyol</t>
        </is>
      </c>
      <c r="AT534" s="24" t="inlineStr">
        <is>
          <t>Espanyol</t>
        </is>
      </c>
      <c r="AU534" s="24" t="inlineStr">
        <is>
          <t>Espanyol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e64f166eb03d5e657185abb04e25fff4830a8801f3dfa7f84e7c01a3f339baa9</t>
        </is>
      </c>
      <c r="BB534" s="24" t="inlineStr">
        <is>
          <t>poisson_dixon_coles</t>
        </is>
      </c>
      <c r="BC534" s="24" t="inlineStr">
        <is>
          <t>soccer-poisson-dc-v1</t>
        </is>
      </c>
      <c r="BD534" s="24" t="inlineStr">
        <is>
          <t>e64f166eb03d5e657185abb04e25fff4830a8801f3dfa7f84e7c01a3f339baa9</t>
        </is>
      </c>
      <c r="BE534" s="24" t="inlineStr">
        <is>
          <t>soccer-poisson-dc-v1</t>
        </is>
      </c>
      <c r="BF534" s="24" t="inlineStr">
        <is>
          <t>1</t>
        </is>
      </c>
      <c r="BG534" s="24" t="inlineStr">
        <is>
          <t>e64f166eb03d5e657185abb04e25fff4830a8801f3dfa7f84e7c01a3f339baa9</t>
        </is>
      </c>
      <c r="BH534" s="24" t="inlineStr">
        <is>
          <t>2026-09-06T16:02:24.710118Z</t>
        </is>
      </c>
      <c r="BI534" s="24" t="inlineStr">
        <is>
          <t>["same_event","same_team_same_day","same_league_same_day"]</t>
        </is>
      </c>
      <c r="BJ534" s="25" t="n"/>
      <c r="BK534" s="26" t="n">
        <v>133</v>
      </c>
      <c r="BL534" s="27" t="n">
        <v>2.33</v>
      </c>
      <c r="BM534" s="28" t="n">
        <v>0.429185</v>
      </c>
      <c r="BN534" s="28" t="n"/>
      <c r="BO534" s="28" t="n"/>
      <c r="BP534" s="25" t="n"/>
      <c r="BQ534" s="27" t="n">
        <v>2.33</v>
      </c>
      <c r="BR534" s="28" t="n">
        <v>0.43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0.429185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9cf7c3a804294fd2</t>
        </is>
      </c>
      <c r="B535" s="24" t="inlineStr">
        <is>
          <t>2026-09-06T16:03:10.038643Z</t>
        </is>
      </c>
      <c r="C535" s="24" t="inlineStr">
        <is>
          <t>2026-09-06T18:45Z</t>
        </is>
      </c>
      <c r="D535" s="24" t="inlineStr">
        <is>
          <t>401874954</t>
        </is>
      </c>
      <c r="E535" s="24" t="inlineStr">
        <is>
          <t>SOCCER</t>
        </is>
      </c>
      <c r="F535" s="24" t="inlineStr">
        <is>
          <t>AC Milan</t>
        </is>
      </c>
      <c r="G535" s="24" t="inlineStr">
        <is>
          <t>Juventus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117</v>
      </c>
      <c r="M535" s="27" t="n">
        <v>2.17</v>
      </c>
      <c r="N535" s="28" t="n">
        <v>0.460829</v>
      </c>
      <c r="O535" s="28" t="n">
        <v>0.542566</v>
      </c>
      <c r="P535" s="28" t="n">
        <v>0.04</v>
      </c>
      <c r="Q535" s="28" t="n">
        <v>0.081737</v>
      </c>
      <c r="R535" s="26" t="n">
        <v>67</v>
      </c>
      <c r="S535" s="29" t="n">
        <v>1.25</v>
      </c>
      <c r="T535" s="24" t="inlineStr">
        <is>
          <t>soccer-poisson-dc-v1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1</v>
      </c>
      <c r="Y535" s="25" t="n"/>
      <c r="Z535" s="26" t="n">
        <v>117</v>
      </c>
      <c r="AA535" s="28" t="n">
        <v>0.46</v>
      </c>
      <c r="AB535" s="28" t="n">
        <v>-0.000829</v>
      </c>
      <c r="AC535" s="30" t="n">
        <v>-1.25</v>
      </c>
      <c r="AD535" s="24" t="inlineStr">
        <is>
          <t>2026-09-06T22:01:30.535376Z</t>
        </is>
      </c>
      <c r="AE535" s="31" t="inlineStr">
        <is>
          <t>Poisson-DC rates 1.56 (home) / 0.80 (away) from EWMA attack/defense strengths. Executable ask 0.4600 (atc-sea-juv-mil-2026-09-06-juv).</t>
        </is>
      </c>
      <c r="AF535" s="31" t="inlineStr">
        <is>
          <t>Research-only soccer score model; draw-aware, but not yet locked-holdout qualified.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AC Milan</t>
        </is>
      </c>
      <c r="AQ535" s="24" t="inlineStr">
        <is>
          <t>AC Milan</t>
        </is>
      </c>
      <c r="AR535" s="24" t="inlineStr">
        <is>
          <t>AC Milan</t>
        </is>
      </c>
      <c r="AS535" s="24" t="inlineStr">
        <is>
          <t>Juventus</t>
        </is>
      </c>
      <c r="AT535" s="24" t="inlineStr">
        <is>
          <t>Juventus</t>
        </is>
      </c>
      <c r="AU535" s="24" t="inlineStr">
        <is>
          <t>Juventus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e64f166eb03d5e657185abb04e25fff4830a8801f3dfa7f84e7c01a3f339baa9</t>
        </is>
      </c>
      <c r="BB535" s="24" t="inlineStr">
        <is>
          <t>poisson_dixon_coles</t>
        </is>
      </c>
      <c r="BC535" s="24" t="inlineStr">
        <is>
          <t>soccer-poisson-dc-v1</t>
        </is>
      </c>
      <c r="BD535" s="24" t="inlineStr">
        <is>
          <t>e64f166eb03d5e657185abb04e25fff4830a8801f3dfa7f84e7c01a3f339baa9</t>
        </is>
      </c>
      <c r="BE535" s="24" t="inlineStr">
        <is>
          <t>soccer-poisson-dc-v1</t>
        </is>
      </c>
      <c r="BF535" s="24" t="inlineStr">
        <is>
          <t>1</t>
        </is>
      </c>
      <c r="BG535" s="24" t="inlineStr">
        <is>
          <t>e64f166eb03d5e657185abb04e25fff4830a8801f3dfa7f84e7c01a3f339baa9</t>
        </is>
      </c>
      <c r="BH535" s="24" t="inlineStr">
        <is>
          <t>2026-09-06T16:02:25.088863Z</t>
        </is>
      </c>
      <c r="BI535" s="24" t="inlineStr">
        <is>
          <t>["same_event","same_team_same_day","same_league_same_day"]</t>
        </is>
      </c>
      <c r="BJ535" s="25" t="n"/>
      <c r="BK535" s="26" t="n">
        <v>117</v>
      </c>
      <c r="BL535" s="27" t="n">
        <v>2.17</v>
      </c>
      <c r="BM535" s="28" t="n">
        <v>0.460829</v>
      </c>
      <c r="BN535" s="28" t="n"/>
      <c r="BO535" s="28" t="n"/>
      <c r="BP535" s="25" t="n"/>
      <c r="BQ535" s="27" t="n">
        <v>2.17</v>
      </c>
      <c r="BR535" s="28" t="n">
        <v>0.46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0.460829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8ef62226239142e1</t>
        </is>
      </c>
      <c r="B536" s="24" t="inlineStr">
        <is>
          <t>2026-09-06T16:03:10.038643Z</t>
        </is>
      </c>
      <c r="C536" s="24" t="inlineStr">
        <is>
          <t>2026-09-06T19:00Z</t>
        </is>
      </c>
      <c r="D536" s="24" t="inlineStr">
        <is>
          <t>401841223</t>
        </is>
      </c>
      <c r="E536" s="24" t="inlineStr">
        <is>
          <t>SOCCER</t>
        </is>
      </c>
      <c r="F536" s="24" t="inlineStr">
        <is>
          <t>Santos</t>
        </is>
      </c>
      <c r="G536" s="24" t="inlineStr">
        <is>
          <t>Internacional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104</v>
      </c>
      <c r="M536" s="27" t="n">
        <v>2.04</v>
      </c>
      <c r="N536" s="28" t="n">
        <v>0.490196</v>
      </c>
      <c r="O536" s="28" t="n">
        <v>0.456135</v>
      </c>
      <c r="P536" s="28" t="n">
        <v>0.2</v>
      </c>
      <c r="Q536" s="28" t="n">
        <v>-0.034061</v>
      </c>
      <c r="R536" s="26" t="n">
        <v>0</v>
      </c>
      <c r="S536" s="29" t="n">
        <v>1</v>
      </c>
      <c r="T536" s="24" t="inlineStr">
        <is>
          <t>soccer-poisson-dc-v1</t>
        </is>
      </c>
      <c r="U536" s="24" t="inlineStr">
        <is>
          <t>settled</t>
        </is>
      </c>
      <c r="V536" s="24" t="inlineStr">
        <is>
          <t>loss</t>
        </is>
      </c>
      <c r="W536" s="26" t="n">
        <v>3</v>
      </c>
      <c r="X536" s="26" t="n">
        <v>2</v>
      </c>
      <c r="Y536" s="25" t="n"/>
      <c r="Z536" s="26" t="n">
        <v>104</v>
      </c>
      <c r="AA536" s="28" t="n">
        <v>0.49</v>
      </c>
      <c r="AB536" s="28" t="n">
        <v>-0.000196</v>
      </c>
      <c r="AC536" s="30" t="n">
        <v>-1</v>
      </c>
      <c r="AD536" s="24" t="inlineStr">
        <is>
          <t>2026-09-06T22:01:31.029581Z</t>
        </is>
      </c>
      <c r="AE536" s="31" t="inlineStr">
        <is>
          <t>Poisson-DC rates 1.64 (home) / 1.24 (away) from EWMA attack/defense strengths. Executable ask 0.4900 (atc-bra-int-san-2026-09-06-int).</t>
        </is>
      </c>
      <c r="AF536" s="31" t="inlineStr">
        <is>
          <t>Research-only soccer score model; draw-aware, but not yet locked-holdout qualified.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PAPER_CALL_MODEL_UNVALIDATED</t>
        </is>
      </c>
      <c r="AP536" s="24" t="inlineStr">
        <is>
          <t>Santos</t>
        </is>
      </c>
      <c r="AQ536" s="24" t="inlineStr">
        <is>
          <t>Santos</t>
        </is>
      </c>
      <c r="AR536" s="24" t="inlineStr">
        <is>
          <t>Santos</t>
        </is>
      </c>
      <c r="AS536" s="24" t="inlineStr">
        <is>
          <t>Internacional</t>
        </is>
      </c>
      <c r="AT536" s="24" t="inlineStr">
        <is>
          <t>Internacional</t>
        </is>
      </c>
      <c r="AU536" s="24" t="inlineStr">
        <is>
          <t>Internacional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e64f166eb03d5e657185abb04e25fff4830a8801f3dfa7f84e7c01a3f339baa9</t>
        </is>
      </c>
      <c r="BB536" s="24" t="inlineStr">
        <is>
          <t>poisson_dixon_coles</t>
        </is>
      </c>
      <c r="BC536" s="24" t="inlineStr">
        <is>
          <t>soccer-poisson-dc-v1</t>
        </is>
      </c>
      <c r="BD536" s="24" t="inlineStr">
        <is>
          <t>e64f166eb03d5e657185abb04e25fff4830a8801f3dfa7f84e7c01a3f339baa9</t>
        </is>
      </c>
      <c r="BE536" s="24" t="inlineStr">
        <is>
          <t>soccer-poisson-dc-v1</t>
        </is>
      </c>
      <c r="BF536" s="24" t="inlineStr">
        <is>
          <t>1</t>
        </is>
      </c>
      <c r="BG536" s="24" t="inlineStr">
        <is>
          <t>e64f166eb03d5e657185abb04e25fff4830a8801f3dfa7f84e7c01a3f339baa9</t>
        </is>
      </c>
      <c r="BH536" s="24" t="inlineStr">
        <is>
          <t>2026-09-06T16:02:25.503105Z</t>
        </is>
      </c>
      <c r="BI536" s="24" t="inlineStr">
        <is>
          <t>["same_event","same_team_same_day","same_league_same_day"]</t>
        </is>
      </c>
      <c r="BJ536" s="25" t="n"/>
      <c r="BK536" s="26" t="n">
        <v>104</v>
      </c>
      <c r="BL536" s="27" t="n">
        <v>2.04</v>
      </c>
      <c r="BM536" s="28" t="n">
        <v>0.490196</v>
      </c>
      <c r="BN536" s="28" t="n"/>
      <c r="BO536" s="28" t="n"/>
      <c r="BP536" s="25" t="n"/>
      <c r="BQ536" s="27" t="n">
        <v>2.04</v>
      </c>
      <c r="BR536" s="28" t="n">
        <v>0.49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0.490196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73c0748ab53e4a53</t>
        </is>
      </c>
      <c r="B537" s="24" t="inlineStr">
        <is>
          <t>2026-09-06T16:03:10.038643Z</t>
        </is>
      </c>
      <c r="C537" s="24" t="inlineStr">
        <is>
          <t>2026-09-06T19:00Z</t>
        </is>
      </c>
      <c r="D537" s="24" t="inlineStr">
        <is>
          <t>401841225</t>
        </is>
      </c>
      <c r="E537" s="24" t="inlineStr">
        <is>
          <t>SOCCER</t>
        </is>
      </c>
      <c r="F537" s="24" t="inlineStr">
        <is>
          <t>Flamengo</t>
        </is>
      </c>
      <c r="G537" s="24" t="inlineStr">
        <is>
          <t>Remo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614</v>
      </c>
      <c r="M537" s="27" t="n">
        <v>7.14</v>
      </c>
      <c r="N537" s="28" t="n">
        <v>0.140056</v>
      </c>
      <c r="O537" s="28" t="n">
        <v>0.456135</v>
      </c>
      <c r="P537" s="28" t="n">
        <v>0.2</v>
      </c>
      <c r="Q537" s="28" t="n">
        <v>0.316079</v>
      </c>
      <c r="R537" s="26" t="n">
        <v>88</v>
      </c>
      <c r="S537" s="29" t="n">
        <v>1.75</v>
      </c>
      <c r="T537" s="24" t="inlineStr">
        <is>
          <t>soccer-poisson-dc-v1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614</v>
      </c>
      <c r="AA537" s="28" t="n">
        <v>0.14</v>
      </c>
      <c r="AB537" s="28" t="n">
        <v>-5.6e-05</v>
      </c>
      <c r="AC537" s="30" t="n">
        <v>-1.75</v>
      </c>
      <c r="AD537" s="24" t="inlineStr">
        <is>
          <t>2026-09-06T22:01:31.521969Z</t>
        </is>
      </c>
      <c r="AE537" s="31" t="inlineStr">
        <is>
          <t>Poisson-DC rates 1.64 (home) / 1.24 (away) from EWMA attack/defense strengths. Executable ask 0.1400 (atc-bra-cre-fla-2026-09-06-cre).</t>
        </is>
      </c>
      <c r="AF537" s="31" t="inlineStr">
        <is>
          <t>Research-only soccer score model; draw-aware, but not yet locked-holdout qualified.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PAPER_CALL_MODEL_UNVALIDATED</t>
        </is>
      </c>
      <c r="AP537" s="24" t="inlineStr">
        <is>
          <t>Flamengo</t>
        </is>
      </c>
      <c r="AQ537" s="24" t="inlineStr">
        <is>
          <t>Flamengo</t>
        </is>
      </c>
      <c r="AR537" s="24" t="inlineStr">
        <is>
          <t>Flamengo</t>
        </is>
      </c>
      <c r="AS537" s="24" t="inlineStr">
        <is>
          <t>Remo</t>
        </is>
      </c>
      <c r="AT537" s="24" t="inlineStr">
        <is>
          <t>Remo</t>
        </is>
      </c>
      <c r="AU537" s="24" t="inlineStr">
        <is>
          <t>Remo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e64f166eb03d5e657185abb04e25fff4830a8801f3dfa7f84e7c01a3f339baa9</t>
        </is>
      </c>
      <c r="BB537" s="24" t="inlineStr">
        <is>
          <t>poisson_dixon_coles</t>
        </is>
      </c>
      <c r="BC537" s="24" t="inlineStr">
        <is>
          <t>soccer-poisson-dc-v1</t>
        </is>
      </c>
      <c r="BD537" s="24" t="inlineStr">
        <is>
          <t>e64f166eb03d5e657185abb04e25fff4830a8801f3dfa7f84e7c01a3f339baa9</t>
        </is>
      </c>
      <c r="BE537" s="24" t="inlineStr">
        <is>
          <t>soccer-poisson-dc-v1</t>
        </is>
      </c>
      <c r="BF537" s="24" t="inlineStr">
        <is>
          <t>1</t>
        </is>
      </c>
      <c r="BG537" s="24" t="inlineStr">
        <is>
          <t>e64f166eb03d5e657185abb04e25fff4830a8801f3dfa7f84e7c01a3f339baa9</t>
        </is>
      </c>
      <c r="BH537" s="24" t="inlineStr">
        <is>
          <t>2026-09-06T16:02:25.519269Z</t>
        </is>
      </c>
      <c r="BI537" s="24" t="inlineStr">
        <is>
          <t>["same_event","same_team_same_day","same_league_same_day"]</t>
        </is>
      </c>
      <c r="BJ537" s="25" t="n"/>
      <c r="BK537" s="26" t="n">
        <v>614</v>
      </c>
      <c r="BL537" s="27" t="n">
        <v>7.14</v>
      </c>
      <c r="BM537" s="28" t="n">
        <v>0.140056</v>
      </c>
      <c r="BN537" s="28" t="n"/>
      <c r="BO537" s="28" t="n"/>
      <c r="BP537" s="25" t="n"/>
      <c r="BQ537" s="27" t="n">
        <v>7.14</v>
      </c>
      <c r="BR537" s="28" t="n">
        <v>0.14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0.140056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55d448e8dbf7454f</t>
        </is>
      </c>
      <c r="B538" s="24" t="inlineStr">
        <is>
          <t>2026-09-06T16:03:10.038643Z</t>
        </is>
      </c>
      <c r="C538" s="24" t="inlineStr">
        <is>
          <t>2026-09-06T21:30Z</t>
        </is>
      </c>
      <c r="D538" s="24" t="inlineStr">
        <is>
          <t>401841221</t>
        </is>
      </c>
      <c r="E538" s="24" t="inlineStr">
        <is>
          <t>SOCCER</t>
        </is>
      </c>
      <c r="F538" s="24" t="inlineStr">
        <is>
          <t>Palmeiras</t>
        </is>
      </c>
      <c r="G538" s="24" t="inlineStr">
        <is>
          <t>Botafogo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0.456135</v>
      </c>
      <c r="P538" s="28" t="n">
        <v>0.2</v>
      </c>
      <c r="Q538" s="28" t="n">
        <v>0.176023</v>
      </c>
      <c r="R538" s="26" t="n">
        <v>18</v>
      </c>
      <c r="S538" s="29" t="n">
        <v>1</v>
      </c>
      <c r="T538" s="24" t="inlineStr">
        <is>
          <t>soccer-poisson-dc-v1</t>
        </is>
      </c>
      <c r="U538" s="24" t="inlineStr">
        <is>
          <t>settled</t>
        </is>
      </c>
      <c r="V538" s="24" t="inlineStr">
        <is>
          <t>loss</t>
        </is>
      </c>
      <c r="W538" s="26" t="n">
        <v>0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-1</v>
      </c>
      <c r="AD538" s="24" t="inlineStr">
        <is>
          <t>2026-09-07T04:30:56.253927Z</t>
        </is>
      </c>
      <c r="AE538" s="31" t="inlineStr">
        <is>
          <t>Poisson-DC rates 1.64 (home) / 1.24 (away) from EWMA attack/defense strengths. Executable ask 0.2800 (atc-bra-bot-pal-2026-09-06-bot).</t>
        </is>
      </c>
      <c r="AF538" s="31" t="inlineStr">
        <is>
          <t>Research-only soccer score model; draw-aware, but not yet locked-holdout qualified.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PAPER_CALL_MODEL_UNVALIDATED</t>
        </is>
      </c>
      <c r="AP538" s="24" t="inlineStr">
        <is>
          <t>Palmeiras</t>
        </is>
      </c>
      <c r="AQ538" s="24" t="inlineStr">
        <is>
          <t>Palmeiras</t>
        </is>
      </c>
      <c r="AR538" s="24" t="inlineStr">
        <is>
          <t>Palmeiras</t>
        </is>
      </c>
      <c r="AS538" s="24" t="inlineStr">
        <is>
          <t>Botafogo</t>
        </is>
      </c>
      <c r="AT538" s="24" t="inlineStr">
        <is>
          <t>Botafogo</t>
        </is>
      </c>
      <c r="AU538" s="24" t="inlineStr">
        <is>
          <t>Botafogo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e64f166eb03d5e657185abb04e25fff4830a8801f3dfa7f84e7c01a3f339baa9</t>
        </is>
      </c>
      <c r="BB538" s="24" t="inlineStr">
        <is>
          <t>poisson_dixon_coles</t>
        </is>
      </c>
      <c r="BC538" s="24" t="inlineStr">
        <is>
          <t>soccer-poisson-dc-v1</t>
        </is>
      </c>
      <c r="BD538" s="24" t="inlineStr">
        <is>
          <t>e64f166eb03d5e657185abb04e25fff4830a8801f3dfa7f84e7c01a3f339baa9</t>
        </is>
      </c>
      <c r="BE538" s="24" t="inlineStr">
        <is>
          <t>soccer-poisson-dc-v1</t>
        </is>
      </c>
      <c r="BF538" s="24" t="inlineStr">
        <is>
          <t>1</t>
        </is>
      </c>
      <c r="BG538" s="24" t="inlineStr">
        <is>
          <t>e64f166eb03d5e657185abb04e25fff4830a8801f3dfa7f84e7c01a3f339baa9</t>
        </is>
      </c>
      <c r="BH538" s="24" t="inlineStr">
        <is>
          <t>2026-09-06T16:02:25.548478Z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6c93e681cb564ce9</t>
        </is>
      </c>
      <c r="B539" s="24" t="inlineStr">
        <is>
          <t>2026-09-06T16:03:10.038643Z</t>
        </is>
      </c>
      <c r="C539" s="24" t="inlineStr">
        <is>
          <t>2026-09-06T21:30Z</t>
        </is>
      </c>
      <c r="D539" s="24" t="inlineStr">
        <is>
          <t>401860314</t>
        </is>
      </c>
      <c r="E539" s="24" t="inlineStr">
        <is>
          <t>SOCCER</t>
        </is>
      </c>
      <c r="F539" s="24" t="inlineStr">
        <is>
          <t>São Bernardo</t>
        </is>
      </c>
      <c r="G539" s="24" t="inlineStr">
        <is>
          <t>Ponte Preta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900</v>
      </c>
      <c r="M539" s="27" t="n">
        <v>10</v>
      </c>
      <c r="N539" s="28" t="n">
        <v>0.1</v>
      </c>
      <c r="O539" s="28" t="n">
        <v>0.430486</v>
      </c>
      <c r="P539" s="28" t="n">
        <v>0.2</v>
      </c>
      <c r="Q539" s="28" t="n">
        <v>0.330486</v>
      </c>
      <c r="R539" s="26" t="n">
        <v>95</v>
      </c>
      <c r="S539" s="29" t="n">
        <v>1.75</v>
      </c>
      <c r="T539" s="24" t="inlineStr">
        <is>
          <t>soccer-poisson-dc-v1</t>
        </is>
      </c>
      <c r="U539" s="24" t="inlineStr">
        <is>
          <t>settled</t>
        </is>
      </c>
      <c r="V539" s="24" t="inlineStr">
        <is>
          <t>loss</t>
        </is>
      </c>
      <c r="W539" s="26" t="n">
        <v>2</v>
      </c>
      <c r="X539" s="26" t="n">
        <v>0</v>
      </c>
      <c r="Y539" s="25" t="n"/>
      <c r="Z539" s="26" t="n">
        <v>900</v>
      </c>
      <c r="AA539" s="28" t="n">
        <v>0.1</v>
      </c>
      <c r="AB539" s="28" t="n">
        <v>0</v>
      </c>
      <c r="AC539" s="30" t="n">
        <v>-1.75</v>
      </c>
      <c r="AD539" s="24" t="inlineStr">
        <is>
          <t>2026-09-07T04:30:56.751487Z</t>
        </is>
      </c>
      <c r="AE539" s="31" t="inlineStr">
        <is>
          <t>Poisson-DC rates 1.59 (home) / 1.30 (away) from EWMA attack/defense strengths. Executable ask 0.1000 (atc-brb-pop-ber-2026-09-06-pop).</t>
        </is>
      </c>
      <c r="AF539" s="31" t="inlineStr">
        <is>
          <t>Research-only soccer score model; draw-aware, but not yet locked-holdout qualified.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PAPER_CALL_MODEL_UNVALIDATED</t>
        </is>
      </c>
      <c r="AP539" s="24" t="inlineStr">
        <is>
          <t>São Bernardo</t>
        </is>
      </c>
      <c r="AQ539" s="24" t="inlineStr">
        <is>
          <t>São Bernardo</t>
        </is>
      </c>
      <c r="AR539" s="24" t="inlineStr">
        <is>
          <t>São Bernardo</t>
        </is>
      </c>
      <c r="AS539" s="24" t="inlineStr">
        <is>
          <t>Ponte Preta</t>
        </is>
      </c>
      <c r="AT539" s="24" t="inlineStr">
        <is>
          <t>Ponte Preta</t>
        </is>
      </c>
      <c r="AU539" s="24" t="inlineStr">
        <is>
          <t>Ponte Preta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e64f166eb03d5e657185abb04e25fff4830a8801f3dfa7f84e7c01a3f339baa9</t>
        </is>
      </c>
      <c r="BB539" s="24" t="inlineStr">
        <is>
          <t>poisson_dixon_coles</t>
        </is>
      </c>
      <c r="BC539" s="24" t="inlineStr">
        <is>
          <t>soccer-poisson-dc-v1</t>
        </is>
      </c>
      <c r="BD539" s="24" t="inlineStr">
        <is>
          <t>e64f166eb03d5e657185abb04e25fff4830a8801f3dfa7f84e7c01a3f339baa9</t>
        </is>
      </c>
      <c r="BE539" s="24" t="inlineStr">
        <is>
          <t>soccer-poisson-dc-v1</t>
        </is>
      </c>
      <c r="BF539" s="24" t="inlineStr">
        <is>
          <t>1</t>
        </is>
      </c>
      <c r="BG539" s="24" t="inlineStr">
        <is>
          <t>e64f166eb03d5e657185abb04e25fff4830a8801f3dfa7f84e7c01a3f339baa9</t>
        </is>
      </c>
      <c r="BH539" s="24" t="inlineStr">
        <is>
          <t>2026-09-06T16:02:25.554110Z</t>
        </is>
      </c>
      <c r="BI539" s="24" t="inlineStr">
        <is>
          <t>["same_event","same_team_same_day","same_league_same_day"]</t>
        </is>
      </c>
      <c r="BJ539" s="25" t="n"/>
      <c r="BK539" s="26" t="n">
        <v>900</v>
      </c>
      <c r="BL539" s="27" t="n">
        <v>10</v>
      </c>
      <c r="BM539" s="28" t="n">
        <v>0.1</v>
      </c>
      <c r="BN539" s="28" t="n"/>
      <c r="BO539" s="28" t="n"/>
      <c r="BP539" s="25" t="n"/>
      <c r="BQ539" s="27" t="n">
        <v>10</v>
      </c>
      <c r="BR539" s="28" t="n">
        <v>0.1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0.1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6a7323031c6a4127</t>
        </is>
      </c>
      <c r="B540" s="24" t="inlineStr">
        <is>
          <t>2026-09-06T16:03:10.038643Z</t>
        </is>
      </c>
      <c r="C540" s="24" t="inlineStr">
        <is>
          <t>2026-09-06T17:45Z</t>
        </is>
      </c>
      <c r="D540" s="24" t="inlineStr">
        <is>
          <t>401841550</t>
        </is>
      </c>
      <c r="E540" s="24" t="inlineStr">
        <is>
          <t>SOCCER</t>
        </is>
      </c>
      <c r="F540" s="24" t="inlineStr">
        <is>
          <t>Newell's Old Boys</t>
        </is>
      </c>
      <c r="G540" s="24" t="inlineStr">
        <is>
          <t>Rosario Central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-163</v>
      </c>
      <c r="M540" s="27" t="n">
        <v>1.613497</v>
      </c>
      <c r="N540" s="28" t="n">
        <v>0.619772</v>
      </c>
      <c r="O540" s="28" t="n">
        <v>0.456135</v>
      </c>
      <c r="P540" s="28" t="n">
        <v>0.2</v>
      </c>
      <c r="Q540" s="28" t="n">
        <v>-0.163637</v>
      </c>
      <c r="R540" s="26" t="n">
        <v>0</v>
      </c>
      <c r="S540" s="29" t="n">
        <v>1</v>
      </c>
      <c r="T540" s="24" t="inlineStr">
        <is>
          <t>soccer-poisson-dc-v1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1</v>
      </c>
      <c r="Y540" s="25" t="n"/>
      <c r="Z540" s="26" t="n">
        <v>-163</v>
      </c>
      <c r="AA540" s="28" t="n">
        <v>0.62</v>
      </c>
      <c r="AB540" s="28" t="n">
        <v>0.000228</v>
      </c>
      <c r="AC540" s="30" t="n">
        <v>-1</v>
      </c>
      <c r="AD540" s="24" t="inlineStr">
        <is>
          <t>2026-09-06T22:01:32.018057Z</t>
        </is>
      </c>
      <c r="AE540" s="31" t="inlineStr">
        <is>
          <t>Poisson-DC rates 1.64 (home) / 1.24 (away) from EWMA attack/defense strengths. Executable ask 0.6200 (atc-lpa-ros-new-2026-09-06-ros).</t>
        </is>
      </c>
      <c r="AF540" s="31" t="inlineStr">
        <is>
          <t>Research-only soccer score model; draw-aware, but not yet locked-holdout qualified.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PAPER_CALL_MODEL_UNVALIDATED</t>
        </is>
      </c>
      <c r="AP540" s="24" t="inlineStr">
        <is>
          <t>Newell's Old Boys</t>
        </is>
      </c>
      <c r="AQ540" s="24" t="inlineStr">
        <is>
          <t>Newell's Old Boys</t>
        </is>
      </c>
      <c r="AR540" s="24" t="inlineStr">
        <is>
          <t>Newell's Old Boys</t>
        </is>
      </c>
      <c r="AS540" s="24" t="inlineStr">
        <is>
          <t>Rosario Central</t>
        </is>
      </c>
      <c r="AT540" s="24" t="inlineStr">
        <is>
          <t>Rosario Central</t>
        </is>
      </c>
      <c r="AU540" s="24" t="inlineStr">
        <is>
          <t>Rosario Central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e64f166eb03d5e657185abb04e25fff4830a8801f3dfa7f84e7c01a3f339baa9</t>
        </is>
      </c>
      <c r="BB540" s="24" t="inlineStr">
        <is>
          <t>poisson_dixon_coles</t>
        </is>
      </c>
      <c r="BC540" s="24" t="inlineStr">
        <is>
          <t>soccer-poisson-dc-v1</t>
        </is>
      </c>
      <c r="BD540" s="24" t="inlineStr">
        <is>
          <t>e64f166eb03d5e657185abb04e25fff4830a8801f3dfa7f84e7c01a3f339baa9</t>
        </is>
      </c>
      <c r="BE540" s="24" t="inlineStr">
        <is>
          <t>soccer-poisson-dc-v1</t>
        </is>
      </c>
      <c r="BF540" s="24" t="inlineStr">
        <is>
          <t>1</t>
        </is>
      </c>
      <c r="BG540" s="24" t="inlineStr">
        <is>
          <t>e64f166eb03d5e657185abb04e25fff4830a8801f3dfa7f84e7c01a3f339baa9</t>
        </is>
      </c>
      <c r="BH540" s="24" t="inlineStr">
        <is>
          <t>2026-09-06T16:02:25.577373Z</t>
        </is>
      </c>
      <c r="BI540" s="24" t="inlineStr">
        <is>
          <t>["same_event","same_team_same_day","same_league_same_day"]</t>
        </is>
      </c>
      <c r="BJ540" s="25" t="n"/>
      <c r="BK540" s="26" t="n">
        <v>-163</v>
      </c>
      <c r="BL540" s="27" t="n">
        <v>1.613497</v>
      </c>
      <c r="BM540" s="28" t="n">
        <v>0.619772</v>
      </c>
      <c r="BN540" s="28" t="n"/>
      <c r="BO540" s="28" t="n"/>
      <c r="BP540" s="25" t="n"/>
      <c r="BQ540" s="27" t="n">
        <v>1.613497</v>
      </c>
      <c r="BR540" s="28" t="n">
        <v>0.62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False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0.619772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9cce7fa9b4414574</t>
        </is>
      </c>
      <c r="B541" s="24" t="inlineStr">
        <is>
          <t>2026-09-06T16:03:10.038643Z</t>
        </is>
      </c>
      <c r="C541" s="24" t="inlineStr">
        <is>
          <t>2026-09-06T18:00Z</t>
        </is>
      </c>
      <c r="D541" s="24" t="inlineStr">
        <is>
          <t>401844110</t>
        </is>
      </c>
      <c r="E541" s="24" t="inlineStr">
        <is>
          <t>SOCCER</t>
        </is>
      </c>
      <c r="F541" s="24" t="inlineStr">
        <is>
          <t>Atletico Rafaela</t>
        </is>
      </c>
      <c r="G541" s="24" t="inlineStr">
        <is>
          <t>Agropecuario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-104</v>
      </c>
      <c r="M541" s="27" t="n">
        <v>1.961538</v>
      </c>
      <c r="N541" s="28" t="n">
        <v>0.509804</v>
      </c>
      <c r="O541" s="28" t="n">
        <v>0.456135</v>
      </c>
      <c r="P541" s="28" t="n">
        <v>0.2</v>
      </c>
      <c r="Q541" s="28" t="n">
        <v>-0.053669</v>
      </c>
      <c r="R541" s="26" t="n">
        <v>0</v>
      </c>
      <c r="S541" s="29" t="n">
        <v>1</v>
      </c>
      <c r="T541" s="24" t="inlineStr">
        <is>
          <t>soccer-poisson-dc-v1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2</v>
      </c>
      <c r="Y541" s="25" t="n"/>
      <c r="Z541" s="26" t="n">
        <v>-104</v>
      </c>
      <c r="AA541" s="28" t="n">
        <v>0.51</v>
      </c>
      <c r="AB541" s="28" t="n">
        <v>0.000196</v>
      </c>
      <c r="AC541" s="30" t="n">
        <v>0.9615</v>
      </c>
      <c r="AD541" s="24" t="inlineStr">
        <is>
          <t>2026-09-06T22:01:32.509014Z</t>
        </is>
      </c>
      <c r="AE541" s="31" t="inlineStr">
        <is>
          <t>Poisson-DC rates 1.64 (home) / 1.24 (away) from EWMA attack/defense strengths. Executable ask 0.5100 (atc-arg2-caa-ar-2026-09-05-caa).</t>
        </is>
      </c>
      <c r="AF541" s="31" t="inlineStr">
        <is>
          <t>Research-only soccer score model; draw-aware, but not yet locked-holdout qualified.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PAPER_CALL_MODEL_UNVALIDATED</t>
        </is>
      </c>
      <c r="AP541" s="24" t="inlineStr">
        <is>
          <t>Atletico Rafaela</t>
        </is>
      </c>
      <c r="AQ541" s="24" t="inlineStr">
        <is>
          <t>Atletico Rafaela</t>
        </is>
      </c>
      <c r="AR541" s="24" t="inlineStr">
        <is>
          <t>Atletico Rafaela</t>
        </is>
      </c>
      <c r="AS541" s="24" t="inlineStr">
        <is>
          <t>Agropecuario</t>
        </is>
      </c>
      <c r="AT541" s="24" t="inlineStr">
        <is>
          <t>Agropecuario</t>
        </is>
      </c>
      <c r="AU541" s="24" t="inlineStr">
        <is>
          <t>Agropecuario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e64f166eb03d5e657185abb04e25fff4830a8801f3dfa7f84e7c01a3f339baa9</t>
        </is>
      </c>
      <c r="BB541" s="24" t="inlineStr">
        <is>
          <t>poisson_dixon_coles</t>
        </is>
      </c>
      <c r="BC541" s="24" t="inlineStr">
        <is>
          <t>soccer-poisson-dc-v1</t>
        </is>
      </c>
      <c r="BD541" s="24" t="inlineStr">
        <is>
          <t>e64f166eb03d5e657185abb04e25fff4830a8801f3dfa7f84e7c01a3f339baa9</t>
        </is>
      </c>
      <c r="BE541" s="24" t="inlineStr">
        <is>
          <t>soccer-poisson-dc-v1</t>
        </is>
      </c>
      <c r="BF541" s="24" t="inlineStr">
        <is>
          <t>1</t>
        </is>
      </c>
      <c r="BG541" s="24" t="inlineStr">
        <is>
          <t>e64f166eb03d5e657185abb04e25fff4830a8801f3dfa7f84e7c01a3f339baa9</t>
        </is>
      </c>
      <c r="BH541" s="24" t="inlineStr">
        <is>
          <t>2026-09-06T16:02:25.638586Z</t>
        </is>
      </c>
      <c r="BI541" s="24" t="inlineStr">
        <is>
          <t>["same_event","same_team_same_day","same_league_same_day"]</t>
        </is>
      </c>
      <c r="BJ541" s="25" t="n"/>
      <c r="BK541" s="26" t="n">
        <v>-104</v>
      </c>
      <c r="BL541" s="27" t="n">
        <v>1.961538</v>
      </c>
      <c r="BM541" s="28" t="n">
        <v>0.509804</v>
      </c>
      <c r="BN541" s="28" t="n"/>
      <c r="BO541" s="28" t="n"/>
      <c r="BP541" s="25" t="n"/>
      <c r="BQ541" s="27" t="n">
        <v>1.961538</v>
      </c>
      <c r="BR541" s="28" t="n">
        <v>0.51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0.509804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287eaffbfc644dcd</t>
        </is>
      </c>
      <c r="B542" s="24" t="inlineStr">
        <is>
          <t>2026-09-06T16:03:10.038643Z</t>
        </is>
      </c>
      <c r="C542" s="24" t="inlineStr">
        <is>
          <t>2026-09-06T18:30Z</t>
        </is>
      </c>
      <c r="D542" s="24" t="inlineStr">
        <is>
          <t>401844111</t>
        </is>
      </c>
      <c r="E542" s="24" t="inlineStr">
        <is>
          <t>SOCCER</t>
        </is>
      </c>
      <c r="F542" s="24" t="inlineStr">
        <is>
          <t>Gimnasia y Esgrima (Jujuy)</t>
        </is>
      </c>
      <c r="G542" s="24" t="inlineStr">
        <is>
          <t>Almagro</t>
        </is>
      </c>
      <c r="H542" s="24" t="inlineStr">
        <is>
          <t>moneyline</t>
        </is>
      </c>
      <c r="I542" s="24" t="inlineStr">
        <is>
          <t>home</t>
        </is>
      </c>
      <c r="J542" s="25" t="n"/>
      <c r="K542" s="24" t="inlineStr">
        <is>
          <t>polymarket_us</t>
        </is>
      </c>
      <c r="L542" s="26" t="n">
        <v>178</v>
      </c>
      <c r="M542" s="27" t="n">
        <v>2.78</v>
      </c>
      <c r="N542" s="28" t="n">
        <v>0.359712</v>
      </c>
      <c r="O542" s="28" t="n">
        <v>0.456135</v>
      </c>
      <c r="P542" s="28" t="n">
        <v>0.2</v>
      </c>
      <c r="Q542" s="28" t="n">
        <v>0.09642299999999999</v>
      </c>
      <c r="R542" s="26" t="n">
        <v>0</v>
      </c>
      <c r="S542" s="29" t="n">
        <v>1</v>
      </c>
      <c r="T542" s="24" t="inlineStr">
        <is>
          <t>soccer-poisson-dc-v1</t>
        </is>
      </c>
      <c r="U542" s="24" t="inlineStr">
        <is>
          <t>settled</t>
        </is>
      </c>
      <c r="V542" s="24" t="inlineStr">
        <is>
          <t>loss</t>
        </is>
      </c>
      <c r="W542" s="26" t="n">
        <v>2</v>
      </c>
      <c r="X542" s="26" t="n">
        <v>1</v>
      </c>
      <c r="Y542" s="25" t="n"/>
      <c r="Z542" s="26" t="n">
        <v>178</v>
      </c>
      <c r="AA542" s="28" t="n">
        <v>0.36</v>
      </c>
      <c r="AB542" s="28" t="n">
        <v>0.000288</v>
      </c>
      <c r="AC542" s="30" t="n">
        <v>-1</v>
      </c>
      <c r="AD542" s="24" t="inlineStr">
        <is>
          <t>2026-09-06T22:01:33.006542Z</t>
        </is>
      </c>
      <c r="AE542" s="31" t="inlineStr">
        <is>
          <t>Poisson-DC rates 1.64 (home) / 1.24 (away) from EWMA attack/defense strengths. Executable ask 0.3600 (atc-arg2-alm-ge-2026-09-05-alm).</t>
        </is>
      </c>
      <c r="AF542" s="31" t="inlineStr">
        <is>
          <t>Research-only soccer score model; draw-aware, but not yet locked-holdout qualified.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Gimnasia y Esgrima (Jujuy)</t>
        </is>
      </c>
      <c r="AQ542" s="24" t="inlineStr">
        <is>
          <t>Gimnasia y Esgrima (Jujuy)</t>
        </is>
      </c>
      <c r="AR542" s="24" t="inlineStr">
        <is>
          <t>Gimnasia y Esgrima (Jujuy)</t>
        </is>
      </c>
      <c r="AS542" s="24" t="inlineStr">
        <is>
          <t>Almagro</t>
        </is>
      </c>
      <c r="AT542" s="24" t="inlineStr">
        <is>
          <t>Almagro</t>
        </is>
      </c>
      <c r="AU542" s="24" t="inlineStr">
        <is>
          <t>Almagro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e64f166eb03d5e657185abb04e25fff4830a8801f3dfa7f84e7c01a3f339baa9</t>
        </is>
      </c>
      <c r="BB542" s="24" t="inlineStr">
        <is>
          <t>poisson_dixon_coles</t>
        </is>
      </c>
      <c r="BC542" s="24" t="inlineStr">
        <is>
          <t>soccer-poisson-dc-v1</t>
        </is>
      </c>
      <c r="BD542" s="24" t="inlineStr">
        <is>
          <t>e64f166eb03d5e657185abb04e25fff4830a8801f3dfa7f84e7c01a3f339baa9</t>
        </is>
      </c>
      <c r="BE542" s="24" t="inlineStr">
        <is>
          <t>soccer-poisson-dc-v1</t>
        </is>
      </c>
      <c r="BF542" s="24" t="inlineStr">
        <is>
          <t>1</t>
        </is>
      </c>
      <c r="BG542" s="24" t="inlineStr">
        <is>
          <t>e64f166eb03d5e657185abb04e25fff4830a8801f3dfa7f84e7c01a3f339baa9</t>
        </is>
      </c>
      <c r="BH542" s="24" t="inlineStr">
        <is>
          <t>2026-09-06T16:02:25.688911Z</t>
        </is>
      </c>
      <c r="BI542" s="24" t="inlineStr">
        <is>
          <t>["same_event","same_team_same_day","same_league_same_day"]</t>
        </is>
      </c>
      <c r="BJ542" s="25" t="n"/>
      <c r="BK542" s="26" t="n">
        <v>178</v>
      </c>
      <c r="BL542" s="27" t="n">
        <v>2.78</v>
      </c>
      <c r="BM542" s="28" t="n">
        <v>0.359712</v>
      </c>
      <c r="BN542" s="28" t="n"/>
      <c r="BO542" s="28" t="n"/>
      <c r="BP542" s="25" t="n"/>
      <c r="BQ542" s="27" t="n">
        <v>2.78</v>
      </c>
      <c r="BR542" s="28" t="n">
        <v>0.36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0.359712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e8de1a96be5a464f</t>
        </is>
      </c>
      <c r="B543" s="24" t="inlineStr">
        <is>
          <t>2026-09-06T16:03:10.038643Z</t>
        </is>
      </c>
      <c r="C543" s="24" t="inlineStr">
        <is>
          <t>2026-09-06T19:00Z</t>
        </is>
      </c>
      <c r="D543" s="24" t="inlineStr">
        <is>
          <t>401844107</t>
        </is>
      </c>
      <c r="E543" s="24" t="inlineStr">
        <is>
          <t>SOCCER</t>
        </is>
      </c>
      <c r="F543" s="24" t="inlineStr">
        <is>
          <t>Colegiales</t>
        </is>
      </c>
      <c r="G543" s="24" t="inlineStr">
        <is>
          <t>Temperley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138</v>
      </c>
      <c r="M543" s="27" t="n">
        <v>2.38</v>
      </c>
      <c r="N543" s="28" t="n">
        <v>0.420168</v>
      </c>
      <c r="O543" s="28" t="n">
        <v>0.456135</v>
      </c>
      <c r="P543" s="28" t="n">
        <v>0.2</v>
      </c>
      <c r="Q543" s="28" t="n">
        <v>0.035967</v>
      </c>
      <c r="R543" s="26" t="n">
        <v>0</v>
      </c>
      <c r="S543" s="29" t="n">
        <v>1</v>
      </c>
      <c r="T543" s="24" t="inlineStr">
        <is>
          <t>soccer-poisson-dc-v1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3</v>
      </c>
      <c r="Y543" s="25" t="n"/>
      <c r="Z543" s="26" t="n">
        <v>138</v>
      </c>
      <c r="AA543" s="28" t="n">
        <v>0.42</v>
      </c>
      <c r="AB543" s="28" t="n">
        <v>-0.000168</v>
      </c>
      <c r="AC543" s="30" t="n">
        <v>1.38</v>
      </c>
      <c r="AD543" s="24" t="inlineStr">
        <is>
          <t>2026-09-06T22:01:33.504451Z</t>
        </is>
      </c>
      <c r="AE543" s="31" t="inlineStr">
        <is>
          <t>Poisson-DC rates 1.64 (home) / 1.24 (away) from EWMA attack/defense strengths. Executable ask 0.4200 (atc-arg2-cat-cac-2026-09-05-cat).</t>
        </is>
      </c>
      <c r="AF543" s="31" t="inlineStr">
        <is>
          <t>Research-only soccer score model; draw-aware, but not yet locked-holdout qualified.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PAPER_CALL_MODEL_UNVALIDATED</t>
        </is>
      </c>
      <c r="AP543" s="24" t="inlineStr">
        <is>
          <t>Colegiales</t>
        </is>
      </c>
      <c r="AQ543" s="24" t="inlineStr">
        <is>
          <t>Colegiales</t>
        </is>
      </c>
      <c r="AR543" s="24" t="inlineStr">
        <is>
          <t>Colegiales</t>
        </is>
      </c>
      <c r="AS543" s="24" t="inlineStr">
        <is>
          <t>Temperley</t>
        </is>
      </c>
      <c r="AT543" s="24" t="inlineStr">
        <is>
          <t>Temperley</t>
        </is>
      </c>
      <c r="AU543" s="24" t="inlineStr">
        <is>
          <t>Temperley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e64f166eb03d5e657185abb04e25fff4830a8801f3dfa7f84e7c01a3f339baa9</t>
        </is>
      </c>
      <c r="BB543" s="24" t="inlineStr">
        <is>
          <t>poisson_dixon_coles</t>
        </is>
      </c>
      <c r="BC543" s="24" t="inlineStr">
        <is>
          <t>soccer-poisson-dc-v1</t>
        </is>
      </c>
      <c r="BD543" s="24" t="inlineStr">
        <is>
          <t>e64f166eb03d5e657185abb04e25fff4830a8801f3dfa7f84e7c01a3f339baa9</t>
        </is>
      </c>
      <c r="BE543" s="24" t="inlineStr">
        <is>
          <t>soccer-poisson-dc-v1</t>
        </is>
      </c>
      <c r="BF543" s="24" t="inlineStr">
        <is>
          <t>1</t>
        </is>
      </c>
      <c r="BG543" s="24" t="inlineStr">
        <is>
          <t>e64f166eb03d5e657185abb04e25fff4830a8801f3dfa7f84e7c01a3f339baa9</t>
        </is>
      </c>
      <c r="BH543" s="24" t="inlineStr">
        <is>
          <t>2026-09-06T16:02:25.704031Z</t>
        </is>
      </c>
      <c r="BI543" s="24" t="inlineStr">
        <is>
          <t>["same_event","same_team_same_day","same_league_same_day"]</t>
        </is>
      </c>
      <c r="BJ543" s="25" t="n"/>
      <c r="BK543" s="26" t="n">
        <v>138</v>
      </c>
      <c r="BL543" s="27" t="n">
        <v>2.38</v>
      </c>
      <c r="BM543" s="28" t="n">
        <v>0.420168</v>
      </c>
      <c r="BN543" s="28" t="n"/>
      <c r="BO543" s="28" t="n"/>
      <c r="BP543" s="25" t="n"/>
      <c r="BQ543" s="27" t="n">
        <v>2.38</v>
      </c>
      <c r="BR543" s="28" t="n">
        <v>0.42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0.420168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cb8263c985c24de8</t>
        </is>
      </c>
      <c r="B544" s="24" t="inlineStr">
        <is>
          <t>2026-09-06T16:03:10.038643Z</t>
        </is>
      </c>
      <c r="C544" s="24" t="inlineStr">
        <is>
          <t>2026-09-06T20:00Z</t>
        </is>
      </c>
      <c r="D544" s="24" t="inlineStr">
        <is>
          <t>401844112</t>
        </is>
      </c>
      <c r="E544" s="24" t="inlineStr">
        <is>
          <t>SOCCER</t>
        </is>
      </c>
      <c r="F544" s="24" t="inlineStr">
        <is>
          <t>Almirante Brown</t>
        </is>
      </c>
      <c r="G544" s="24" t="inlineStr">
        <is>
          <t>Central Norte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108</v>
      </c>
      <c r="M544" s="27" t="n">
        <v>2.08</v>
      </c>
      <c r="N544" s="28" t="n">
        <v>0.480769</v>
      </c>
      <c r="O544" s="28" t="n">
        <v>0.456135</v>
      </c>
      <c r="P544" s="28" t="n">
        <v>0.2</v>
      </c>
      <c r="Q544" s="28" t="n">
        <v>-0.024634</v>
      </c>
      <c r="R544" s="26" t="n">
        <v>0</v>
      </c>
      <c r="S544" s="29" t="n">
        <v>1</v>
      </c>
      <c r="T544" s="24" t="inlineStr">
        <is>
          <t>soccer-poisson-dc-v1</t>
        </is>
      </c>
      <c r="U544" s="24" t="inlineStr">
        <is>
          <t>settled</t>
        </is>
      </c>
      <c r="V544" s="24" t="inlineStr">
        <is>
          <t>loss</t>
        </is>
      </c>
      <c r="W544" s="26" t="n">
        <v>0</v>
      </c>
      <c r="X544" s="26" t="n">
        <v>0</v>
      </c>
      <c r="Y544" s="25" t="n"/>
      <c r="Z544" s="26" t="n">
        <v>108</v>
      </c>
      <c r="AA544" s="28" t="n">
        <v>0.48</v>
      </c>
      <c r="AB544" s="28" t="n">
        <v>-0.000769</v>
      </c>
      <c r="AC544" s="30" t="n">
        <v>-1</v>
      </c>
      <c r="AD544" s="24" t="inlineStr">
        <is>
          <t>2026-09-07T04:30:57.254632Z</t>
        </is>
      </c>
      <c r="AE544" s="31" t="inlineStr">
        <is>
          <t>Poisson-DC rates 1.64 (home) / 1.24 (away) from EWMA attack/defense strengths. Executable ask 0.4800 (atc-arg2-ccns-alb-2026-09-05-ccns).</t>
        </is>
      </c>
      <c r="AF544" s="31" t="inlineStr">
        <is>
          <t>Research-only soccer score model; draw-aware, but not yet locked-holdout qualified.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Almirante Brown</t>
        </is>
      </c>
      <c r="AQ544" s="24" t="inlineStr">
        <is>
          <t>Almirante Brown</t>
        </is>
      </c>
      <c r="AR544" s="24" t="inlineStr">
        <is>
          <t>Almirante Brown</t>
        </is>
      </c>
      <c r="AS544" s="24" t="inlineStr">
        <is>
          <t>Central Norte</t>
        </is>
      </c>
      <c r="AT544" s="24" t="inlineStr">
        <is>
          <t>Central Norte</t>
        </is>
      </c>
      <c r="AU544" s="24" t="inlineStr">
        <is>
          <t>Central Norte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e64f166eb03d5e657185abb04e25fff4830a8801f3dfa7f84e7c01a3f339baa9</t>
        </is>
      </c>
      <c r="BB544" s="24" t="inlineStr">
        <is>
          <t>poisson_dixon_coles</t>
        </is>
      </c>
      <c r="BC544" s="24" t="inlineStr">
        <is>
          <t>soccer-poisson-dc-v1</t>
        </is>
      </c>
      <c r="BD544" s="24" t="inlineStr">
        <is>
          <t>e64f166eb03d5e657185abb04e25fff4830a8801f3dfa7f84e7c01a3f339baa9</t>
        </is>
      </c>
      <c r="BE544" s="24" t="inlineStr">
        <is>
          <t>soccer-poisson-dc-v1</t>
        </is>
      </c>
      <c r="BF544" s="24" t="inlineStr">
        <is>
          <t>1</t>
        </is>
      </c>
      <c r="BG544" s="24" t="inlineStr">
        <is>
          <t>e64f166eb03d5e657185abb04e25fff4830a8801f3dfa7f84e7c01a3f339baa9</t>
        </is>
      </c>
      <c r="BH544" s="24" t="inlineStr">
        <is>
          <t>2026-09-06T16:02:25.738440Z</t>
        </is>
      </c>
      <c r="BI544" s="24" t="inlineStr">
        <is>
          <t>["same_event","same_team_same_day","same_league_same_day"]</t>
        </is>
      </c>
      <c r="BJ544" s="25" t="n"/>
      <c r="BK544" s="26" t="n">
        <v>108</v>
      </c>
      <c r="BL544" s="27" t="n">
        <v>2.08</v>
      </c>
      <c r="BM544" s="28" t="n">
        <v>0.480769</v>
      </c>
      <c r="BN544" s="28" t="n"/>
      <c r="BO544" s="28" t="n"/>
      <c r="BP544" s="25" t="n"/>
      <c r="BQ544" s="27" t="n">
        <v>2.08</v>
      </c>
      <c r="BR544" s="28" t="n">
        <v>0.48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0.480769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4a7d40ac59ea4704</t>
        </is>
      </c>
      <c r="B545" s="24" t="inlineStr">
        <is>
          <t>2026-09-06T16:03:10.038643Z</t>
        </is>
      </c>
      <c r="C545" s="24" t="inlineStr">
        <is>
          <t>2026-09-06T21:00Z</t>
        </is>
      </c>
      <c r="D545" s="24" t="inlineStr">
        <is>
          <t>401877949</t>
        </is>
      </c>
      <c r="E545" s="24" t="inlineStr">
        <is>
          <t>SOCCER</t>
        </is>
      </c>
      <c r="F545" s="24" t="inlineStr">
        <is>
          <t>Águilas Doradas</t>
        </is>
      </c>
      <c r="G545" s="24" t="inlineStr">
        <is>
          <t>Internacional de Bogotá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100</v>
      </c>
      <c r="M545" s="27" t="n">
        <v>2</v>
      </c>
      <c r="N545" s="28" t="n">
        <v>0.5</v>
      </c>
      <c r="O545" s="28" t="n">
        <v>0.473701</v>
      </c>
      <c r="P545" s="28" t="n">
        <v>0.2</v>
      </c>
      <c r="Q545" s="28" t="n">
        <v>-0.026299</v>
      </c>
      <c r="R545" s="26" t="n">
        <v>0</v>
      </c>
      <c r="S545" s="29" t="n">
        <v>1</v>
      </c>
      <c r="T545" s="24" t="inlineStr">
        <is>
          <t>soccer-poisson-dc-v1</t>
        </is>
      </c>
      <c r="U545" s="24" t="inlineStr">
        <is>
          <t>settled</t>
        </is>
      </c>
      <c r="V545" s="24" t="inlineStr">
        <is>
          <t>loss</t>
        </is>
      </c>
      <c r="W545" s="26" t="n">
        <v>2</v>
      </c>
      <c r="X545" s="26" t="n">
        <v>2</v>
      </c>
      <c r="Y545" s="25" t="n"/>
      <c r="Z545" s="26" t="n">
        <v>100</v>
      </c>
      <c r="AA545" s="28" t="n">
        <v>0.5</v>
      </c>
      <c r="AB545" s="28" t="n">
        <v>0</v>
      </c>
      <c r="AC545" s="30" t="n">
        <v>-1</v>
      </c>
      <c r="AD545" s="24" t="inlineStr">
        <is>
          <t>2026-09-07T04:30:57.836668Z</t>
        </is>
      </c>
      <c r="AE545" s="31" t="inlineStr">
        <is>
          <t>Poisson-DC rates 1.59 (home) / 1.10 (away) from EWMA attack/defense strengths. Executable ask 0.5000 (atc-lco-leq-agu-2026-09-06-leq).</t>
        </is>
      </c>
      <c r="AF545" s="31" t="inlineStr">
        <is>
          <t>Research-only soccer score model; draw-aware, but not yet locked-holdout qualified.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Águilas Doradas</t>
        </is>
      </c>
      <c r="AQ545" s="24" t="inlineStr">
        <is>
          <t>Águilas Doradas</t>
        </is>
      </c>
      <c r="AR545" s="24" t="inlineStr">
        <is>
          <t>Águilas Doradas</t>
        </is>
      </c>
      <c r="AS545" s="24" t="inlineStr">
        <is>
          <t>Internacional de Bogotá</t>
        </is>
      </c>
      <c r="AT545" s="24" t="inlineStr">
        <is>
          <t>Internacional de Bogotá</t>
        </is>
      </c>
      <c r="AU545" s="24" t="inlineStr">
        <is>
          <t>Internacional de Bogotá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e64f166eb03d5e657185abb04e25fff4830a8801f3dfa7f84e7c01a3f339baa9</t>
        </is>
      </c>
      <c r="BB545" s="24" t="inlineStr">
        <is>
          <t>poisson_dixon_coles</t>
        </is>
      </c>
      <c r="BC545" s="24" t="inlineStr">
        <is>
          <t>soccer-poisson-dc-v1</t>
        </is>
      </c>
      <c r="BD545" s="24" t="inlineStr">
        <is>
          <t>e64f166eb03d5e657185abb04e25fff4830a8801f3dfa7f84e7c01a3f339baa9</t>
        </is>
      </c>
      <c r="BE545" s="24" t="inlineStr">
        <is>
          <t>soccer-poisson-dc-v1</t>
        </is>
      </c>
      <c r="BF545" s="24" t="inlineStr">
        <is>
          <t>1</t>
        </is>
      </c>
      <c r="BG545" s="24" t="inlineStr">
        <is>
          <t>e64f166eb03d5e657185abb04e25fff4830a8801f3dfa7f84e7c01a3f339baa9</t>
        </is>
      </c>
      <c r="BH545" s="24" t="inlineStr">
        <is>
          <t>2026-09-06T16:02:25.756461Z</t>
        </is>
      </c>
      <c r="BI545" s="24" t="inlineStr">
        <is>
          <t>["same_event","same_team_same_day","same_league_same_day"]</t>
        </is>
      </c>
      <c r="BJ545" s="25" t="n"/>
      <c r="BK545" s="26" t="n">
        <v>100</v>
      </c>
      <c r="BL545" s="27" t="n">
        <v>2</v>
      </c>
      <c r="BM545" s="28" t="n">
        <v>0.5</v>
      </c>
      <c r="BN545" s="28" t="n"/>
      <c r="BO545" s="28" t="n"/>
      <c r="BP545" s="25" t="n"/>
      <c r="BQ545" s="27" t="n">
        <v>2</v>
      </c>
      <c r="BR545" s="28" t="n">
        <v>0.5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204c839de60d4cac</t>
        </is>
      </c>
      <c r="B546" s="24" t="inlineStr">
        <is>
          <t>2026-09-06T16:03:10.038643Z</t>
        </is>
      </c>
      <c r="C546" s="24" t="inlineStr">
        <is>
          <t>2026-09-06T20:00Z</t>
        </is>
      </c>
      <c r="D546" s="24" t="inlineStr">
        <is>
          <t>401850650</t>
        </is>
      </c>
      <c r="E546" s="24" t="inlineStr">
        <is>
          <t>SOCCER</t>
        </is>
      </c>
      <c r="F546" s="24" t="inlineStr">
        <is>
          <t>Colo Colo</t>
        </is>
      </c>
      <c r="G546" s="24" t="inlineStr">
        <is>
          <t>Huachipato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376</v>
      </c>
      <c r="M546" s="27" t="n">
        <v>4.76</v>
      </c>
      <c r="N546" s="28" t="n">
        <v>0.210084</v>
      </c>
      <c r="O546" s="28" t="n">
        <v>0.468722</v>
      </c>
      <c r="P546" s="28" t="n">
        <v>0.19</v>
      </c>
      <c r="Q546" s="28" t="n">
        <v>0.258638</v>
      </c>
      <c r="R546" s="26" t="n">
        <v>65</v>
      </c>
      <c r="S546" s="29" t="n">
        <v>1.5</v>
      </c>
      <c r="T546" s="24" t="inlineStr">
        <is>
          <t>soccer-poisson-dc-v1</t>
        </is>
      </c>
      <c r="U546" s="24" t="inlineStr">
        <is>
          <t>settled</t>
        </is>
      </c>
      <c r="V546" s="24" t="inlineStr">
        <is>
          <t>loss</t>
        </is>
      </c>
      <c r="W546" s="26" t="n">
        <v>0</v>
      </c>
      <c r="X546" s="26" t="n">
        <v>0</v>
      </c>
      <c r="Y546" s="25" t="n"/>
      <c r="Z546" s="26" t="n">
        <v>376</v>
      </c>
      <c r="AA546" s="28" t="n">
        <v>0.21</v>
      </c>
      <c r="AB546" s="28" t="n">
        <v>-8.4e-05</v>
      </c>
      <c r="AC546" s="30" t="n">
        <v>-1.5</v>
      </c>
      <c r="AD546" s="24" t="inlineStr">
        <is>
          <t>2026-09-06T22:01:33.996481Z</t>
        </is>
      </c>
      <c r="AE546" s="31" t="inlineStr">
        <is>
          <t>Poisson-DC rates 1.53 (home) / 1.07 (away) from EWMA attack/defense strengths. Executable ask 0.2100 (atc-pdc-hua-col-2026-09-06-hua).</t>
        </is>
      </c>
      <c r="AF546" s="31" t="inlineStr">
        <is>
          <t>Research-only soccer score model; draw-aware, but not yet locked-holdout qualified.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Colo Colo</t>
        </is>
      </c>
      <c r="AQ546" s="24" t="inlineStr">
        <is>
          <t>Colo Colo</t>
        </is>
      </c>
      <c r="AR546" s="24" t="inlineStr">
        <is>
          <t>Colo Colo</t>
        </is>
      </c>
      <c r="AS546" s="24" t="inlineStr">
        <is>
          <t>Huachipato</t>
        </is>
      </c>
      <c r="AT546" s="24" t="inlineStr">
        <is>
          <t>Huachipato</t>
        </is>
      </c>
      <c r="AU546" s="24" t="inlineStr">
        <is>
          <t>Huachipato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e64f166eb03d5e657185abb04e25fff4830a8801f3dfa7f84e7c01a3f339baa9</t>
        </is>
      </c>
      <c r="BB546" s="24" t="inlineStr">
        <is>
          <t>poisson_dixon_coles</t>
        </is>
      </c>
      <c r="BC546" s="24" t="inlineStr">
        <is>
          <t>soccer-poisson-dc-v1</t>
        </is>
      </c>
      <c r="BD546" s="24" t="inlineStr">
        <is>
          <t>e64f166eb03d5e657185abb04e25fff4830a8801f3dfa7f84e7c01a3f339baa9</t>
        </is>
      </c>
      <c r="BE546" s="24" t="inlineStr">
        <is>
          <t>soccer-poisson-dc-v1</t>
        </is>
      </c>
      <c r="BF546" s="24" t="inlineStr">
        <is>
          <t>1</t>
        </is>
      </c>
      <c r="BG546" s="24" t="inlineStr">
        <is>
          <t>e64f166eb03d5e657185abb04e25fff4830a8801f3dfa7f84e7c01a3f339baa9</t>
        </is>
      </c>
      <c r="BH546" s="24" t="inlineStr">
        <is>
          <t>2026-09-06T04:34:45.325718Z</t>
        </is>
      </c>
      <c r="BI546" s="24" t="inlineStr">
        <is>
          <t>["same_event","same_team_same_day","same_league_same_day"]</t>
        </is>
      </c>
      <c r="BJ546" s="25" t="n"/>
      <c r="BK546" s="26" t="n">
        <v>376</v>
      </c>
      <c r="BL546" s="27" t="n">
        <v>4.76</v>
      </c>
      <c r="BM546" s="28" t="n">
        <v>0.210084</v>
      </c>
      <c r="BN546" s="28" t="n"/>
      <c r="BO546" s="28" t="n"/>
      <c r="BP546" s="25" t="n"/>
      <c r="BQ546" s="27" t="n">
        <v>4.76</v>
      </c>
      <c r="BR546" s="28" t="n">
        <v>0.21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0.210084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89a94d9aef224684</t>
        </is>
      </c>
      <c r="B547" s="24" t="inlineStr">
        <is>
          <t>2026-09-06T16:03:10.038643Z</t>
        </is>
      </c>
      <c r="C547" s="24" t="inlineStr">
        <is>
          <t>2026-09-06T19:30Z</t>
        </is>
      </c>
      <c r="D547" s="24" t="inlineStr">
        <is>
          <t>401914287</t>
        </is>
      </c>
      <c r="E547" s="24" t="inlineStr">
        <is>
          <t>SOCCER</t>
        </is>
      </c>
      <c r="F547" s="24" t="inlineStr">
        <is>
          <t>Juventud</t>
        </is>
      </c>
      <c r="G547" s="24" t="inlineStr">
        <is>
          <t>Nacional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-133</v>
      </c>
      <c r="M547" s="27" t="n">
        <v>1.75188</v>
      </c>
      <c r="N547" s="28" t="n">
        <v>0.570815</v>
      </c>
      <c r="O547" s="28" t="n">
        <v>0.456135</v>
      </c>
      <c r="P547" s="28" t="n">
        <v>0.2</v>
      </c>
      <c r="Q547" s="28" t="n">
        <v>-0.11468</v>
      </c>
      <c r="R547" s="26" t="n">
        <v>0</v>
      </c>
      <c r="S547" s="29" t="n">
        <v>1</v>
      </c>
      <c r="T547" s="24" t="inlineStr">
        <is>
          <t>soccer-poisson-dc-v1</t>
        </is>
      </c>
      <c r="U547" s="24" t="inlineStr">
        <is>
          <t>settled</t>
        </is>
      </c>
      <c r="V547" s="24" t="inlineStr">
        <is>
          <t>loss</t>
        </is>
      </c>
      <c r="W547" s="26" t="n">
        <v>2</v>
      </c>
      <c r="X547" s="26" t="n">
        <v>2</v>
      </c>
      <c r="Y547" s="25" t="n"/>
      <c r="Z547" s="26" t="n">
        <v>-133</v>
      </c>
      <c r="AA547" s="28" t="n">
        <v>0.57</v>
      </c>
      <c r="AB547" s="28" t="n">
        <v>-0.000815</v>
      </c>
      <c r="AC547" s="30" t="n">
        <v>-1</v>
      </c>
      <c r="AD547" s="24" t="inlineStr">
        <is>
          <t>2026-09-06T22:01:34.491512Z</t>
        </is>
      </c>
      <c r="AE547" s="31" t="inlineStr">
        <is>
          <t>Poisson-DC rates 1.64 (home) / 1.24 (away) from EWMA attack/defense strengths. Executable ask 0.5700 (atc-uru1-nac-juv-2026-09-06-nac).</t>
        </is>
      </c>
      <c r="AF547" s="31" t="inlineStr">
        <is>
          <t>Research-only soccer score model; draw-aware, but not yet locked-holdout qualified.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Juventud</t>
        </is>
      </c>
      <c r="AQ547" s="24" t="inlineStr">
        <is>
          <t>Juventud</t>
        </is>
      </c>
      <c r="AR547" s="24" t="inlineStr">
        <is>
          <t>Juventud</t>
        </is>
      </c>
      <c r="AS547" s="24" t="inlineStr">
        <is>
          <t>Nacional</t>
        </is>
      </c>
      <c r="AT547" s="24" t="inlineStr">
        <is>
          <t>Nacional</t>
        </is>
      </c>
      <c r="AU547" s="24" t="inlineStr">
        <is>
          <t>Nacional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e64f166eb03d5e657185abb04e25fff4830a8801f3dfa7f84e7c01a3f339baa9</t>
        </is>
      </c>
      <c r="BB547" s="24" t="inlineStr">
        <is>
          <t>poisson_dixon_coles</t>
        </is>
      </c>
      <c r="BC547" s="24" t="inlineStr">
        <is>
          <t>soccer-poisson-dc-v1</t>
        </is>
      </c>
      <c r="BD547" s="24" t="inlineStr">
        <is>
          <t>e64f166eb03d5e657185abb04e25fff4830a8801f3dfa7f84e7c01a3f339baa9</t>
        </is>
      </c>
      <c r="BE547" s="24" t="inlineStr">
        <is>
          <t>soccer-poisson-dc-v1</t>
        </is>
      </c>
      <c r="BF547" s="24" t="inlineStr">
        <is>
          <t>1</t>
        </is>
      </c>
      <c r="BG547" s="24" t="inlineStr">
        <is>
          <t>e64f166eb03d5e657185abb04e25fff4830a8801f3dfa7f84e7c01a3f339baa9</t>
        </is>
      </c>
      <c r="BH547" s="24" t="inlineStr">
        <is>
          <t>2026-09-06T04:34:46.112509Z</t>
        </is>
      </c>
      <c r="BI547" s="24" t="inlineStr">
        <is>
          <t>["same_event","same_team_same_day","same_league_same_day"]</t>
        </is>
      </c>
      <c r="BJ547" s="25" t="n"/>
      <c r="BK547" s="26" t="n">
        <v>-133</v>
      </c>
      <c r="BL547" s="27" t="n">
        <v>1.75188</v>
      </c>
      <c r="BM547" s="28" t="n">
        <v>0.570815</v>
      </c>
      <c r="BN547" s="28" t="n"/>
      <c r="BO547" s="28" t="n"/>
      <c r="BP547" s="25" t="n"/>
      <c r="BQ547" s="27" t="n">
        <v>1.75188</v>
      </c>
      <c r="BR547" s="28" t="n">
        <v>0.57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0.570815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2ca0adf3e19d44f3</t>
        </is>
      </c>
      <c r="B548" s="24" t="inlineStr">
        <is>
          <t>2026-09-06T16:03:10.038643Z</t>
        </is>
      </c>
      <c r="C548" s="24" t="inlineStr">
        <is>
          <t>2026-09-06T20:00Z</t>
        </is>
      </c>
      <c r="D548" s="24" t="inlineStr">
        <is>
          <t>401886191</t>
        </is>
      </c>
      <c r="E548" s="24" t="inlineStr">
        <is>
          <t>SOCCER</t>
        </is>
      </c>
      <c r="F548" s="24" t="inlineStr">
        <is>
          <t>Alianza Lima</t>
        </is>
      </c>
      <c r="G548" s="24" t="inlineStr">
        <is>
          <t>Juan Pablo II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355</v>
      </c>
      <c r="M548" s="27" t="n">
        <v>4.55</v>
      </c>
      <c r="N548" s="28" t="n">
        <v>0.21978</v>
      </c>
      <c r="O548" s="28" t="n">
        <v>0.456135</v>
      </c>
      <c r="P548" s="28" t="n">
        <v>0.2</v>
      </c>
      <c r="Q548" s="28" t="n">
        <v>0.236355</v>
      </c>
      <c r="R548" s="26" t="n">
        <v>48</v>
      </c>
      <c r="S548" s="29" t="n">
        <v>1.25</v>
      </c>
      <c r="T548" s="24" t="inlineStr">
        <is>
          <t>soccer-poisson-dc-v1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1</v>
      </c>
      <c r="Y548" s="25" t="n"/>
      <c r="Z548" s="26" t="n">
        <v>355</v>
      </c>
      <c r="AA548" s="28" t="n">
        <v>0.22</v>
      </c>
      <c r="AB548" s="28" t="n">
        <v>0.00022</v>
      </c>
      <c r="AC548" s="30" t="n">
        <v>-1.25</v>
      </c>
      <c r="AD548" s="24" t="inlineStr">
        <is>
          <t>2026-09-06T22:01:34.988393Z</t>
        </is>
      </c>
      <c r="AE548" s="31" t="inlineStr">
        <is>
          <t>Poisson-DC rates 1.64 (home) / 1.24 (away) from EWMA attack/defense strengths. Executable ask 0.2200 (atc-pl1-jpc-ali-2026-09-06-jpc).</t>
        </is>
      </c>
      <c r="AF548" s="31" t="inlineStr">
        <is>
          <t>Research-only soccer score model; draw-aware, but not yet locked-holdout qualified.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Alianza Lima</t>
        </is>
      </c>
      <c r="AQ548" s="24" t="inlineStr">
        <is>
          <t>Alianza Lima</t>
        </is>
      </c>
      <c r="AR548" s="24" t="inlineStr">
        <is>
          <t>Alianza Lima</t>
        </is>
      </c>
      <c r="AS548" s="24" t="inlineStr">
        <is>
          <t>Juan Pablo II</t>
        </is>
      </c>
      <c r="AT548" s="24" t="inlineStr">
        <is>
          <t>Juan Pablo II</t>
        </is>
      </c>
      <c r="AU548" s="24" t="inlineStr">
        <is>
          <t>Juan Pablo II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e64f166eb03d5e657185abb04e25fff4830a8801f3dfa7f84e7c01a3f339baa9</t>
        </is>
      </c>
      <c r="BB548" s="24" t="inlineStr">
        <is>
          <t>poisson_dixon_coles</t>
        </is>
      </c>
      <c r="BC548" s="24" t="inlineStr">
        <is>
          <t>soccer-poisson-dc-v1</t>
        </is>
      </c>
      <c r="BD548" s="24" t="inlineStr">
        <is>
          <t>e64f166eb03d5e657185abb04e25fff4830a8801f3dfa7f84e7c01a3f339baa9</t>
        </is>
      </c>
      <c r="BE548" s="24" t="inlineStr">
        <is>
          <t>soccer-poisson-dc-v1</t>
        </is>
      </c>
      <c r="BF548" s="24" t="inlineStr">
        <is>
          <t>1</t>
        </is>
      </c>
      <c r="BG548" s="24" t="inlineStr">
        <is>
          <t>e64f166eb03d5e657185abb04e25fff4830a8801f3dfa7f84e7c01a3f339baa9</t>
        </is>
      </c>
      <c r="BH548" s="24" t="inlineStr">
        <is>
          <t>2026-09-06T16:02:31.834210Z</t>
        </is>
      </c>
      <c r="BI548" s="24" t="inlineStr">
        <is>
          <t>["same_event","same_team_same_day","same_league_same_day"]</t>
        </is>
      </c>
      <c r="BJ548" s="25" t="n"/>
      <c r="BK548" s="26" t="n">
        <v>355</v>
      </c>
      <c r="BL548" s="27" t="n">
        <v>4.55</v>
      </c>
      <c r="BM548" s="28" t="n">
        <v>0.21978</v>
      </c>
      <c r="BN548" s="28" t="n"/>
      <c r="BO548" s="28" t="n"/>
      <c r="BP548" s="25" t="n"/>
      <c r="BQ548" s="27" t="n">
        <v>4.55</v>
      </c>
      <c r="BR548" s="28" t="n">
        <v>0.22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0.21978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fa03b8b7221a44e3</t>
        </is>
      </c>
      <c r="B549" s="24" t="inlineStr">
        <is>
          <t>2026-09-06T22:03:58.107530Z</t>
        </is>
      </c>
      <c r="C549" s="24" t="inlineStr">
        <is>
          <t>2026-09-06T22:30Z</t>
        </is>
      </c>
      <c r="D549" s="24" t="inlineStr">
        <is>
          <t>401841220</t>
        </is>
      </c>
      <c r="E549" s="24" t="inlineStr">
        <is>
          <t>SOCCER</t>
        </is>
      </c>
      <c r="F549" s="24" t="inlineStr">
        <is>
          <t>Chapecoense</t>
        </is>
      </c>
      <c r="G549" s="24" t="inlineStr">
        <is>
          <t>Corinthians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-203</v>
      </c>
      <c r="M549" s="27" t="n">
        <v>1.492611</v>
      </c>
      <c r="N549" s="28" t="n">
        <v>0.669967</v>
      </c>
      <c r="O549" s="28" t="n">
        <v>0.451659</v>
      </c>
      <c r="P549" s="28" t="n">
        <v>0.2</v>
      </c>
      <c r="Q549" s="28" t="n">
        <v>-0.218308</v>
      </c>
      <c r="R549" s="26" t="n">
        <v>0</v>
      </c>
      <c r="S549" s="29" t="n">
        <v>1</v>
      </c>
      <c r="T549" s="24" t="inlineStr">
        <is>
          <t>soccer-poisson-dc-v1</t>
        </is>
      </c>
      <c r="U549" s="24" t="inlineStr">
        <is>
          <t>settled</t>
        </is>
      </c>
      <c r="V549" s="24" t="inlineStr">
        <is>
          <t>loss</t>
        </is>
      </c>
      <c r="W549" s="26" t="n">
        <v>2</v>
      </c>
      <c r="X549" s="26" t="n">
        <v>1</v>
      </c>
      <c r="Y549" s="25" t="n"/>
      <c r="Z549" s="26" t="n">
        <v>-203</v>
      </c>
      <c r="AA549" s="28" t="n">
        <v>0.67</v>
      </c>
      <c r="AB549" s="28" t="n">
        <v>3.3e-05</v>
      </c>
      <c r="AC549" s="30" t="n">
        <v>-1</v>
      </c>
      <c r="AD549" s="24" t="inlineStr">
        <is>
          <t>2026-09-07T04:31:01.862014Z</t>
        </is>
      </c>
      <c r="AE549" s="31" t="inlineStr">
        <is>
          <t>Poisson-DC rates 1.59 (home) / 1.20 (away) from EWMA attack/defense strengths. Executable ask 0.6700 (atc-bra-scp-cha-2026-09-06-scp).</t>
        </is>
      </c>
      <c r="AF549" s="31" t="inlineStr">
        <is>
          <t>Research-only soccer score model; draw-aware, but not yet locked-holdout qualified.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Chapecoense</t>
        </is>
      </c>
      <c r="AQ549" s="24" t="inlineStr">
        <is>
          <t>Chapecoense</t>
        </is>
      </c>
      <c r="AR549" s="24" t="inlineStr">
        <is>
          <t>Chapecoense</t>
        </is>
      </c>
      <c r="AS549" s="24" t="inlineStr">
        <is>
          <t>Corinthians</t>
        </is>
      </c>
      <c r="AT549" s="24" t="inlineStr">
        <is>
          <t>Corinthians</t>
        </is>
      </c>
      <c r="AU549" s="24" t="inlineStr">
        <is>
          <t>Corinthians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e64f166eb03d5e657185abb04e25fff4830a8801f3dfa7f84e7c01a3f339baa9</t>
        </is>
      </c>
      <c r="BB549" s="24" t="inlineStr">
        <is>
          <t>poisson_dixon_coles</t>
        </is>
      </c>
      <c r="BC549" s="24" t="inlineStr">
        <is>
          <t>soccer-poisson-dc-v1</t>
        </is>
      </c>
      <c r="BD549" s="24" t="inlineStr">
        <is>
          <t>e64f166eb03d5e657185abb04e25fff4830a8801f3dfa7f84e7c01a3f339baa9</t>
        </is>
      </c>
      <c r="BE549" s="24" t="inlineStr">
        <is>
          <t>soccer-poisson-dc-v1</t>
        </is>
      </c>
      <c r="BF549" s="24" t="inlineStr">
        <is>
          <t>1</t>
        </is>
      </c>
      <c r="BG549" s="24" t="inlineStr">
        <is>
          <t>e64f166eb03d5e657185abb04e25fff4830a8801f3dfa7f84e7c01a3f339baa9</t>
        </is>
      </c>
      <c r="BH549" s="24" t="inlineStr">
        <is>
          <t>2026-09-06T22:03:40.187586Z</t>
        </is>
      </c>
      <c r="BI549" s="24" t="inlineStr">
        <is>
          <t>["same_event","same_team_same_day","same_league_same_day"]</t>
        </is>
      </c>
      <c r="BJ549" s="25" t="n"/>
      <c r="BK549" s="26" t="n">
        <v>-203</v>
      </c>
      <c r="BL549" s="27" t="n">
        <v>1.492611</v>
      </c>
      <c r="BM549" s="28" t="n">
        <v>0.669967</v>
      </c>
      <c r="BN549" s="28" t="n"/>
      <c r="BO549" s="28" t="n"/>
      <c r="BP549" s="25" t="n"/>
      <c r="BQ549" s="27" t="n">
        <v>1.492611</v>
      </c>
      <c r="BR549" s="28" t="n">
        <v>0.67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0.669967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7e98550d8ceb4a0f</t>
        </is>
      </c>
      <c r="B550" s="24" t="inlineStr">
        <is>
          <t>2026-09-06T22:03:58.107530Z</t>
        </is>
      </c>
      <c r="C550" s="24" t="inlineStr">
        <is>
          <t>2026-09-06T22:15Z</t>
        </is>
      </c>
      <c r="D550" s="24" t="inlineStr">
        <is>
          <t>401841549</t>
        </is>
      </c>
      <c r="E550" s="24" t="inlineStr">
        <is>
          <t>SOCCER</t>
        </is>
      </c>
      <c r="F550" s="24" t="inlineStr">
        <is>
          <t>Independiente Rivadavia</t>
        </is>
      </c>
      <c r="G550" s="24" t="inlineStr">
        <is>
          <t>River Plate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-138</v>
      </c>
      <c r="M550" s="27" t="n">
        <v>1.724638</v>
      </c>
      <c r="N550" s="28" t="n">
        <v>0.579832</v>
      </c>
      <c r="O550" s="28" t="n">
        <v>0.5633089999999999</v>
      </c>
      <c r="P550" s="28" t="n">
        <v>0.19</v>
      </c>
      <c r="Q550" s="28" t="n">
        <v>-0.016523</v>
      </c>
      <c r="R550" s="26" t="n">
        <v>0</v>
      </c>
      <c r="S550" s="29" t="n">
        <v>1</v>
      </c>
      <c r="T550" s="24" t="inlineStr">
        <is>
          <t>soccer-poisson-dc-v1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3</v>
      </c>
      <c r="Y550" s="25" t="n"/>
      <c r="Z550" s="26" t="n">
        <v>-138</v>
      </c>
      <c r="AA550" s="28" t="n">
        <v>0.58</v>
      </c>
      <c r="AB550" s="28" t="n">
        <v>0.000168</v>
      </c>
      <c r="AC550" s="30" t="n">
        <v>0.7246</v>
      </c>
      <c r="AD550" s="24" t="inlineStr">
        <is>
          <t>2026-09-07T04:31:02.358878Z</t>
        </is>
      </c>
      <c r="AE550" s="31" t="inlineStr">
        <is>
          <t>Poisson-DC rates 1.93 (home) / 1.07 (away) from EWMA attack/defense strengths. Executable ask 0.5800 (atc-lpa-riv-cir-2026-09-06-riv).</t>
        </is>
      </c>
      <c r="AF550" s="31" t="inlineStr">
        <is>
          <t>Research-only soccer score model; draw-aware, but not yet locked-holdout qualified.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Independiente Rivadavia</t>
        </is>
      </c>
      <c r="AQ550" s="24" t="inlineStr">
        <is>
          <t>Independiente Rivadavia</t>
        </is>
      </c>
      <c r="AR550" s="24" t="inlineStr">
        <is>
          <t>Independiente Rivadavia</t>
        </is>
      </c>
      <c r="AS550" s="24" t="inlineStr">
        <is>
          <t>River Plate</t>
        </is>
      </c>
      <c r="AT550" s="24" t="inlineStr">
        <is>
          <t>River Plate</t>
        </is>
      </c>
      <c r="AU550" s="24" t="inlineStr">
        <is>
          <t>River Plate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e64f166eb03d5e657185abb04e25fff4830a8801f3dfa7f84e7c01a3f339baa9</t>
        </is>
      </c>
      <c r="BB550" s="24" t="inlineStr">
        <is>
          <t>poisson_dixon_coles</t>
        </is>
      </c>
      <c r="BC550" s="24" t="inlineStr">
        <is>
          <t>soccer-poisson-dc-v1</t>
        </is>
      </c>
      <c r="BD550" s="24" t="inlineStr">
        <is>
          <t>e64f166eb03d5e657185abb04e25fff4830a8801f3dfa7f84e7c01a3f339baa9</t>
        </is>
      </c>
      <c r="BE550" s="24" t="inlineStr">
        <is>
          <t>soccer-poisson-dc-v1</t>
        </is>
      </c>
      <c r="BF550" s="24" t="inlineStr">
        <is>
          <t>1</t>
        </is>
      </c>
      <c r="BG550" s="24" t="inlineStr">
        <is>
          <t>e64f166eb03d5e657185abb04e25fff4830a8801f3dfa7f84e7c01a3f339baa9</t>
        </is>
      </c>
      <c r="BH550" s="24" t="inlineStr">
        <is>
          <t>2026-09-06T22:03:40.213237Z</t>
        </is>
      </c>
      <c r="BI550" s="24" t="inlineStr">
        <is>
          <t>["same_event","same_team_same_day","same_league_same_day"]</t>
        </is>
      </c>
      <c r="BJ550" s="25" t="n"/>
      <c r="BK550" s="26" t="n">
        <v>-138</v>
      </c>
      <c r="BL550" s="27" t="n">
        <v>1.724638</v>
      </c>
      <c r="BM550" s="28" t="n">
        <v>0.579832</v>
      </c>
      <c r="BN550" s="28" t="n"/>
      <c r="BO550" s="28" t="n"/>
      <c r="BP550" s="25" t="n"/>
      <c r="BQ550" s="27" t="n">
        <v>1.724638</v>
      </c>
      <c r="BR550" s="28" t="n">
        <v>0.58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0.579832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c80ab55f74274911</t>
        </is>
      </c>
      <c r="B551" s="24" t="inlineStr">
        <is>
          <t>2026-09-06T22:03:58.107530Z</t>
        </is>
      </c>
      <c r="C551" s="24" t="inlineStr">
        <is>
          <t>2026-09-06T23:10Z</t>
        </is>
      </c>
      <c r="D551" s="24" t="inlineStr">
        <is>
          <t>401877872</t>
        </is>
      </c>
      <c r="E551" s="24" t="inlineStr">
        <is>
          <t>SOCCER</t>
        </is>
      </c>
      <c r="F551" s="24" t="inlineStr">
        <is>
          <t>Millonarios</t>
        </is>
      </c>
      <c r="G551" s="24" t="inlineStr">
        <is>
          <t>Deportivo Pereira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polymarket_us</t>
        </is>
      </c>
      <c r="L551" s="26" t="n">
        <v>1150</v>
      </c>
      <c r="M551" s="27" t="n">
        <v>12.5</v>
      </c>
      <c r="N551" s="28" t="n">
        <v>0.08</v>
      </c>
      <c r="O551" s="28" t="n">
        <v>0.424741</v>
      </c>
      <c r="P551" s="28" t="n">
        <v>0.19</v>
      </c>
      <c r="Q551" s="28" t="n">
        <v>0.344741</v>
      </c>
      <c r="R551" s="26" t="n">
        <v>100</v>
      </c>
      <c r="S551" s="29" t="n">
        <v>2</v>
      </c>
      <c r="T551" s="24" t="inlineStr">
        <is>
          <t>soccer-poisson-dc-v1</t>
        </is>
      </c>
      <c r="U551" s="24" t="inlineStr">
        <is>
          <t>settled</t>
        </is>
      </c>
      <c r="V551" s="24" t="inlineStr">
        <is>
          <t>loss</t>
        </is>
      </c>
      <c r="W551" s="26" t="n">
        <v>1</v>
      </c>
      <c r="X551" s="26" t="n">
        <v>1</v>
      </c>
      <c r="Y551" s="25" t="n"/>
      <c r="Z551" s="26" t="n">
        <v>1150</v>
      </c>
      <c r="AA551" s="28" t="n">
        <v>0.08</v>
      </c>
      <c r="AB551" s="28" t="n">
        <v>0</v>
      </c>
      <c r="AC551" s="30" t="n">
        <v>-2</v>
      </c>
      <c r="AD551" s="24" t="inlineStr">
        <is>
          <t>2026-09-07T04:31:02.857726Z</t>
        </is>
      </c>
      <c r="AE551" s="31" t="inlineStr">
        <is>
          <t>Poisson-DC rates 1.30 (home) / 0.98 (away) from EWMA attack/defense strengths. Executable ask 0.0800 (atc-lco-per-mil-2026-09-06-per).</t>
        </is>
      </c>
      <c r="AF551" s="31" t="inlineStr">
        <is>
          <t>Research-only soccer score model; draw-aware, but not yet locked-holdout qualified.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Millonarios</t>
        </is>
      </c>
      <c r="AQ551" s="24" t="inlineStr">
        <is>
          <t>Millonarios</t>
        </is>
      </c>
      <c r="AR551" s="24" t="inlineStr">
        <is>
          <t>Millonarios</t>
        </is>
      </c>
      <c r="AS551" s="24" t="inlineStr">
        <is>
          <t>Deportivo Pereira</t>
        </is>
      </c>
      <c r="AT551" s="24" t="inlineStr">
        <is>
          <t>Deportivo Pereira</t>
        </is>
      </c>
      <c r="AU551" s="24" t="inlineStr">
        <is>
          <t>Deportivo Pereira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e64f166eb03d5e657185abb04e25fff4830a8801f3dfa7f84e7c01a3f339baa9</t>
        </is>
      </c>
      <c r="BB551" s="24" t="inlineStr">
        <is>
          <t>poisson_dixon_coles</t>
        </is>
      </c>
      <c r="BC551" s="24" t="inlineStr">
        <is>
          <t>soccer-poisson-dc-v1</t>
        </is>
      </c>
      <c r="BD551" s="24" t="inlineStr">
        <is>
          <t>e64f166eb03d5e657185abb04e25fff4830a8801f3dfa7f84e7c01a3f339baa9</t>
        </is>
      </c>
      <c r="BE551" s="24" t="inlineStr">
        <is>
          <t>soccer-poisson-dc-v1</t>
        </is>
      </c>
      <c r="BF551" s="24" t="inlineStr">
        <is>
          <t>1</t>
        </is>
      </c>
      <c r="BG551" s="24" t="inlineStr">
        <is>
          <t>e64f166eb03d5e657185abb04e25fff4830a8801f3dfa7f84e7c01a3f339baa9</t>
        </is>
      </c>
      <c r="BH551" s="24" t="inlineStr">
        <is>
          <t>2026-09-06T22:03:40.250583Z</t>
        </is>
      </c>
      <c r="BI551" s="24" t="inlineStr">
        <is>
          <t>["same_event","same_team_same_day","same_league_same_day"]</t>
        </is>
      </c>
      <c r="BJ551" s="25" t="n"/>
      <c r="BK551" s="26" t="n">
        <v>1150</v>
      </c>
      <c r="BL551" s="27" t="n">
        <v>12.5</v>
      </c>
      <c r="BM551" s="28" t="n">
        <v>0.08</v>
      </c>
      <c r="BN551" s="28" t="n"/>
      <c r="BO551" s="28" t="n"/>
      <c r="BP551" s="25" t="n"/>
      <c r="BQ551" s="27" t="n">
        <v>12.5</v>
      </c>
      <c r="BR551" s="28" t="n">
        <v>0.08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0.08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48c7f377e1cf4473</t>
        </is>
      </c>
      <c r="B552" s="24" t="inlineStr">
        <is>
          <t>2026-09-06T22:03:58.107530Z</t>
        </is>
      </c>
      <c r="C552" s="24" t="inlineStr">
        <is>
          <t>2026-09-06T22:30Z</t>
        </is>
      </c>
      <c r="D552" s="24" t="inlineStr">
        <is>
          <t>401914288</t>
        </is>
      </c>
      <c r="E552" s="24" t="inlineStr">
        <is>
          <t>SOCCER</t>
        </is>
      </c>
      <c r="F552" s="24" t="inlineStr">
        <is>
          <t>Boston River</t>
        </is>
      </c>
      <c r="G552" s="24" t="inlineStr">
        <is>
          <t>Liverpool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-117</v>
      </c>
      <c r="M552" s="27" t="n">
        <v>1.854701</v>
      </c>
      <c r="N552" s="28" t="n">
        <v>0.539171</v>
      </c>
      <c r="O552" s="28" t="n">
        <v>0.610158</v>
      </c>
      <c r="P552" s="28" t="n">
        <v>0.19</v>
      </c>
      <c r="Q552" s="28" t="n">
        <v>0.07098699999999999</v>
      </c>
      <c r="R552" s="26" t="n">
        <v>0</v>
      </c>
      <c r="S552" s="29" t="n">
        <v>1</v>
      </c>
      <c r="T552" s="24" t="inlineStr">
        <is>
          <t>soccer-poisson-dc-v1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1</v>
      </c>
      <c r="Y552" s="25" t="n"/>
      <c r="Z552" s="26" t="n">
        <v>-117</v>
      </c>
      <c r="AA552" s="28" t="n">
        <v>0.54</v>
      </c>
      <c r="AB552" s="28" t="n">
        <v>0.000829</v>
      </c>
      <c r="AC552" s="30" t="n">
        <v>0.8547</v>
      </c>
      <c r="AD552" s="24" t="inlineStr">
        <is>
          <t>2026-09-07T04:31:03.357745Z</t>
        </is>
      </c>
      <c r="AE552" s="31" t="inlineStr">
        <is>
          <t>Poisson-DC rates 2.17 (home) / 1.09 (away) from EWMA attack/defense strengths. Executable ask 0.5400 (atc-uru1-liv-bri-2026-09-06-liv).</t>
        </is>
      </c>
      <c r="AF552" s="31" t="inlineStr">
        <is>
          <t>Research-only soccer score model; draw-aware, but not yet locked-holdout qualified.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Boston River</t>
        </is>
      </c>
      <c r="AQ552" s="24" t="inlineStr">
        <is>
          <t>Boston River</t>
        </is>
      </c>
      <c r="AR552" s="24" t="inlineStr">
        <is>
          <t>Boston River</t>
        </is>
      </c>
      <c r="AS552" s="24" t="inlineStr">
        <is>
          <t>Liverpool</t>
        </is>
      </c>
      <c r="AT552" s="24" t="inlineStr">
        <is>
          <t>Liverpool</t>
        </is>
      </c>
      <c r="AU552" s="24" t="inlineStr">
        <is>
          <t>Liverpool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e64f166eb03d5e657185abb04e25fff4830a8801f3dfa7f84e7c01a3f339baa9</t>
        </is>
      </c>
      <c r="BB552" s="24" t="inlineStr">
        <is>
          <t>poisson_dixon_coles</t>
        </is>
      </c>
      <c r="BC552" s="24" t="inlineStr">
        <is>
          <t>soccer-poisson-dc-v1</t>
        </is>
      </c>
      <c r="BD552" s="24" t="inlineStr">
        <is>
          <t>e64f166eb03d5e657185abb04e25fff4830a8801f3dfa7f84e7c01a3f339baa9</t>
        </is>
      </c>
      <c r="BE552" s="24" t="inlineStr">
        <is>
          <t>soccer-poisson-dc-v1</t>
        </is>
      </c>
      <c r="BF552" s="24" t="inlineStr">
        <is>
          <t>1</t>
        </is>
      </c>
      <c r="BG552" s="24" t="inlineStr">
        <is>
          <t>e64f166eb03d5e657185abb04e25fff4830a8801f3dfa7f84e7c01a3f339baa9</t>
        </is>
      </c>
      <c r="BH552" s="24" t="inlineStr">
        <is>
          <t>2026-09-06T22:03:40.268529Z</t>
        </is>
      </c>
      <c r="BI552" s="24" t="inlineStr">
        <is>
          <t>["same_event","same_team_same_day","same_league_same_day"]</t>
        </is>
      </c>
      <c r="BJ552" s="25" t="n"/>
      <c r="BK552" s="26" t="n">
        <v>-117</v>
      </c>
      <c r="BL552" s="27" t="n">
        <v>1.854701</v>
      </c>
      <c r="BM552" s="28" t="n">
        <v>0.539171</v>
      </c>
      <c r="BN552" s="28" t="n"/>
      <c r="BO552" s="28" t="n"/>
      <c r="BP552" s="25" t="n"/>
      <c r="BQ552" s="27" t="n">
        <v>1.854701</v>
      </c>
      <c r="BR552" s="28" t="n">
        <v>0.54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0.539171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d008512703bb4847</t>
        </is>
      </c>
      <c r="B553" s="24" t="inlineStr">
        <is>
          <t>2026-09-06T22:03:58.107530Z</t>
        </is>
      </c>
      <c r="C553" s="24" t="inlineStr">
        <is>
          <t>2026-09-07T00:00Z</t>
        </is>
      </c>
      <c r="D553" s="24" t="inlineStr">
        <is>
          <t>401859684</t>
        </is>
      </c>
      <c r="E553" s="24" t="inlineStr">
        <is>
          <t>SOCCER</t>
        </is>
      </c>
      <c r="F553" s="24" t="inlineStr">
        <is>
          <t>Barcelona SC</t>
        </is>
      </c>
      <c r="G553" s="24" t="inlineStr">
        <is>
          <t>Aucas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426</v>
      </c>
      <c r="M553" s="27" t="n">
        <v>5.26</v>
      </c>
      <c r="N553" s="28" t="n">
        <v>0.190114</v>
      </c>
      <c r="O553" s="28" t="n">
        <v>0.444128</v>
      </c>
      <c r="P553" s="28" t="n">
        <v>0.2</v>
      </c>
      <c r="Q553" s="28" t="n">
        <v>0.254014</v>
      </c>
      <c r="R553" s="26" t="n">
        <v>57</v>
      </c>
      <c r="S553" s="29" t="n">
        <v>1.25</v>
      </c>
      <c r="T553" s="24" t="inlineStr">
        <is>
          <t>soccer-poisson-dc-v1</t>
        </is>
      </c>
      <c r="U553" s="24" t="inlineStr">
        <is>
          <t>settled</t>
        </is>
      </c>
      <c r="V553" s="24" t="inlineStr">
        <is>
          <t>loss</t>
        </is>
      </c>
      <c r="W553" s="26" t="n">
        <v>1</v>
      </c>
      <c r="X553" s="26" t="n">
        <v>1</v>
      </c>
      <c r="Y553" s="25" t="n"/>
      <c r="Z553" s="26" t="n">
        <v>-456</v>
      </c>
      <c r="AA553" s="28" t="n">
        <v>0.82</v>
      </c>
      <c r="AB553" s="28" t="n">
        <v>0.6298859999999999</v>
      </c>
      <c r="AC553" s="30" t="n">
        <v>-1.25</v>
      </c>
      <c r="AD553" s="24" t="inlineStr">
        <is>
          <t>2026-09-07T04:31:03.857040Z</t>
        </is>
      </c>
      <c r="AE553" s="31" t="inlineStr">
        <is>
          <t>Poisson-DC rates 1.42 (home) / 1.75 (away) from EWMA attack/defense strengths. Executable ask 0.1900 (atc-ecu1-sda-bsc-2026-09-06-bsc).</t>
        </is>
      </c>
      <c r="AF553" s="31" t="inlineStr">
        <is>
          <t>Research-only soccer score model; draw-aware, but not yet locked-holdout qualified.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Barcelona SC</t>
        </is>
      </c>
      <c r="AQ553" s="24" t="inlineStr">
        <is>
          <t>Barcelona SC</t>
        </is>
      </c>
      <c r="AR553" s="24" t="inlineStr">
        <is>
          <t>Barcelona SC</t>
        </is>
      </c>
      <c r="AS553" s="24" t="inlineStr">
        <is>
          <t>Aucas</t>
        </is>
      </c>
      <c r="AT553" s="24" t="inlineStr">
        <is>
          <t>Aucas</t>
        </is>
      </c>
      <c r="AU553" s="24" t="inlineStr">
        <is>
          <t>Aucas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e64f166eb03d5e657185abb04e25fff4830a8801f3dfa7f84e7c01a3f339baa9</t>
        </is>
      </c>
      <c r="BB553" s="24" t="inlineStr">
        <is>
          <t>poisson_dixon_coles</t>
        </is>
      </c>
      <c r="BC553" s="24" t="inlineStr">
        <is>
          <t>soccer-poisson-dc-v1</t>
        </is>
      </c>
      <c r="BD553" s="24" t="inlineStr">
        <is>
          <t>e64f166eb03d5e657185abb04e25fff4830a8801f3dfa7f84e7c01a3f339baa9</t>
        </is>
      </c>
      <c r="BE553" s="24" t="inlineStr">
        <is>
          <t>soccer-poisson-dc-v1</t>
        </is>
      </c>
      <c r="BF553" s="24" t="inlineStr">
        <is>
          <t>1</t>
        </is>
      </c>
      <c r="BG553" s="24" t="inlineStr">
        <is>
          <t>e64f166eb03d5e657185abb04e25fff4830a8801f3dfa7f84e7c01a3f339baa9</t>
        </is>
      </c>
      <c r="BH553" s="24" t="inlineStr">
        <is>
          <t>2026-09-06T22:03:40.305873Z</t>
        </is>
      </c>
      <c r="BI553" s="24" t="inlineStr">
        <is>
          <t>["same_event","same_team_same_day","same_league_same_day"]</t>
        </is>
      </c>
      <c r="BJ553" s="25" t="n"/>
      <c r="BK553" s="26" t="n">
        <v>426</v>
      </c>
      <c r="BL553" s="27" t="n">
        <v>5.26</v>
      </c>
      <c r="BM553" s="28" t="n">
        <v>0.190114</v>
      </c>
      <c r="BN553" s="28" t="n"/>
      <c r="BO553" s="28" t="n"/>
      <c r="BP553" s="25" t="n"/>
      <c r="BQ553" s="27" t="n">
        <v>1.219298</v>
      </c>
      <c r="BR553" s="28" t="n">
        <v>0.82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0.190114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ff405de3db8c405a</t>
        </is>
      </c>
      <c r="B554" s="24" t="inlineStr">
        <is>
          <t>2026-09-07T16:02:57.485862Z</t>
        </is>
      </c>
      <c r="C554" s="24" t="inlineStr">
        <is>
          <t>2026-09-07T17:00Z</t>
        </is>
      </c>
      <c r="D554" s="24" t="inlineStr">
        <is>
          <t>401882891</t>
        </is>
      </c>
      <c r="E554" s="24" t="inlineStr">
        <is>
          <t>SOCCER</t>
        </is>
      </c>
      <c r="F554" s="24" t="inlineStr">
        <is>
          <t>Celta Vigo</t>
        </is>
      </c>
      <c r="G554" s="24" t="inlineStr">
        <is>
          <t>Getafe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163</v>
      </c>
      <c r="M554" s="27" t="n">
        <v>2.63</v>
      </c>
      <c r="N554" s="28" t="n">
        <v>0.380228</v>
      </c>
      <c r="O554" s="28" t="n">
        <v>0.369637</v>
      </c>
      <c r="P554" s="28" t="n">
        <v>0.04</v>
      </c>
      <c r="Q554" s="28" t="n">
        <v>-0.010591</v>
      </c>
      <c r="R554" s="26" t="n">
        <v>21</v>
      </c>
      <c r="S554" s="29" t="n">
        <v>1</v>
      </c>
      <c r="T554" s="24" t="inlineStr">
        <is>
          <t>soccer-poisson-dc-v1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1</v>
      </c>
      <c r="Y554" s="25" t="n"/>
      <c r="Z554" s="26" t="n">
        <v>163</v>
      </c>
      <c r="AA554" s="28" t="n">
        <v>0.38</v>
      </c>
      <c r="AB554" s="28" t="n">
        <v>-0.000228</v>
      </c>
      <c r="AC554" s="30" t="n">
        <v>-1</v>
      </c>
      <c r="AD554" s="24" t="inlineStr">
        <is>
          <t>2026-09-07T22:01:22.621269Z</t>
        </is>
      </c>
      <c r="AE554" s="31" t="inlineStr">
        <is>
          <t>Poisson-DC rates 1.03 (home) / 0.87 (away) from EWMA attack/defense strengths. Executable ask 0.3800 (atc-lal-get-cel-2026-09-07-get).</t>
        </is>
      </c>
      <c r="AF554" s="31" t="inlineStr">
        <is>
          <t>Research-only soccer score model; draw-aware, but not yet locked-holdout qualified.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Celta Vigo</t>
        </is>
      </c>
      <c r="AQ554" s="24" t="inlineStr">
        <is>
          <t>Celta Vigo</t>
        </is>
      </c>
      <c r="AR554" s="24" t="inlineStr">
        <is>
          <t>Celta Vigo</t>
        </is>
      </c>
      <c r="AS554" s="24" t="inlineStr">
        <is>
          <t>Getafe</t>
        </is>
      </c>
      <c r="AT554" s="24" t="inlineStr">
        <is>
          <t>Getafe</t>
        </is>
      </c>
      <c r="AU554" s="24" t="inlineStr">
        <is>
          <t>Getafe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e64f166eb03d5e657185abb04e25fff4830a8801f3dfa7f84e7c01a3f339baa9</t>
        </is>
      </c>
      <c r="BB554" s="24" t="inlineStr">
        <is>
          <t>poisson_dixon_coles</t>
        </is>
      </c>
      <c r="BC554" s="24" t="inlineStr">
        <is>
          <t>soccer-poisson-dc-v1</t>
        </is>
      </c>
      <c r="BD554" s="24" t="inlineStr">
        <is>
          <t>e64f166eb03d5e657185abb04e25fff4830a8801f3dfa7f84e7c01a3f339baa9</t>
        </is>
      </c>
      <c r="BE554" s="24" t="inlineStr">
        <is>
          <t>soccer-poisson-dc-v1</t>
        </is>
      </c>
      <c r="BF554" s="24" t="inlineStr">
        <is>
          <t>1</t>
        </is>
      </c>
      <c r="BG554" s="24" t="inlineStr">
        <is>
          <t>e64f166eb03d5e657185abb04e25fff4830a8801f3dfa7f84e7c01a3f339baa9</t>
        </is>
      </c>
      <c r="BH554" s="24" t="inlineStr">
        <is>
          <t>2026-09-07T16:02:18.190414Z</t>
        </is>
      </c>
      <c r="BI554" s="24" t="inlineStr">
        <is>
          <t>["same_event","same_team_same_day","same_league_same_day"]</t>
        </is>
      </c>
      <c r="BJ554" s="25" t="n"/>
      <c r="BK554" s="26" t="n">
        <v>163</v>
      </c>
      <c r="BL554" s="27" t="n">
        <v>2.63</v>
      </c>
      <c r="BM554" s="28" t="n">
        <v>0.380228</v>
      </c>
      <c r="BN554" s="28" t="n"/>
      <c r="BO554" s="28" t="n"/>
      <c r="BP554" s="25" t="n"/>
      <c r="BQ554" s="27" t="n">
        <v>2.63</v>
      </c>
      <c r="BR554" s="28" t="n">
        <v>0.38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False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0.380228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2ebf4f6a0b8a43d5</t>
        </is>
      </c>
      <c r="B555" s="24" t="inlineStr">
        <is>
          <t>2026-09-07T16:02:57.485862Z</t>
        </is>
      </c>
      <c r="C555" s="24" t="inlineStr">
        <is>
          <t>2026-09-07T19:30Z</t>
        </is>
      </c>
      <c r="D555" s="24" t="inlineStr">
        <is>
          <t>401882893</t>
        </is>
      </c>
      <c r="E555" s="24" t="inlineStr">
        <is>
          <t>SOCCER</t>
        </is>
      </c>
      <c r="F555" s="24" t="inlineStr">
        <is>
          <t>Real Sociedad</t>
        </is>
      </c>
      <c r="G555" s="24" t="inlineStr">
        <is>
          <t>Elche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257</v>
      </c>
      <c r="M555" s="27" t="n">
        <v>3.57</v>
      </c>
      <c r="N555" s="28" t="n">
        <v>0.280112</v>
      </c>
      <c r="O555" s="28" t="n">
        <v>0.447001</v>
      </c>
      <c r="P555" s="28" t="n">
        <v>0.04</v>
      </c>
      <c r="Q555" s="28" t="n">
        <v>0.166889</v>
      </c>
      <c r="R555" s="26" t="n">
        <v>100</v>
      </c>
      <c r="S555" s="29" t="n">
        <v>1.75</v>
      </c>
      <c r="T555" s="24" t="inlineStr">
        <is>
          <t>soccer-poisson-dc-v1</t>
        </is>
      </c>
      <c r="U555" s="24" t="inlineStr">
        <is>
          <t>settled</t>
        </is>
      </c>
      <c r="V555" s="24" t="inlineStr">
        <is>
          <t>loss</t>
        </is>
      </c>
      <c r="W555" s="26" t="n">
        <v>3</v>
      </c>
      <c r="X555" s="26" t="n">
        <v>2</v>
      </c>
      <c r="Y555" s="25" t="n"/>
      <c r="Z555" s="26" t="n">
        <v>257</v>
      </c>
      <c r="AA555" s="28" t="n">
        <v>0.28</v>
      </c>
      <c r="AB555" s="28" t="n">
        <v>-0.000112</v>
      </c>
      <c r="AC555" s="30" t="n">
        <v>-1.75</v>
      </c>
      <c r="AD555" s="24" t="inlineStr">
        <is>
          <t>2026-09-07T22:01:23.138234Z</t>
        </is>
      </c>
      <c r="AE555" s="31" t="inlineStr">
        <is>
          <t>Poisson-DC rates 1.88 (home) / 1.56 (away) from EWMA attack/defense strengths. Executable ask 0.2800 (atc-lal-elc-rso-2026-09-07-elc).</t>
        </is>
      </c>
      <c r="AF555" s="31" t="inlineStr">
        <is>
          <t>Research-only soccer score model; draw-aware, but not yet locked-holdout qualified.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Real Sociedad</t>
        </is>
      </c>
      <c r="AQ555" s="24" t="inlineStr">
        <is>
          <t>Real Sociedad</t>
        </is>
      </c>
      <c r="AR555" s="24" t="inlineStr">
        <is>
          <t>Real Sociedad</t>
        </is>
      </c>
      <c r="AS555" s="24" t="inlineStr">
        <is>
          <t>Elche</t>
        </is>
      </c>
      <c r="AT555" s="24" t="inlineStr">
        <is>
          <t>Elche</t>
        </is>
      </c>
      <c r="AU555" s="24" t="inlineStr">
        <is>
          <t>Elche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e64f166eb03d5e657185abb04e25fff4830a8801f3dfa7f84e7c01a3f339baa9</t>
        </is>
      </c>
      <c r="BB555" s="24" t="inlineStr">
        <is>
          <t>poisson_dixon_coles</t>
        </is>
      </c>
      <c r="BC555" s="24" t="inlineStr">
        <is>
          <t>soccer-poisson-dc-v1</t>
        </is>
      </c>
      <c r="BD555" s="24" t="inlineStr">
        <is>
          <t>e64f166eb03d5e657185abb04e25fff4830a8801f3dfa7f84e7c01a3f339baa9</t>
        </is>
      </c>
      <c r="BE555" s="24" t="inlineStr">
        <is>
          <t>soccer-poisson-dc-v1</t>
        </is>
      </c>
      <c r="BF555" s="24" t="inlineStr">
        <is>
          <t>1</t>
        </is>
      </c>
      <c r="BG555" s="24" t="inlineStr">
        <is>
          <t>e64f166eb03d5e657185abb04e25fff4830a8801f3dfa7f84e7c01a3f339baa9</t>
        </is>
      </c>
      <c r="BH555" s="24" t="inlineStr">
        <is>
          <t>2026-09-07T16:02:18.347692Z</t>
        </is>
      </c>
      <c r="BI555" s="24" t="inlineStr">
        <is>
          <t>["same_event","same_team_same_day","same_league_same_day"]</t>
        </is>
      </c>
      <c r="BJ555" s="25" t="n"/>
      <c r="BK555" s="26" t="n">
        <v>257</v>
      </c>
      <c r="BL555" s="27" t="n">
        <v>3.57</v>
      </c>
      <c r="BM555" s="28" t="n">
        <v>0.280112</v>
      </c>
      <c r="BN555" s="28" t="n"/>
      <c r="BO555" s="28" t="n"/>
      <c r="BP555" s="25" t="n"/>
      <c r="BQ555" s="27" t="n">
        <v>3.57</v>
      </c>
      <c r="BR555" s="28" t="n">
        <v>0.28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0.280112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9eb4b87e60d143e9</t>
        </is>
      </c>
      <c r="B556" s="24" t="inlineStr">
        <is>
          <t>2026-09-07T16:02:57.485862Z</t>
        </is>
      </c>
      <c r="C556" s="24" t="inlineStr">
        <is>
          <t>2026-09-07T16:30Z</t>
        </is>
      </c>
      <c r="D556" s="24" t="inlineStr">
        <is>
          <t>401874943</t>
        </is>
      </c>
      <c r="E556" s="24" t="inlineStr">
        <is>
          <t>SOCCER</t>
        </is>
      </c>
      <c r="F556" s="24" t="inlineStr">
        <is>
          <t>Lecce</t>
        </is>
      </c>
      <c r="G556" s="24" t="inlineStr">
        <is>
          <t>Cagliari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127</v>
      </c>
      <c r="M556" s="27" t="n">
        <v>2.27</v>
      </c>
      <c r="N556" s="28" t="n">
        <v>0.440529</v>
      </c>
      <c r="O556" s="28" t="n">
        <v>0.446438</v>
      </c>
      <c r="P556" s="28" t="n">
        <v>0.04</v>
      </c>
      <c r="Q556" s="28" t="n">
        <v>0.005909</v>
      </c>
      <c r="R556" s="26" t="n">
        <v>29</v>
      </c>
      <c r="S556" s="29" t="n">
        <v>1</v>
      </c>
      <c r="T556" s="24" t="inlineStr">
        <is>
          <t>soccer-poisson-dc-v1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>
        <v>127</v>
      </c>
      <c r="AA556" s="28" t="n">
        <v>0.44</v>
      </c>
      <c r="AB556" s="28" t="n">
        <v>-0.000529</v>
      </c>
      <c r="AC556" s="30" t="n">
        <v>1.27</v>
      </c>
      <c r="AD556" s="24" t="inlineStr">
        <is>
          <t>2026-09-07T22:01:23.724400Z</t>
        </is>
      </c>
      <c r="AE556" s="31" t="inlineStr">
        <is>
          <t>Poisson-DC rates 1.24 (home) / 0.82 (away) from EWMA attack/defense strengths. Executable ask 0.4400 (atc-sea-cag-lec-2026-09-07-cag).</t>
        </is>
      </c>
      <c r="AF556" s="31" t="inlineStr">
        <is>
          <t>Research-only soccer score model; draw-aware, but not yet locked-holdout qualified.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Lecce</t>
        </is>
      </c>
      <c r="AQ556" s="24" t="inlineStr">
        <is>
          <t>Lecce</t>
        </is>
      </c>
      <c r="AR556" s="24" t="inlineStr">
        <is>
          <t>Lecce</t>
        </is>
      </c>
      <c r="AS556" s="24" t="inlineStr">
        <is>
          <t>Cagliari</t>
        </is>
      </c>
      <c r="AT556" s="24" t="inlineStr">
        <is>
          <t>Cagliari</t>
        </is>
      </c>
      <c r="AU556" s="24" t="inlineStr">
        <is>
          <t>Cagliari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e64f166eb03d5e657185abb04e25fff4830a8801f3dfa7f84e7c01a3f339baa9</t>
        </is>
      </c>
      <c r="BB556" s="24" t="inlineStr">
        <is>
          <t>poisson_dixon_coles</t>
        </is>
      </c>
      <c r="BC556" s="24" t="inlineStr">
        <is>
          <t>soccer-poisson-dc-v1</t>
        </is>
      </c>
      <c r="BD556" s="24" t="inlineStr">
        <is>
          <t>e64f166eb03d5e657185abb04e25fff4830a8801f3dfa7f84e7c01a3f339baa9</t>
        </is>
      </c>
      <c r="BE556" s="24" t="inlineStr">
        <is>
          <t>soccer-poisson-dc-v1</t>
        </is>
      </c>
      <c r="BF556" s="24" t="inlineStr">
        <is>
          <t>1</t>
        </is>
      </c>
      <c r="BG556" s="24" t="inlineStr">
        <is>
          <t>e64f166eb03d5e657185abb04e25fff4830a8801f3dfa7f84e7c01a3f339baa9</t>
        </is>
      </c>
      <c r="BH556" s="24" t="inlineStr">
        <is>
          <t>2026-09-07T16:02:18.493166Z</t>
        </is>
      </c>
      <c r="BI556" s="24" t="inlineStr">
        <is>
          <t>["same_event","same_team_same_day","same_league_same_day"]</t>
        </is>
      </c>
      <c r="BJ556" s="25" t="n"/>
      <c r="BK556" s="26" t="n">
        <v>127</v>
      </c>
      <c r="BL556" s="27" t="n">
        <v>2.27</v>
      </c>
      <c r="BM556" s="28" t="n">
        <v>0.440529</v>
      </c>
      <c r="BN556" s="28" t="n"/>
      <c r="BO556" s="28" t="n"/>
      <c r="BP556" s="25" t="n"/>
      <c r="BQ556" s="27" t="n">
        <v>2.27</v>
      </c>
      <c r="BR556" s="28" t="n">
        <v>0.44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0.440529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227b3746ef594fba</t>
        </is>
      </c>
      <c r="B557" s="24" t="inlineStr">
        <is>
          <t>2026-09-07T16:02:57.485862Z</t>
        </is>
      </c>
      <c r="C557" s="24" t="inlineStr">
        <is>
          <t>2026-09-07T18:45Z</t>
        </is>
      </c>
      <c r="D557" s="24" t="inlineStr">
        <is>
          <t>401874962</t>
        </is>
      </c>
      <c r="E557" s="24" t="inlineStr">
        <is>
          <t>SOCCER</t>
        </is>
      </c>
      <c r="F557" s="24" t="inlineStr">
        <is>
          <t>Lazio</t>
        </is>
      </c>
      <c r="G557" s="24" t="inlineStr">
        <is>
          <t>Udinese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186</v>
      </c>
      <c r="M557" s="27" t="n">
        <v>2.86</v>
      </c>
      <c r="N557" s="28" t="n">
        <v>0.34965</v>
      </c>
      <c r="O557" s="28" t="n">
        <v>0.469986</v>
      </c>
      <c r="P557" s="28" t="n">
        <v>0.04</v>
      </c>
      <c r="Q557" s="28" t="n">
        <v>0.120336</v>
      </c>
      <c r="R557" s="26" t="n">
        <v>86</v>
      </c>
      <c r="S557" s="29" t="n">
        <v>1.5</v>
      </c>
      <c r="T557" s="24" t="inlineStr">
        <is>
          <t>soccer-poisson-dc-v1</t>
        </is>
      </c>
      <c r="U557" s="24" t="inlineStr">
        <is>
          <t>settled</t>
        </is>
      </c>
      <c r="V557" s="24" t="inlineStr">
        <is>
          <t>loss</t>
        </is>
      </c>
      <c r="W557" s="26" t="n">
        <v>2</v>
      </c>
      <c r="X557" s="26" t="n">
        <v>1</v>
      </c>
      <c r="Y557" s="25" t="n"/>
      <c r="Z557" s="26" t="n">
        <v>186</v>
      </c>
      <c r="AA557" s="28" t="n">
        <v>0.35</v>
      </c>
      <c r="AB557" s="28" t="n">
        <v>0.00035</v>
      </c>
      <c r="AC557" s="30" t="n">
        <v>-1.5</v>
      </c>
      <c r="AD557" s="24" t="inlineStr">
        <is>
          <t>2026-09-07T22:01:24.245756Z</t>
        </is>
      </c>
      <c r="AE557" s="31" t="inlineStr">
        <is>
          <t>Poisson-DC rates 1.35 (home) / 0.86 (away) from EWMA attack/defense strengths. Executable ask 0.3500 (atc-sea-udi-laz-2026-09-07-udi).</t>
        </is>
      </c>
      <c r="AF557" s="31" t="inlineStr">
        <is>
          <t>Research-only soccer score model; draw-aware, but not yet locked-holdout qualified.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model_qualified</t>
        </is>
      </c>
      <c r="AL557" s="26" t="n">
        <v>4</v>
      </c>
      <c r="AM557" s="24" t="inlineStr">
        <is>
          <t>QUALIFIED_SHADOW_CALL</t>
        </is>
      </c>
      <c r="AN557" s="24" t="inlineStr">
        <is>
          <t>CALL</t>
        </is>
      </c>
      <c r="AO557" s="24" t="inlineStr">
        <is>
          <t>QUALIFIED</t>
        </is>
      </c>
      <c r="AP557" s="24" t="inlineStr">
        <is>
          <t>Lazio</t>
        </is>
      </c>
      <c r="AQ557" s="24" t="inlineStr">
        <is>
          <t>Lazio</t>
        </is>
      </c>
      <c r="AR557" s="24" t="inlineStr">
        <is>
          <t>Lazio</t>
        </is>
      </c>
      <c r="AS557" s="24" t="inlineStr">
        <is>
          <t>Udinese</t>
        </is>
      </c>
      <c r="AT557" s="24" t="inlineStr">
        <is>
          <t>Udinese</t>
        </is>
      </c>
      <c r="AU557" s="24" t="inlineStr">
        <is>
          <t>Udinese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e64f166eb03d5e657185abb04e25fff4830a8801f3dfa7f84e7c01a3f339baa9</t>
        </is>
      </c>
      <c r="BB557" s="24" t="inlineStr">
        <is>
          <t>poisson_dixon_coles</t>
        </is>
      </c>
      <c r="BC557" s="24" t="inlineStr">
        <is>
          <t>soccer-poisson-dc-v1</t>
        </is>
      </c>
      <c r="BD557" s="24" t="inlineStr">
        <is>
          <t>e64f166eb03d5e657185abb04e25fff4830a8801f3dfa7f84e7c01a3f339baa9</t>
        </is>
      </c>
      <c r="BE557" s="24" t="inlineStr">
        <is>
          <t>soccer-poisson-dc-v1</t>
        </is>
      </c>
      <c r="BF557" s="24" t="inlineStr">
        <is>
          <t>1</t>
        </is>
      </c>
      <c r="BG557" s="24" t="inlineStr">
        <is>
          <t>e64f166eb03d5e657185abb04e25fff4830a8801f3dfa7f84e7c01a3f339baa9</t>
        </is>
      </c>
      <c r="BH557" s="24" t="inlineStr">
        <is>
          <t>2026-09-07T16:02:18.601511Z</t>
        </is>
      </c>
      <c r="BI557" s="24" t="inlineStr">
        <is>
          <t>["same_event","same_team_same_day","same_league_same_day"]</t>
        </is>
      </c>
      <c r="BJ557" s="25" t="n"/>
      <c r="BK557" s="26" t="n">
        <v>186</v>
      </c>
      <c r="BL557" s="27" t="n">
        <v>2.86</v>
      </c>
      <c r="BM557" s="28" t="n">
        <v>0.34965</v>
      </c>
      <c r="BN557" s="28" t="n"/>
      <c r="BO557" s="28" t="n"/>
      <c r="BP557" s="25" t="n"/>
      <c r="BQ557" s="27" t="n">
        <v>2.86</v>
      </c>
      <c r="BR557" s="28" t="n">
        <v>0.35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0.34965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18abe2f30620486f</t>
        </is>
      </c>
      <c r="B558" s="24" t="inlineStr">
        <is>
          <t>2026-09-07T16:02:57.485862Z</t>
        </is>
      </c>
      <c r="C558" s="24" t="inlineStr">
        <is>
          <t>2026-09-07T22:00Z</t>
        </is>
      </c>
      <c r="D558" s="24" t="inlineStr">
        <is>
          <t>401841544</t>
        </is>
      </c>
      <c r="E558" s="24" t="inlineStr">
        <is>
          <t>SOCCER</t>
        </is>
      </c>
      <c r="F558" s="24" t="inlineStr">
        <is>
          <t>Argentinos Juniors</t>
        </is>
      </c>
      <c r="G558" s="24" t="inlineStr">
        <is>
          <t>Barracas Central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355</v>
      </c>
      <c r="M558" s="27" t="n">
        <v>4.55</v>
      </c>
      <c r="N558" s="28" t="n">
        <v>0.21978</v>
      </c>
      <c r="O558" s="28" t="n">
        <v>0.378182</v>
      </c>
      <c r="P558" s="28" t="n">
        <v>0.2</v>
      </c>
      <c r="Q558" s="28" t="n">
        <v>0.158402</v>
      </c>
      <c r="R558" s="26" t="n">
        <v>9</v>
      </c>
      <c r="S558" s="29" t="n">
        <v>1</v>
      </c>
      <c r="T558" s="24" t="inlineStr">
        <is>
          <t>soccer-poisson-dc-v1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0</v>
      </c>
      <c r="Y558" s="25" t="n"/>
      <c r="Z558" s="26" t="n">
        <v>355</v>
      </c>
      <c r="AA558" s="28" t="n">
        <v>0.22</v>
      </c>
      <c r="AB558" s="28" t="n">
        <v>0.00022</v>
      </c>
      <c r="AC558" s="30" t="n">
        <v>-1</v>
      </c>
      <c r="AD558" s="24" t="inlineStr">
        <is>
          <t>2026-09-08T04:31:11.796149Z</t>
        </is>
      </c>
      <c r="AE558" s="31" t="inlineStr">
        <is>
          <t>Poisson-DC rates 1.46 (home) / 1.39 (away) from EWMA attack/defense strengths. Executable ask 0.2200 (atc-lpa-bar-aaj-2026-09-07-bar).</t>
        </is>
      </c>
      <c r="AF558" s="31" t="inlineStr">
        <is>
          <t>Research-only soccer score model; draw-aware, but not yet locked-holdout qualified.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Argentinos Juniors</t>
        </is>
      </c>
      <c r="AQ558" s="24" t="inlineStr">
        <is>
          <t>Argentinos Juniors</t>
        </is>
      </c>
      <c r="AR558" s="24" t="inlineStr">
        <is>
          <t>Argentinos Juniors</t>
        </is>
      </c>
      <c r="AS558" s="24" t="inlineStr">
        <is>
          <t>Barracas Central</t>
        </is>
      </c>
      <c r="AT558" s="24" t="inlineStr">
        <is>
          <t>Barracas Central</t>
        </is>
      </c>
      <c r="AU558" s="24" t="inlineStr">
        <is>
          <t>Barracas Central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e64f166eb03d5e657185abb04e25fff4830a8801f3dfa7f84e7c01a3f339baa9</t>
        </is>
      </c>
      <c r="BB558" s="24" t="inlineStr">
        <is>
          <t>poisson_dixon_coles</t>
        </is>
      </c>
      <c r="BC558" s="24" t="inlineStr">
        <is>
          <t>soccer-poisson-dc-v1</t>
        </is>
      </c>
      <c r="BD558" s="24" t="inlineStr">
        <is>
          <t>e64f166eb03d5e657185abb04e25fff4830a8801f3dfa7f84e7c01a3f339baa9</t>
        </is>
      </c>
      <c r="BE558" s="24" t="inlineStr">
        <is>
          <t>soccer-poisson-dc-v1</t>
        </is>
      </c>
      <c r="BF558" s="24" t="inlineStr">
        <is>
          <t>1</t>
        </is>
      </c>
      <c r="BG558" s="24" t="inlineStr">
        <is>
          <t>e64f166eb03d5e657185abb04e25fff4830a8801f3dfa7f84e7c01a3f339baa9</t>
        </is>
      </c>
      <c r="BH558" s="24" t="inlineStr">
        <is>
          <t>2026-09-07T16:02:18.803150Z</t>
        </is>
      </c>
      <c r="BI558" s="24" t="inlineStr">
        <is>
          <t>["same_event","same_team_same_day","same_league_same_day"]</t>
        </is>
      </c>
      <c r="BJ558" s="25" t="n"/>
      <c r="BK558" s="26" t="n">
        <v>355</v>
      </c>
      <c r="BL558" s="27" t="n">
        <v>4.55</v>
      </c>
      <c r="BM558" s="28" t="n">
        <v>0.21978</v>
      </c>
      <c r="BN558" s="28" t="n"/>
      <c r="BO558" s="28" t="n"/>
      <c r="BP558" s="25" t="n"/>
      <c r="BQ558" s="27" t="n">
        <v>4.55</v>
      </c>
      <c r="BR558" s="28" t="n">
        <v>0.22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0.21978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a80199bfb6e34b11</t>
        </is>
      </c>
      <c r="B559" s="24" t="inlineStr">
        <is>
          <t>2026-09-07T16:02:57.485862Z</t>
        </is>
      </c>
      <c r="C559" s="24" t="inlineStr">
        <is>
          <t>2026-09-07T20:00Z</t>
        </is>
      </c>
      <c r="D559" s="24" t="inlineStr">
        <is>
          <t>401844103</t>
        </is>
      </c>
      <c r="E559" s="24" t="inlineStr">
        <is>
          <t>SOCCER</t>
        </is>
      </c>
      <c r="F559" s="24" t="inlineStr">
        <is>
          <t>Quilmes</t>
        </is>
      </c>
      <c r="G559" s="24" t="inlineStr">
        <is>
          <t>Nueva Chicago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245</v>
      </c>
      <c r="M559" s="27" t="n">
        <v>3.45</v>
      </c>
      <c r="N559" s="28" t="n">
        <v>0.289855</v>
      </c>
      <c r="O559" s="28" t="n">
        <v>0.424741</v>
      </c>
      <c r="P559" s="28" t="n">
        <v>0.19</v>
      </c>
      <c r="Q559" s="28" t="n">
        <v>0.134886</v>
      </c>
      <c r="R559" s="26" t="n">
        <v>3</v>
      </c>
      <c r="S559" s="29" t="n">
        <v>1</v>
      </c>
      <c r="T559" s="24" t="inlineStr">
        <is>
          <t>soccer-poisson-dc-v1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245</v>
      </c>
      <c r="AA559" s="28" t="n">
        <v>0.29</v>
      </c>
      <c r="AB559" s="28" t="n">
        <v>0.000145</v>
      </c>
      <c r="AC559" s="30" t="n">
        <v>2.45</v>
      </c>
      <c r="AD559" s="24" t="inlineStr">
        <is>
          <t>2026-09-08T04:31:12.837937Z</t>
        </is>
      </c>
      <c r="AE559" s="31" t="inlineStr">
        <is>
          <t>Poisson-DC rates 1.30 (home) / 0.98 (away) from EWMA attack/defense strengths. Executable ask 0.2900 (atc-arg2-chi-qui-2026-09-05-chi).</t>
        </is>
      </c>
      <c r="AF559" s="31" t="inlineStr">
        <is>
          <t>Research-only soccer score model; draw-aware, but not yet locked-holdout qualified.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Quilmes</t>
        </is>
      </c>
      <c r="AQ559" s="24" t="inlineStr">
        <is>
          <t>Quilmes</t>
        </is>
      </c>
      <c r="AR559" s="24" t="inlineStr">
        <is>
          <t>Quilmes</t>
        </is>
      </c>
      <c r="AS559" s="24" t="inlineStr">
        <is>
          <t>Nueva Chicago</t>
        </is>
      </c>
      <c r="AT559" s="24" t="inlineStr">
        <is>
          <t>Nueva Chicago</t>
        </is>
      </c>
      <c r="AU559" s="24" t="inlineStr">
        <is>
          <t>Nueva Chicago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e64f166eb03d5e657185abb04e25fff4830a8801f3dfa7f84e7c01a3f339baa9</t>
        </is>
      </c>
      <c r="BB559" s="24" t="inlineStr">
        <is>
          <t>poisson_dixon_coles</t>
        </is>
      </c>
      <c r="BC559" s="24" t="inlineStr">
        <is>
          <t>soccer-poisson-dc-v1</t>
        </is>
      </c>
      <c r="BD559" s="24" t="inlineStr">
        <is>
          <t>e64f166eb03d5e657185abb04e25fff4830a8801f3dfa7f84e7c01a3f339baa9</t>
        </is>
      </c>
      <c r="BE559" s="24" t="inlineStr">
        <is>
          <t>soccer-poisson-dc-v1</t>
        </is>
      </c>
      <c r="BF559" s="24" t="inlineStr">
        <is>
          <t>1</t>
        </is>
      </c>
      <c r="BG559" s="24" t="inlineStr">
        <is>
          <t>e64f166eb03d5e657185abb04e25fff4830a8801f3dfa7f84e7c01a3f339baa9</t>
        </is>
      </c>
      <c r="BH559" s="24" t="inlineStr">
        <is>
          <t>2026-09-07T16:02:18.810800Z</t>
        </is>
      </c>
      <c r="BI559" s="24" t="inlineStr">
        <is>
          <t>["same_event","same_team_same_day","same_league_same_day"]</t>
        </is>
      </c>
      <c r="BJ559" s="25" t="n"/>
      <c r="BK559" s="26" t="n">
        <v>245</v>
      </c>
      <c r="BL559" s="27" t="n">
        <v>3.45</v>
      </c>
      <c r="BM559" s="28" t="n">
        <v>0.289855</v>
      </c>
      <c r="BN559" s="28" t="n"/>
      <c r="BO559" s="28" t="n"/>
      <c r="BP559" s="25" t="n"/>
      <c r="BQ559" s="27" t="n">
        <v>3.45</v>
      </c>
      <c r="BR559" s="28" t="n">
        <v>0.29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0.289855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5db92de362464da0</t>
        </is>
      </c>
      <c r="B560" s="24" t="inlineStr">
        <is>
          <t>2026-09-07T16:02:57.485862Z</t>
        </is>
      </c>
      <c r="C560" s="24" t="inlineStr">
        <is>
          <t>2026-09-07T18:00Z</t>
        </is>
      </c>
      <c r="D560" s="24" t="inlineStr">
        <is>
          <t>401914291</t>
        </is>
      </c>
      <c r="E560" s="24" t="inlineStr">
        <is>
          <t>SOCCER</t>
        </is>
      </c>
      <c r="F560" s="24" t="inlineStr">
        <is>
          <t>Progreso</t>
        </is>
      </c>
      <c r="G560" s="24" t="inlineStr">
        <is>
          <t>Albion FC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108</v>
      </c>
      <c r="M560" s="27" t="n">
        <v>2.08</v>
      </c>
      <c r="N560" s="28" t="n">
        <v>0.480769</v>
      </c>
      <c r="O560" s="28" t="n">
        <v>0.405579</v>
      </c>
      <c r="P560" s="28" t="n">
        <v>0.2</v>
      </c>
      <c r="Q560" s="28" t="n">
        <v>-0.07519000000000001</v>
      </c>
      <c r="R560" s="26" t="n">
        <v>0</v>
      </c>
      <c r="S560" s="29" t="n">
        <v>1</v>
      </c>
      <c r="T560" s="24" t="inlineStr">
        <is>
          <t>soccer-poisson-dc-v1</t>
        </is>
      </c>
      <c r="U560" s="24" t="inlineStr">
        <is>
          <t>settled</t>
        </is>
      </c>
      <c r="V560" s="24" t="inlineStr">
        <is>
          <t>loss</t>
        </is>
      </c>
      <c r="W560" s="26" t="n">
        <v>1</v>
      </c>
      <c r="X560" s="26" t="n">
        <v>0</v>
      </c>
      <c r="Y560" s="25" t="n"/>
      <c r="Z560" s="26" t="n">
        <v>108</v>
      </c>
      <c r="AA560" s="28" t="n">
        <v>0.48</v>
      </c>
      <c r="AB560" s="28" t="n">
        <v>-0.000769</v>
      </c>
      <c r="AC560" s="30" t="n">
        <v>-1</v>
      </c>
      <c r="AD560" s="24" t="inlineStr">
        <is>
          <t>2026-09-07T22:01:24.760924Z</t>
        </is>
      </c>
      <c r="AE560" s="31" t="inlineStr">
        <is>
          <t>Poisson-DC rates 1.31 (home) / 1.08 (away) from EWMA attack/defense strengths. Executable ask 0.4800 (atc-uru1-alb-pro-2026-09-05-alb).</t>
        </is>
      </c>
      <c r="AF560" s="31" t="inlineStr">
        <is>
          <t>Research-only soccer score model; draw-aware, but not yet locked-holdout qualified.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Progreso</t>
        </is>
      </c>
      <c r="AQ560" s="24" t="inlineStr">
        <is>
          <t>Progreso</t>
        </is>
      </c>
      <c r="AR560" s="24" t="inlineStr">
        <is>
          <t>Progreso</t>
        </is>
      </c>
      <c r="AS560" s="24" t="inlineStr">
        <is>
          <t>Albion FC</t>
        </is>
      </c>
      <c r="AT560" s="24" t="inlineStr">
        <is>
          <t>Albion FC</t>
        </is>
      </c>
      <c r="AU560" s="24" t="inlineStr">
        <is>
          <t>Albion FC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e64f166eb03d5e657185abb04e25fff4830a8801f3dfa7f84e7c01a3f339baa9</t>
        </is>
      </c>
      <c r="BB560" s="24" t="inlineStr">
        <is>
          <t>poisson_dixon_coles</t>
        </is>
      </c>
      <c r="BC560" s="24" t="inlineStr">
        <is>
          <t>soccer-poisson-dc-v1</t>
        </is>
      </c>
      <c r="BD560" s="24" t="inlineStr">
        <is>
          <t>e64f166eb03d5e657185abb04e25fff4830a8801f3dfa7f84e7c01a3f339baa9</t>
        </is>
      </c>
      <c r="BE560" s="24" t="inlineStr">
        <is>
          <t>soccer-poisson-dc-v1</t>
        </is>
      </c>
      <c r="BF560" s="24" t="inlineStr">
        <is>
          <t>1</t>
        </is>
      </c>
      <c r="BG560" s="24" t="inlineStr">
        <is>
          <t>e64f166eb03d5e657185abb04e25fff4830a8801f3dfa7f84e7c01a3f339baa9</t>
        </is>
      </c>
      <c r="BH560" s="24" t="inlineStr">
        <is>
          <t>2026-09-07T16:02:18.849007Z</t>
        </is>
      </c>
      <c r="BI560" s="24" t="inlineStr">
        <is>
          <t>["same_event","same_team_same_day","same_league_same_day"]</t>
        </is>
      </c>
      <c r="BJ560" s="25" t="n"/>
      <c r="BK560" s="26" t="n">
        <v>108</v>
      </c>
      <c r="BL560" s="27" t="n">
        <v>2.08</v>
      </c>
      <c r="BM560" s="28" t="n">
        <v>0.480769</v>
      </c>
      <c r="BN560" s="28" t="n"/>
      <c r="BO560" s="28" t="n"/>
      <c r="BP560" s="25" t="n"/>
      <c r="BQ560" s="27" t="n">
        <v>2.08</v>
      </c>
      <c r="BR560" s="28" t="n">
        <v>0.48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0.480769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f2055270456548b7</t>
        </is>
      </c>
      <c r="B561" s="24" t="inlineStr">
        <is>
          <t>2026-09-07T22:04:12.265598Z</t>
        </is>
      </c>
      <c r="C561" s="24" t="inlineStr">
        <is>
          <t>2026-09-08T00:00Z</t>
        </is>
      </c>
      <c r="D561" s="24" t="inlineStr">
        <is>
          <t>401859685</t>
        </is>
      </c>
      <c r="E561" s="24" t="inlineStr">
        <is>
          <t>SOCCER</t>
        </is>
      </c>
      <c r="F561" s="24" t="inlineStr">
        <is>
          <t>Manta F.C.</t>
        </is>
      </c>
      <c r="G561" s="24" t="inlineStr">
        <is>
          <t>Emelec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-144</v>
      </c>
      <c r="M561" s="27" t="n">
        <v>1.694444</v>
      </c>
      <c r="N561" s="28" t="n">
        <v>0.590164</v>
      </c>
      <c r="O561" s="28" t="n">
        <v>0.456135</v>
      </c>
      <c r="P561" s="28" t="n">
        <v>0.2</v>
      </c>
      <c r="Q561" s="28" t="n">
        <v>-0.134029</v>
      </c>
      <c r="R561" s="26" t="n">
        <v>0</v>
      </c>
      <c r="S561" s="29" t="n">
        <v>1</v>
      </c>
      <c r="T561" s="24" t="inlineStr">
        <is>
          <t>soccer-poisson-dc-v1</t>
        </is>
      </c>
      <c r="U561" s="24" t="inlineStr">
        <is>
          <t>settled</t>
        </is>
      </c>
      <c r="V561" s="24" t="inlineStr">
        <is>
          <t>win</t>
        </is>
      </c>
      <c r="W561" s="26" t="n">
        <v>0</v>
      </c>
      <c r="X561" s="26" t="n">
        <v>1</v>
      </c>
      <c r="Y561" s="25" t="n"/>
      <c r="Z561" s="26" t="n">
        <v>-144</v>
      </c>
      <c r="AA561" s="28" t="n">
        <v>0.59</v>
      </c>
      <c r="AB561" s="28" t="n">
        <v>-0.000164</v>
      </c>
      <c r="AC561" s="30" t="n">
        <v>0.6944</v>
      </c>
      <c r="AD561" s="24" t="inlineStr">
        <is>
          <t>2026-09-08T04:31:27.116264Z</t>
        </is>
      </c>
      <c r="AE561" s="31" t="inlineStr">
        <is>
          <t>Poisson-DC rates 1.64 (home) / 1.24 (away) from EWMA attack/defense strengths. Executable ask 0.5900 (atc-ecu1-cse-man-2026-09-06-cse).</t>
        </is>
      </c>
      <c r="AF561" s="31" t="inlineStr">
        <is>
          <t>Research-only soccer score model; draw-aware, but not yet locked-holdout qualified.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Manta F.C.</t>
        </is>
      </c>
      <c r="AQ561" s="24" t="inlineStr">
        <is>
          <t>Manta F.C.</t>
        </is>
      </c>
      <c r="AR561" s="24" t="inlineStr">
        <is>
          <t>Manta F.C.</t>
        </is>
      </c>
      <c r="AS561" s="24" t="inlineStr">
        <is>
          <t>Emelec</t>
        </is>
      </c>
      <c r="AT561" s="24" t="inlineStr">
        <is>
          <t>Emelec</t>
        </is>
      </c>
      <c r="AU561" s="24" t="inlineStr">
        <is>
          <t>Emelec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e64f166eb03d5e657185abb04e25fff4830a8801f3dfa7f84e7c01a3f339baa9</t>
        </is>
      </c>
      <c r="BB561" s="24" t="inlineStr">
        <is>
          <t>poisson_dixon_coles</t>
        </is>
      </c>
      <c r="BC561" s="24" t="inlineStr">
        <is>
          <t>soccer-poisson-dc-v1</t>
        </is>
      </c>
      <c r="BD561" s="24" t="inlineStr">
        <is>
          <t>e64f166eb03d5e657185abb04e25fff4830a8801f3dfa7f84e7c01a3f339baa9</t>
        </is>
      </c>
      <c r="BE561" s="24" t="inlineStr">
        <is>
          <t>soccer-poisson-dc-v1</t>
        </is>
      </c>
      <c r="BF561" s="24" t="inlineStr">
        <is>
          <t>1</t>
        </is>
      </c>
      <c r="BG561" s="24" t="inlineStr">
        <is>
          <t>e64f166eb03d5e657185abb04e25fff4830a8801f3dfa7f84e7c01a3f339baa9</t>
        </is>
      </c>
      <c r="BH561" s="24" t="inlineStr">
        <is>
          <t>2026-09-07T22:03:47.857084Z</t>
        </is>
      </c>
      <c r="BI561" s="24" t="inlineStr">
        <is>
          <t>["same_event","same_team_same_day","same_league_same_day"]</t>
        </is>
      </c>
      <c r="BJ561" s="25" t="n"/>
      <c r="BK561" s="26" t="n">
        <v>-144</v>
      </c>
      <c r="BL561" s="27" t="n">
        <v>1.694444</v>
      </c>
      <c r="BM561" s="28" t="n">
        <v>0.590164</v>
      </c>
      <c r="BN561" s="28" t="n"/>
      <c r="BO561" s="28" t="n"/>
      <c r="BP561" s="25" t="n"/>
      <c r="BQ561" s="27" t="n">
        <v>1.694444</v>
      </c>
      <c r="BR561" s="28" t="n">
        <v>0.59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0.590164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e7e98e7c666f4f06</t>
        </is>
      </c>
      <c r="B562" s="24" t="inlineStr">
        <is>
          <t>2026-09-07T22:04:12.265598Z</t>
        </is>
      </c>
      <c r="C562" s="24" t="inlineStr">
        <is>
          <t>2026-09-08T00:00Z</t>
        </is>
      </c>
      <c r="D562" s="24" t="inlineStr">
        <is>
          <t>401859724</t>
        </is>
      </c>
      <c r="E562" s="24" t="inlineStr">
        <is>
          <t>SOCCER</t>
        </is>
      </c>
      <c r="F562" s="24" t="inlineStr">
        <is>
          <t>Leones</t>
        </is>
      </c>
      <c r="G562" s="24" t="inlineStr">
        <is>
          <t>Mushuc Runa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122</v>
      </c>
      <c r="M562" s="27" t="n">
        <v>2.22</v>
      </c>
      <c r="N562" s="28" t="n">
        <v>0.45045</v>
      </c>
      <c r="O562" s="28" t="n">
        <v>0.418807</v>
      </c>
      <c r="P562" s="28" t="n">
        <v>0.2</v>
      </c>
      <c r="Q562" s="28" t="n">
        <v>-0.031643</v>
      </c>
      <c r="R562" s="26" t="n">
        <v>0</v>
      </c>
      <c r="S562" s="29" t="n">
        <v>1</v>
      </c>
      <c r="T562" s="24" t="inlineStr">
        <is>
          <t>soccer-poisson-dc-v1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1</v>
      </c>
      <c r="Y562" s="25" t="n"/>
      <c r="Z562" s="26" t="n">
        <v>122</v>
      </c>
      <c r="AA562" s="28" t="n">
        <v>0.45</v>
      </c>
      <c r="AB562" s="28" t="n">
        <v>-0.00045</v>
      </c>
      <c r="AC562" s="30" t="n">
        <v>-1</v>
      </c>
      <c r="AD562" s="24" t="inlineStr">
        <is>
          <t>2026-09-08T04:31:28.135452Z</t>
        </is>
      </c>
      <c r="AE562" s="31" t="inlineStr">
        <is>
          <t>Poisson-DC rates 1.46 (home) / 1.20 (away) from EWMA attack/defense strengths. Executable ask 0.4500 (atc-ecu1-mur-leo-2026-09-06-mur).</t>
        </is>
      </c>
      <c r="AF562" s="31" t="inlineStr">
        <is>
          <t>Research-only soccer score model; draw-aware, but not yet locked-holdout qualified.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Leones</t>
        </is>
      </c>
      <c r="AQ562" s="24" t="inlineStr">
        <is>
          <t>Leones</t>
        </is>
      </c>
      <c r="AR562" s="24" t="inlineStr">
        <is>
          <t>Leones</t>
        </is>
      </c>
      <c r="AS562" s="24" t="inlineStr">
        <is>
          <t>Mushuc Runa</t>
        </is>
      </c>
      <c r="AT562" s="24" t="inlineStr">
        <is>
          <t>Mushuc Runa</t>
        </is>
      </c>
      <c r="AU562" s="24" t="inlineStr">
        <is>
          <t>Mushuc Runa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e64f166eb03d5e657185abb04e25fff4830a8801f3dfa7f84e7c01a3f339baa9</t>
        </is>
      </c>
      <c r="BB562" s="24" t="inlineStr">
        <is>
          <t>poisson_dixon_coles</t>
        </is>
      </c>
      <c r="BC562" s="24" t="inlineStr">
        <is>
          <t>soccer-poisson-dc-v1</t>
        </is>
      </c>
      <c r="BD562" s="24" t="inlineStr">
        <is>
          <t>e64f166eb03d5e657185abb04e25fff4830a8801f3dfa7f84e7c01a3f339baa9</t>
        </is>
      </c>
      <c r="BE562" s="24" t="inlineStr">
        <is>
          <t>soccer-poisson-dc-v1</t>
        </is>
      </c>
      <c r="BF562" s="24" t="inlineStr">
        <is>
          <t>1</t>
        </is>
      </c>
      <c r="BG562" s="24" t="inlineStr">
        <is>
          <t>e64f166eb03d5e657185abb04e25fff4830a8801f3dfa7f84e7c01a3f339baa9</t>
        </is>
      </c>
      <c r="BH562" s="24" t="inlineStr">
        <is>
          <t>2026-09-07T22:03:47.925730Z</t>
        </is>
      </c>
      <c r="BI562" s="24" t="inlineStr">
        <is>
          <t>["same_event","same_team_same_day","same_league_same_day"]</t>
        </is>
      </c>
      <c r="BJ562" s="25" t="n"/>
      <c r="BK562" s="26" t="n">
        <v>122</v>
      </c>
      <c r="BL562" s="27" t="n">
        <v>2.22</v>
      </c>
      <c r="BM562" s="28" t="n">
        <v>0.45045</v>
      </c>
      <c r="BN562" s="28" t="n"/>
      <c r="BO562" s="28" t="n"/>
      <c r="BP562" s="25" t="n"/>
      <c r="BQ562" s="27" t="n">
        <v>2.22</v>
      </c>
      <c r="BR562" s="28" t="n">
        <v>0.45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0.45045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6eb76d91fe6540a4</t>
        </is>
      </c>
      <c r="B563" s="24" t="inlineStr">
        <is>
          <t>2026-09-07T22:04:12.265598Z</t>
        </is>
      </c>
      <c r="C563" s="24" t="inlineStr">
        <is>
          <t>2026-09-08T00:00Z</t>
        </is>
      </c>
      <c r="D563" s="24" t="inlineStr">
        <is>
          <t>401859687</t>
        </is>
      </c>
      <c r="E563" s="24" t="inlineStr">
        <is>
          <t>SOCCER</t>
        </is>
      </c>
      <c r="F563" s="24" t="inlineStr">
        <is>
          <t>Guayaquil City FC</t>
        </is>
      </c>
      <c r="G563" s="24" t="inlineStr">
        <is>
          <t>Orense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117</v>
      </c>
      <c r="M563" s="27" t="n">
        <v>2.17</v>
      </c>
      <c r="N563" s="28" t="n">
        <v>0.460829</v>
      </c>
      <c r="O563" s="28" t="n">
        <v>0.398039</v>
      </c>
      <c r="P563" s="28" t="n">
        <v>0.2</v>
      </c>
      <c r="Q563" s="28" t="n">
        <v>-0.06279</v>
      </c>
      <c r="R563" s="26" t="n">
        <v>0</v>
      </c>
      <c r="S563" s="29" t="n">
        <v>1</v>
      </c>
      <c r="T563" s="24" t="inlineStr">
        <is>
          <t>soccer-poisson-dc-v1</t>
        </is>
      </c>
      <c r="U563" s="24" t="inlineStr">
        <is>
          <t>settled</t>
        </is>
      </c>
      <c r="V563" s="24" t="inlineStr">
        <is>
          <t>win</t>
        </is>
      </c>
      <c r="W563" s="26" t="n">
        <v>3</v>
      </c>
      <c r="X563" s="26" t="n">
        <v>4</v>
      </c>
      <c r="Y563" s="25" t="n"/>
      <c r="Z563" s="26" t="n">
        <v>117</v>
      </c>
      <c r="AA563" s="28" t="n">
        <v>0.46</v>
      </c>
      <c r="AB563" s="28" t="n">
        <v>-0.000829</v>
      </c>
      <c r="AC563" s="30" t="n">
        <v>1.17</v>
      </c>
      <c r="AD563" s="24" t="inlineStr">
        <is>
          <t>2026-09-08T04:31:29.153963Z</t>
        </is>
      </c>
      <c r="AE563" s="31" t="inlineStr">
        <is>
          <t>Poisson-DC rates 1.46 (home) / 1.30 (away) from EWMA attack/defense strengths. Executable ask 0.4600 (atc-ecu1-ore-gua-2026-09-06-ore).</t>
        </is>
      </c>
      <c r="AF563" s="31" t="inlineStr">
        <is>
          <t>Research-only soccer score model; draw-aware, but not yet locked-holdout qualified.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PAPER_CALL_MODEL_UNVALIDATED</t>
        </is>
      </c>
      <c r="AP563" s="24" t="inlineStr">
        <is>
          <t>Guayaquil City FC</t>
        </is>
      </c>
      <c r="AQ563" s="24" t="inlineStr">
        <is>
          <t>Guayaquil City FC</t>
        </is>
      </c>
      <c r="AR563" s="24" t="inlineStr">
        <is>
          <t>Guayaquil City FC</t>
        </is>
      </c>
      <c r="AS563" s="24" t="inlineStr">
        <is>
          <t>Orense</t>
        </is>
      </c>
      <c r="AT563" s="24" t="inlineStr">
        <is>
          <t>Orense</t>
        </is>
      </c>
      <c r="AU563" s="24" t="inlineStr">
        <is>
          <t>Orense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e64f166eb03d5e657185abb04e25fff4830a8801f3dfa7f84e7c01a3f339baa9</t>
        </is>
      </c>
      <c r="BB563" s="24" t="inlineStr">
        <is>
          <t>poisson_dixon_coles</t>
        </is>
      </c>
      <c r="BC563" s="24" t="inlineStr">
        <is>
          <t>soccer-poisson-dc-v1</t>
        </is>
      </c>
      <c r="BD563" s="24" t="inlineStr">
        <is>
          <t>e64f166eb03d5e657185abb04e25fff4830a8801f3dfa7f84e7c01a3f339baa9</t>
        </is>
      </c>
      <c r="BE563" s="24" t="inlineStr">
        <is>
          <t>soccer-poisson-dc-v1</t>
        </is>
      </c>
      <c r="BF563" s="24" t="inlineStr">
        <is>
          <t>1</t>
        </is>
      </c>
      <c r="BG563" s="24" t="inlineStr">
        <is>
          <t>e64f166eb03d5e657185abb04e25fff4830a8801f3dfa7f84e7c01a3f339baa9</t>
        </is>
      </c>
      <c r="BH563" s="24" t="inlineStr">
        <is>
          <t>2026-09-07T22:03:47.900371Z</t>
        </is>
      </c>
      <c r="BI563" s="24" t="inlineStr">
        <is>
          <t>["same_event","same_team_same_day","same_league_same_day"]</t>
        </is>
      </c>
      <c r="BJ563" s="25" t="n"/>
      <c r="BK563" s="26" t="n">
        <v>117</v>
      </c>
      <c r="BL563" s="27" t="n">
        <v>2.17</v>
      </c>
      <c r="BM563" s="28" t="n">
        <v>0.460829</v>
      </c>
      <c r="BN563" s="28" t="n"/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0.460829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04c79f4981e1493e</t>
        </is>
      </c>
      <c r="B564" s="24" t="inlineStr">
        <is>
          <t>2026-09-08T16:16:02.557649Z</t>
        </is>
      </c>
      <c r="C564" s="24" t="inlineStr">
        <is>
          <t>2026-09-08T16:45Z</t>
        </is>
      </c>
      <c r="D564" s="24" t="inlineStr">
        <is>
          <t>401915426</t>
        </is>
      </c>
      <c r="E564" s="24" t="inlineStr">
        <is>
          <t>SOCCER</t>
        </is>
      </c>
      <c r="F564" s="24" t="inlineStr">
        <is>
          <t>Aston Villa</t>
        </is>
      </c>
      <c r="G564" s="24" t="inlineStr">
        <is>
          <t>Club Brugge</t>
        </is>
      </c>
      <c r="H564" s="24" t="inlineStr">
        <is>
          <t>total</t>
        </is>
      </c>
      <c r="I564" s="24" t="inlineStr">
        <is>
          <t>over</t>
        </is>
      </c>
      <c r="J564" s="25" t="n">
        <v>2.5</v>
      </c>
      <c r="K564" s="24" t="inlineStr">
        <is>
          <t>polymarket_us</t>
        </is>
      </c>
      <c r="L564" s="26" t="n">
        <v>-138</v>
      </c>
      <c r="M564" s="27" t="n">
        <v>1.724638</v>
      </c>
      <c r="N564" s="28" t="n">
        <v>0.579832</v>
      </c>
      <c r="O564" s="28" t="n">
        <v>0.683258</v>
      </c>
      <c r="P564" s="28" t="n">
        <v>0.08</v>
      </c>
      <c r="Q564" s="28" t="n">
        <v>0.103426</v>
      </c>
      <c r="R564" s="26" t="n">
        <v>54</v>
      </c>
      <c r="S564" s="29" t="n">
        <v>1.25</v>
      </c>
      <c r="T564" s="24" t="inlineStr">
        <is>
          <t>soccer-poisson-dc-v1</t>
        </is>
      </c>
      <c r="U564" s="24" t="inlineStr">
        <is>
          <t>settled</t>
        </is>
      </c>
      <c r="V564" s="24" t="inlineStr">
        <is>
          <t>win</t>
        </is>
      </c>
      <c r="W564" s="26" t="n">
        <v>3</v>
      </c>
      <c r="X564" s="26" t="n">
        <v>2</v>
      </c>
      <c r="Y564" s="25" t="n"/>
      <c r="Z564" s="26" t="n">
        <v>-138</v>
      </c>
      <c r="AA564" s="28" t="n">
        <v>0.58</v>
      </c>
      <c r="AB564" s="28" t="n">
        <v>0.000168</v>
      </c>
      <c r="AC564" s="30" t="n">
        <v>0.9058</v>
      </c>
      <c r="AD564" s="24" t="inlineStr">
        <is>
          <t>2026-09-08T22:15:20.343492Z</t>
        </is>
      </c>
      <c r="AE564" s="31" t="inlineStr">
        <is>
          <t>Poisson-DC rates 1.54 (home) / 1.98 (away) from EWMA attack/defense strengths. Executable ask 0.5800 (tsc-ucl-bru-ast-2026-09-08-2pt5).</t>
        </is>
      </c>
      <c r="AF564" s="31" t="inlineStr">
        <is>
          <t>Research-only soccer score model; draw-aware, but not yet locked-holdout qualified.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Aston Villa</t>
        </is>
      </c>
      <c r="AQ564" s="24" t="inlineStr">
        <is>
          <t>Aston Villa</t>
        </is>
      </c>
      <c r="AR564" s="24" t="inlineStr">
        <is>
          <t>Aston Villa</t>
        </is>
      </c>
      <c r="AS564" s="24" t="inlineStr">
        <is>
          <t>Club Brugge</t>
        </is>
      </c>
      <c r="AT564" s="24" t="inlineStr">
        <is>
          <t>Club Brugge</t>
        </is>
      </c>
      <c r="AU564" s="24" t="inlineStr">
        <is>
          <t>Club Brugge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e64f166eb03d5e657185abb04e25fff4830a8801f3dfa7f84e7c01a3f339baa9</t>
        </is>
      </c>
      <c r="BB564" s="24" t="inlineStr">
        <is>
          <t>poisson_dixon_coles</t>
        </is>
      </c>
      <c r="BC564" s="24" t="inlineStr">
        <is>
          <t>soccer-poisson-dc-v1</t>
        </is>
      </c>
      <c r="BD564" s="24" t="inlineStr">
        <is>
          <t>e64f166eb03d5e657185abb04e25fff4830a8801f3dfa7f84e7c01a3f339baa9</t>
        </is>
      </c>
      <c r="BE564" s="24" t="inlineStr">
        <is>
          <t>soccer-poisson-dc-v1</t>
        </is>
      </c>
      <c r="BF564" s="24" t="inlineStr">
        <is>
          <t>1</t>
        </is>
      </c>
      <c r="BG564" s="24" t="inlineStr">
        <is>
          <t>e64f166eb03d5e657185abb04e25fff4830a8801f3dfa7f84e7c01a3f339baa9</t>
        </is>
      </c>
      <c r="BH564" s="24" t="inlineStr">
        <is>
          <t>2026-09-08T16:07:48.103113Z</t>
        </is>
      </c>
      <c r="BI564" s="24" t="inlineStr">
        <is>
          <t>["same_event","same_team_same_day","same_league_same_day"]</t>
        </is>
      </c>
      <c r="BJ564" s="25" t="n">
        <v>2.5</v>
      </c>
      <c r="BK564" s="26" t="n">
        <v>-138</v>
      </c>
      <c r="BL564" s="27" t="n">
        <v>1.724638</v>
      </c>
      <c r="BM564" s="28" t="n">
        <v>0.579832</v>
      </c>
      <c r="BN564" s="28" t="n"/>
      <c r="BO564" s="28" t="n"/>
      <c r="BP564" s="25" t="n"/>
      <c r="BQ564" s="27" t="n">
        <v>1.724638</v>
      </c>
      <c r="BR564" s="28" t="n">
        <v>0.58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0.579832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109fbced2fed4446</t>
        </is>
      </c>
      <c r="B565" s="24" t="inlineStr">
        <is>
          <t>2026-09-08T16:16:02.557649Z</t>
        </is>
      </c>
      <c r="C565" s="24" t="inlineStr">
        <is>
          <t>2026-09-08T19:00Z</t>
        </is>
      </c>
      <c r="D565" s="24" t="inlineStr">
        <is>
          <t>401915449</t>
        </is>
      </c>
      <c r="E565" s="24" t="inlineStr">
        <is>
          <t>SOCCER</t>
        </is>
      </c>
      <c r="F565" s="24" t="inlineStr">
        <is>
          <t>Villarreal</t>
        </is>
      </c>
      <c r="G565" s="24" t="inlineStr">
        <is>
          <t>Borussia Dortmund</t>
        </is>
      </c>
      <c r="H565" s="24" t="inlineStr">
        <is>
          <t>total</t>
        </is>
      </c>
      <c r="I565" s="24" t="inlineStr">
        <is>
          <t>over</t>
        </is>
      </c>
      <c r="J565" s="25" t="n">
        <v>2.5</v>
      </c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0.704319</v>
      </c>
      <c r="P565" s="28" t="n">
        <v>0.12</v>
      </c>
      <c r="Q565" s="28" t="n">
        <v>0.044455</v>
      </c>
      <c r="R565" s="26" t="n">
        <v>0</v>
      </c>
      <c r="S565" s="29" t="n">
        <v>1</v>
      </c>
      <c r="T565" s="24" t="inlineStr">
        <is>
          <t>soccer-poisson-dc-v1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0.5155</v>
      </c>
      <c r="AD565" s="24" t="inlineStr">
        <is>
          <t>2026-09-08T22:15:21.375520Z</t>
        </is>
      </c>
      <c r="AE565" s="31" t="inlineStr">
        <is>
          <t>Poisson-DC rates 2.61 (home) / 1.03 (away) from EWMA attack/defense strengths. Executable ask 0.6600 (tsc-ucl-bvb-vil-2026-09-08-2pt5).</t>
        </is>
      </c>
      <c r="AF565" s="31" t="inlineStr">
        <is>
          <t>Research-only soccer score model; draw-aware, but not yet locked-holdout qualified.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PAPER_CALL_MODEL_UNVALIDATED</t>
        </is>
      </c>
      <c r="AP565" s="24" t="inlineStr">
        <is>
          <t>Villarreal</t>
        </is>
      </c>
      <c r="AQ565" s="24" t="inlineStr">
        <is>
          <t>Villarreal</t>
        </is>
      </c>
      <c r="AR565" s="24" t="inlineStr">
        <is>
          <t>Villarreal</t>
        </is>
      </c>
      <c r="AS565" s="24" t="inlineStr">
        <is>
          <t>Borussia Dortmund</t>
        </is>
      </c>
      <c r="AT565" s="24" t="inlineStr">
        <is>
          <t>Borussia Dortmund</t>
        </is>
      </c>
      <c r="AU565" s="24" t="inlineStr">
        <is>
          <t>Borussia Dortmund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e64f166eb03d5e657185abb04e25fff4830a8801f3dfa7f84e7c01a3f339baa9</t>
        </is>
      </c>
      <c r="BB565" s="24" t="inlineStr">
        <is>
          <t>poisson_dixon_coles</t>
        </is>
      </c>
      <c r="BC565" s="24" t="inlineStr">
        <is>
          <t>soccer-poisson-dc-v1</t>
        </is>
      </c>
      <c r="BD565" s="24" t="inlineStr">
        <is>
          <t>e64f166eb03d5e657185abb04e25fff4830a8801f3dfa7f84e7c01a3f339baa9</t>
        </is>
      </c>
      <c r="BE565" s="24" t="inlineStr">
        <is>
          <t>soccer-poisson-dc-v1</t>
        </is>
      </c>
      <c r="BF565" s="24" t="inlineStr">
        <is>
          <t>1</t>
        </is>
      </c>
      <c r="BG565" s="24" t="inlineStr">
        <is>
          <t>e64f166eb03d5e657185abb04e25fff4830a8801f3dfa7f84e7c01a3f339baa9</t>
        </is>
      </c>
      <c r="BH565" s="24" t="inlineStr">
        <is>
          <t>2026-09-08T16:07:48.543676Z</t>
        </is>
      </c>
      <c r="BI565" s="24" t="inlineStr">
        <is>
          <t>["same_event","same_team_same_day","same_league_same_day"]</t>
        </is>
      </c>
      <c r="BJ565" s="25" t="n">
        <v>2.5</v>
      </c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6a498dc5677a4b6f</t>
        </is>
      </c>
      <c r="B566" s="24" t="inlineStr">
        <is>
          <t>2026-09-08T16:16:02.557649Z</t>
        </is>
      </c>
      <c r="C566" s="24" t="inlineStr">
        <is>
          <t>2026-09-08T19:00Z</t>
        </is>
      </c>
      <c r="D566" s="24" t="inlineStr">
        <is>
          <t>401915425</t>
        </is>
      </c>
      <c r="E566" s="24" t="inlineStr">
        <is>
          <t>SOCCER</t>
        </is>
      </c>
      <c r="F566" s="24" t="inlineStr">
        <is>
          <t>Manchester City</t>
        </is>
      </c>
      <c r="G566" s="24" t="inlineStr">
        <is>
          <t>FC Porto</t>
        </is>
      </c>
      <c r="H566" s="24" t="inlineStr">
        <is>
          <t>total</t>
        </is>
      </c>
      <c r="I566" s="24" t="inlineStr">
        <is>
          <t>over</t>
        </is>
      </c>
      <c r="J566" s="25" t="n">
        <v>2.5</v>
      </c>
      <c r="K566" s="24" t="inlineStr">
        <is>
          <t>polymarket_us</t>
        </is>
      </c>
      <c r="L566" s="26" t="n">
        <v>-138</v>
      </c>
      <c r="M566" s="27" t="n">
        <v>1.724638</v>
      </c>
      <c r="N566" s="28" t="n">
        <v>0.579832</v>
      </c>
      <c r="O566" s="28" t="n">
        <v>0.568179</v>
      </c>
      <c r="P566" s="28" t="n">
        <v>0.18</v>
      </c>
      <c r="Q566" s="28" t="n">
        <v>-0.011653</v>
      </c>
      <c r="R566" s="26" t="n">
        <v>0</v>
      </c>
      <c r="S566" s="29" t="n">
        <v>1</v>
      </c>
      <c r="T566" s="24" t="inlineStr">
        <is>
          <t>soccer-poisson-dc-v1</t>
        </is>
      </c>
      <c r="U566" s="24" t="inlineStr">
        <is>
          <t>settled</t>
        </is>
      </c>
      <c r="V566" s="24" t="inlineStr">
        <is>
          <t>loss</t>
        </is>
      </c>
      <c r="W566" s="26" t="n">
        <v>2</v>
      </c>
      <c r="X566" s="26" t="n">
        <v>0</v>
      </c>
      <c r="Y566" s="25" t="n"/>
      <c r="Z566" s="26" t="n">
        <v>-138</v>
      </c>
      <c r="AA566" s="28" t="n">
        <v>0.58</v>
      </c>
      <c r="AB566" s="28" t="n">
        <v>0.000168</v>
      </c>
      <c r="AC566" s="30" t="n">
        <v>-1</v>
      </c>
      <c r="AD566" s="24" t="inlineStr">
        <is>
          <t>2026-09-08T22:15:22.400191Z</t>
        </is>
      </c>
      <c r="AE566" s="31" t="inlineStr">
        <is>
          <t>Poisson-DC rates 1.67 (home) / 1.29 (away) from EWMA attack/defense strengths. Executable ask 0.5800 (tsc-ucl-por-mnc-2026-09-08-2pt5).</t>
        </is>
      </c>
      <c r="AF566" s="31" t="inlineStr">
        <is>
          <t>Research-only soccer score model; draw-aware, but not yet locked-holdout qualified.</t>
        </is>
      </c>
      <c r="AG566" s="24" t="inlineStr">
        <is>
          <t>review_required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PAPER_CALL_MODEL_UNVALIDATED</t>
        </is>
      </c>
      <c r="AP566" s="24" t="inlineStr">
        <is>
          <t>Manchester City</t>
        </is>
      </c>
      <c r="AQ566" s="24" t="inlineStr">
        <is>
          <t>Manchester City</t>
        </is>
      </c>
      <c r="AR566" s="24" t="inlineStr">
        <is>
          <t>Manchester City</t>
        </is>
      </c>
      <c r="AS566" s="24" t="inlineStr">
        <is>
          <t>FC Porto</t>
        </is>
      </c>
      <c r="AT566" s="24" t="inlineStr">
        <is>
          <t>FC Porto</t>
        </is>
      </c>
      <c r="AU566" s="24" t="inlineStr">
        <is>
          <t>FC Porto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e64f166eb03d5e657185abb04e25fff4830a8801f3dfa7f84e7c01a3f339baa9</t>
        </is>
      </c>
      <c r="BB566" s="24" t="inlineStr">
        <is>
          <t>poisson_dixon_coles</t>
        </is>
      </c>
      <c r="BC566" s="24" t="inlineStr">
        <is>
          <t>soccer-poisson-dc-v1</t>
        </is>
      </c>
      <c r="BD566" s="24" t="inlineStr">
        <is>
          <t>e64f166eb03d5e657185abb04e25fff4830a8801f3dfa7f84e7c01a3f339baa9</t>
        </is>
      </c>
      <c r="BE566" s="24" t="inlineStr">
        <is>
          <t>soccer-poisson-dc-v1</t>
        </is>
      </c>
      <c r="BF566" s="24" t="inlineStr">
        <is>
          <t>1</t>
        </is>
      </c>
      <c r="BG566" s="24" t="inlineStr">
        <is>
          <t>e64f166eb03d5e657185abb04e25fff4830a8801f3dfa7f84e7c01a3f339baa9</t>
        </is>
      </c>
      <c r="BH566" s="24" t="inlineStr">
        <is>
          <t>2026-09-08T16:07:48.379377Z</t>
        </is>
      </c>
      <c r="BI566" s="24" t="inlineStr">
        <is>
          <t>["same_event","same_team_same_day","same_league_same_day"]</t>
        </is>
      </c>
      <c r="BJ566" s="25" t="n">
        <v>2.5</v>
      </c>
      <c r="BK566" s="26" t="n">
        <v>-138</v>
      </c>
      <c r="BL566" s="27" t="n">
        <v>1.724638</v>
      </c>
      <c r="BM566" s="28" t="n">
        <v>0.579832</v>
      </c>
      <c r="BN566" s="28" t="n"/>
      <c r="BO566" s="28" t="n"/>
      <c r="BP566" s="25" t="n"/>
      <c r="BQ566" s="27" t="n">
        <v>1.724638</v>
      </c>
      <c r="BR566" s="28" t="n">
        <v>0.58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0.579832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c589e785c5944993</t>
        </is>
      </c>
      <c r="B567" s="24" t="inlineStr">
        <is>
          <t>2026-09-08T16:16:02.557649Z</t>
        </is>
      </c>
      <c r="C567" s="24" t="inlineStr">
        <is>
          <t>2026-09-08T19:00Z</t>
        </is>
      </c>
      <c r="D567" s="24" t="inlineStr">
        <is>
          <t>401915450</t>
        </is>
      </c>
      <c r="E567" s="24" t="inlineStr">
        <is>
          <t>SOCCER</t>
        </is>
      </c>
      <c r="F567" s="24" t="inlineStr">
        <is>
          <t>Real Betis</t>
        </is>
      </c>
      <c r="G567" s="24" t="inlineStr">
        <is>
          <t>Lille</t>
        </is>
      </c>
      <c r="H567" s="24" t="inlineStr">
        <is>
          <t>total</t>
        </is>
      </c>
      <c r="I567" s="24" t="inlineStr">
        <is>
          <t>over</t>
        </is>
      </c>
      <c r="J567" s="25" t="n">
        <v>2.5</v>
      </c>
      <c r="K567" s="24" t="inlineStr">
        <is>
          <t>polymarket_us</t>
        </is>
      </c>
      <c r="L567" s="26" t="n">
        <v>-122</v>
      </c>
      <c r="M567" s="27" t="n">
        <v>1.819672</v>
      </c>
      <c r="N567" s="28" t="n">
        <v>0.54955</v>
      </c>
      <c r="O567" s="28" t="n">
        <v>0.660018</v>
      </c>
      <c r="P567" s="28" t="n">
        <v>0.2</v>
      </c>
      <c r="Q567" s="28" t="n">
        <v>0.110468</v>
      </c>
      <c r="R567" s="26" t="n">
        <v>0</v>
      </c>
      <c r="S567" s="29" t="n">
        <v>1</v>
      </c>
      <c r="T567" s="24" t="inlineStr">
        <is>
          <t>soccer-poisson-dc-v1</t>
        </is>
      </c>
      <c r="U567" s="24" t="inlineStr">
        <is>
          <t>settled</t>
        </is>
      </c>
      <c r="V567" s="24" t="inlineStr">
        <is>
          <t>win</t>
        </is>
      </c>
      <c r="W567" s="26" t="n">
        <v>3</v>
      </c>
      <c r="X567" s="26" t="n">
        <v>2</v>
      </c>
      <c r="Y567" s="25" t="n"/>
      <c r="Z567" s="26" t="n">
        <v>-122</v>
      </c>
      <c r="AA567" s="28" t="n">
        <v>0.55</v>
      </c>
      <c r="AB567" s="28" t="n">
        <v>0.00045</v>
      </c>
      <c r="AC567" s="30" t="n">
        <v>0.8197</v>
      </c>
      <c r="AD567" s="24" t="inlineStr">
        <is>
          <t>2026-09-08T22:15:23.449449Z</t>
        </is>
      </c>
      <c r="AE567" s="31" t="inlineStr">
        <is>
          <t>Poisson-DC rates 2.11 (home) / 1.29 (away) from EWMA attack/defense strengths. Executable ask 0.5500 (tsc-ucl-lil-rbb-2026-09-08-2pt5).</t>
        </is>
      </c>
      <c r="AF567" s="31" t="inlineStr">
        <is>
          <t>Research-only soccer score model; draw-aware, but not yet locked-holdout qualified.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Real Betis</t>
        </is>
      </c>
      <c r="AQ567" s="24" t="inlineStr">
        <is>
          <t>Real Betis</t>
        </is>
      </c>
      <c r="AR567" s="24" t="inlineStr">
        <is>
          <t>Real Betis</t>
        </is>
      </c>
      <c r="AS567" s="24" t="inlineStr">
        <is>
          <t>Lille</t>
        </is>
      </c>
      <c r="AT567" s="24" t="inlineStr">
        <is>
          <t>Lille</t>
        </is>
      </c>
      <c r="AU567" s="24" t="inlineStr">
        <is>
          <t>Lille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e64f166eb03d5e657185abb04e25fff4830a8801f3dfa7f84e7c01a3f339baa9</t>
        </is>
      </c>
      <c r="BB567" s="24" t="inlineStr">
        <is>
          <t>poisson_dixon_coles</t>
        </is>
      </c>
      <c r="BC567" s="24" t="inlineStr">
        <is>
          <t>soccer-poisson-dc-v1</t>
        </is>
      </c>
      <c r="BD567" s="24" t="inlineStr">
        <is>
          <t>e64f166eb03d5e657185abb04e25fff4830a8801f3dfa7f84e7c01a3f339baa9</t>
        </is>
      </c>
      <c r="BE567" s="24" t="inlineStr">
        <is>
          <t>soccer-poisson-dc-v1</t>
        </is>
      </c>
      <c r="BF567" s="24" t="inlineStr">
        <is>
          <t>1</t>
        </is>
      </c>
      <c r="BG567" s="24" t="inlineStr">
        <is>
          <t>e64f166eb03d5e657185abb04e25fff4830a8801f3dfa7f84e7c01a3f339baa9</t>
        </is>
      </c>
      <c r="BH567" s="24" t="inlineStr">
        <is>
          <t>2026-09-08T16:07:48.281849Z</t>
        </is>
      </c>
      <c r="BI567" s="24" t="inlineStr">
        <is>
          <t>["same_event","same_team_same_day","same_league_same_day"]</t>
        </is>
      </c>
      <c r="BJ567" s="25" t="n">
        <v>2.5</v>
      </c>
      <c r="BK567" s="26" t="n">
        <v>-122</v>
      </c>
      <c r="BL567" s="27" t="n">
        <v>1.819672</v>
      </c>
      <c r="BM567" s="28" t="n">
        <v>0.54955</v>
      </c>
      <c r="BN567" s="28" t="n"/>
      <c r="BO567" s="28" t="n"/>
      <c r="BP567" s="25" t="n"/>
      <c r="BQ567" s="27" t="n">
        <v>1.819672</v>
      </c>
      <c r="BR567" s="28" t="n">
        <v>0.55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0.54955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88af10bd4d95411a</t>
        </is>
      </c>
      <c r="B568" s="24" t="inlineStr">
        <is>
          <t>2026-09-08T16:16:02.557649Z</t>
        </is>
      </c>
      <c r="C568" s="24" t="inlineStr">
        <is>
          <t>2026-09-08T19:00Z</t>
        </is>
      </c>
      <c r="D568" s="24" t="inlineStr">
        <is>
          <t>401915451</t>
        </is>
      </c>
      <c r="E568" s="24" t="inlineStr">
        <is>
          <t>SOCCER</t>
        </is>
      </c>
      <c r="F568" s="24" t="inlineStr">
        <is>
          <t>Internazionale</t>
        </is>
      </c>
      <c r="G568" s="24" t="inlineStr">
        <is>
          <t>Real Madrid</t>
        </is>
      </c>
      <c r="H568" s="24" t="inlineStr">
        <is>
          <t>total</t>
        </is>
      </c>
      <c r="I568" s="24" t="inlineStr">
        <is>
          <t>over</t>
        </is>
      </c>
      <c r="J568" s="25" t="n">
        <v>2.5</v>
      </c>
      <c r="K568" s="24" t="inlineStr">
        <is>
          <t>polymarket_us</t>
        </is>
      </c>
      <c r="L568" s="26" t="n">
        <v>-223</v>
      </c>
      <c r="M568" s="27" t="n">
        <v>1.44843</v>
      </c>
      <c r="N568" s="28" t="n">
        <v>0.690402</v>
      </c>
      <c r="O568" s="28" t="n">
        <v>0.668266</v>
      </c>
      <c r="P568" s="28" t="n">
        <v>0.04</v>
      </c>
      <c r="Q568" s="28" t="n">
        <v>-0.022136</v>
      </c>
      <c r="R568" s="26" t="n">
        <v>15</v>
      </c>
      <c r="S568" s="29" t="n">
        <v>1</v>
      </c>
      <c r="T568" s="24" t="inlineStr">
        <is>
          <t>soccer-poisson-dc-v1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2</v>
      </c>
      <c r="Y568" s="25" t="n"/>
      <c r="Z568" s="26" t="n">
        <v>-223</v>
      </c>
      <c r="AA568" s="28" t="n">
        <v>0.6899999999999999</v>
      </c>
      <c r="AB568" s="28" t="n">
        <v>-0.000402</v>
      </c>
      <c r="AC568" s="30" t="n">
        <v>0.4484</v>
      </c>
      <c r="AD568" s="24" t="inlineStr">
        <is>
          <t>2026-09-08T22:15:24.568302Z</t>
        </is>
      </c>
      <c r="AE568" s="31" t="inlineStr">
        <is>
          <t>Poisson-DC rates 2.09 (home) / 1.36 (away) from EWMA attack/defense strengths. Executable ask 0.6900 (tsc-ucl-rma-int-2026-09-08-2pt5).</t>
        </is>
      </c>
      <c r="AF568" s="31" t="inlineStr">
        <is>
          <t>Research-only soccer score model; draw-aware, but not yet locked-holdout qualified.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Internazionale</t>
        </is>
      </c>
      <c r="AQ568" s="24" t="inlineStr">
        <is>
          <t>Internazionale</t>
        </is>
      </c>
      <c r="AR568" s="24" t="inlineStr">
        <is>
          <t>Internazionale</t>
        </is>
      </c>
      <c r="AS568" s="24" t="inlineStr">
        <is>
          <t>Real Madrid</t>
        </is>
      </c>
      <c r="AT568" s="24" t="inlineStr">
        <is>
          <t>Real Madrid</t>
        </is>
      </c>
      <c r="AU568" s="24" t="inlineStr">
        <is>
          <t>Real Madrid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e64f166eb03d5e657185abb04e25fff4830a8801f3dfa7f84e7c01a3f339baa9</t>
        </is>
      </c>
      <c r="BB568" s="24" t="inlineStr">
        <is>
          <t>poisson_dixon_coles</t>
        </is>
      </c>
      <c r="BC568" s="24" t="inlineStr">
        <is>
          <t>soccer-poisson-dc-v1</t>
        </is>
      </c>
      <c r="BD568" s="24" t="inlineStr">
        <is>
          <t>e64f166eb03d5e657185abb04e25fff4830a8801f3dfa7f84e7c01a3f339baa9</t>
        </is>
      </c>
      <c r="BE568" s="24" t="inlineStr">
        <is>
          <t>soccer-poisson-dc-v1</t>
        </is>
      </c>
      <c r="BF568" s="24" t="inlineStr">
        <is>
          <t>1</t>
        </is>
      </c>
      <c r="BG568" s="24" t="inlineStr">
        <is>
          <t>e64f166eb03d5e657185abb04e25fff4830a8801f3dfa7f84e7c01a3f339baa9</t>
        </is>
      </c>
      <c r="BH568" s="24" t="inlineStr">
        <is>
          <t>2026-09-08T16:07:48.185300Z</t>
        </is>
      </c>
      <c r="BI568" s="24" t="inlineStr">
        <is>
          <t>["same_event","same_team_same_day","same_league_same_day"]</t>
        </is>
      </c>
      <c r="BJ568" s="25" t="n">
        <v>2.5</v>
      </c>
      <c r="BK568" s="26" t="n">
        <v>-223</v>
      </c>
      <c r="BL568" s="27" t="n">
        <v>1.44843</v>
      </c>
      <c r="BM568" s="28" t="n">
        <v>0.690402</v>
      </c>
      <c r="BN568" s="28" t="n"/>
      <c r="BO568" s="28" t="n"/>
      <c r="BP568" s="25" t="n"/>
      <c r="BQ568" s="27" t="n">
        <v>1.44843</v>
      </c>
      <c r="BR568" s="28" t="n">
        <v>0.6899999999999999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0.690402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01525649dc014fee</t>
        </is>
      </c>
      <c r="B569" s="24" t="inlineStr">
        <is>
          <t>2026-09-08T16:16:02.557649Z</t>
        </is>
      </c>
      <c r="C569" s="24" t="inlineStr">
        <is>
          <t>2026-09-08T22:00Z</t>
        </is>
      </c>
      <c r="D569" s="24" t="inlineStr">
        <is>
          <t>401913960</t>
        </is>
      </c>
      <c r="E569" s="24" t="inlineStr">
        <is>
          <t>SOCCER</t>
        </is>
      </c>
      <c r="F569" s="24" t="inlineStr">
        <is>
          <t>Vasco da Gama</t>
        </is>
      </c>
      <c r="G569" s="24" t="inlineStr">
        <is>
          <t>Independiente Santa Fe</t>
        </is>
      </c>
      <c r="H569" s="24" t="inlineStr">
        <is>
          <t>total</t>
        </is>
      </c>
      <c r="I569" s="24" t="inlineStr">
        <is>
          <t>over</t>
        </is>
      </c>
      <c r="J569" s="25" t="n">
        <v>2.5</v>
      </c>
      <c r="K569" s="24" t="inlineStr">
        <is>
          <t>polymarket_us</t>
        </is>
      </c>
      <c r="L569" s="26" t="n">
        <v>212</v>
      </c>
      <c r="M569" s="27" t="n">
        <v>3.12</v>
      </c>
      <c r="N569" s="28" t="n">
        <v>0.320513</v>
      </c>
      <c r="O569" s="28" t="n">
        <v>0.550338</v>
      </c>
      <c r="P569" s="28" t="n">
        <v>0.2</v>
      </c>
      <c r="Q569" s="28" t="n">
        <v>0.229825</v>
      </c>
      <c r="R569" s="26" t="n">
        <v>45</v>
      </c>
      <c r="S569" s="29" t="n">
        <v>1.25</v>
      </c>
      <c r="T569" s="24" t="inlineStr">
        <is>
          <t>soccer-poisson-dc-v1</t>
        </is>
      </c>
      <c r="U569" s="24" t="inlineStr">
        <is>
          <t>settled</t>
        </is>
      </c>
      <c r="V569" s="24" t="inlineStr">
        <is>
          <t>loss</t>
        </is>
      </c>
      <c r="W569" s="26" t="n">
        <v>0</v>
      </c>
      <c r="X569" s="26" t="n">
        <v>0</v>
      </c>
      <c r="Y569" s="25" t="n"/>
      <c r="Z569" s="26" t="n">
        <v>212</v>
      </c>
      <c r="AA569" s="28" t="n">
        <v>0.32</v>
      </c>
      <c r="AB569" s="28" t="n">
        <v>-0.000513</v>
      </c>
      <c r="AC569" s="30" t="n">
        <v>-1.25</v>
      </c>
      <c r="AD569" s="24" t="inlineStr">
        <is>
          <t>2026-09-09T04:31:20.791406Z</t>
        </is>
      </c>
      <c r="AE569" s="31" t="inlineStr">
        <is>
          <t>Poisson-DC rates 1.64 (home) / 1.24 (away) from EWMA attack/defense strengths. Executable ask 0.3200 (tsc-sud-isf-vas-2026-09-08-2pt5).</t>
        </is>
      </c>
      <c r="AF569" s="31" t="inlineStr">
        <is>
          <t>Research-only soccer score model; draw-aware, but not yet locked-holdout qualified.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PAPER_CALL_MODEL_UNVALIDATED</t>
        </is>
      </c>
      <c r="AP569" s="24" t="inlineStr">
        <is>
          <t>Vasco da Gama</t>
        </is>
      </c>
      <c r="AQ569" s="24" t="inlineStr">
        <is>
          <t>Vasco da Gama</t>
        </is>
      </c>
      <c r="AR569" s="24" t="inlineStr">
        <is>
          <t>Vasco da Gama</t>
        </is>
      </c>
      <c r="AS569" s="24" t="inlineStr">
        <is>
          <t>Independiente Santa Fe</t>
        </is>
      </c>
      <c r="AT569" s="24" t="inlineStr">
        <is>
          <t>Independiente Santa Fe</t>
        </is>
      </c>
      <c r="AU569" s="24" t="inlineStr">
        <is>
          <t>Independiente Santa Fe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e64f166eb03d5e657185abb04e25fff4830a8801f3dfa7f84e7c01a3f339baa9</t>
        </is>
      </c>
      <c r="BB569" s="24" t="inlineStr">
        <is>
          <t>poisson_dixon_coles</t>
        </is>
      </c>
      <c r="BC569" s="24" t="inlineStr">
        <is>
          <t>soccer-poisson-dc-v1</t>
        </is>
      </c>
      <c r="BD569" s="24" t="inlineStr">
        <is>
          <t>e64f166eb03d5e657185abb04e25fff4830a8801f3dfa7f84e7c01a3f339baa9</t>
        </is>
      </c>
      <c r="BE569" s="24" t="inlineStr">
        <is>
          <t>soccer-poisson-dc-v1</t>
        </is>
      </c>
      <c r="BF569" s="24" t="inlineStr">
        <is>
          <t>1</t>
        </is>
      </c>
      <c r="BG569" s="24" t="inlineStr">
        <is>
          <t>e64f166eb03d5e657185abb04e25fff4830a8801f3dfa7f84e7c01a3f339baa9</t>
        </is>
      </c>
      <c r="BH569" s="24" t="inlineStr">
        <is>
          <t>2026-09-08T16:07:48.654268Z</t>
        </is>
      </c>
      <c r="BI569" s="24" t="inlineStr">
        <is>
          <t>["same_event","same_team_same_day","same_league_same_day"]</t>
        </is>
      </c>
      <c r="BJ569" s="25" t="n">
        <v>2.5</v>
      </c>
      <c r="BK569" s="26" t="n">
        <v>212</v>
      </c>
      <c r="BL569" s="27" t="n">
        <v>3.12</v>
      </c>
      <c r="BM569" s="28" t="n">
        <v>0.320513</v>
      </c>
      <c r="BN569" s="28" t="n"/>
      <c r="BO569" s="28" t="n"/>
      <c r="BP569" s="25" t="n"/>
      <c r="BQ569" s="27" t="n">
        <v>3.12</v>
      </c>
      <c r="BR569" s="28" t="n">
        <v>0.32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0.320513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59874ccbe2604432</t>
        </is>
      </c>
      <c r="B570" s="24" t="inlineStr">
        <is>
          <t>2026-09-08T16:16:02.557649Z</t>
        </is>
      </c>
      <c r="C570" s="24" t="inlineStr">
        <is>
          <t>2026-09-08T16:45Z</t>
        </is>
      </c>
      <c r="D570" s="24" t="inlineStr">
        <is>
          <t>401915426</t>
        </is>
      </c>
      <c r="E570" s="24" t="inlineStr">
        <is>
          <t>SOCCER</t>
        </is>
      </c>
      <c r="F570" s="24" t="inlineStr">
        <is>
          <t>Aston Villa</t>
        </is>
      </c>
      <c r="G570" s="24" t="inlineStr">
        <is>
          <t>Club Brugge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178</v>
      </c>
      <c r="M570" s="27" t="n">
        <v>2.78</v>
      </c>
      <c r="N570" s="28" t="n">
        <v>0.359712</v>
      </c>
      <c r="O570" s="28" t="n">
        <v>0.471684</v>
      </c>
      <c r="P570" s="28" t="n">
        <v>0.08</v>
      </c>
      <c r="Q570" s="28" t="n">
        <v>0.111972</v>
      </c>
      <c r="R570" s="26" t="n">
        <v>58</v>
      </c>
      <c r="S570" s="29" t="n">
        <v>1.25</v>
      </c>
      <c r="T570" s="24" t="inlineStr">
        <is>
          <t>soccer-poisson-dc-v1</t>
        </is>
      </c>
      <c r="U570" s="24" t="inlineStr">
        <is>
          <t>settled</t>
        </is>
      </c>
      <c r="V570" s="24" t="inlineStr">
        <is>
          <t>win</t>
        </is>
      </c>
      <c r="W570" s="26" t="n">
        <v>3</v>
      </c>
      <c r="X570" s="26" t="n">
        <v>2</v>
      </c>
      <c r="Y570" s="25" t="n"/>
      <c r="Z570" s="26" t="n">
        <v>-186</v>
      </c>
      <c r="AA570" s="28" t="n">
        <v>0.65</v>
      </c>
      <c r="AB570" s="28" t="n">
        <v>0.290288</v>
      </c>
      <c r="AC570" s="30" t="n">
        <v>2.225</v>
      </c>
      <c r="AD570" s="24" t="inlineStr">
        <is>
          <t>2026-09-08T22:15:25.591322Z</t>
        </is>
      </c>
      <c r="AE570" s="31" t="inlineStr">
        <is>
          <t>Poisson-DC rates 1.54 (home) / 1.98 (away) from EWMA attack/defense strengths. Executable ask 0.3600 (atc-ucl-bru-ast-2026-09-08-ast).</t>
        </is>
      </c>
      <c r="AF570" s="31" t="inlineStr">
        <is>
          <t>Research-only soccer score model; draw-aware, but not yet locked-holdout qualified.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Aston Villa</t>
        </is>
      </c>
      <c r="AQ570" s="24" t="inlineStr">
        <is>
          <t>Aston Villa</t>
        </is>
      </c>
      <c r="AR570" s="24" t="inlineStr">
        <is>
          <t>Aston Villa</t>
        </is>
      </c>
      <c r="AS570" s="24" t="inlineStr">
        <is>
          <t>Club Brugge</t>
        </is>
      </c>
      <c r="AT570" s="24" t="inlineStr">
        <is>
          <t>Club Brugge</t>
        </is>
      </c>
      <c r="AU570" s="24" t="inlineStr">
        <is>
          <t>Club Brugge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e64f166eb03d5e657185abb04e25fff4830a8801f3dfa7f84e7c01a3f339baa9</t>
        </is>
      </c>
      <c r="BB570" s="24" t="inlineStr">
        <is>
          <t>poisson_dixon_coles</t>
        </is>
      </c>
      <c r="BC570" s="24" t="inlineStr">
        <is>
          <t>soccer-poisson-dc-v1</t>
        </is>
      </c>
      <c r="BD570" s="24" t="inlineStr">
        <is>
          <t>e64f166eb03d5e657185abb04e25fff4830a8801f3dfa7f84e7c01a3f339baa9</t>
        </is>
      </c>
      <c r="BE570" s="24" t="inlineStr">
        <is>
          <t>soccer-poisson-dc-v1</t>
        </is>
      </c>
      <c r="BF570" s="24" t="inlineStr">
        <is>
          <t>1</t>
        </is>
      </c>
      <c r="BG570" s="24" t="inlineStr">
        <is>
          <t>e64f166eb03d5e657185abb04e25fff4830a8801f3dfa7f84e7c01a3f339baa9</t>
        </is>
      </c>
      <c r="BH570" s="24" t="inlineStr">
        <is>
          <t>2026-09-08T16:07:48.102090Z</t>
        </is>
      </c>
      <c r="BI570" s="24" t="inlineStr">
        <is>
          <t>["same_event","same_team_same_day","same_league_same_day"]</t>
        </is>
      </c>
      <c r="BJ570" s="25" t="n"/>
      <c r="BK570" s="26" t="n">
        <v>178</v>
      </c>
      <c r="BL570" s="27" t="n">
        <v>2.78</v>
      </c>
      <c r="BM570" s="28" t="n">
        <v>0.359712</v>
      </c>
      <c r="BN570" s="28" t="n"/>
      <c r="BO570" s="28" t="n"/>
      <c r="BP570" s="25" t="n"/>
      <c r="BQ570" s="27" t="n">
        <v>1.537634</v>
      </c>
      <c r="BR570" s="28" t="n">
        <v>0.65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0.359712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fb8c1b2951f54428</t>
        </is>
      </c>
      <c r="B571" s="24" t="inlineStr">
        <is>
          <t>2026-09-08T16:16:02.557649Z</t>
        </is>
      </c>
      <c r="C571" s="24" t="inlineStr">
        <is>
          <t>2026-09-08T19:00Z</t>
        </is>
      </c>
      <c r="D571" s="24" t="inlineStr">
        <is>
          <t>401915449</t>
        </is>
      </c>
      <c r="E571" s="24" t="inlineStr">
        <is>
          <t>SOCCER</t>
        </is>
      </c>
      <c r="F571" s="24" t="inlineStr">
        <is>
          <t>Villarreal</t>
        </is>
      </c>
      <c r="G571" s="24" t="inlineStr">
        <is>
          <t>Borussia Dortmund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-117</v>
      </c>
      <c r="M571" s="27" t="n">
        <v>1.854701</v>
      </c>
      <c r="N571" s="28" t="n">
        <v>0.539171</v>
      </c>
      <c r="O571" s="28" t="n">
        <v>0.7037600000000001</v>
      </c>
      <c r="P571" s="28" t="n">
        <v>0.12</v>
      </c>
      <c r="Q571" s="28" t="n">
        <v>0.164589</v>
      </c>
      <c r="R571" s="26" t="n">
        <v>60</v>
      </c>
      <c r="S571" s="29" t="n">
        <v>1.25</v>
      </c>
      <c r="T571" s="24" t="inlineStr">
        <is>
          <t>soccer-poisson-dc-v1</t>
        </is>
      </c>
      <c r="U571" s="24" t="inlineStr">
        <is>
          <t>settled</t>
        </is>
      </c>
      <c r="V571" s="24" t="inlineStr">
        <is>
          <t>win</t>
        </is>
      </c>
      <c r="W571" s="26" t="n">
        <v>2</v>
      </c>
      <c r="X571" s="26" t="n">
        <v>3</v>
      </c>
      <c r="Y571" s="25" t="n"/>
      <c r="Z571" s="26" t="n">
        <v>-117</v>
      </c>
      <c r="AA571" s="28" t="n">
        <v>0.54</v>
      </c>
      <c r="AB571" s="28" t="n">
        <v>0.000829</v>
      </c>
      <c r="AC571" s="30" t="n">
        <v>1.0684</v>
      </c>
      <c r="AD571" s="24" t="inlineStr">
        <is>
          <t>2026-09-08T22:15:26.636536Z</t>
        </is>
      </c>
      <c r="AE571" s="31" t="inlineStr">
        <is>
          <t>Poisson-DC rates 2.61 (home) / 1.03 (away) from EWMA attack/defense strengths. Executable ask 0.5400 (atc-ucl-bvb-vil-2026-09-08-bvb).</t>
        </is>
      </c>
      <c r="AF571" s="31" t="inlineStr">
        <is>
          <t>Research-only soccer score model; draw-aware, but not yet locked-holdout qualified.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Villarreal</t>
        </is>
      </c>
      <c r="AQ571" s="24" t="inlineStr">
        <is>
          <t>Villarreal</t>
        </is>
      </c>
      <c r="AR571" s="24" t="inlineStr">
        <is>
          <t>Villarreal</t>
        </is>
      </c>
      <c r="AS571" s="24" t="inlineStr">
        <is>
          <t>Borussia Dortmund</t>
        </is>
      </c>
      <c r="AT571" s="24" t="inlineStr">
        <is>
          <t>Borussia Dortmund</t>
        </is>
      </c>
      <c r="AU571" s="24" t="inlineStr">
        <is>
          <t>Borussia Dortmund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e64f166eb03d5e657185abb04e25fff4830a8801f3dfa7f84e7c01a3f339baa9</t>
        </is>
      </c>
      <c r="BB571" s="24" t="inlineStr">
        <is>
          <t>poisson_dixon_coles</t>
        </is>
      </c>
      <c r="BC571" s="24" t="inlineStr">
        <is>
          <t>soccer-poisson-dc-v1</t>
        </is>
      </c>
      <c r="BD571" s="24" t="inlineStr">
        <is>
          <t>e64f166eb03d5e657185abb04e25fff4830a8801f3dfa7f84e7c01a3f339baa9</t>
        </is>
      </c>
      <c r="BE571" s="24" t="inlineStr">
        <is>
          <t>soccer-poisson-dc-v1</t>
        </is>
      </c>
      <c r="BF571" s="24" t="inlineStr">
        <is>
          <t>1</t>
        </is>
      </c>
      <c r="BG571" s="24" t="inlineStr">
        <is>
          <t>e64f166eb03d5e657185abb04e25fff4830a8801f3dfa7f84e7c01a3f339baa9</t>
        </is>
      </c>
      <c r="BH571" s="24" t="inlineStr">
        <is>
          <t>2026-09-08T16:07:48.440724Z</t>
        </is>
      </c>
      <c r="BI571" s="24" t="inlineStr">
        <is>
          <t>["same_event","same_team_same_day","same_league_same_day"]</t>
        </is>
      </c>
      <c r="BJ571" s="25" t="n"/>
      <c r="BK571" s="26" t="n">
        <v>-117</v>
      </c>
      <c r="BL571" s="27" t="n">
        <v>1.854701</v>
      </c>
      <c r="BM571" s="28" t="n">
        <v>0.539171</v>
      </c>
      <c r="BN571" s="28" t="n"/>
      <c r="BO571" s="28" t="n"/>
      <c r="BP571" s="25" t="n"/>
      <c r="BQ571" s="27" t="n">
        <v>1.854701</v>
      </c>
      <c r="BR571" s="28" t="n">
        <v>0.54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0.539171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e358d3887c9e4b01</t>
        </is>
      </c>
      <c r="B572" s="24" t="inlineStr">
        <is>
          <t>2026-09-08T16:16:02.557649Z</t>
        </is>
      </c>
      <c r="C572" s="24" t="inlineStr">
        <is>
          <t>2026-09-08T19:00Z</t>
        </is>
      </c>
      <c r="D572" s="24" t="inlineStr">
        <is>
          <t>401915425</t>
        </is>
      </c>
      <c r="E572" s="24" t="inlineStr">
        <is>
          <t>SOCCER</t>
        </is>
      </c>
      <c r="F572" s="24" t="inlineStr">
        <is>
          <t>Manchester City</t>
        </is>
      </c>
      <c r="G572" s="24" t="inlineStr">
        <is>
          <t>FC Porto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426</v>
      </c>
      <c r="M572" s="27" t="n">
        <v>5.26</v>
      </c>
      <c r="N572" s="28" t="n">
        <v>0.190114</v>
      </c>
      <c r="O572" s="28" t="n">
        <v>0.454144</v>
      </c>
      <c r="P572" s="28" t="n">
        <v>0.18</v>
      </c>
      <c r="Q572" s="28" t="n">
        <v>0.26403</v>
      </c>
      <c r="R572" s="26" t="n">
        <v>74</v>
      </c>
      <c r="S572" s="29" t="n">
        <v>1.5</v>
      </c>
      <c r="T572" s="24" t="inlineStr">
        <is>
          <t>soccer-poisson-dc-v1</t>
        </is>
      </c>
      <c r="U572" s="24" t="inlineStr">
        <is>
          <t>settled</t>
        </is>
      </c>
      <c r="V572" s="24" t="inlineStr">
        <is>
          <t>loss</t>
        </is>
      </c>
      <c r="W572" s="26" t="n">
        <v>2</v>
      </c>
      <c r="X572" s="26" t="n">
        <v>0</v>
      </c>
      <c r="Y572" s="25" t="n"/>
      <c r="Z572" s="26" t="n">
        <v>426</v>
      </c>
      <c r="AA572" s="28" t="n">
        <v>0.19</v>
      </c>
      <c r="AB572" s="28" t="n">
        <v>-0.000114</v>
      </c>
      <c r="AC572" s="30" t="n">
        <v>-1.5</v>
      </c>
      <c r="AD572" s="24" t="inlineStr">
        <is>
          <t>2026-09-08T22:15:27.663908Z</t>
        </is>
      </c>
      <c r="AE572" s="31" t="inlineStr">
        <is>
          <t>Poisson-DC rates 1.67 (home) / 1.29 (away) from EWMA attack/defense strengths. Executable ask 0.1900 (atc-ucl-por-mnc-2026-09-08-por).</t>
        </is>
      </c>
      <c r="AF572" s="31" t="inlineStr">
        <is>
          <t>Research-only soccer score model; draw-aware, but not yet locked-holdout qualified.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PAPER_CALL_MODEL_UNVALIDATED</t>
        </is>
      </c>
      <c r="AP572" s="24" t="inlineStr">
        <is>
          <t>Manchester City</t>
        </is>
      </c>
      <c r="AQ572" s="24" t="inlineStr">
        <is>
          <t>Manchester City</t>
        </is>
      </c>
      <c r="AR572" s="24" t="inlineStr">
        <is>
          <t>Manchester City</t>
        </is>
      </c>
      <c r="AS572" s="24" t="inlineStr">
        <is>
          <t>FC Porto</t>
        </is>
      </c>
      <c r="AT572" s="24" t="inlineStr">
        <is>
          <t>FC Porto</t>
        </is>
      </c>
      <c r="AU572" s="24" t="inlineStr">
        <is>
          <t>FC Porto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e64f166eb03d5e657185abb04e25fff4830a8801f3dfa7f84e7c01a3f339baa9</t>
        </is>
      </c>
      <c r="BB572" s="24" t="inlineStr">
        <is>
          <t>poisson_dixon_coles</t>
        </is>
      </c>
      <c r="BC572" s="24" t="inlineStr">
        <is>
          <t>soccer-poisson-dc-v1</t>
        </is>
      </c>
      <c r="BD572" s="24" t="inlineStr">
        <is>
          <t>e64f166eb03d5e657185abb04e25fff4830a8801f3dfa7f84e7c01a3f339baa9</t>
        </is>
      </c>
      <c r="BE572" s="24" t="inlineStr">
        <is>
          <t>soccer-poisson-dc-v1</t>
        </is>
      </c>
      <c r="BF572" s="24" t="inlineStr">
        <is>
          <t>1</t>
        </is>
      </c>
      <c r="BG572" s="24" t="inlineStr">
        <is>
          <t>e64f166eb03d5e657185abb04e25fff4830a8801f3dfa7f84e7c01a3f339baa9</t>
        </is>
      </c>
      <c r="BH572" s="24" t="inlineStr">
        <is>
          <t>2026-09-08T16:07:48.360065Z</t>
        </is>
      </c>
      <c r="BI572" s="24" t="inlineStr">
        <is>
          <t>["same_event","same_team_same_day","same_league_same_day"]</t>
        </is>
      </c>
      <c r="BJ572" s="25" t="n"/>
      <c r="BK572" s="26" t="n">
        <v>426</v>
      </c>
      <c r="BL572" s="27" t="n">
        <v>5.26</v>
      </c>
      <c r="BM572" s="28" t="n">
        <v>0.190114</v>
      </c>
      <c r="BN572" s="28" t="n"/>
      <c r="BO572" s="28" t="n"/>
      <c r="BP572" s="25" t="n"/>
      <c r="BQ572" s="27" t="n">
        <v>5.26</v>
      </c>
      <c r="BR572" s="28" t="n">
        <v>0.19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0.190114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c4730a45cc4a40e2</t>
        </is>
      </c>
      <c r="B573" s="24" t="inlineStr">
        <is>
          <t>2026-09-08T16:16:02.557649Z</t>
        </is>
      </c>
      <c r="C573" s="24" t="inlineStr">
        <is>
          <t>2026-09-08T19:00Z</t>
        </is>
      </c>
      <c r="D573" s="24" t="inlineStr">
        <is>
          <t>401915450</t>
        </is>
      </c>
      <c r="E573" s="24" t="inlineStr">
        <is>
          <t>SOCCER</t>
        </is>
      </c>
      <c r="F573" s="24" t="inlineStr">
        <is>
          <t>Real Betis</t>
        </is>
      </c>
      <c r="G573" s="24" t="inlineStr">
        <is>
          <t>Lille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127</v>
      </c>
      <c r="M573" s="27" t="n">
        <v>2.27</v>
      </c>
      <c r="N573" s="28" t="n">
        <v>0.440529</v>
      </c>
      <c r="O573" s="28" t="n">
        <v>0.553404</v>
      </c>
      <c r="P573" s="28" t="n">
        <v>0.2</v>
      </c>
      <c r="Q573" s="28" t="n">
        <v>0.112875</v>
      </c>
      <c r="R573" s="26" t="n">
        <v>0</v>
      </c>
      <c r="S573" s="29" t="n">
        <v>1</v>
      </c>
      <c r="T573" s="24" t="inlineStr">
        <is>
          <t>soccer-poisson-dc-v1</t>
        </is>
      </c>
      <c r="U573" s="24" t="inlineStr">
        <is>
          <t>settled</t>
        </is>
      </c>
      <c r="V573" s="24" t="inlineStr">
        <is>
          <t>loss</t>
        </is>
      </c>
      <c r="W573" s="26" t="n">
        <v>3</v>
      </c>
      <c r="X573" s="26" t="n">
        <v>2</v>
      </c>
      <c r="Y573" s="25" t="n"/>
      <c r="Z573" s="26" t="n">
        <v>127</v>
      </c>
      <c r="AA573" s="28" t="n">
        <v>0.44</v>
      </c>
      <c r="AB573" s="28" t="n">
        <v>-0.000529</v>
      </c>
      <c r="AC573" s="30" t="n">
        <v>-1</v>
      </c>
      <c r="AD573" s="24" t="inlineStr">
        <is>
          <t>2026-09-08T22:15:28.700480Z</t>
        </is>
      </c>
      <c r="AE573" s="31" t="inlineStr">
        <is>
          <t>Poisson-DC rates 2.11 (home) / 1.29 (away) from EWMA attack/defense strengths. Executable ask 0.4400 (atc-ucl-lil-rbb-2026-09-08-lil).</t>
        </is>
      </c>
      <c r="AF573" s="31" t="inlineStr">
        <is>
          <t>Research-only soccer score model; draw-aware, but not yet locked-holdout qualified.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PAPER_CALL_MODEL_UNVALIDATED</t>
        </is>
      </c>
      <c r="AP573" s="24" t="inlineStr">
        <is>
          <t>Real Betis</t>
        </is>
      </c>
      <c r="AQ573" s="24" t="inlineStr">
        <is>
          <t>Real Betis</t>
        </is>
      </c>
      <c r="AR573" s="24" t="inlineStr">
        <is>
          <t>Real Betis</t>
        </is>
      </c>
      <c r="AS573" s="24" t="inlineStr">
        <is>
          <t>Lille</t>
        </is>
      </c>
      <c r="AT573" s="24" t="inlineStr">
        <is>
          <t>Lille</t>
        </is>
      </c>
      <c r="AU573" s="24" t="inlineStr">
        <is>
          <t>Lille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e64f166eb03d5e657185abb04e25fff4830a8801f3dfa7f84e7c01a3f339baa9</t>
        </is>
      </c>
      <c r="BB573" s="24" t="inlineStr">
        <is>
          <t>poisson_dixon_coles</t>
        </is>
      </c>
      <c r="BC573" s="24" t="inlineStr">
        <is>
          <t>soccer-poisson-dc-v1</t>
        </is>
      </c>
      <c r="BD573" s="24" t="inlineStr">
        <is>
          <t>e64f166eb03d5e657185abb04e25fff4830a8801f3dfa7f84e7c01a3f339baa9</t>
        </is>
      </c>
      <c r="BE573" s="24" t="inlineStr">
        <is>
          <t>soccer-poisson-dc-v1</t>
        </is>
      </c>
      <c r="BF573" s="24" t="inlineStr">
        <is>
          <t>1</t>
        </is>
      </c>
      <c r="BG573" s="24" t="inlineStr">
        <is>
          <t>e64f166eb03d5e657185abb04e25fff4830a8801f3dfa7f84e7c01a3f339baa9</t>
        </is>
      </c>
      <c r="BH573" s="24" t="inlineStr">
        <is>
          <t>2026-09-08T16:07:48.252794Z</t>
        </is>
      </c>
      <c r="BI573" s="24" t="inlineStr">
        <is>
          <t>["same_event","same_team_same_day","same_league_same_day"]</t>
        </is>
      </c>
      <c r="BJ573" s="25" t="n"/>
      <c r="BK573" s="26" t="n">
        <v>127</v>
      </c>
      <c r="BL573" s="27" t="n">
        <v>2.27</v>
      </c>
      <c r="BM573" s="28" t="n">
        <v>0.440529</v>
      </c>
      <c r="BN573" s="28" t="n"/>
      <c r="BO573" s="28" t="n"/>
      <c r="BP573" s="25" t="n"/>
      <c r="BQ573" s="27" t="n">
        <v>2.27</v>
      </c>
      <c r="BR573" s="28" t="n">
        <v>0.44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0.440529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273cc7c5e7e841ea</t>
        </is>
      </c>
      <c r="B574" s="24" t="inlineStr">
        <is>
          <t>2026-09-08T16:16:02.557649Z</t>
        </is>
      </c>
      <c r="C574" s="24" t="inlineStr">
        <is>
          <t>2026-09-08T19:00Z</t>
        </is>
      </c>
      <c r="D574" s="24" t="inlineStr">
        <is>
          <t>401915451</t>
        </is>
      </c>
      <c r="E574" s="24" t="inlineStr">
        <is>
          <t>SOCCER</t>
        </is>
      </c>
      <c r="F574" s="24" t="inlineStr">
        <is>
          <t>Internazionale</t>
        </is>
      </c>
      <c r="G574" s="24" t="inlineStr">
        <is>
          <t>Real Madrid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-163</v>
      </c>
      <c r="M574" s="27" t="n">
        <v>1.613497</v>
      </c>
      <c r="N574" s="28" t="n">
        <v>0.619772</v>
      </c>
      <c r="O574" s="28" t="n">
        <v>0.534014</v>
      </c>
      <c r="P574" s="28" t="n">
        <v>0.04</v>
      </c>
      <c r="Q574" s="28" t="n">
        <v>-0.085758</v>
      </c>
      <c r="R574" s="26" t="n">
        <v>0</v>
      </c>
      <c r="S574" s="29" t="n">
        <v>1</v>
      </c>
      <c r="T574" s="24" t="inlineStr">
        <is>
          <t>soccer-poisson-dc-v1</t>
        </is>
      </c>
      <c r="U574" s="24" t="inlineStr">
        <is>
          <t>settled</t>
        </is>
      </c>
      <c r="V574" s="24" t="inlineStr">
        <is>
          <t>win</t>
        </is>
      </c>
      <c r="W574" s="26" t="n">
        <v>1</v>
      </c>
      <c r="X574" s="26" t="n">
        <v>2</v>
      </c>
      <c r="Y574" s="25" t="n"/>
      <c r="Z574" s="26" t="n">
        <v>-163</v>
      </c>
      <c r="AA574" s="28" t="n">
        <v>0.62</v>
      </c>
      <c r="AB574" s="28" t="n">
        <v>0.000228</v>
      </c>
      <c r="AC574" s="30" t="n">
        <v>0.6135</v>
      </c>
      <c r="AD574" s="24" t="inlineStr">
        <is>
          <t>2026-09-08T22:15:29.728402Z</t>
        </is>
      </c>
      <c r="AE574" s="31" t="inlineStr">
        <is>
          <t>Poisson-DC rates 2.09 (home) / 1.36 (away) from EWMA attack/defense strengths. Executable ask 0.6200 (atc-ucl-rma-int-2026-09-08-rma).</t>
        </is>
      </c>
      <c r="AF574" s="31" t="inlineStr">
        <is>
          <t>Research-only soccer score model; draw-aware, but not yet locked-holdout qualified.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Internazionale</t>
        </is>
      </c>
      <c r="AQ574" s="24" t="inlineStr">
        <is>
          <t>Internazionale</t>
        </is>
      </c>
      <c r="AR574" s="24" t="inlineStr">
        <is>
          <t>Internazionale</t>
        </is>
      </c>
      <c r="AS574" s="24" t="inlineStr">
        <is>
          <t>Real Madrid</t>
        </is>
      </c>
      <c r="AT574" s="24" t="inlineStr">
        <is>
          <t>Real Madrid</t>
        </is>
      </c>
      <c r="AU574" s="24" t="inlineStr">
        <is>
          <t>Real Madrid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e64f166eb03d5e657185abb04e25fff4830a8801f3dfa7f84e7c01a3f339baa9</t>
        </is>
      </c>
      <c r="BB574" s="24" t="inlineStr">
        <is>
          <t>poisson_dixon_coles</t>
        </is>
      </c>
      <c r="BC574" s="24" t="inlineStr">
        <is>
          <t>soccer-poisson-dc-v1</t>
        </is>
      </c>
      <c r="BD574" s="24" t="inlineStr">
        <is>
          <t>e64f166eb03d5e657185abb04e25fff4830a8801f3dfa7f84e7c01a3f339baa9</t>
        </is>
      </c>
      <c r="BE574" s="24" t="inlineStr">
        <is>
          <t>soccer-poisson-dc-v1</t>
        </is>
      </c>
      <c r="BF574" s="24" t="inlineStr">
        <is>
          <t>1</t>
        </is>
      </c>
      <c r="BG574" s="24" t="inlineStr">
        <is>
          <t>e64f166eb03d5e657185abb04e25fff4830a8801f3dfa7f84e7c01a3f339baa9</t>
        </is>
      </c>
      <c r="BH574" s="24" t="inlineStr">
        <is>
          <t>2026-09-08T16:07:48.161053Z</t>
        </is>
      </c>
      <c r="BI574" s="24" t="inlineStr">
        <is>
          <t>["same_event","same_team_same_day","same_league_same_day"]</t>
        </is>
      </c>
      <c r="BJ574" s="25" t="n"/>
      <c r="BK574" s="26" t="n">
        <v>-163</v>
      </c>
      <c r="BL574" s="27" t="n">
        <v>1.613497</v>
      </c>
      <c r="BM574" s="28" t="n">
        <v>0.619772</v>
      </c>
      <c r="BN574" s="28" t="n"/>
      <c r="BO574" s="28" t="n"/>
      <c r="BP574" s="25" t="n"/>
      <c r="BQ574" s="27" t="n">
        <v>1.613497</v>
      </c>
      <c r="BR574" s="28" t="n">
        <v>0.62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0.619772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b077bfb98a9144ae</t>
        </is>
      </c>
      <c r="B575" s="24" t="inlineStr">
        <is>
          <t>2026-09-08T16:16:02.557649Z</t>
        </is>
      </c>
      <c r="C575" s="24" t="inlineStr">
        <is>
          <t>2026-09-08T22:00Z</t>
        </is>
      </c>
      <c r="D575" s="24" t="inlineStr">
        <is>
          <t>401913960</t>
        </is>
      </c>
      <c r="E575" s="24" t="inlineStr">
        <is>
          <t>SOCCER</t>
        </is>
      </c>
      <c r="F575" s="24" t="inlineStr">
        <is>
          <t>Vasco da Gama</t>
        </is>
      </c>
      <c r="G575" s="24" t="inlineStr">
        <is>
          <t>Independiente Santa Fe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127</v>
      </c>
      <c r="M575" s="27" t="n">
        <v>2.27</v>
      </c>
      <c r="N575" s="28" t="n">
        <v>0.440529</v>
      </c>
      <c r="O575" s="28" t="n">
        <v>0.456135</v>
      </c>
      <c r="P575" s="28" t="n">
        <v>0.2</v>
      </c>
      <c r="Q575" s="28" t="n">
        <v>0.015606</v>
      </c>
      <c r="R575" s="26" t="n">
        <v>0</v>
      </c>
      <c r="S575" s="29" t="n">
        <v>1</v>
      </c>
      <c r="T575" s="24" t="inlineStr">
        <is>
          <t>soccer-poisson-dc-v1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0</v>
      </c>
      <c r="Y575" s="25" t="n"/>
      <c r="Z575" s="26" t="n">
        <v>127</v>
      </c>
      <c r="AA575" s="28" t="n">
        <v>0.44</v>
      </c>
      <c r="AB575" s="28" t="n">
        <v>-0.000529</v>
      </c>
      <c r="AC575" s="30" t="n">
        <v>-1</v>
      </c>
      <c r="AD575" s="24" t="inlineStr">
        <is>
          <t>2026-09-09T04:31:21.313202Z</t>
        </is>
      </c>
      <c r="AE575" s="31" t="inlineStr">
        <is>
          <t>Poisson-DC rates 1.64 (home) / 1.24 (away) from EWMA attack/defense strengths. Executable ask 0.4400 (atc-sud-isf-vas-2026-09-08-isf).</t>
        </is>
      </c>
      <c r="AF575" s="31" t="inlineStr">
        <is>
          <t>Research-only soccer score model; draw-aware, but not yet locked-holdout qualified.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Vasco da Gama</t>
        </is>
      </c>
      <c r="AQ575" s="24" t="inlineStr">
        <is>
          <t>Vasco da Gama</t>
        </is>
      </c>
      <c r="AR575" s="24" t="inlineStr">
        <is>
          <t>Vasco da Gama</t>
        </is>
      </c>
      <c r="AS575" s="24" t="inlineStr">
        <is>
          <t>Independiente Santa Fe</t>
        </is>
      </c>
      <c r="AT575" s="24" t="inlineStr">
        <is>
          <t>Independiente Santa Fe</t>
        </is>
      </c>
      <c r="AU575" s="24" t="inlineStr">
        <is>
          <t>Independiente Santa Fe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e64f166eb03d5e657185abb04e25fff4830a8801f3dfa7f84e7c01a3f339baa9</t>
        </is>
      </c>
      <c r="BB575" s="24" t="inlineStr">
        <is>
          <t>poisson_dixon_coles</t>
        </is>
      </c>
      <c r="BC575" s="24" t="inlineStr">
        <is>
          <t>soccer-poisson-dc-v1</t>
        </is>
      </c>
      <c r="BD575" s="24" t="inlineStr">
        <is>
          <t>e64f166eb03d5e657185abb04e25fff4830a8801f3dfa7f84e7c01a3f339baa9</t>
        </is>
      </c>
      <c r="BE575" s="24" t="inlineStr">
        <is>
          <t>soccer-poisson-dc-v1</t>
        </is>
      </c>
      <c r="BF575" s="24" t="inlineStr">
        <is>
          <t>1</t>
        </is>
      </c>
      <c r="BG575" s="24" t="inlineStr">
        <is>
          <t>e64f166eb03d5e657185abb04e25fff4830a8801f3dfa7f84e7c01a3f339baa9</t>
        </is>
      </c>
      <c r="BH575" s="24" t="inlineStr">
        <is>
          <t>2026-09-08T16:07:48.566857Z</t>
        </is>
      </c>
      <c r="BI575" s="24" t="inlineStr">
        <is>
          <t>["same_event","same_team_same_day","same_league_same_day"]</t>
        </is>
      </c>
      <c r="BJ575" s="25" t="n"/>
      <c r="BK575" s="26" t="n">
        <v>127</v>
      </c>
      <c r="BL575" s="27" t="n">
        <v>2.27</v>
      </c>
      <c r="BM575" s="28" t="n">
        <v>0.440529</v>
      </c>
      <c r="BN575" s="28" t="n"/>
      <c r="BO575" s="28" t="n"/>
      <c r="BP575" s="25" t="n"/>
      <c r="BQ575" s="27" t="n">
        <v>2.27</v>
      </c>
      <c r="BR575" s="28" t="n">
        <v>0.44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0.440529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99d82d8251664a85</t>
        </is>
      </c>
      <c r="B576" s="24" t="inlineStr">
        <is>
          <t>2026-09-08T23:35:18.148835Z</t>
        </is>
      </c>
      <c r="C576" s="24" t="inlineStr">
        <is>
          <t>2026-09-09T00:30Z</t>
        </is>
      </c>
      <c r="D576" s="24" t="inlineStr">
        <is>
          <t>401912542</t>
        </is>
      </c>
      <c r="E576" s="24" t="inlineStr">
        <is>
          <t>SOCCER</t>
        </is>
      </c>
      <c r="F576" s="24" t="inlineStr">
        <is>
          <t>São Paulo</t>
        </is>
      </c>
      <c r="G576" s="24" t="inlineStr">
        <is>
          <t>Boca Juniors</t>
        </is>
      </c>
      <c r="H576" s="24" t="inlineStr">
        <is>
          <t>total</t>
        </is>
      </c>
      <c r="I576" s="24" t="inlineStr">
        <is>
          <t>over</t>
        </is>
      </c>
      <c r="J576" s="25" t="n">
        <v>2.5</v>
      </c>
      <c r="K576" s="24" t="inlineStr">
        <is>
          <t>polymarket_us</t>
        </is>
      </c>
      <c r="L576" s="26" t="n">
        <v>194</v>
      </c>
      <c r="M576" s="27" t="n">
        <v>2.94</v>
      </c>
      <c r="N576" s="28" t="n">
        <v>0.340136</v>
      </c>
      <c r="O576" s="28" t="n">
        <v>0.5351</v>
      </c>
      <c r="P576" s="28" t="n">
        <v>0.2</v>
      </c>
      <c r="Q576" s="28" t="n">
        <v>0.194964</v>
      </c>
      <c r="R576" s="26" t="n">
        <v>27</v>
      </c>
      <c r="S576" s="29" t="n">
        <v>1</v>
      </c>
      <c r="T576" s="24" t="inlineStr">
        <is>
          <t>soccer-poisson-dc-v1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194</v>
      </c>
      <c r="AA576" s="28" t="n">
        <v>0.34</v>
      </c>
      <c r="AB576" s="28" t="n">
        <v>-0.000136</v>
      </c>
      <c r="AC576" s="30" t="n">
        <v>-1</v>
      </c>
      <c r="AD576" s="24" t="inlineStr">
        <is>
          <t>2026-09-09T04:31:36.439355Z</t>
        </is>
      </c>
      <c r="AE576" s="31" t="inlineStr">
        <is>
          <t>Poisson-DC rates 1.72 (home) / 1.10 (away) from EWMA attack/defense strengths. Executable ask 0.3400 (tsc-sud-boc-sao-2026-09-08-2pt5).</t>
        </is>
      </c>
      <c r="AF576" s="31" t="inlineStr">
        <is>
          <t>Research-only soccer score model; draw-aware, but not yet locked-holdout qualified.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PAPER_CALL_MODEL_UNVALIDATED</t>
        </is>
      </c>
      <c r="AP576" s="24" t="inlineStr">
        <is>
          <t>São Paulo</t>
        </is>
      </c>
      <c r="AQ576" s="24" t="inlineStr">
        <is>
          <t>São Paulo</t>
        </is>
      </c>
      <c r="AR576" s="24" t="inlineStr">
        <is>
          <t>São Paulo</t>
        </is>
      </c>
      <c r="AS576" s="24" t="inlineStr">
        <is>
          <t>Boca Juniors</t>
        </is>
      </c>
      <c r="AT576" s="24" t="inlineStr">
        <is>
          <t>Boca Juniors</t>
        </is>
      </c>
      <c r="AU576" s="24" t="inlineStr">
        <is>
          <t>Boca Juniors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e64f166eb03d5e657185abb04e25fff4830a8801f3dfa7f84e7c01a3f339baa9</t>
        </is>
      </c>
      <c r="BB576" s="24" t="inlineStr">
        <is>
          <t>poisson_dixon_coles</t>
        </is>
      </c>
      <c r="BC576" s="24" t="inlineStr">
        <is>
          <t>soccer-poisson-dc-v1</t>
        </is>
      </c>
      <c r="BD576" s="24" t="inlineStr">
        <is>
          <t>e64f166eb03d5e657185abb04e25fff4830a8801f3dfa7f84e7c01a3f339baa9</t>
        </is>
      </c>
      <c r="BE576" s="24" t="inlineStr">
        <is>
          <t>soccer-poisson-dc-v1</t>
        </is>
      </c>
      <c r="BF576" s="24" t="inlineStr">
        <is>
          <t>1</t>
        </is>
      </c>
      <c r="BG576" s="24" t="inlineStr">
        <is>
          <t>e64f166eb03d5e657185abb04e25fff4830a8801f3dfa7f84e7c01a3f339baa9</t>
        </is>
      </c>
      <c r="BH576" s="24" t="inlineStr">
        <is>
          <t>2026-09-08T23:18:51.040904Z</t>
        </is>
      </c>
      <c r="BI576" s="24" t="inlineStr">
        <is>
          <t>["same_event","same_team_same_day","same_league_same_day"]</t>
        </is>
      </c>
      <c r="BJ576" s="25" t="n">
        <v>2.5</v>
      </c>
      <c r="BK576" s="26" t="n">
        <v>194</v>
      </c>
      <c r="BL576" s="27" t="n">
        <v>2.94</v>
      </c>
      <c r="BM576" s="28" t="n">
        <v>0.340136</v>
      </c>
      <c r="BN576" s="28" t="n"/>
      <c r="BO576" s="28" t="n"/>
      <c r="BP576" s="25" t="n"/>
      <c r="BQ576" s="27" t="n">
        <v>2.94</v>
      </c>
      <c r="BR576" s="28" t="n">
        <v>0.34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0.340136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57925a1a5b7d4447</t>
        </is>
      </c>
      <c r="B577" s="24" t="inlineStr">
        <is>
          <t>2026-09-08T23:35:18.148835Z</t>
        </is>
      </c>
      <c r="C577" s="24" t="inlineStr">
        <is>
          <t>2026-09-09T00:30Z</t>
        </is>
      </c>
      <c r="D577" s="24" t="inlineStr">
        <is>
          <t>401912542</t>
        </is>
      </c>
      <c r="E577" s="24" t="inlineStr">
        <is>
          <t>SOCCER</t>
        </is>
      </c>
      <c r="F577" s="24" t="inlineStr">
        <is>
          <t>São Paulo</t>
        </is>
      </c>
      <c r="G577" s="24" t="inlineStr">
        <is>
          <t>Boca Juniors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-108</v>
      </c>
      <c r="M577" s="27" t="n">
        <v>1.925926</v>
      </c>
      <c r="N577" s="28" t="n">
        <v>0.519231</v>
      </c>
      <c r="O577" s="28" t="n">
        <v>0.505507</v>
      </c>
      <c r="P577" s="28" t="n">
        <v>0.2</v>
      </c>
      <c r="Q577" s="28" t="n">
        <v>-0.013724</v>
      </c>
      <c r="R577" s="26" t="n">
        <v>0</v>
      </c>
      <c r="S577" s="29" t="n">
        <v>1</v>
      </c>
      <c r="T577" s="24" t="inlineStr">
        <is>
          <t>soccer-poisson-dc-v1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-108</v>
      </c>
      <c r="AA577" s="28" t="n">
        <v>0.52</v>
      </c>
      <c r="AB577" s="28" t="n">
        <v>0.000769</v>
      </c>
      <c r="AC577" s="30" t="n">
        <v>0.9258999999999999</v>
      </c>
      <c r="AD577" s="24" t="inlineStr">
        <is>
          <t>2026-09-09T04:31:36.954195Z</t>
        </is>
      </c>
      <c r="AE577" s="31" t="inlineStr">
        <is>
          <t>Poisson-DC rates 1.72 (home) / 1.10 (away) from EWMA attack/defense strengths. Executable ask 0.5200 (atc-sud-boc-sao-2026-09-08-boc).</t>
        </is>
      </c>
      <c r="AF577" s="31" t="inlineStr">
        <is>
          <t>Research-only soccer score model; draw-aware, but not yet locked-holdout qualified.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PAPER_CALL_MODEL_UNVALIDATED</t>
        </is>
      </c>
      <c r="AP577" s="24" t="inlineStr">
        <is>
          <t>São Paulo</t>
        </is>
      </c>
      <c r="AQ577" s="24" t="inlineStr">
        <is>
          <t>São Paulo</t>
        </is>
      </c>
      <c r="AR577" s="24" t="inlineStr">
        <is>
          <t>São Paulo</t>
        </is>
      </c>
      <c r="AS577" s="24" t="inlineStr">
        <is>
          <t>Boca Juniors</t>
        </is>
      </c>
      <c r="AT577" s="24" t="inlineStr">
        <is>
          <t>Boca Juniors</t>
        </is>
      </c>
      <c r="AU577" s="24" t="inlineStr">
        <is>
          <t>Boca Juniors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e64f166eb03d5e657185abb04e25fff4830a8801f3dfa7f84e7c01a3f339baa9</t>
        </is>
      </c>
      <c r="BB577" s="24" t="inlineStr">
        <is>
          <t>poisson_dixon_coles</t>
        </is>
      </c>
      <c r="BC577" s="24" t="inlineStr">
        <is>
          <t>soccer-poisson-dc-v1</t>
        </is>
      </c>
      <c r="BD577" s="24" t="inlineStr">
        <is>
          <t>e64f166eb03d5e657185abb04e25fff4830a8801f3dfa7f84e7c01a3f339baa9</t>
        </is>
      </c>
      <c r="BE577" s="24" t="inlineStr">
        <is>
          <t>soccer-poisson-dc-v1</t>
        </is>
      </c>
      <c r="BF577" s="24" t="inlineStr">
        <is>
          <t>1</t>
        </is>
      </c>
      <c r="BG577" s="24" t="inlineStr">
        <is>
          <t>e64f166eb03d5e657185abb04e25fff4830a8801f3dfa7f84e7c01a3f339baa9</t>
        </is>
      </c>
      <c r="BH577" s="24" t="inlineStr">
        <is>
          <t>2026-09-08T23:18:51.123720Z</t>
        </is>
      </c>
      <c r="BI577" s="24" t="inlineStr">
        <is>
          <t>["same_event","same_team_same_day","same_league_same_day"]</t>
        </is>
      </c>
      <c r="BJ577" s="25" t="n"/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>
        <v>1.925926</v>
      </c>
      <c r="BR577" s="28" t="n">
        <v>0.52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6d72566086d94140</t>
        </is>
      </c>
      <c r="B578" s="24" t="inlineStr">
        <is>
          <t>2026-09-09T16:03:55.669858Z</t>
        </is>
      </c>
      <c r="C578" s="24" t="inlineStr">
        <is>
          <t>2026-09-09T16:45Z</t>
        </is>
      </c>
      <c r="D578" s="24" t="inlineStr">
        <is>
          <t>401915424</t>
        </is>
      </c>
      <c r="E578" s="24" t="inlineStr">
        <is>
          <t>SOCCER</t>
        </is>
      </c>
      <c r="F578" s="24" t="inlineStr">
        <is>
          <t>Feyenoord Rotterdam</t>
        </is>
      </c>
      <c r="G578" s="24" t="inlineStr">
        <is>
          <t>Barcelona</t>
        </is>
      </c>
      <c r="H578" s="24" t="inlineStr">
        <is>
          <t>total</t>
        </is>
      </c>
      <c r="I578" s="24" t="inlineStr">
        <is>
          <t>over</t>
        </is>
      </c>
      <c r="J578" s="25" t="n">
        <v>2.5</v>
      </c>
      <c r="K578" s="24" t="inlineStr">
        <is>
          <t>polymarket_us</t>
        </is>
      </c>
      <c r="L578" s="26" t="n">
        <v>-669</v>
      </c>
      <c r="M578" s="27" t="n">
        <v>1.149477</v>
      </c>
      <c r="N578" s="28" t="n">
        <v>0.869961</v>
      </c>
      <c r="O578" s="28" t="n">
        <v>0.856889</v>
      </c>
      <c r="P578" s="28" t="n">
        <v>0.08</v>
      </c>
      <c r="Q578" s="28" t="n">
        <v>-0.013072</v>
      </c>
      <c r="R578" s="26" t="n">
        <v>0</v>
      </c>
      <c r="S578" s="29" t="n">
        <v>1</v>
      </c>
      <c r="T578" s="24" t="inlineStr">
        <is>
          <t>soccer-poisson-dc-v1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5</v>
      </c>
      <c r="Y578" s="25" t="n"/>
      <c r="Z578" s="26" t="n">
        <v>-669</v>
      </c>
      <c r="AA578" s="28" t="n">
        <v>0.87</v>
      </c>
      <c r="AB578" s="28" t="n">
        <v>3.9e-05</v>
      </c>
      <c r="AC578" s="30" t="n">
        <v>0.1495</v>
      </c>
      <c r="AD578" s="24" t="inlineStr">
        <is>
          <t>2026-09-09T22:01:22.950698Z</t>
        </is>
      </c>
      <c r="AE578" s="31" t="inlineStr">
        <is>
          <t>Poisson-DC rates 3.32 (home) / 1.48 (away) from EWMA attack/defense strengths. Executable ask 0.8700 (tsc-ucl-fcb-fey-2026-09-09-2pt5).</t>
        </is>
      </c>
      <c r="AF578" s="31" t="inlineStr">
        <is>
          <t>Research-only soccer score model; draw-aware, but not yet locked-holdout qualified.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Feyenoord Rotterdam</t>
        </is>
      </c>
      <c r="AQ578" s="24" t="inlineStr">
        <is>
          <t>Feyenoord Rotterdam</t>
        </is>
      </c>
      <c r="AR578" s="24" t="inlineStr">
        <is>
          <t>Feyenoord Rotterdam</t>
        </is>
      </c>
      <c r="AS578" s="24" t="inlineStr">
        <is>
          <t>Barcelona</t>
        </is>
      </c>
      <c r="AT578" s="24" t="inlineStr">
        <is>
          <t>Barcelona</t>
        </is>
      </c>
      <c r="AU578" s="24" t="inlineStr">
        <is>
          <t>Barcelona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9c072f5f9cf71a972f86e4222ffca6b72422789e9356ec3b1e371da1132584dd</t>
        </is>
      </c>
      <c r="BB578" s="24" t="inlineStr">
        <is>
          <t>poisson_dixon_coles</t>
        </is>
      </c>
      <c r="BC578" s="24" t="inlineStr">
        <is>
          <t>soccer-poisson-dc-v1</t>
        </is>
      </c>
      <c r="BD578" s="24" t="inlineStr">
        <is>
          <t>9c072f5f9cf71a972f86e4222ffca6b72422789e9356ec3b1e371da1132584dd</t>
        </is>
      </c>
      <c r="BE578" s="24" t="inlineStr">
        <is>
          <t>soccer-poisson-dc-v1</t>
        </is>
      </c>
      <c r="BF578" s="24" t="inlineStr">
        <is>
          <t>1</t>
        </is>
      </c>
      <c r="BG578" s="24" t="inlineStr">
        <is>
          <t>9c072f5f9cf71a972f86e4222ffca6b72422789e9356ec3b1e371da1132584dd</t>
        </is>
      </c>
      <c r="BH578" s="24" t="inlineStr">
        <is>
          <t>2026-09-09T16:03:08.417590Z</t>
        </is>
      </c>
      <c r="BI578" s="24" t="inlineStr">
        <is>
          <t>["same_event","same_team_same_day","same_league_same_day"]</t>
        </is>
      </c>
      <c r="BJ578" s="25" t="n">
        <v>2.5</v>
      </c>
      <c r="BK578" s="26" t="n">
        <v>-669</v>
      </c>
      <c r="BL578" s="27" t="n">
        <v>1.149477</v>
      </c>
      <c r="BM578" s="28" t="n">
        <v>0.869961</v>
      </c>
      <c r="BN578" s="28" t="n"/>
      <c r="BO578" s="28" t="n"/>
      <c r="BP578" s="25" t="n"/>
      <c r="BQ578" s="27" t="n">
        <v>1.149477</v>
      </c>
      <c r="BR578" s="28" t="n">
        <v>0.87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0.869961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bf14ed68d06147ef</t>
        </is>
      </c>
      <c r="B579" s="24" t="inlineStr">
        <is>
          <t>2026-09-09T16:03:55.669858Z</t>
        </is>
      </c>
      <c r="C579" s="24" t="inlineStr">
        <is>
          <t>2026-09-09T16:45Z</t>
        </is>
      </c>
      <c r="D579" s="24" t="inlineStr">
        <is>
          <t>401915448</t>
        </is>
      </c>
      <c r="E579" s="24" t="inlineStr">
        <is>
          <t>SOCCER</t>
        </is>
      </c>
      <c r="F579" s="24" t="inlineStr">
        <is>
          <t>Viking FK</t>
        </is>
      </c>
      <c r="G579" s="24" t="inlineStr">
        <is>
          <t>VfB Stuttgart</t>
        </is>
      </c>
      <c r="H579" s="24" t="inlineStr">
        <is>
          <t>total</t>
        </is>
      </c>
      <c r="I579" s="24" t="inlineStr">
        <is>
          <t>over</t>
        </is>
      </c>
      <c r="J579" s="25" t="n">
        <v>2.5</v>
      </c>
      <c r="K579" s="24" t="inlineStr">
        <is>
          <t>polymarket_us</t>
        </is>
      </c>
      <c r="L579" s="26" t="n">
        <v>-376</v>
      </c>
      <c r="M579" s="27" t="n">
        <v>1.265957</v>
      </c>
      <c r="N579" s="28" t="n">
        <v>0.789916</v>
      </c>
      <c r="O579" s="28" t="n">
        <v>0.700315</v>
      </c>
      <c r="P579" s="28" t="n">
        <v>0.2</v>
      </c>
      <c r="Q579" s="28" t="n">
        <v>-0.089601</v>
      </c>
      <c r="R579" s="26" t="n">
        <v>0</v>
      </c>
      <c r="S579" s="29" t="n">
        <v>1</v>
      </c>
      <c r="T579" s="24" t="inlineStr">
        <is>
          <t>soccer-poisson-dc-v1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3</v>
      </c>
      <c r="Y579" s="25" t="n"/>
      <c r="Z579" s="26" t="n">
        <v>-376</v>
      </c>
      <c r="AA579" s="28" t="n">
        <v>0.79</v>
      </c>
      <c r="AB579" s="28" t="n">
        <v>8.4e-05</v>
      </c>
      <c r="AC579" s="30" t="n">
        <v>0.266</v>
      </c>
      <c r="AD579" s="24" t="inlineStr">
        <is>
          <t>2026-09-09T22:01:24.051363Z</t>
        </is>
      </c>
      <c r="AE579" s="31" t="inlineStr">
        <is>
          <t>Poisson-DC rates 1.95 (home) / 1.67 (away) from EWMA attack/defense strengths. Executable ask 0.7900 (tsc-ucl-stu-vik1-2026-09-09-2pt5).</t>
        </is>
      </c>
      <c r="AF579" s="31" t="inlineStr">
        <is>
          <t>Research-only soccer score model; draw-aware, but not yet locked-holdout qualified.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Viking FK</t>
        </is>
      </c>
      <c r="AQ579" s="24" t="inlineStr">
        <is>
          <t>Viking FK</t>
        </is>
      </c>
      <c r="AR579" s="24" t="inlineStr">
        <is>
          <t>Viking FK</t>
        </is>
      </c>
      <c r="AS579" s="24" t="inlineStr">
        <is>
          <t>VfB Stuttgart</t>
        </is>
      </c>
      <c r="AT579" s="24" t="inlineStr">
        <is>
          <t>VfB Stuttgart</t>
        </is>
      </c>
      <c r="AU579" s="24" t="inlineStr">
        <is>
          <t>VfB Stuttgart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9c072f5f9cf71a972f86e4222ffca6b72422789e9356ec3b1e371da1132584dd</t>
        </is>
      </c>
      <c r="BB579" s="24" t="inlineStr">
        <is>
          <t>poisson_dixon_coles</t>
        </is>
      </c>
      <c r="BC579" s="24" t="inlineStr">
        <is>
          <t>soccer-poisson-dc-v1</t>
        </is>
      </c>
      <c r="BD579" s="24" t="inlineStr">
        <is>
          <t>9c072f5f9cf71a972f86e4222ffca6b72422789e9356ec3b1e371da1132584dd</t>
        </is>
      </c>
      <c r="BE579" s="24" t="inlineStr">
        <is>
          <t>soccer-poisson-dc-v1</t>
        </is>
      </c>
      <c r="BF579" s="24" t="inlineStr">
        <is>
          <t>1</t>
        </is>
      </c>
      <c r="BG579" s="24" t="inlineStr">
        <is>
          <t>9c072f5f9cf71a972f86e4222ffca6b72422789e9356ec3b1e371da1132584dd</t>
        </is>
      </c>
      <c r="BH579" s="24" t="inlineStr">
        <is>
          <t>2026-09-09T16:03:08.327265Z</t>
        </is>
      </c>
      <c r="BI579" s="24" t="inlineStr">
        <is>
          <t>["same_event","same_team_same_day","same_league_same_day"]</t>
        </is>
      </c>
      <c r="BJ579" s="25" t="n">
        <v>2.5</v>
      </c>
      <c r="BK579" s="26" t="n">
        <v>-376</v>
      </c>
      <c r="BL579" s="27" t="n">
        <v>1.265957</v>
      </c>
      <c r="BM579" s="28" t="n">
        <v>0.789916</v>
      </c>
      <c r="BN579" s="28" t="n"/>
      <c r="BO579" s="28" t="n"/>
      <c r="BP579" s="25" t="n"/>
      <c r="BQ579" s="27" t="n">
        <v>1.265957</v>
      </c>
      <c r="BR579" s="28" t="n">
        <v>0.79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0.789916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48f025081f264a81</t>
        </is>
      </c>
      <c r="B580" s="24" t="inlineStr">
        <is>
          <t>2026-09-09T16:03:55.669858Z</t>
        </is>
      </c>
      <c r="C580" s="24" t="inlineStr">
        <is>
          <t>2026-09-09T19:00Z</t>
        </is>
      </c>
      <c r="D580" s="24" t="inlineStr">
        <is>
          <t>401915423</t>
        </is>
      </c>
      <c r="E580" s="24" t="inlineStr">
        <is>
          <t>SOCCER</t>
        </is>
      </c>
      <c r="F580" s="24" t="inlineStr">
        <is>
          <t>Arsenal</t>
        </is>
      </c>
      <c r="G580" s="24" t="inlineStr">
        <is>
          <t>Napoli</t>
        </is>
      </c>
      <c r="H580" s="24" t="inlineStr">
        <is>
          <t>total</t>
        </is>
      </c>
      <c r="I580" s="24" t="inlineStr">
        <is>
          <t>under</t>
        </is>
      </c>
      <c r="J580" s="25" t="n">
        <v>2.5</v>
      </c>
      <c r="K580" s="24" t="inlineStr">
        <is>
          <t>polymarket_us</t>
        </is>
      </c>
      <c r="L580" s="26" t="n">
        <v>-108</v>
      </c>
      <c r="M580" s="27" t="n">
        <v>1.925926</v>
      </c>
      <c r="N580" s="28" t="n">
        <v>0.519231</v>
      </c>
      <c r="O580" s="28" t="n">
        <v>0.557413</v>
      </c>
      <c r="P580" s="28" t="n">
        <v>0.1</v>
      </c>
      <c r="Q580" s="28" t="n">
        <v>0.038182</v>
      </c>
      <c r="R580" s="26" t="n">
        <v>9</v>
      </c>
      <c r="S580" s="29" t="n">
        <v>1</v>
      </c>
      <c r="T580" s="24" t="inlineStr">
        <is>
          <t>soccer-poisson-dc-v1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-108</v>
      </c>
      <c r="AA580" s="28" t="n">
        <v>0.52</v>
      </c>
      <c r="AB580" s="28" t="n">
        <v>0.000769</v>
      </c>
      <c r="AC580" s="30" t="n">
        <v>0.9258999999999999</v>
      </c>
      <c r="AD580" s="24" t="inlineStr">
        <is>
          <t>2026-09-09T22:01:25.198318Z</t>
        </is>
      </c>
      <c r="AE580" s="31" t="inlineStr">
        <is>
          <t>Poisson-DC rates 0.76 (home) / 1.68 (away) from EWMA attack/defense strengths. Executable ask 0.5200 (tsc-ucl-nap-ars-2026-09-09-2pt5).</t>
        </is>
      </c>
      <c r="AF580" s="31" t="inlineStr">
        <is>
          <t>Research-only soccer score model; draw-aware, but not yet locked-holdout qualified.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Arsenal</t>
        </is>
      </c>
      <c r="AQ580" s="24" t="inlineStr">
        <is>
          <t>Arsenal</t>
        </is>
      </c>
      <c r="AR580" s="24" t="inlineStr">
        <is>
          <t>Arsenal</t>
        </is>
      </c>
      <c r="AS580" s="24" t="inlineStr">
        <is>
          <t>Napoli</t>
        </is>
      </c>
      <c r="AT580" s="24" t="inlineStr">
        <is>
          <t>Napoli</t>
        </is>
      </c>
      <c r="AU580" s="24" t="inlineStr">
        <is>
          <t>Napoli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9c072f5f9cf71a972f86e4222ffca6b72422789e9356ec3b1e371da1132584dd</t>
        </is>
      </c>
      <c r="BB580" s="24" t="inlineStr">
        <is>
          <t>poisson_dixon_coles</t>
        </is>
      </c>
      <c r="BC580" s="24" t="inlineStr">
        <is>
          <t>soccer-poisson-dc-v1</t>
        </is>
      </c>
      <c r="BD580" s="24" t="inlineStr">
        <is>
          <t>9c072f5f9cf71a972f86e4222ffca6b72422789e9356ec3b1e371da1132584dd</t>
        </is>
      </c>
      <c r="BE580" s="24" t="inlineStr">
        <is>
          <t>soccer-poisson-dc-v1</t>
        </is>
      </c>
      <c r="BF580" s="24" t="inlineStr">
        <is>
          <t>1</t>
        </is>
      </c>
      <c r="BG580" s="24" t="inlineStr">
        <is>
          <t>9c072f5f9cf71a972f86e4222ffca6b72422789e9356ec3b1e371da1132584dd</t>
        </is>
      </c>
      <c r="BH580" s="24" t="inlineStr">
        <is>
          <t>2026-09-09T16:03:08.691663Z</t>
        </is>
      </c>
      <c r="BI580" s="24" t="inlineStr">
        <is>
          <t>["same_event","same_team_same_day","same_league_same_day"]</t>
        </is>
      </c>
      <c r="BJ580" s="25" t="n">
        <v>2.5</v>
      </c>
      <c r="BK580" s="26" t="n">
        <v>-108</v>
      </c>
      <c r="BL580" s="27" t="n">
        <v>1.925926</v>
      </c>
      <c r="BM580" s="28" t="n">
        <v>0.519231</v>
      </c>
      <c r="BN580" s="28" t="n"/>
      <c r="BO580" s="28" t="n"/>
      <c r="BP580" s="25" t="n"/>
      <c r="BQ580" s="27" t="n">
        <v>1.925926</v>
      </c>
      <c r="BR580" s="28" t="n">
        <v>0.52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0.519231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d67099ac098e4bc9</t>
        </is>
      </c>
      <c r="B581" s="24" t="inlineStr">
        <is>
          <t>2026-09-09T16:03:55.669858Z</t>
        </is>
      </c>
      <c r="C581" s="24" t="inlineStr">
        <is>
          <t>2026-09-09T19:00Z</t>
        </is>
      </c>
      <c r="D581" s="24" t="inlineStr">
        <is>
          <t>401915445</t>
        </is>
      </c>
      <c r="E581" s="24" t="inlineStr">
        <is>
          <t>SOCCER</t>
        </is>
      </c>
      <c r="F581" s="24" t="inlineStr">
        <is>
          <t>Slovan Bratislava</t>
        </is>
      </c>
      <c r="G581" s="24" t="inlineStr">
        <is>
          <t>Paris Saint-Germain</t>
        </is>
      </c>
      <c r="H581" s="24" t="inlineStr">
        <is>
          <t>total</t>
        </is>
      </c>
      <c r="I581" s="24" t="inlineStr">
        <is>
          <t>over</t>
        </is>
      </c>
      <c r="J581" s="25" t="n">
        <v>2.5</v>
      </c>
      <c r="K581" s="24" t="inlineStr">
        <is>
          <t>polymarket_us</t>
        </is>
      </c>
      <c r="L581" s="26" t="n">
        <v>-614</v>
      </c>
      <c r="M581" s="27" t="n">
        <v>1.162866</v>
      </c>
      <c r="N581" s="28" t="n">
        <v>0.859944</v>
      </c>
      <c r="O581" s="28" t="n">
        <v>0.865031</v>
      </c>
      <c r="P581" s="28" t="n">
        <v>0.12</v>
      </c>
      <c r="Q581" s="28" t="n">
        <v>0.005087</v>
      </c>
      <c r="R581" s="26" t="n">
        <v>0</v>
      </c>
      <c r="S581" s="29" t="n">
        <v>1</v>
      </c>
      <c r="T581" s="24" t="inlineStr">
        <is>
          <t>soccer-poisson-dc-v1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6</v>
      </c>
      <c r="Y581" s="25" t="n"/>
      <c r="Z581" s="26" t="n">
        <v>-614</v>
      </c>
      <c r="AA581" s="28" t="n">
        <v>0.86</v>
      </c>
      <c r="AB581" s="28" t="n">
        <v>5.6e-05</v>
      </c>
      <c r="AC581" s="30" t="n">
        <v>0.1629</v>
      </c>
      <c r="AD581" s="24" t="inlineStr">
        <is>
          <t>2026-09-09T22:01:26.287855Z</t>
        </is>
      </c>
      <c r="AE581" s="31" t="inlineStr">
        <is>
          <t>Poisson-DC rates 4.01 (home) / 0.87 (away) from EWMA attack/defense strengths. Executable ask 0.8600 (tsc-ucl-psg-sba-2026-09-09-2pt5).</t>
        </is>
      </c>
      <c r="AF581" s="31" t="inlineStr">
        <is>
          <t>Research-only soccer score model; draw-aware, but not yet locked-holdout qualified.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Slovan Bratislava</t>
        </is>
      </c>
      <c r="AQ581" s="24" t="inlineStr">
        <is>
          <t>Slovan Bratislava</t>
        </is>
      </c>
      <c r="AR581" s="24" t="inlineStr">
        <is>
          <t>Slovan Bratislava</t>
        </is>
      </c>
      <c r="AS581" s="24" t="inlineStr">
        <is>
          <t>Paris Saint-Germain</t>
        </is>
      </c>
      <c r="AT581" s="24" t="inlineStr">
        <is>
          <t>Paris Saint-Germain</t>
        </is>
      </c>
      <c r="AU581" s="24" t="inlineStr">
        <is>
          <t>Paris Saint-Germain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9c072f5f9cf71a972f86e4222ffca6b72422789e9356ec3b1e371da1132584dd</t>
        </is>
      </c>
      <c r="BB581" s="24" t="inlineStr">
        <is>
          <t>poisson_dixon_coles</t>
        </is>
      </c>
      <c r="BC581" s="24" t="inlineStr">
        <is>
          <t>soccer-poisson-dc-v1</t>
        </is>
      </c>
      <c r="BD581" s="24" t="inlineStr">
        <is>
          <t>9c072f5f9cf71a972f86e4222ffca6b72422789e9356ec3b1e371da1132584dd</t>
        </is>
      </c>
      <c r="BE581" s="24" t="inlineStr">
        <is>
          <t>soccer-poisson-dc-v1</t>
        </is>
      </c>
      <c r="BF581" s="24" t="inlineStr">
        <is>
          <t>1</t>
        </is>
      </c>
      <c r="BG581" s="24" t="inlineStr">
        <is>
          <t>9c072f5f9cf71a972f86e4222ffca6b72422789e9356ec3b1e371da1132584dd</t>
        </is>
      </c>
      <c r="BH581" s="24" t="inlineStr">
        <is>
          <t>2026-09-09T16:03:08.509364Z</t>
        </is>
      </c>
      <c r="BI581" s="24" t="inlineStr">
        <is>
          <t>["same_event","same_team_same_day","same_league_same_day"]</t>
        </is>
      </c>
      <c r="BJ581" s="25" t="n">
        <v>2.5</v>
      </c>
      <c r="BK581" s="26" t="n">
        <v>-614</v>
      </c>
      <c r="BL581" s="27" t="n">
        <v>1.162866</v>
      </c>
      <c r="BM581" s="28" t="n">
        <v>0.859944</v>
      </c>
      <c r="BN581" s="28" t="n"/>
      <c r="BO581" s="28" t="n"/>
      <c r="BP581" s="25" t="n"/>
      <c r="BQ581" s="27" t="n">
        <v>1.162866</v>
      </c>
      <c r="BR581" s="28" t="n">
        <v>0.86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0.859944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d282db658fe74d33</t>
        </is>
      </c>
      <c r="B582" s="24" t="inlineStr">
        <is>
          <t>2026-09-09T16:03:55.669858Z</t>
        </is>
      </c>
      <c r="C582" s="24" t="inlineStr">
        <is>
          <t>2026-09-09T19:00Z</t>
        </is>
      </c>
      <c r="D582" s="24" t="inlineStr">
        <is>
          <t>401915447</t>
        </is>
      </c>
      <c r="E582" s="24" t="inlineStr">
        <is>
          <t>SOCCER</t>
        </is>
      </c>
      <c r="F582" s="24" t="inlineStr">
        <is>
          <t>Galatasaray</t>
        </is>
      </c>
      <c r="G582" s="24" t="inlineStr">
        <is>
          <t>Sporting CP</t>
        </is>
      </c>
      <c r="H582" s="24" t="inlineStr">
        <is>
          <t>total</t>
        </is>
      </c>
      <c r="I582" s="24" t="inlineStr">
        <is>
          <t>over</t>
        </is>
      </c>
      <c r="J582" s="25" t="n">
        <v>2.5</v>
      </c>
      <c r="K582" s="24" t="inlineStr">
        <is>
          <t>polymarket_us</t>
        </is>
      </c>
      <c r="L582" s="26" t="n">
        <v>-194</v>
      </c>
      <c r="M582" s="27" t="n">
        <v>1.515464</v>
      </c>
      <c r="N582" s="28" t="n">
        <v>0.659864</v>
      </c>
      <c r="O582" s="28" t="n">
        <v>0.571333</v>
      </c>
      <c r="P582" s="28" t="n">
        <v>0.08</v>
      </c>
      <c r="Q582" s="28" t="n">
        <v>-0.088531</v>
      </c>
      <c r="R582" s="26" t="n">
        <v>0</v>
      </c>
      <c r="S582" s="29" t="n">
        <v>1</v>
      </c>
      <c r="T582" s="24" t="inlineStr">
        <is>
          <t>soccer-poisson-dc-v1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3</v>
      </c>
      <c r="Y582" s="25" t="n"/>
      <c r="Z582" s="26" t="n">
        <v>-194</v>
      </c>
      <c r="AA582" s="28" t="n">
        <v>0.66</v>
      </c>
      <c r="AB582" s="28" t="n">
        <v>0.000136</v>
      </c>
      <c r="AC582" s="30" t="n">
        <v>0.5155</v>
      </c>
      <c r="AD582" s="24" t="inlineStr">
        <is>
          <t>2026-09-09T22:01:27.369072Z</t>
        </is>
      </c>
      <c r="AE582" s="31" t="inlineStr">
        <is>
          <t>Poisson-DC rates 1.88 (home) / 1.10 (away) from EWMA attack/defense strengths. Executable ask 0.6600 (tsc-ucl-spo-gal-2026-09-09-2pt5).</t>
        </is>
      </c>
      <c r="AF582" s="31" t="inlineStr">
        <is>
          <t>Research-only soccer score model; draw-aware, but not yet locked-holdout qualified.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PAPER_CALL_LOW_EDGE</t>
        </is>
      </c>
      <c r="AP582" s="24" t="inlineStr">
        <is>
          <t>Galatasaray</t>
        </is>
      </c>
      <c r="AQ582" s="24" t="inlineStr">
        <is>
          <t>Galatasaray</t>
        </is>
      </c>
      <c r="AR582" s="24" t="inlineStr">
        <is>
          <t>Galatasaray</t>
        </is>
      </c>
      <c r="AS582" s="24" t="inlineStr">
        <is>
          <t>Sporting CP</t>
        </is>
      </c>
      <c r="AT582" s="24" t="inlineStr">
        <is>
          <t>Sporting CP</t>
        </is>
      </c>
      <c r="AU582" s="24" t="inlineStr">
        <is>
          <t>Sporting CP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9c072f5f9cf71a972f86e4222ffca6b72422789e9356ec3b1e371da1132584dd</t>
        </is>
      </c>
      <c r="BB582" s="24" t="inlineStr">
        <is>
          <t>poisson_dixon_coles</t>
        </is>
      </c>
      <c r="BC582" s="24" t="inlineStr">
        <is>
          <t>soccer-poisson-dc-v1</t>
        </is>
      </c>
      <c r="BD582" s="24" t="inlineStr">
        <is>
          <t>9c072f5f9cf71a972f86e4222ffca6b72422789e9356ec3b1e371da1132584dd</t>
        </is>
      </c>
      <c r="BE582" s="24" t="inlineStr">
        <is>
          <t>soccer-poisson-dc-v1</t>
        </is>
      </c>
      <c r="BF582" s="24" t="inlineStr">
        <is>
          <t>1</t>
        </is>
      </c>
      <c r="BG582" s="24" t="inlineStr">
        <is>
          <t>9c072f5f9cf71a972f86e4222ffca6b72422789e9356ec3b1e371da1132584dd</t>
        </is>
      </c>
      <c r="BH582" s="24" t="inlineStr">
        <is>
          <t>2026-09-09T16:03:08.599255Z</t>
        </is>
      </c>
      <c r="BI582" s="24" t="inlineStr">
        <is>
          <t>["same_event","same_team_same_day","same_league_same_day"]</t>
        </is>
      </c>
      <c r="BJ582" s="25" t="n">
        <v>2.5</v>
      </c>
      <c r="BK582" s="26" t="n">
        <v>-194</v>
      </c>
      <c r="BL582" s="27" t="n">
        <v>1.515464</v>
      </c>
      <c r="BM582" s="28" t="n">
        <v>0.659864</v>
      </c>
      <c r="BN582" s="28" t="n"/>
      <c r="BO582" s="28" t="n"/>
      <c r="BP582" s="25" t="n"/>
      <c r="BQ582" s="27" t="n">
        <v>1.515464</v>
      </c>
      <c r="BR582" s="28" t="n">
        <v>0.66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0.659864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ac3ed79cd46245df</t>
        </is>
      </c>
      <c r="B583" s="24" t="inlineStr">
        <is>
          <t>2026-09-09T16:03:55.669858Z</t>
        </is>
      </c>
      <c r="C583" s="24" t="inlineStr">
        <is>
          <t>2026-09-09T16:45Z</t>
        </is>
      </c>
      <c r="D583" s="24" t="inlineStr">
        <is>
          <t>401915424</t>
        </is>
      </c>
      <c r="E583" s="24" t="inlineStr">
        <is>
          <t>SOCCER</t>
        </is>
      </c>
      <c r="F583" s="24" t="inlineStr">
        <is>
          <t>Feyenoord Rotterdam</t>
        </is>
      </c>
      <c r="G583" s="24" t="inlineStr">
        <is>
          <t>Barcelona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-1150</v>
      </c>
      <c r="M583" s="27" t="n">
        <v>1.086957</v>
      </c>
      <c r="N583" s="28" t="n">
        <v>0.92</v>
      </c>
      <c r="O583" s="28" t="n">
        <v>0.725822</v>
      </c>
      <c r="P583" s="28" t="n">
        <v>0.08</v>
      </c>
      <c r="Q583" s="28" t="n">
        <v>-0.194178</v>
      </c>
      <c r="R583" s="26" t="n">
        <v>0</v>
      </c>
      <c r="S583" s="29" t="n">
        <v>1</v>
      </c>
      <c r="T583" s="24" t="inlineStr">
        <is>
          <t>soccer-poisson-dc-v1</t>
        </is>
      </c>
      <c r="U583" s="24" t="inlineStr">
        <is>
          <t>settled</t>
        </is>
      </c>
      <c r="V583" s="24" t="inlineStr">
        <is>
          <t>win</t>
        </is>
      </c>
      <c r="W583" s="26" t="n">
        <v>1</v>
      </c>
      <c r="X583" s="26" t="n">
        <v>5</v>
      </c>
      <c r="Y583" s="25" t="n"/>
      <c r="Z583" s="26" t="n">
        <v>-1150</v>
      </c>
      <c r="AA583" s="28" t="n">
        <v>0.92</v>
      </c>
      <c r="AB583" s="28" t="n">
        <v>0</v>
      </c>
      <c r="AC583" s="30" t="n">
        <v>0.08699999999999999</v>
      </c>
      <c r="AD583" s="24" t="inlineStr">
        <is>
          <t>2026-09-09T22:01:28.454550Z</t>
        </is>
      </c>
      <c r="AE583" s="31" t="inlineStr">
        <is>
          <t>Poisson-DC rates 3.32 (home) / 1.48 (away) from EWMA attack/defense strengths. Executable ask 0.9200 (atc-ucl-fcb-fey-2026-09-09-fcb).</t>
        </is>
      </c>
      <c r="AF583" s="31" t="inlineStr">
        <is>
          <t>Research-only soccer score model; draw-aware, but not yet locked-holdout qualified.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Feyenoord Rotterdam</t>
        </is>
      </c>
      <c r="AQ583" s="24" t="inlineStr">
        <is>
          <t>Feyenoord Rotterdam</t>
        </is>
      </c>
      <c r="AR583" s="24" t="inlineStr">
        <is>
          <t>Feyenoord Rotterdam</t>
        </is>
      </c>
      <c r="AS583" s="24" t="inlineStr">
        <is>
          <t>Barcelona</t>
        </is>
      </c>
      <c r="AT583" s="24" t="inlineStr">
        <is>
          <t>Barcelona</t>
        </is>
      </c>
      <c r="AU583" s="24" t="inlineStr">
        <is>
          <t>Barcelona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9c072f5f9cf71a972f86e4222ffca6b72422789e9356ec3b1e371da1132584dd</t>
        </is>
      </c>
      <c r="BB583" s="24" t="inlineStr">
        <is>
          <t>poisson_dixon_coles</t>
        </is>
      </c>
      <c r="BC583" s="24" t="inlineStr">
        <is>
          <t>soccer-poisson-dc-v1</t>
        </is>
      </c>
      <c r="BD583" s="24" t="inlineStr">
        <is>
          <t>9c072f5f9cf71a972f86e4222ffca6b72422789e9356ec3b1e371da1132584dd</t>
        </is>
      </c>
      <c r="BE583" s="24" t="inlineStr">
        <is>
          <t>soccer-poisson-dc-v1</t>
        </is>
      </c>
      <c r="BF583" s="24" t="inlineStr">
        <is>
          <t>1</t>
        </is>
      </c>
      <c r="BG583" s="24" t="inlineStr">
        <is>
          <t>9c072f5f9cf71a972f86e4222ffca6b72422789e9356ec3b1e371da1132584dd</t>
        </is>
      </c>
      <c r="BH583" s="24" t="inlineStr">
        <is>
          <t>2026-09-09T16:03:08.419313Z</t>
        </is>
      </c>
      <c r="BI583" s="24" t="inlineStr">
        <is>
          <t>["same_event","same_team_same_day","same_league_same_day"]</t>
        </is>
      </c>
      <c r="BJ583" s="25" t="n"/>
      <c r="BK583" s="26" t="n">
        <v>-1150</v>
      </c>
      <c r="BL583" s="27" t="n">
        <v>1.086957</v>
      </c>
      <c r="BM583" s="28" t="n">
        <v>0.92</v>
      </c>
      <c r="BN583" s="28" t="n"/>
      <c r="BO583" s="28" t="n"/>
      <c r="BP583" s="25" t="n"/>
      <c r="BQ583" s="27" t="n">
        <v>1.086957</v>
      </c>
      <c r="BR583" s="28" t="n">
        <v>0.92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0.92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4497ad17d4224d1c</t>
        </is>
      </c>
      <c r="B584" s="24" t="inlineStr">
        <is>
          <t>2026-09-09T16:03:55.669858Z</t>
        </is>
      </c>
      <c r="C584" s="24" t="inlineStr">
        <is>
          <t>2026-09-09T16:45Z</t>
        </is>
      </c>
      <c r="D584" s="24" t="inlineStr">
        <is>
          <t>401915448</t>
        </is>
      </c>
      <c r="E584" s="24" t="inlineStr">
        <is>
          <t>SOCCER</t>
        </is>
      </c>
      <c r="F584" s="24" t="inlineStr">
        <is>
          <t>Viking FK</t>
        </is>
      </c>
      <c r="G584" s="24" t="inlineStr">
        <is>
          <t>VfB Stuttgart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-355</v>
      </c>
      <c r="M584" s="27" t="n">
        <v>1.28169</v>
      </c>
      <c r="N584" s="28" t="n">
        <v>0.78022</v>
      </c>
      <c r="O584" s="28" t="n">
        <v>0.437894</v>
      </c>
      <c r="P584" s="28" t="n">
        <v>0.2</v>
      </c>
      <c r="Q584" s="28" t="n">
        <v>-0.342326</v>
      </c>
      <c r="R584" s="26" t="n">
        <v>0</v>
      </c>
      <c r="S584" s="29" t="n">
        <v>1</v>
      </c>
      <c r="T584" s="24" t="inlineStr">
        <is>
          <t>soccer-poisson-dc-v1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3</v>
      </c>
      <c r="Y584" s="25" t="n"/>
      <c r="Z584" s="26" t="n">
        <v>-355</v>
      </c>
      <c r="AA584" s="28" t="n">
        <v>0.78</v>
      </c>
      <c r="AB584" s="28" t="n">
        <v>-0.00022</v>
      </c>
      <c r="AC584" s="30" t="n">
        <v>0.2817</v>
      </c>
      <c r="AD584" s="24" t="inlineStr">
        <is>
          <t>2026-09-09T22:01:29.546186Z</t>
        </is>
      </c>
      <c r="AE584" s="31" t="inlineStr">
        <is>
          <t>Poisson-DC rates 1.95 (home) / 1.67 (away) from EWMA attack/defense strengths. Executable ask 0.7800 (atc-ucl-stu-vik1-2026-09-09-stu).</t>
        </is>
      </c>
      <c r="AF584" s="31" t="inlineStr">
        <is>
          <t>Research-only soccer score model; draw-aware, but not yet locked-holdout qualified.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Viking FK</t>
        </is>
      </c>
      <c r="AQ584" s="24" t="inlineStr">
        <is>
          <t>Viking FK</t>
        </is>
      </c>
      <c r="AR584" s="24" t="inlineStr">
        <is>
          <t>Viking FK</t>
        </is>
      </c>
      <c r="AS584" s="24" t="inlineStr">
        <is>
          <t>VfB Stuttgart</t>
        </is>
      </c>
      <c r="AT584" s="24" t="inlineStr">
        <is>
          <t>VfB Stuttgart</t>
        </is>
      </c>
      <c r="AU584" s="24" t="inlineStr">
        <is>
          <t>VfB Stuttgart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9c072f5f9cf71a972f86e4222ffca6b72422789e9356ec3b1e371da1132584dd</t>
        </is>
      </c>
      <c r="BB584" s="24" t="inlineStr">
        <is>
          <t>poisson_dixon_coles</t>
        </is>
      </c>
      <c r="BC584" s="24" t="inlineStr">
        <is>
          <t>soccer-poisson-dc-v1</t>
        </is>
      </c>
      <c r="BD584" s="24" t="inlineStr">
        <is>
          <t>9c072f5f9cf71a972f86e4222ffca6b72422789e9356ec3b1e371da1132584dd</t>
        </is>
      </c>
      <c r="BE584" s="24" t="inlineStr">
        <is>
          <t>soccer-poisson-dc-v1</t>
        </is>
      </c>
      <c r="BF584" s="24" t="inlineStr">
        <is>
          <t>1</t>
        </is>
      </c>
      <c r="BG584" s="24" t="inlineStr">
        <is>
          <t>9c072f5f9cf71a972f86e4222ffca6b72422789e9356ec3b1e371da1132584dd</t>
        </is>
      </c>
      <c r="BH584" s="24" t="inlineStr">
        <is>
          <t>2026-09-09T16:03:08.257066Z</t>
        </is>
      </c>
      <c r="BI584" s="24" t="inlineStr">
        <is>
          <t>["same_event","same_team_same_day","same_league_same_day"]</t>
        </is>
      </c>
      <c r="BJ584" s="25" t="n"/>
      <c r="BK584" s="26" t="n">
        <v>-355</v>
      </c>
      <c r="BL584" s="27" t="n">
        <v>1.28169</v>
      </c>
      <c r="BM584" s="28" t="n">
        <v>0.78022</v>
      </c>
      <c r="BN584" s="28" t="n"/>
      <c r="BO584" s="28" t="n"/>
      <c r="BP584" s="25" t="n"/>
      <c r="BQ584" s="27" t="n">
        <v>1.28169</v>
      </c>
      <c r="BR584" s="28" t="n">
        <v>0.78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0.78022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6218e6907fa24163</t>
        </is>
      </c>
      <c r="B585" s="24" t="inlineStr">
        <is>
          <t>2026-09-09T16:03:55.669858Z</t>
        </is>
      </c>
      <c r="C585" s="24" t="inlineStr">
        <is>
          <t>2026-09-09T19:00Z</t>
        </is>
      </c>
      <c r="D585" s="24" t="inlineStr">
        <is>
          <t>401915423</t>
        </is>
      </c>
      <c r="E585" s="24" t="inlineStr">
        <is>
          <t>SOCCER</t>
        </is>
      </c>
      <c r="F585" s="24" t="inlineStr">
        <is>
          <t>Arsenal</t>
        </is>
      </c>
      <c r="G585" s="24" t="inlineStr">
        <is>
          <t>Napoli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-163</v>
      </c>
      <c r="M585" s="27" t="n">
        <v>1.613497</v>
      </c>
      <c r="N585" s="28" t="n">
        <v>0.619772</v>
      </c>
      <c r="O585" s="28" t="n">
        <v>0.583243</v>
      </c>
      <c r="P585" s="28" t="n">
        <v>0.1</v>
      </c>
      <c r="Q585" s="28" t="n">
        <v>-0.036529</v>
      </c>
      <c r="R585" s="26" t="n">
        <v>0</v>
      </c>
      <c r="S585" s="29" t="n">
        <v>1</v>
      </c>
      <c r="T585" s="24" t="inlineStr">
        <is>
          <t>soccer-poisson-dc-v1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156</v>
      </c>
      <c r="AA585" s="28" t="n">
        <v>0.39</v>
      </c>
      <c r="AB585" s="28" t="n">
        <v>-0.229772</v>
      </c>
      <c r="AC585" s="30" t="n">
        <v>0.6135</v>
      </c>
      <c r="AD585" s="24" t="inlineStr">
        <is>
          <t>2026-09-09T22:01:30.606887Z</t>
        </is>
      </c>
      <c r="AE585" s="31" t="inlineStr">
        <is>
          <t>Poisson-DC rates 0.76 (home) / 1.68 (away) from EWMA attack/defense strengths. Executable ask 0.6200 (atc-ucl-nap-ars-2026-09-09-ars).</t>
        </is>
      </c>
      <c r="AF585" s="31" t="inlineStr">
        <is>
          <t>Research-only soccer score model; draw-aware, but not yet locked-holdout qualified.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Arsenal</t>
        </is>
      </c>
      <c r="AQ585" s="24" t="inlineStr">
        <is>
          <t>Arsenal</t>
        </is>
      </c>
      <c r="AR585" s="24" t="inlineStr">
        <is>
          <t>Arsenal</t>
        </is>
      </c>
      <c r="AS585" s="24" t="inlineStr">
        <is>
          <t>Napoli</t>
        </is>
      </c>
      <c r="AT585" s="24" t="inlineStr">
        <is>
          <t>Napoli</t>
        </is>
      </c>
      <c r="AU585" s="24" t="inlineStr">
        <is>
          <t>Napoli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9c072f5f9cf71a972f86e4222ffca6b72422789e9356ec3b1e371da1132584dd</t>
        </is>
      </c>
      <c r="BB585" s="24" t="inlineStr">
        <is>
          <t>poisson_dixon_coles</t>
        </is>
      </c>
      <c r="BC585" s="24" t="inlineStr">
        <is>
          <t>soccer-poisson-dc-v1</t>
        </is>
      </c>
      <c r="BD585" s="24" t="inlineStr">
        <is>
          <t>9c072f5f9cf71a972f86e4222ffca6b72422789e9356ec3b1e371da1132584dd</t>
        </is>
      </c>
      <c r="BE585" s="24" t="inlineStr">
        <is>
          <t>soccer-poisson-dc-v1</t>
        </is>
      </c>
      <c r="BF585" s="24" t="inlineStr">
        <is>
          <t>1</t>
        </is>
      </c>
      <c r="BG585" s="24" t="inlineStr">
        <is>
          <t>9c072f5f9cf71a972f86e4222ffca6b72422789e9356ec3b1e371da1132584dd</t>
        </is>
      </c>
      <c r="BH585" s="24" t="inlineStr">
        <is>
          <t>2026-09-09T16:03:08.645906Z</t>
        </is>
      </c>
      <c r="BI585" s="24" t="inlineStr">
        <is>
          <t>["same_event","same_team_same_day","same_league_same_day"]</t>
        </is>
      </c>
      <c r="BJ585" s="25" t="n"/>
      <c r="BK585" s="26" t="n">
        <v>-163</v>
      </c>
      <c r="BL585" s="27" t="n">
        <v>1.613497</v>
      </c>
      <c r="BM585" s="28" t="n">
        <v>0.619772</v>
      </c>
      <c r="BN585" s="28" t="n"/>
      <c r="BO585" s="28" t="n"/>
      <c r="BP585" s="25" t="n"/>
      <c r="BQ585" s="27" t="n">
        <v>2.56</v>
      </c>
      <c r="BR585" s="28" t="n">
        <v>0.39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0.619772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4dafba95289c4da5</t>
        </is>
      </c>
      <c r="B586" s="24" t="inlineStr">
        <is>
          <t>2026-09-09T16:03:55.669858Z</t>
        </is>
      </c>
      <c r="C586" s="24" t="inlineStr">
        <is>
          <t>2026-09-09T19:00Z</t>
        </is>
      </c>
      <c r="D586" s="24" t="inlineStr">
        <is>
          <t>401915445</t>
        </is>
      </c>
      <c r="E586" s="24" t="inlineStr">
        <is>
          <t>SOCCER</t>
        </is>
      </c>
      <c r="F586" s="24" t="inlineStr">
        <is>
          <t>Slovan Bratislava</t>
        </is>
      </c>
      <c r="G586" s="24" t="inlineStr">
        <is>
          <t>Paris Saint-Germain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-1900</v>
      </c>
      <c r="M586" s="27" t="n">
        <v>1.052632</v>
      </c>
      <c r="N586" s="28" t="n">
        <v>0.95</v>
      </c>
      <c r="O586" s="28" t="n">
        <v>0.890958</v>
      </c>
      <c r="P586" s="28" t="n">
        <v>0.12</v>
      </c>
      <c r="Q586" s="28" t="n">
        <v>-0.059042</v>
      </c>
      <c r="R586" s="26" t="n">
        <v>0</v>
      </c>
      <c r="S586" s="29" t="n">
        <v>1</v>
      </c>
      <c r="T586" s="24" t="inlineStr">
        <is>
          <t>soccer-poisson-dc-v1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6</v>
      </c>
      <c r="Y586" s="25" t="n"/>
      <c r="Z586" s="26" t="n">
        <v>-1900</v>
      </c>
      <c r="AA586" s="28" t="n">
        <v>0.95</v>
      </c>
      <c r="AB586" s="28" t="n">
        <v>0</v>
      </c>
      <c r="AC586" s="30" t="n">
        <v>0.0526</v>
      </c>
      <c r="AD586" s="24" t="inlineStr">
        <is>
          <t>2026-09-09T22:01:31.673671Z</t>
        </is>
      </c>
      <c r="AE586" s="31" t="inlineStr">
        <is>
          <t>Poisson-DC rates 4.01 (home) / 0.87 (away) from EWMA attack/defense strengths. Executable ask 0.9500 (atc-ucl-psg-sba-2026-09-09-psg).</t>
        </is>
      </c>
      <c r="AF586" s="31" t="inlineStr">
        <is>
          <t>Research-only soccer score model; draw-aware, but not yet locked-holdout qualified.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PAPER_CALL_MODEL_UNVALIDATED</t>
        </is>
      </c>
      <c r="AP586" s="24" t="inlineStr">
        <is>
          <t>Slovan Bratislava</t>
        </is>
      </c>
      <c r="AQ586" s="24" t="inlineStr">
        <is>
          <t>Slovan Bratislava</t>
        </is>
      </c>
      <c r="AR586" s="24" t="inlineStr">
        <is>
          <t>Slovan Bratislava</t>
        </is>
      </c>
      <c r="AS586" s="24" t="inlineStr">
        <is>
          <t>Paris Saint-Germain</t>
        </is>
      </c>
      <c r="AT586" s="24" t="inlineStr">
        <is>
          <t>Paris Saint-Germain</t>
        </is>
      </c>
      <c r="AU586" s="24" t="inlineStr">
        <is>
          <t>Paris Saint-Germain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9c072f5f9cf71a972f86e4222ffca6b72422789e9356ec3b1e371da1132584dd</t>
        </is>
      </c>
      <c r="BB586" s="24" t="inlineStr">
        <is>
          <t>poisson_dixon_coles</t>
        </is>
      </c>
      <c r="BC586" s="24" t="inlineStr">
        <is>
          <t>soccer-poisson-dc-v1</t>
        </is>
      </c>
      <c r="BD586" s="24" t="inlineStr">
        <is>
          <t>9c072f5f9cf71a972f86e4222ffca6b72422789e9356ec3b1e371da1132584dd</t>
        </is>
      </c>
      <c r="BE586" s="24" t="inlineStr">
        <is>
          <t>soccer-poisson-dc-v1</t>
        </is>
      </c>
      <c r="BF586" s="24" t="inlineStr">
        <is>
          <t>1</t>
        </is>
      </c>
      <c r="BG586" s="24" t="inlineStr">
        <is>
          <t>9c072f5f9cf71a972f86e4222ffca6b72422789e9356ec3b1e371da1132584dd</t>
        </is>
      </c>
      <c r="BH586" s="24" t="inlineStr">
        <is>
          <t>2026-09-09T16:03:08.435070Z</t>
        </is>
      </c>
      <c r="BI586" s="24" t="inlineStr">
        <is>
          <t>["same_event","same_team_same_day","same_league_same_day"]</t>
        </is>
      </c>
      <c r="BJ586" s="25" t="n"/>
      <c r="BK586" s="26" t="n">
        <v>-1900</v>
      </c>
      <c r="BL586" s="27" t="n">
        <v>1.052632</v>
      </c>
      <c r="BM586" s="28" t="n">
        <v>0.95</v>
      </c>
      <c r="BN586" s="28" t="n"/>
      <c r="BO586" s="28" t="n"/>
      <c r="BP586" s="25" t="n"/>
      <c r="BQ586" s="27" t="n">
        <v>1.052632</v>
      </c>
      <c r="BR586" s="28" t="n">
        <v>0.95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0.95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99df2c8470914e27</t>
        </is>
      </c>
      <c r="B587" s="24" t="inlineStr">
        <is>
          <t>2026-09-09T16:03:55.669858Z</t>
        </is>
      </c>
      <c r="C587" s="24" t="inlineStr">
        <is>
          <t>2026-09-09T19:00Z</t>
        </is>
      </c>
      <c r="D587" s="24" t="inlineStr">
        <is>
          <t>401915447</t>
        </is>
      </c>
      <c r="E587" s="24" t="inlineStr">
        <is>
          <t>SOCCER</t>
        </is>
      </c>
      <c r="F587" s="24" t="inlineStr">
        <is>
          <t>Galatasaray</t>
        </is>
      </c>
      <c r="G587" s="24" t="inlineStr">
        <is>
          <t>Sporting CP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-138</v>
      </c>
      <c r="M587" s="27" t="n">
        <v>1.724638</v>
      </c>
      <c r="N587" s="28" t="n">
        <v>0.579832</v>
      </c>
      <c r="O587" s="28" t="n">
        <v>0.546042</v>
      </c>
      <c r="P587" s="28" t="n">
        <v>0.08</v>
      </c>
      <c r="Q587" s="28" t="n">
        <v>-0.03379</v>
      </c>
      <c r="R587" s="26" t="n">
        <v>0</v>
      </c>
      <c r="S587" s="29" t="n">
        <v>1</v>
      </c>
      <c r="T587" s="24" t="inlineStr">
        <is>
          <t>soccer-poisson-dc-v1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3</v>
      </c>
      <c r="Y587" s="25" t="n"/>
      <c r="Z587" s="26" t="n">
        <v>-138</v>
      </c>
      <c r="AA587" s="28" t="n">
        <v>0.58</v>
      </c>
      <c r="AB587" s="28" t="n">
        <v>0.000168</v>
      </c>
      <c r="AC587" s="30" t="n">
        <v>0.7246</v>
      </c>
      <c r="AD587" s="24" t="inlineStr">
        <is>
          <t>2026-09-09T22:01:32.750682Z</t>
        </is>
      </c>
      <c r="AE587" s="31" t="inlineStr">
        <is>
          <t>Poisson-DC rates 1.88 (home) / 1.10 (away) from EWMA attack/defense strengths. Executable ask 0.5800 (atc-ucl-spo-gal-2026-09-09-spo).</t>
        </is>
      </c>
      <c r="AF587" s="31" t="inlineStr">
        <is>
          <t>Research-only soccer score model; draw-aware, but not yet locked-holdout qualified.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Galatasaray</t>
        </is>
      </c>
      <c r="AQ587" s="24" t="inlineStr">
        <is>
          <t>Galatasaray</t>
        </is>
      </c>
      <c r="AR587" s="24" t="inlineStr">
        <is>
          <t>Galatasaray</t>
        </is>
      </c>
      <c r="AS587" s="24" t="inlineStr">
        <is>
          <t>Sporting CP</t>
        </is>
      </c>
      <c r="AT587" s="24" t="inlineStr">
        <is>
          <t>Sporting CP</t>
        </is>
      </c>
      <c r="AU587" s="24" t="inlineStr">
        <is>
          <t>Sporting CP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9c072f5f9cf71a972f86e4222ffca6b72422789e9356ec3b1e371da1132584dd</t>
        </is>
      </c>
      <c r="BB587" s="24" t="inlineStr">
        <is>
          <t>poisson_dixon_coles</t>
        </is>
      </c>
      <c r="BC587" s="24" t="inlineStr">
        <is>
          <t>soccer-poisson-dc-v1</t>
        </is>
      </c>
      <c r="BD587" s="24" t="inlineStr">
        <is>
          <t>9c072f5f9cf71a972f86e4222ffca6b72422789e9356ec3b1e371da1132584dd</t>
        </is>
      </c>
      <c r="BE587" s="24" t="inlineStr">
        <is>
          <t>soccer-poisson-dc-v1</t>
        </is>
      </c>
      <c r="BF587" s="24" t="inlineStr">
        <is>
          <t>1</t>
        </is>
      </c>
      <c r="BG587" s="24" t="inlineStr">
        <is>
          <t>9c072f5f9cf71a972f86e4222ffca6b72422789e9356ec3b1e371da1132584dd</t>
        </is>
      </c>
      <c r="BH587" s="24" t="inlineStr">
        <is>
          <t>2026-09-09T16:03:08.517325Z</t>
        </is>
      </c>
      <c r="BI587" s="24" t="inlineStr">
        <is>
          <t>["same_event","same_team_same_day","same_league_same_day"]</t>
        </is>
      </c>
      <c r="BJ587" s="25" t="n"/>
      <c r="BK587" s="26" t="n">
        <v>-138</v>
      </c>
      <c r="BL587" s="27" t="n">
        <v>1.724638</v>
      </c>
      <c r="BM587" s="28" t="n">
        <v>0.579832</v>
      </c>
      <c r="BN587" s="28" t="n"/>
      <c r="BO587" s="28" t="n"/>
      <c r="BP587" s="25" t="n"/>
      <c r="BQ587" s="27" t="n">
        <v>1.724638</v>
      </c>
      <c r="BR587" s="28" t="n">
        <v>0.58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0.579832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a80c4ba15c534389</t>
        </is>
      </c>
      <c r="B588" s="24" t="inlineStr">
        <is>
          <t>2026-09-09T16:03:55.669858Z</t>
        </is>
      </c>
      <c r="C588" s="24" t="inlineStr">
        <is>
          <t>2026-09-09T18:30Z</t>
        </is>
      </c>
      <c r="D588" s="24" t="inlineStr">
        <is>
          <t>401843983</t>
        </is>
      </c>
      <c r="E588" s="24" t="inlineStr">
        <is>
          <t>SOCCER</t>
        </is>
      </c>
      <c r="F588" s="24" t="inlineStr">
        <is>
          <t>Los Andes</t>
        </is>
      </c>
      <c r="G588" s="24" t="inlineStr">
        <is>
          <t>Defensores de Belgrano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150</v>
      </c>
      <c r="M588" s="27" t="n">
        <v>2.5</v>
      </c>
      <c r="N588" s="28" t="n">
        <v>0.4</v>
      </c>
      <c r="O588" s="28" t="n">
        <v>0.456135</v>
      </c>
      <c r="P588" s="28" t="n">
        <v>0.2</v>
      </c>
      <c r="Q588" s="28" t="n">
        <v>0.056135</v>
      </c>
      <c r="R588" s="26" t="n">
        <v>0</v>
      </c>
      <c r="S588" s="29" t="n">
        <v>1</v>
      </c>
      <c r="T588" s="24" t="inlineStr">
        <is>
          <t>soccer-poisson-dc-v1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1</v>
      </c>
      <c r="Y588" s="25" t="n"/>
      <c r="Z588" s="26" t="n">
        <v>150</v>
      </c>
      <c r="AA588" s="28" t="n">
        <v>0.4</v>
      </c>
      <c r="AB588" s="28" t="n">
        <v>0</v>
      </c>
      <c r="AC588" s="30" t="n">
        <v>-1</v>
      </c>
      <c r="AD588" s="24" t="inlineStr">
        <is>
          <t>2026-09-09T22:01:33.818143Z</t>
        </is>
      </c>
      <c r="AE588" s="31" t="inlineStr">
        <is>
          <t>Poisson-DC rates 1.64 (home) / 1.24 (away) from EWMA attack/defense strengths. Executable ask 0.4000 (atc-arg2-ddb-ala-2026-09-09-ddb).</t>
        </is>
      </c>
      <c r="AF588" s="31" t="inlineStr">
        <is>
          <t>Research-only soccer score model; draw-aware, but not yet locked-holdout qualified.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PAPER_CALL_MODEL_UNVALIDATED</t>
        </is>
      </c>
      <c r="AP588" s="24" t="inlineStr">
        <is>
          <t>Los Andes</t>
        </is>
      </c>
      <c r="AQ588" s="24" t="inlineStr">
        <is>
          <t>Los Andes</t>
        </is>
      </c>
      <c r="AR588" s="24" t="inlineStr">
        <is>
          <t>Los Andes</t>
        </is>
      </c>
      <c r="AS588" s="24" t="inlineStr">
        <is>
          <t>Defensores de Belgrano</t>
        </is>
      </c>
      <c r="AT588" s="24" t="inlineStr">
        <is>
          <t>Defensores de Belgrano</t>
        </is>
      </c>
      <c r="AU588" s="24" t="inlineStr">
        <is>
          <t>Defensores de Belgrano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9c072f5f9cf71a972f86e4222ffca6b72422789e9356ec3b1e371da1132584dd</t>
        </is>
      </c>
      <c r="BB588" s="24" t="inlineStr">
        <is>
          <t>poisson_dixon_coles</t>
        </is>
      </c>
      <c r="BC588" s="24" t="inlineStr">
        <is>
          <t>soccer-poisson-dc-v1</t>
        </is>
      </c>
      <c r="BD588" s="24" t="inlineStr">
        <is>
          <t>9c072f5f9cf71a972f86e4222ffca6b72422789e9356ec3b1e371da1132584dd</t>
        </is>
      </c>
      <c r="BE588" s="24" t="inlineStr">
        <is>
          <t>soccer-poisson-dc-v1</t>
        </is>
      </c>
      <c r="BF588" s="24" t="inlineStr">
        <is>
          <t>1</t>
        </is>
      </c>
      <c r="BG588" s="24" t="inlineStr">
        <is>
          <t>9c072f5f9cf71a972f86e4222ffca6b72422789e9356ec3b1e371da1132584dd</t>
        </is>
      </c>
      <c r="BH588" s="24" t="inlineStr">
        <is>
          <t>2026-09-09T16:03:10.119255Z</t>
        </is>
      </c>
      <c r="BI588" s="24" t="inlineStr">
        <is>
          <t>["same_event","same_team_same_day","same_league_same_day"]</t>
        </is>
      </c>
      <c r="BJ588" s="25" t="n"/>
      <c r="BK588" s="26" t="n">
        <v>150</v>
      </c>
      <c r="BL588" s="27" t="n">
        <v>2.5</v>
      </c>
      <c r="BM588" s="28" t="n">
        <v>0.4</v>
      </c>
      <c r="BN588" s="28" t="n"/>
      <c r="BO588" s="28" t="n"/>
      <c r="BP588" s="25" t="n"/>
      <c r="BQ588" s="27" t="n">
        <v>2.5</v>
      </c>
      <c r="BR588" s="28" t="n">
        <v>0.4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0.4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59d5b47a48e04c0b</t>
        </is>
      </c>
      <c r="B589" s="24" t="inlineStr">
        <is>
          <t>2026-09-09T22:06:21.332951Z</t>
        </is>
      </c>
      <c r="C589" s="24" t="inlineStr">
        <is>
          <t>2026-09-09T23:30Z</t>
        </is>
      </c>
      <c r="D589" s="24" t="inlineStr">
        <is>
          <t>761787</t>
        </is>
      </c>
      <c r="E589" s="24" t="inlineStr">
        <is>
          <t>SOCCER</t>
        </is>
      </c>
      <c r="F589" s="24" t="inlineStr">
        <is>
          <t>Orlando City SC</t>
        </is>
      </c>
      <c r="G589" s="24" t="inlineStr">
        <is>
          <t>Atlanta United FC</t>
        </is>
      </c>
      <c r="H589" s="24" t="inlineStr">
        <is>
          <t>total</t>
        </is>
      </c>
      <c r="I589" s="24" t="inlineStr">
        <is>
          <t>over</t>
        </is>
      </c>
      <c r="J589" s="25" t="n">
        <v>2.5</v>
      </c>
      <c r="K589" s="24" t="inlineStr">
        <is>
          <t>polymarket_us</t>
        </is>
      </c>
      <c r="L589" s="26" t="n">
        <v>-213</v>
      </c>
      <c r="M589" s="27" t="n">
        <v>1.469484</v>
      </c>
      <c r="N589" s="28" t="n">
        <v>0.680511</v>
      </c>
      <c r="O589" s="28" t="n">
        <v>0.656058</v>
      </c>
      <c r="P589" s="28" t="n">
        <v>0.04</v>
      </c>
      <c r="Q589" s="28" t="n">
        <v>-0.024453</v>
      </c>
      <c r="R589" s="26" t="n">
        <v>14</v>
      </c>
      <c r="S589" s="29" t="n">
        <v>1</v>
      </c>
      <c r="T589" s="24" t="inlineStr">
        <is>
          <t>soccer-poisson-dc-v1</t>
        </is>
      </c>
      <c r="U589" s="24" t="inlineStr">
        <is>
          <t>settled</t>
        </is>
      </c>
      <c r="V589" s="24" t="inlineStr">
        <is>
          <t>win</t>
        </is>
      </c>
      <c r="W589" s="26" t="n">
        <v>3</v>
      </c>
      <c r="X589" s="26" t="n">
        <v>2</v>
      </c>
      <c r="Y589" s="25" t="n"/>
      <c r="Z589" s="26" t="n">
        <v>-213</v>
      </c>
      <c r="AA589" s="28" t="n">
        <v>0.68</v>
      </c>
      <c r="AB589" s="28" t="n">
        <v>-0.000511</v>
      </c>
      <c r="AC589" s="30" t="n">
        <v>0.4695</v>
      </c>
      <c r="AD589" s="24" t="inlineStr">
        <is>
          <t>2026-09-10T04:32:16.444508Z</t>
        </is>
      </c>
      <c r="AE589" s="31" t="inlineStr">
        <is>
          <t>Poisson-DC rates 1.82 (home) / 1.55 (away) from EWMA attack/defense strengths. Executable ask 0.6800 (tsc-mls-atl-orl-2026-09-09-2pt5).</t>
        </is>
      </c>
      <c r="AF589" s="31" t="inlineStr">
        <is>
          <t>Research-only soccer score model; draw-aware, but not yet locked-holdout qualified.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Orlando City SC</t>
        </is>
      </c>
      <c r="AQ589" s="24" t="inlineStr">
        <is>
          <t>Orlando City SC</t>
        </is>
      </c>
      <c r="AR589" s="24" t="inlineStr">
        <is>
          <t>Orlando City SC</t>
        </is>
      </c>
      <c r="AS589" s="24" t="inlineStr">
        <is>
          <t>Atlanta United FC</t>
        </is>
      </c>
      <c r="AT589" s="24" t="inlineStr">
        <is>
          <t>Atlanta United FC</t>
        </is>
      </c>
      <c r="AU589" s="24" t="inlineStr">
        <is>
          <t>Atlanta United FC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9c072f5f9cf71a972f86e4222ffca6b72422789e9356ec3b1e371da1132584dd</t>
        </is>
      </c>
      <c r="BB589" s="24" t="inlineStr">
        <is>
          <t>poisson_dixon_coles</t>
        </is>
      </c>
      <c r="BC589" s="24" t="inlineStr">
        <is>
          <t>soccer-poisson-dc-v1</t>
        </is>
      </c>
      <c r="BD589" s="24" t="inlineStr">
        <is>
          <t>9c072f5f9cf71a972f86e4222ffca6b72422789e9356ec3b1e371da1132584dd</t>
        </is>
      </c>
      <c r="BE589" s="24" t="inlineStr">
        <is>
          <t>soccer-poisson-dc-v1</t>
        </is>
      </c>
      <c r="BF589" s="24" t="inlineStr">
        <is>
          <t>1</t>
        </is>
      </c>
      <c r="BG589" s="24" t="inlineStr">
        <is>
          <t>9c072f5f9cf71a972f86e4222ffca6b72422789e9356ec3b1e371da1132584dd</t>
        </is>
      </c>
      <c r="BH589" s="24" t="inlineStr">
        <is>
          <t>2026-09-09T22:05:10.066204Z</t>
        </is>
      </c>
      <c r="BI589" s="24" t="inlineStr">
        <is>
          <t>["same_event","same_team_same_day","same_league_same_day"]</t>
        </is>
      </c>
      <c r="BJ589" s="25" t="n">
        <v>2.5</v>
      </c>
      <c r="BK589" s="26" t="n">
        <v>-213</v>
      </c>
      <c r="BL589" s="27" t="n">
        <v>1.469484</v>
      </c>
      <c r="BM589" s="28" t="n">
        <v>0.680511</v>
      </c>
      <c r="BN589" s="28" t="n"/>
      <c r="BO589" s="28" t="n"/>
      <c r="BP589" s="25" t="n"/>
      <c r="BQ589" s="27" t="n">
        <v>1.469484</v>
      </c>
      <c r="BR589" s="28" t="n">
        <v>0.68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0.680511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afa50dfc8c134593</t>
        </is>
      </c>
      <c r="B590" s="24" t="inlineStr">
        <is>
          <t>2026-09-09T22:06:21.332951Z</t>
        </is>
      </c>
      <c r="C590" s="24" t="inlineStr">
        <is>
          <t>2026-09-09T23:30Z</t>
        </is>
      </c>
      <c r="D590" s="24" t="inlineStr">
        <is>
          <t>761789</t>
        </is>
      </c>
      <c r="E590" s="24" t="inlineStr">
        <is>
          <t>SOCCER</t>
        </is>
      </c>
      <c r="F590" s="24" t="inlineStr">
        <is>
          <t>Columbus Crew</t>
        </is>
      </c>
      <c r="G590" s="24" t="inlineStr">
        <is>
          <t>D.C. United</t>
        </is>
      </c>
      <c r="H590" s="24" t="inlineStr">
        <is>
          <t>total</t>
        </is>
      </c>
      <c r="I590" s="24" t="inlineStr">
        <is>
          <t>over</t>
        </is>
      </c>
      <c r="J590" s="25" t="n">
        <v>2.5</v>
      </c>
      <c r="K590" s="24" t="inlineStr">
        <is>
          <t>polymarket_us</t>
        </is>
      </c>
      <c r="L590" s="26" t="n">
        <v>-138</v>
      </c>
      <c r="M590" s="27" t="n">
        <v>1.724638</v>
      </c>
      <c r="N590" s="28" t="n">
        <v>0.579832</v>
      </c>
      <c r="O590" s="28" t="n">
        <v>0.606079</v>
      </c>
      <c r="P590" s="28" t="n">
        <v>0.04</v>
      </c>
      <c r="Q590" s="28" t="n">
        <v>0.026247</v>
      </c>
      <c r="R590" s="26" t="n">
        <v>39</v>
      </c>
      <c r="S590" s="29" t="n">
        <v>1</v>
      </c>
      <c r="T590" s="24" t="inlineStr">
        <is>
          <t>soccer-poisson-dc-v1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2</v>
      </c>
      <c r="Y590" s="25" t="n"/>
      <c r="Z590" s="26" t="n">
        <v>-138</v>
      </c>
      <c r="AA590" s="28" t="n">
        <v>0.58</v>
      </c>
      <c r="AB590" s="28" t="n">
        <v>0.000168</v>
      </c>
      <c r="AC590" s="30" t="n">
        <v>0.7246</v>
      </c>
      <c r="AD590" s="24" t="inlineStr">
        <is>
          <t>2026-09-10T04:32:17.143630Z</t>
        </is>
      </c>
      <c r="AE590" s="31" t="inlineStr">
        <is>
          <t>Poisson-DC rates 1.55 (home) / 1.58 (away) from EWMA attack/defense strengths. Executable ask 0.5800 (tsc-mls-dcu-clb-2026-09-09-2pt5).</t>
        </is>
      </c>
      <c r="AF590" s="31" t="inlineStr">
        <is>
          <t>Research-only soccer score model; draw-aware, but not yet locked-holdout qualified.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Columbus Crew</t>
        </is>
      </c>
      <c r="AQ590" s="24" t="inlineStr">
        <is>
          <t>Columbus Crew</t>
        </is>
      </c>
      <c r="AR590" s="24" t="inlineStr">
        <is>
          <t>Columbus Crew</t>
        </is>
      </c>
      <c r="AS590" s="24" t="inlineStr">
        <is>
          <t>D.C. United</t>
        </is>
      </c>
      <c r="AT590" s="24" t="inlineStr">
        <is>
          <t>D.C. United</t>
        </is>
      </c>
      <c r="AU590" s="24" t="inlineStr">
        <is>
          <t>D.C. United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9c072f5f9cf71a972f86e4222ffca6b72422789e9356ec3b1e371da1132584dd</t>
        </is>
      </c>
      <c r="BB590" s="24" t="inlineStr">
        <is>
          <t>poisson_dixon_coles</t>
        </is>
      </c>
      <c r="BC590" s="24" t="inlineStr">
        <is>
          <t>soccer-poisson-dc-v1</t>
        </is>
      </c>
      <c r="BD590" s="24" t="inlineStr">
        <is>
          <t>9c072f5f9cf71a972f86e4222ffca6b72422789e9356ec3b1e371da1132584dd</t>
        </is>
      </c>
      <c r="BE590" s="24" t="inlineStr">
        <is>
          <t>soccer-poisson-dc-v1</t>
        </is>
      </c>
      <c r="BF590" s="24" t="inlineStr">
        <is>
          <t>1</t>
        </is>
      </c>
      <c r="BG590" s="24" t="inlineStr">
        <is>
          <t>9c072f5f9cf71a972f86e4222ffca6b72422789e9356ec3b1e371da1132584dd</t>
        </is>
      </c>
      <c r="BH590" s="24" t="inlineStr">
        <is>
          <t>2026-09-09T22:05:10.023412Z</t>
        </is>
      </c>
      <c r="BI590" s="24" t="inlineStr">
        <is>
          <t>["same_event","same_team_same_day","same_league_same_day"]</t>
        </is>
      </c>
      <c r="BJ590" s="25" t="n">
        <v>2.5</v>
      </c>
      <c r="BK590" s="26" t="n">
        <v>-138</v>
      </c>
      <c r="BL590" s="27" t="n">
        <v>1.724638</v>
      </c>
      <c r="BM590" s="28" t="n">
        <v>0.579832</v>
      </c>
      <c r="BN590" s="28" t="n"/>
      <c r="BO590" s="28" t="n"/>
      <c r="BP590" s="25" t="n"/>
      <c r="BQ590" s="27" t="n">
        <v>1.724638</v>
      </c>
      <c r="BR590" s="28" t="n">
        <v>0.58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0.579832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de1b5b74bd4a4b11</t>
        </is>
      </c>
      <c r="B591" s="24" t="inlineStr">
        <is>
          <t>2026-09-09T22:06:21.332951Z</t>
        </is>
      </c>
      <c r="C591" s="24" t="inlineStr">
        <is>
          <t>2026-09-09T23:30Z</t>
        </is>
      </c>
      <c r="D591" s="24" t="inlineStr">
        <is>
          <t>761790</t>
        </is>
      </c>
      <c r="E591" s="24" t="inlineStr">
        <is>
          <t>SOCCER</t>
        </is>
      </c>
      <c r="F591" s="24" t="inlineStr">
        <is>
          <t>Nashville SC</t>
        </is>
      </c>
      <c r="G591" s="24" t="inlineStr">
        <is>
          <t>Toronto FC</t>
        </is>
      </c>
      <c r="H591" s="24" t="inlineStr">
        <is>
          <t>total</t>
        </is>
      </c>
      <c r="I591" s="24" t="inlineStr">
        <is>
          <t>over</t>
        </is>
      </c>
      <c r="J591" s="25" t="n">
        <v>2.5</v>
      </c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0.564385</v>
      </c>
      <c r="P591" s="28" t="n">
        <v>0.04</v>
      </c>
      <c r="Q591" s="28" t="n">
        <v>-0.00643</v>
      </c>
      <c r="R591" s="26" t="n">
        <v>23</v>
      </c>
      <c r="S591" s="29" t="n">
        <v>1</v>
      </c>
      <c r="T591" s="24" t="inlineStr">
        <is>
          <t>soccer-poisson-dc-v1</t>
        </is>
      </c>
      <c r="U591" s="24" t="inlineStr">
        <is>
          <t>settled</t>
        </is>
      </c>
      <c r="V591" s="24" t="inlineStr">
        <is>
          <t>win</t>
        </is>
      </c>
      <c r="W591" s="26" t="n">
        <v>1</v>
      </c>
      <c r="X591" s="26" t="n">
        <v>2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0.7519</v>
      </c>
      <c r="AD591" s="24" t="inlineStr">
        <is>
          <t>2026-09-10T04:32:17.981746Z</t>
        </is>
      </c>
      <c r="AE591" s="31" t="inlineStr">
        <is>
          <t>Poisson-DC rates 1.16 (home) / 1.79 (away) from EWMA attack/defense strengths. Executable ask 0.5700 (tsc-mls-tor-nas-2026-09-09-2pt5).</t>
        </is>
      </c>
      <c r="AF591" s="31" t="inlineStr">
        <is>
          <t>Research-only soccer score model; draw-aware, but not yet locked-holdout qualified.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Nashville SC</t>
        </is>
      </c>
      <c r="AQ591" s="24" t="inlineStr">
        <is>
          <t>Nashville SC</t>
        </is>
      </c>
      <c r="AR591" s="24" t="inlineStr">
        <is>
          <t>Nashville SC</t>
        </is>
      </c>
      <c r="AS591" s="24" t="inlineStr">
        <is>
          <t>Toronto FC</t>
        </is>
      </c>
      <c r="AT591" s="24" t="inlineStr">
        <is>
          <t>Toronto FC</t>
        </is>
      </c>
      <c r="AU591" s="24" t="inlineStr">
        <is>
          <t>Toronto FC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9c072f5f9cf71a972f86e4222ffca6b72422789e9356ec3b1e371da1132584dd</t>
        </is>
      </c>
      <c r="BB591" s="24" t="inlineStr">
        <is>
          <t>poisson_dixon_coles</t>
        </is>
      </c>
      <c r="BC591" s="24" t="inlineStr">
        <is>
          <t>soccer-poisson-dc-v1</t>
        </is>
      </c>
      <c r="BD591" s="24" t="inlineStr">
        <is>
          <t>9c072f5f9cf71a972f86e4222ffca6b72422789e9356ec3b1e371da1132584dd</t>
        </is>
      </c>
      <c r="BE591" s="24" t="inlineStr">
        <is>
          <t>soccer-poisson-dc-v1</t>
        </is>
      </c>
      <c r="BF591" s="24" t="inlineStr">
        <is>
          <t>1</t>
        </is>
      </c>
      <c r="BG591" s="24" t="inlineStr">
        <is>
          <t>9c072f5f9cf71a972f86e4222ffca6b72422789e9356ec3b1e371da1132584dd</t>
        </is>
      </c>
      <c r="BH591" s="24" t="inlineStr">
        <is>
          <t>2026-09-09T22:05:10.203965Z</t>
        </is>
      </c>
      <c r="BI591" s="24" t="inlineStr">
        <is>
          <t>["same_event","same_team_same_day","same_league_same_day"]</t>
        </is>
      </c>
      <c r="BJ591" s="25" t="n">
        <v>2.5</v>
      </c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a09bdd4d7edc406b</t>
        </is>
      </c>
      <c r="B592" s="24" t="inlineStr">
        <is>
          <t>2026-09-09T22:06:21.332951Z</t>
        </is>
      </c>
      <c r="C592" s="24" t="inlineStr">
        <is>
          <t>2026-09-09T23:45Z</t>
        </is>
      </c>
      <c r="D592" s="24" t="inlineStr">
        <is>
          <t>761786</t>
        </is>
      </c>
      <c r="E592" s="24" t="inlineStr">
        <is>
          <t>SOCCER</t>
        </is>
      </c>
      <c r="F592" s="24" t="inlineStr">
        <is>
          <t>FC Cincinnati</t>
        </is>
      </c>
      <c r="G592" s="24" t="inlineStr">
        <is>
          <t>Philadelphia Union</t>
        </is>
      </c>
      <c r="H592" s="24" t="inlineStr">
        <is>
          <t>total</t>
        </is>
      </c>
      <c r="I592" s="24" t="inlineStr">
        <is>
          <t>over</t>
        </is>
      </c>
      <c r="J592" s="25" t="n">
        <v>2.5</v>
      </c>
      <c r="K592" s="24" t="inlineStr">
        <is>
          <t>polymarket_us</t>
        </is>
      </c>
      <c r="L592" s="26" t="n">
        <v>-285</v>
      </c>
      <c r="M592" s="27" t="n">
        <v>1.350877</v>
      </c>
      <c r="N592" s="28" t="n">
        <v>0.74026</v>
      </c>
      <c r="O592" s="28" t="n">
        <v>0.8213009999999999</v>
      </c>
      <c r="P592" s="28" t="n">
        <v>0.04</v>
      </c>
      <c r="Q592" s="28" t="n">
        <v>0.081041</v>
      </c>
      <c r="R592" s="26" t="n">
        <v>67</v>
      </c>
      <c r="S592" s="29" t="n">
        <v>1.25</v>
      </c>
      <c r="T592" s="24" t="inlineStr">
        <is>
          <t>soccer-poisson-dc-v1</t>
        </is>
      </c>
      <c r="U592" s="24" t="inlineStr">
        <is>
          <t>settled</t>
        </is>
      </c>
      <c r="V592" s="24" t="inlineStr">
        <is>
          <t>win</t>
        </is>
      </c>
      <c r="W592" s="26" t="n">
        <v>0</v>
      </c>
      <c r="X592" s="26" t="n">
        <v>5</v>
      </c>
      <c r="Y592" s="25" t="n"/>
      <c r="Z592" s="26" t="n">
        <v>-285</v>
      </c>
      <c r="AA592" s="28" t="n">
        <v>0.74</v>
      </c>
      <c r="AB592" s="28" t="n">
        <v>-0.00026</v>
      </c>
      <c r="AC592" s="30" t="n">
        <v>0.4386</v>
      </c>
      <c r="AD592" s="24" t="inlineStr">
        <is>
          <t>2026-09-10T04:32:18.576863Z</t>
        </is>
      </c>
      <c r="AE592" s="31" t="inlineStr">
        <is>
          <t>Poisson-DC rates 2.29 (home) / 2.17 (away) from EWMA attack/defense strengths. Executable ask 0.7400 (tsc-mls-phi-fcc-2026-09-09-2pt5).</t>
        </is>
      </c>
      <c r="AF592" s="31" t="inlineStr">
        <is>
          <t>Research-only soccer score model; draw-aware, but not yet locked-holdout qualified.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FC Cincinnati</t>
        </is>
      </c>
      <c r="AQ592" s="24" t="inlineStr">
        <is>
          <t>FC Cincinnati</t>
        </is>
      </c>
      <c r="AR592" s="24" t="inlineStr">
        <is>
          <t>FC Cincinnati</t>
        </is>
      </c>
      <c r="AS592" s="24" t="inlineStr">
        <is>
          <t>Philadelphia Union</t>
        </is>
      </c>
      <c r="AT592" s="24" t="inlineStr">
        <is>
          <t>Philadelphia Union</t>
        </is>
      </c>
      <c r="AU592" s="24" t="inlineStr">
        <is>
          <t>Philadelphia Union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9c072f5f9cf71a972f86e4222ffca6b72422789e9356ec3b1e371da1132584dd</t>
        </is>
      </c>
      <c r="BB592" s="24" t="inlineStr">
        <is>
          <t>poisson_dixon_coles</t>
        </is>
      </c>
      <c r="BC592" s="24" t="inlineStr">
        <is>
          <t>soccer-poisson-dc-v1</t>
        </is>
      </c>
      <c r="BD592" s="24" t="inlineStr">
        <is>
          <t>9c072f5f9cf71a972f86e4222ffca6b72422789e9356ec3b1e371da1132584dd</t>
        </is>
      </c>
      <c r="BE592" s="24" t="inlineStr">
        <is>
          <t>soccer-poisson-dc-v1</t>
        </is>
      </c>
      <c r="BF592" s="24" t="inlineStr">
        <is>
          <t>1</t>
        </is>
      </c>
      <c r="BG592" s="24" t="inlineStr">
        <is>
          <t>9c072f5f9cf71a972f86e4222ffca6b72422789e9356ec3b1e371da1132584dd</t>
        </is>
      </c>
      <c r="BH592" s="24" t="inlineStr">
        <is>
          <t>2026-09-09T22:05:10.300724Z</t>
        </is>
      </c>
      <c r="BI592" s="24" t="inlineStr">
        <is>
          <t>["same_event","same_team_same_day","same_league_same_day"]</t>
        </is>
      </c>
      <c r="BJ592" s="25" t="n">
        <v>2.5</v>
      </c>
      <c r="BK592" s="26" t="n">
        <v>-285</v>
      </c>
      <c r="BL592" s="27" t="n">
        <v>1.350877</v>
      </c>
      <c r="BM592" s="28" t="n">
        <v>0.74026</v>
      </c>
      <c r="BN592" s="28" t="n"/>
      <c r="BO592" s="28" t="n"/>
      <c r="BP592" s="25" t="n"/>
      <c r="BQ592" s="27" t="n">
        <v>1.350877</v>
      </c>
      <c r="BR592" s="28" t="n">
        <v>0.74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0.74026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b01419cc83894ad9</t>
        </is>
      </c>
      <c r="B593" s="24" t="inlineStr">
        <is>
          <t>2026-09-09T22:06:21.332951Z</t>
        </is>
      </c>
      <c r="C593" s="24" t="inlineStr">
        <is>
          <t>2026-09-10T00:00Z</t>
        </is>
      </c>
      <c r="D593" s="24" t="inlineStr">
        <is>
          <t>761788</t>
        </is>
      </c>
      <c r="E593" s="24" t="inlineStr">
        <is>
          <t>SOCCER</t>
        </is>
      </c>
      <c r="F593" s="24" t="inlineStr">
        <is>
          <t>New England Revolution</t>
        </is>
      </c>
      <c r="G593" s="24" t="inlineStr">
        <is>
          <t>New York City FC</t>
        </is>
      </c>
      <c r="H593" s="24" t="inlineStr">
        <is>
          <t>total</t>
        </is>
      </c>
      <c r="I593" s="24" t="inlineStr">
        <is>
          <t>over</t>
        </is>
      </c>
      <c r="J593" s="25" t="n">
        <v>2.5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0.514256</v>
      </c>
      <c r="P593" s="28" t="n">
        <v>0.04</v>
      </c>
      <c r="Q593" s="28" t="n">
        <v>-0.065576</v>
      </c>
      <c r="R593" s="26" t="n">
        <v>0</v>
      </c>
      <c r="S593" s="29" t="n">
        <v>1</v>
      </c>
      <c r="T593" s="24" t="inlineStr">
        <is>
          <t>soccer-poisson-dc-v1</t>
        </is>
      </c>
      <c r="U593" s="24" t="inlineStr">
        <is>
          <t>settled</t>
        </is>
      </c>
      <c r="V593" s="24" t="inlineStr">
        <is>
          <t>win</t>
        </is>
      </c>
      <c r="W593" s="26" t="n">
        <v>2</v>
      </c>
      <c r="X593" s="26" t="n">
        <v>1</v>
      </c>
      <c r="Y593" s="25" t="n"/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2026-09-10T04:32:19.187147Z</t>
        </is>
      </c>
      <c r="AE593" s="31" t="inlineStr">
        <is>
          <t>Poisson-DC rates 1.61 (home) / 1.12 (away) from EWMA attack/defense strengths. Executable ask 0.5800 (tsc-mls-nyc-ner-2026-09-09-2pt5).</t>
        </is>
      </c>
      <c r="AF593" s="31" t="inlineStr">
        <is>
          <t>Research-only soccer score model; draw-aware, but not yet locked-holdout qualified.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New England Revolution</t>
        </is>
      </c>
      <c r="AQ593" s="24" t="inlineStr">
        <is>
          <t>New England Revolution</t>
        </is>
      </c>
      <c r="AR593" s="24" t="inlineStr">
        <is>
          <t>New England Revolution</t>
        </is>
      </c>
      <c r="AS593" s="24" t="inlineStr">
        <is>
          <t>New York City FC</t>
        </is>
      </c>
      <c r="AT593" s="24" t="inlineStr">
        <is>
          <t>New York City FC</t>
        </is>
      </c>
      <c r="AU593" s="24" t="inlineStr">
        <is>
          <t>New York City FC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9c072f5f9cf71a972f86e4222ffca6b72422789e9356ec3b1e371da1132584dd</t>
        </is>
      </c>
      <c r="BB593" s="24" t="inlineStr">
        <is>
          <t>poisson_dixon_coles</t>
        </is>
      </c>
      <c r="BC593" s="24" t="inlineStr">
        <is>
          <t>soccer-poisson-dc-v1</t>
        </is>
      </c>
      <c r="BD593" s="24" t="inlineStr">
        <is>
          <t>9c072f5f9cf71a972f86e4222ffca6b72422789e9356ec3b1e371da1132584dd</t>
        </is>
      </c>
      <c r="BE593" s="24" t="inlineStr">
        <is>
          <t>soccer-poisson-dc-v1</t>
        </is>
      </c>
      <c r="BF593" s="24" t="inlineStr">
        <is>
          <t>1</t>
        </is>
      </c>
      <c r="BG593" s="24" t="inlineStr">
        <is>
          <t>9c072f5f9cf71a972f86e4222ffca6b72422789e9356ec3b1e371da1132584dd</t>
        </is>
      </c>
      <c r="BH593" s="24" t="inlineStr">
        <is>
          <t>2026-09-09T22:05:10.442686Z</t>
        </is>
      </c>
      <c r="BI593" s="24" t="inlineStr">
        <is>
          <t>["same_event","same_team_same_day","same_league_same_day"]</t>
        </is>
      </c>
      <c r="BJ593" s="25" t="n">
        <v>2.5</v>
      </c>
      <c r="BK593" s="26" t="n">
        <v>-138</v>
      </c>
      <c r="BL593" s="27" t="n">
        <v>1.724638</v>
      </c>
      <c r="BM593" s="28" t="n">
        <v>0.579832</v>
      </c>
      <c r="BN593" s="28" t="n"/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0.579832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aca0112f98ea4d28</t>
        </is>
      </c>
      <c r="B594" s="24" t="inlineStr">
        <is>
          <t>2026-09-09T22:06:21.332951Z</t>
        </is>
      </c>
      <c r="C594" s="24" t="inlineStr">
        <is>
          <t>2026-09-10T00:30Z</t>
        </is>
      </c>
      <c r="D594" s="24" t="inlineStr">
        <is>
          <t>761794</t>
        </is>
      </c>
      <c r="E594" s="24" t="inlineStr">
        <is>
          <t>SOCCER</t>
        </is>
      </c>
      <c r="F594" s="24" t="inlineStr">
        <is>
          <t>Colorado Rapids</t>
        </is>
      </c>
      <c r="G594" s="24" t="inlineStr">
        <is>
          <t>Austin FC</t>
        </is>
      </c>
      <c r="H594" s="24" t="inlineStr">
        <is>
          <t>total</t>
        </is>
      </c>
      <c r="I594" s="24" t="inlineStr">
        <is>
          <t>over</t>
        </is>
      </c>
      <c r="J594" s="25" t="n">
        <v>2.5</v>
      </c>
      <c r="K594" s="24" t="inlineStr">
        <is>
          <t>polymarket_us</t>
        </is>
      </c>
      <c r="L594" s="26" t="n">
        <v>-108</v>
      </c>
      <c r="M594" s="27" t="n">
        <v>1.925926</v>
      </c>
      <c r="N594" s="28" t="n">
        <v>0.519231</v>
      </c>
      <c r="O594" s="28" t="n">
        <v>0.606703</v>
      </c>
      <c r="P594" s="28" t="n">
        <v>0.04</v>
      </c>
      <c r="Q594" s="28" t="n">
        <v>0.08747199999999999</v>
      </c>
      <c r="R594" s="26" t="n">
        <v>70</v>
      </c>
      <c r="S594" s="29" t="n">
        <v>1.25</v>
      </c>
      <c r="T594" s="24" t="inlineStr">
        <is>
          <t>soccer-poisson-dc-v1</t>
        </is>
      </c>
      <c r="U594" s="24" t="inlineStr">
        <is>
          <t>settled</t>
        </is>
      </c>
      <c r="V594" s="24" t="inlineStr">
        <is>
          <t>loss</t>
        </is>
      </c>
      <c r="W594" s="26" t="n">
        <v>1</v>
      </c>
      <c r="X594" s="26" t="n">
        <v>1</v>
      </c>
      <c r="Y594" s="25" t="n"/>
      <c r="Z594" s="26" t="n">
        <v>-108</v>
      </c>
      <c r="AA594" s="28" t="n">
        <v>0.52</v>
      </c>
      <c r="AB594" s="28" t="n">
        <v>0.000769</v>
      </c>
      <c r="AC594" s="30" t="n">
        <v>-1.25</v>
      </c>
      <c r="AD594" s="24" t="inlineStr">
        <is>
          <t>2026-09-10T04:32:19.745239Z</t>
        </is>
      </c>
      <c r="AE594" s="31" t="inlineStr">
        <is>
          <t>Poisson-DC rates 1.53 (home) / 1.61 (away) from EWMA attack/defense strengths. Executable ask 0.5200 (tsc-mls-aus-col-2026-09-09-2pt5).</t>
        </is>
      </c>
      <c r="AF594" s="31" t="inlineStr">
        <is>
          <t>Research-only soccer score model; draw-aware, but not yet locked-holdout qualified.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Colorado Rapids</t>
        </is>
      </c>
      <c r="AQ594" s="24" t="inlineStr">
        <is>
          <t>Colorado Rapids</t>
        </is>
      </c>
      <c r="AR594" s="24" t="inlineStr">
        <is>
          <t>Colorado Rapids</t>
        </is>
      </c>
      <c r="AS594" s="24" t="inlineStr">
        <is>
          <t>Austin FC</t>
        </is>
      </c>
      <c r="AT594" s="24" t="inlineStr">
        <is>
          <t>Austin FC</t>
        </is>
      </c>
      <c r="AU594" s="24" t="inlineStr">
        <is>
          <t>Austin FC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9c072f5f9cf71a972f86e4222ffca6b72422789e9356ec3b1e371da1132584dd</t>
        </is>
      </c>
      <c r="BB594" s="24" t="inlineStr">
        <is>
          <t>poisson_dixon_coles</t>
        </is>
      </c>
      <c r="BC594" s="24" t="inlineStr">
        <is>
          <t>soccer-poisson-dc-v1</t>
        </is>
      </c>
      <c r="BD594" s="24" t="inlineStr">
        <is>
          <t>9c072f5f9cf71a972f86e4222ffca6b72422789e9356ec3b1e371da1132584dd</t>
        </is>
      </c>
      <c r="BE594" s="24" t="inlineStr">
        <is>
          <t>soccer-poisson-dc-v1</t>
        </is>
      </c>
      <c r="BF594" s="24" t="inlineStr">
        <is>
          <t>1</t>
        </is>
      </c>
      <c r="BG594" s="24" t="inlineStr">
        <is>
          <t>9c072f5f9cf71a972f86e4222ffca6b72422789e9356ec3b1e371da1132584dd</t>
        </is>
      </c>
      <c r="BH594" s="24" t="inlineStr">
        <is>
          <t>2026-09-09T22:05:10.533914Z</t>
        </is>
      </c>
      <c r="BI594" s="24" t="inlineStr">
        <is>
          <t>["same_event","same_team_same_day","same_league_same_day"]</t>
        </is>
      </c>
      <c r="BJ594" s="25" t="n">
        <v>2.5</v>
      </c>
      <c r="BK594" s="26" t="n">
        <v>-108</v>
      </c>
      <c r="BL594" s="27" t="n">
        <v>1.925926</v>
      </c>
      <c r="BM594" s="28" t="n">
        <v>0.519231</v>
      </c>
      <c r="BN594" s="28" t="n"/>
      <c r="BO594" s="28" t="n"/>
      <c r="BP594" s="25" t="n"/>
      <c r="BQ594" s="27" t="n">
        <v>1.925926</v>
      </c>
      <c r="BR594" s="28" t="n">
        <v>0.52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0.519231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7478dafc53174665</t>
        </is>
      </c>
      <c r="B595" s="24" t="inlineStr">
        <is>
          <t>2026-09-09T22:06:21.332951Z</t>
        </is>
      </c>
      <c r="C595" s="24" t="inlineStr">
        <is>
          <t>2026-09-10T00:30Z</t>
        </is>
      </c>
      <c r="D595" s="24" t="inlineStr">
        <is>
          <t>761792</t>
        </is>
      </c>
      <c r="E595" s="24" t="inlineStr">
        <is>
          <t>SOCCER</t>
        </is>
      </c>
      <c r="F595" s="24" t="inlineStr">
        <is>
          <t>Inter Miami CF</t>
        </is>
      </c>
      <c r="G595" s="24" t="inlineStr">
        <is>
          <t>Chicago Fire FC</t>
        </is>
      </c>
      <c r="H595" s="24" t="inlineStr">
        <is>
          <t>total</t>
        </is>
      </c>
      <c r="I595" s="24" t="inlineStr">
        <is>
          <t>over</t>
        </is>
      </c>
      <c r="J595" s="25" t="n">
        <v>2.5</v>
      </c>
      <c r="K595" s="24" t="inlineStr">
        <is>
          <t>polymarket_us</t>
        </is>
      </c>
      <c r="L595" s="26" t="n">
        <v>-355</v>
      </c>
      <c r="M595" s="27" t="n">
        <v>1.28169</v>
      </c>
      <c r="N595" s="28" t="n">
        <v>0.78022</v>
      </c>
      <c r="O595" s="28" t="n">
        <v>0.850643</v>
      </c>
      <c r="P595" s="28" t="n">
        <v>0.04</v>
      </c>
      <c r="Q595" s="28" t="n">
        <v>0.070423</v>
      </c>
      <c r="R595" s="26" t="n">
        <v>61</v>
      </c>
      <c r="S595" s="29" t="n">
        <v>1.25</v>
      </c>
      <c r="T595" s="24" t="inlineStr">
        <is>
          <t>soccer-poisson-dc-v1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1</v>
      </c>
      <c r="Y595" s="25" t="n"/>
      <c r="Z595" s="26" t="n">
        <v>-355</v>
      </c>
      <c r="AA595" s="28" t="n">
        <v>0.78</v>
      </c>
      <c r="AB595" s="28" t="n">
        <v>-0.00022</v>
      </c>
      <c r="AC595" s="30" t="n">
        <v>-1.25</v>
      </c>
      <c r="AD595" s="24" t="inlineStr">
        <is>
          <t>2026-09-10T04:32:20.319143Z</t>
        </is>
      </c>
      <c r="AE595" s="31" t="inlineStr">
        <is>
          <t>Poisson-DC rates 2.50 (home) / 2.23 (away) from EWMA attack/defense strengths. Executable ask 0.7800 (tsc-mls-chi-mia-2026-09-09-2pt5).</t>
        </is>
      </c>
      <c r="AF595" s="31" t="inlineStr">
        <is>
          <t>Research-only soccer score model; draw-aware, but not yet locked-holdout qualified.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Inter Miami CF</t>
        </is>
      </c>
      <c r="AQ595" s="24" t="inlineStr">
        <is>
          <t>Inter Miami CF</t>
        </is>
      </c>
      <c r="AR595" s="24" t="inlineStr">
        <is>
          <t>Inter Miami CF</t>
        </is>
      </c>
      <c r="AS595" s="24" t="inlineStr">
        <is>
          <t>Chicago Fire FC</t>
        </is>
      </c>
      <c r="AT595" s="24" t="inlineStr">
        <is>
          <t>Chicago Fire FC</t>
        </is>
      </c>
      <c r="AU595" s="24" t="inlineStr">
        <is>
          <t>Chicago Fire FC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9c072f5f9cf71a972f86e4222ffca6b72422789e9356ec3b1e371da1132584dd</t>
        </is>
      </c>
      <c r="BB595" s="24" t="inlineStr">
        <is>
          <t>poisson_dixon_coles</t>
        </is>
      </c>
      <c r="BC595" s="24" t="inlineStr">
        <is>
          <t>soccer-poisson-dc-v1</t>
        </is>
      </c>
      <c r="BD595" s="24" t="inlineStr">
        <is>
          <t>9c072f5f9cf71a972f86e4222ffca6b72422789e9356ec3b1e371da1132584dd</t>
        </is>
      </c>
      <c r="BE595" s="24" t="inlineStr">
        <is>
          <t>soccer-poisson-dc-v1</t>
        </is>
      </c>
      <c r="BF595" s="24" t="inlineStr">
        <is>
          <t>1</t>
        </is>
      </c>
      <c r="BG595" s="24" t="inlineStr">
        <is>
          <t>9c072f5f9cf71a972f86e4222ffca6b72422789e9356ec3b1e371da1132584dd</t>
        </is>
      </c>
      <c r="BH595" s="24" t="inlineStr">
        <is>
          <t>2026-09-09T22:05:10.824176Z</t>
        </is>
      </c>
      <c r="BI595" s="24" t="inlineStr">
        <is>
          <t>["same_event","same_team_same_day","same_league_same_day"]</t>
        </is>
      </c>
      <c r="BJ595" s="25" t="n">
        <v>2.5</v>
      </c>
      <c r="BK595" s="26" t="n">
        <v>-355</v>
      </c>
      <c r="BL595" s="27" t="n">
        <v>1.28169</v>
      </c>
      <c r="BM595" s="28" t="n">
        <v>0.78022</v>
      </c>
      <c r="BN595" s="28" t="n"/>
      <c r="BO595" s="28" t="n"/>
      <c r="BP595" s="25" t="n"/>
      <c r="BQ595" s="27" t="n">
        <v>1.28169</v>
      </c>
      <c r="BR595" s="28" t="n">
        <v>0.78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0.78022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df3919f7e31d4c1f</t>
        </is>
      </c>
      <c r="B596" s="24" t="inlineStr">
        <is>
          <t>2026-09-09T22:06:21.332951Z</t>
        </is>
      </c>
      <c r="C596" s="24" t="inlineStr">
        <is>
          <t>2026-09-10T00:30Z</t>
        </is>
      </c>
      <c r="D596" s="24" t="inlineStr">
        <is>
          <t>761791</t>
        </is>
      </c>
      <c r="E596" s="24" t="inlineStr">
        <is>
          <t>SOCCER</t>
        </is>
      </c>
      <c r="F596" s="24" t="inlineStr">
        <is>
          <t>Real Salt Lake</t>
        </is>
      </c>
      <c r="G596" s="24" t="inlineStr">
        <is>
          <t>Houston Dynamo FC</t>
        </is>
      </c>
      <c r="H596" s="24" t="inlineStr">
        <is>
          <t>total</t>
        </is>
      </c>
      <c r="I596" s="24" t="inlineStr">
        <is>
          <t>over</t>
        </is>
      </c>
      <c r="J596" s="25" t="n">
        <v>2.5</v>
      </c>
      <c r="K596" s="24" t="inlineStr">
        <is>
          <t>polymarket_us</t>
        </is>
      </c>
      <c r="L596" s="26" t="n">
        <v>-133</v>
      </c>
      <c r="M596" s="27" t="n">
        <v>1.75188</v>
      </c>
      <c r="N596" s="28" t="n">
        <v>0.570815</v>
      </c>
      <c r="O596" s="28" t="n">
        <v>0.5291</v>
      </c>
      <c r="P596" s="28" t="n">
        <v>0.04</v>
      </c>
      <c r="Q596" s="28" t="n">
        <v>-0.041715</v>
      </c>
      <c r="R596" s="26" t="n">
        <v>5</v>
      </c>
      <c r="S596" s="29" t="n">
        <v>1</v>
      </c>
      <c r="T596" s="24" t="inlineStr">
        <is>
          <t>soccer-poisson-dc-v1</t>
        </is>
      </c>
      <c r="U596" s="24" t="inlineStr">
        <is>
          <t>settled</t>
        </is>
      </c>
      <c r="V596" s="24" t="inlineStr">
        <is>
          <t>win</t>
        </is>
      </c>
      <c r="W596" s="26" t="n">
        <v>1</v>
      </c>
      <c r="X596" s="26" t="n">
        <v>2</v>
      </c>
      <c r="Y596" s="25" t="n"/>
      <c r="Z596" s="26" t="n">
        <v>-133</v>
      </c>
      <c r="AA596" s="28" t="n">
        <v>0.57</v>
      </c>
      <c r="AB596" s="28" t="n">
        <v>-0.000815</v>
      </c>
      <c r="AC596" s="30" t="n">
        <v>0.7519</v>
      </c>
      <c r="AD596" s="24" t="inlineStr">
        <is>
          <t>2026-09-10T04:32:20.875495Z</t>
        </is>
      </c>
      <c r="AE596" s="31" t="inlineStr">
        <is>
          <t>Poisson-DC rates 1.40 (home) / 1.40 (away) from EWMA attack/defense strengths. Executable ask 0.5700 (tsc-mls-hou-rsl-2026-09-09-2pt5).</t>
        </is>
      </c>
      <c r="AF596" s="31" t="inlineStr">
        <is>
          <t>Research-only soccer score model; draw-aware, but not yet locked-holdout qualified.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Real Salt Lake</t>
        </is>
      </c>
      <c r="AQ596" s="24" t="inlineStr">
        <is>
          <t>Real Salt Lake</t>
        </is>
      </c>
      <c r="AR596" s="24" t="inlineStr">
        <is>
          <t>Real Salt Lake</t>
        </is>
      </c>
      <c r="AS596" s="24" t="inlineStr">
        <is>
          <t>Houston Dynamo FC</t>
        </is>
      </c>
      <c r="AT596" s="24" t="inlineStr">
        <is>
          <t>Houston Dynamo FC</t>
        </is>
      </c>
      <c r="AU596" s="24" t="inlineStr">
        <is>
          <t>Houston Dynamo FC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9c072f5f9cf71a972f86e4222ffca6b72422789e9356ec3b1e371da1132584dd</t>
        </is>
      </c>
      <c r="BB596" s="24" t="inlineStr">
        <is>
          <t>poisson_dixon_coles</t>
        </is>
      </c>
      <c r="BC596" s="24" t="inlineStr">
        <is>
          <t>soccer-poisson-dc-v1</t>
        </is>
      </c>
      <c r="BD596" s="24" t="inlineStr">
        <is>
          <t>9c072f5f9cf71a972f86e4222ffca6b72422789e9356ec3b1e371da1132584dd</t>
        </is>
      </c>
      <c r="BE596" s="24" t="inlineStr">
        <is>
          <t>soccer-poisson-dc-v1</t>
        </is>
      </c>
      <c r="BF596" s="24" t="inlineStr">
        <is>
          <t>1</t>
        </is>
      </c>
      <c r="BG596" s="24" t="inlineStr">
        <is>
          <t>9c072f5f9cf71a972f86e4222ffca6b72422789e9356ec3b1e371da1132584dd</t>
        </is>
      </c>
      <c r="BH596" s="24" t="inlineStr">
        <is>
          <t>2026-09-09T22:05:10.589598Z</t>
        </is>
      </c>
      <c r="BI596" s="24" t="inlineStr">
        <is>
          <t>["same_event","same_team_same_day","same_league_same_day"]</t>
        </is>
      </c>
      <c r="BJ596" s="25" t="n">
        <v>2.5</v>
      </c>
      <c r="BK596" s="26" t="n">
        <v>-133</v>
      </c>
      <c r="BL596" s="27" t="n">
        <v>1.75188</v>
      </c>
      <c r="BM596" s="28" t="n">
        <v>0.570815</v>
      </c>
      <c r="BN596" s="28" t="n"/>
      <c r="BO596" s="28" t="n"/>
      <c r="BP596" s="25" t="n"/>
      <c r="BQ596" s="27" t="n">
        <v>1.75188</v>
      </c>
      <c r="BR596" s="28" t="n">
        <v>0.57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0.570815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bb36a7f4bad64e48</t>
        </is>
      </c>
      <c r="B597" s="24" t="inlineStr">
        <is>
          <t>2026-09-09T22:06:21.332951Z</t>
        </is>
      </c>
      <c r="C597" s="24" t="inlineStr">
        <is>
          <t>2026-09-10T00:30Z</t>
        </is>
      </c>
      <c r="D597" s="24" t="inlineStr">
        <is>
          <t>761793</t>
        </is>
      </c>
      <c r="E597" s="24" t="inlineStr">
        <is>
          <t>SOCCER</t>
        </is>
      </c>
      <c r="F597" s="24" t="inlineStr">
        <is>
          <t>FC Dallas</t>
        </is>
      </c>
      <c r="G597" s="24" t="inlineStr">
        <is>
          <t>Minnesota United FC</t>
        </is>
      </c>
      <c r="H597" s="24" t="inlineStr">
        <is>
          <t>total</t>
        </is>
      </c>
      <c r="I597" s="24" t="inlineStr">
        <is>
          <t>over</t>
        </is>
      </c>
      <c r="J597" s="25" t="n">
        <v>2.5</v>
      </c>
      <c r="K597" s="24" t="inlineStr">
        <is>
          <t>polymarket_us</t>
        </is>
      </c>
      <c r="L597" s="26" t="n">
        <v>-170</v>
      </c>
      <c r="M597" s="27" t="n">
        <v>1.588235</v>
      </c>
      <c r="N597" s="28" t="n">
        <v>0.62963</v>
      </c>
      <c r="O597" s="28" t="n">
        <v>0.568713</v>
      </c>
      <c r="P597" s="28" t="n">
        <v>0.04</v>
      </c>
      <c r="Q597" s="28" t="n">
        <v>-0.060917</v>
      </c>
      <c r="R597" s="26" t="n">
        <v>0</v>
      </c>
      <c r="S597" s="29" t="n">
        <v>1</v>
      </c>
      <c r="T597" s="24" t="inlineStr">
        <is>
          <t>soccer-poisson-dc-v1</t>
        </is>
      </c>
      <c r="U597" s="24" t="inlineStr">
        <is>
          <t>settled</t>
        </is>
      </c>
      <c r="V597" s="24" t="inlineStr">
        <is>
          <t>win</t>
        </is>
      </c>
      <c r="W597" s="26" t="n">
        <v>2</v>
      </c>
      <c r="X597" s="26" t="n">
        <v>1</v>
      </c>
      <c r="Y597" s="25" t="n"/>
      <c r="Z597" s="26" t="n">
        <v>-170</v>
      </c>
      <c r="AA597" s="28" t="n">
        <v>0.63</v>
      </c>
      <c r="AB597" s="28" t="n">
        <v>0.00037</v>
      </c>
      <c r="AC597" s="30" t="n">
        <v>0.5881999999999999</v>
      </c>
      <c r="AD597" s="24" t="inlineStr">
        <is>
          <t>2026-09-10T04:32:21.428926Z</t>
        </is>
      </c>
      <c r="AE597" s="31" t="inlineStr">
        <is>
          <t>Poisson-DC rates 1.50 (home) / 1.46 (away) from EWMA attack/defense strengths. Executable ask 0.6300 (tsc-mls-min-dal-2026-09-09-2pt5).</t>
        </is>
      </c>
      <c r="AF597" s="31" t="inlineStr">
        <is>
          <t>Research-only soccer score model; draw-aware, but not yet locked-holdout qualified.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FC Dallas</t>
        </is>
      </c>
      <c r="AQ597" s="24" t="inlineStr">
        <is>
          <t>FC Dallas</t>
        </is>
      </c>
      <c r="AR597" s="24" t="inlineStr">
        <is>
          <t>FC Dallas</t>
        </is>
      </c>
      <c r="AS597" s="24" t="inlineStr">
        <is>
          <t>Minnesota United FC</t>
        </is>
      </c>
      <c r="AT597" s="24" t="inlineStr">
        <is>
          <t>Minnesota United FC</t>
        </is>
      </c>
      <c r="AU597" s="24" t="inlineStr">
        <is>
          <t>Minnesota United FC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9c072f5f9cf71a972f86e4222ffca6b72422789e9356ec3b1e371da1132584dd</t>
        </is>
      </c>
      <c r="BB597" s="24" t="inlineStr">
        <is>
          <t>poisson_dixon_coles</t>
        </is>
      </c>
      <c r="BC597" s="24" t="inlineStr">
        <is>
          <t>soccer-poisson-dc-v1</t>
        </is>
      </c>
      <c r="BD597" s="24" t="inlineStr">
        <is>
          <t>9c072f5f9cf71a972f86e4222ffca6b72422789e9356ec3b1e371da1132584dd</t>
        </is>
      </c>
      <c r="BE597" s="24" t="inlineStr">
        <is>
          <t>soccer-poisson-dc-v1</t>
        </is>
      </c>
      <c r="BF597" s="24" t="inlineStr">
        <is>
          <t>1</t>
        </is>
      </c>
      <c r="BG597" s="24" t="inlineStr">
        <is>
          <t>9c072f5f9cf71a972f86e4222ffca6b72422789e9356ec3b1e371da1132584dd</t>
        </is>
      </c>
      <c r="BH597" s="24" t="inlineStr">
        <is>
          <t>2026-09-09T22:05:10.774530Z</t>
        </is>
      </c>
      <c r="BI597" s="24" t="inlineStr">
        <is>
          <t>["same_event","same_team_same_day","same_league_same_day"]</t>
        </is>
      </c>
      <c r="BJ597" s="25" t="n">
        <v>2.5</v>
      </c>
      <c r="BK597" s="26" t="n">
        <v>-170</v>
      </c>
      <c r="BL597" s="27" t="n">
        <v>1.588235</v>
      </c>
      <c r="BM597" s="28" t="n">
        <v>0.62963</v>
      </c>
      <c r="BN597" s="28" t="n"/>
      <c r="BO597" s="28" t="n"/>
      <c r="BP597" s="25" t="n"/>
      <c r="BQ597" s="27" t="n">
        <v>1.588235</v>
      </c>
      <c r="BR597" s="28" t="n">
        <v>0.63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0.62963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f6f0f0b3c5ee4388</t>
        </is>
      </c>
      <c r="B598" s="24" t="inlineStr">
        <is>
          <t>2026-09-09T22:06:21.332951Z</t>
        </is>
      </c>
      <c r="C598" s="24" t="inlineStr">
        <is>
          <t>2026-09-10T02:30Z</t>
        </is>
      </c>
      <c r="D598" s="24" t="inlineStr">
        <is>
          <t>761796</t>
        </is>
      </c>
      <c r="E598" s="24" t="inlineStr">
        <is>
          <t>SOCCER</t>
        </is>
      </c>
      <c r="F598" s="24" t="inlineStr">
        <is>
          <t>St. Louis CITY SC</t>
        </is>
      </c>
      <c r="G598" s="24" t="inlineStr">
        <is>
          <t>Portland Timbers</t>
        </is>
      </c>
      <c r="H598" s="24" t="inlineStr">
        <is>
          <t>total</t>
        </is>
      </c>
      <c r="I598" s="24" t="inlineStr">
        <is>
          <t>over</t>
        </is>
      </c>
      <c r="J598" s="25" t="n">
        <v>2.5</v>
      </c>
      <c r="K598" s="24" t="inlineStr">
        <is>
          <t>polymarket_us</t>
        </is>
      </c>
      <c r="L598" s="26" t="n">
        <v>-223</v>
      </c>
      <c r="M598" s="27" t="n">
        <v>1.44843</v>
      </c>
      <c r="N598" s="28" t="n">
        <v>0.690402</v>
      </c>
      <c r="O598" s="28" t="n">
        <v>0.6606109999999999</v>
      </c>
      <c r="P598" s="28" t="n">
        <v>0.04</v>
      </c>
      <c r="Q598" s="28" t="n">
        <v>-0.029791</v>
      </c>
      <c r="R598" s="26" t="n">
        <v>11</v>
      </c>
      <c r="S598" s="29" t="n">
        <v>1</v>
      </c>
      <c r="T598" s="24" t="inlineStr">
        <is>
          <t>soccer-poisson-dc-v1</t>
        </is>
      </c>
      <c r="U598" s="24" t="inlineStr">
        <is>
          <t>settled</t>
        </is>
      </c>
      <c r="V598" s="24" t="inlineStr">
        <is>
          <t>win</t>
        </is>
      </c>
      <c r="W598" s="26" t="n">
        <v>2</v>
      </c>
      <c r="X598" s="26" t="n">
        <v>2</v>
      </c>
      <c r="Y598" s="25" t="n"/>
      <c r="Z598" s="26" t="n">
        <v>-223</v>
      </c>
      <c r="AA598" s="28" t="n">
        <v>0.6899999999999999</v>
      </c>
      <c r="AB598" s="28" t="n">
        <v>-0.000402</v>
      </c>
      <c r="AC598" s="30" t="n">
        <v>0.4484</v>
      </c>
      <c r="AD598" s="24" t="inlineStr">
        <is>
          <t>2026-09-10T10:00:26.603800Z</t>
        </is>
      </c>
      <c r="AE598" s="31" t="inlineStr">
        <is>
          <t>Poisson-DC rates 1.91 (home) / 1.49 (away) from EWMA attack/defense strengths. Executable ask 0.6900 (tsc-mls-por-stl-2026-09-09-2pt5).</t>
        </is>
      </c>
      <c r="AF598" s="31" t="inlineStr">
        <is>
          <t>Research-only soccer score model; draw-aware, but not yet locked-holdout qualified.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St. Louis CITY SC</t>
        </is>
      </c>
      <c r="AQ598" s="24" t="inlineStr">
        <is>
          <t>St. Louis CITY SC</t>
        </is>
      </c>
      <c r="AR598" s="24" t="inlineStr">
        <is>
          <t>St. Louis CITY SC</t>
        </is>
      </c>
      <c r="AS598" s="24" t="inlineStr">
        <is>
          <t>Portland Timbers</t>
        </is>
      </c>
      <c r="AT598" s="24" t="inlineStr">
        <is>
          <t>Portland Timbers</t>
        </is>
      </c>
      <c r="AU598" s="24" t="inlineStr">
        <is>
          <t>Portland Timbers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9c072f5f9cf71a972f86e4222ffca6b72422789e9356ec3b1e371da1132584dd</t>
        </is>
      </c>
      <c r="BB598" s="24" t="inlineStr">
        <is>
          <t>poisson_dixon_coles</t>
        </is>
      </c>
      <c r="BC598" s="24" t="inlineStr">
        <is>
          <t>soccer-poisson-dc-v1</t>
        </is>
      </c>
      <c r="BD598" s="24" t="inlineStr">
        <is>
          <t>9c072f5f9cf71a972f86e4222ffca6b72422789e9356ec3b1e371da1132584dd</t>
        </is>
      </c>
      <c r="BE598" s="24" t="inlineStr">
        <is>
          <t>soccer-poisson-dc-v1</t>
        </is>
      </c>
      <c r="BF598" s="24" t="inlineStr">
        <is>
          <t>1</t>
        </is>
      </c>
      <c r="BG598" s="24" t="inlineStr">
        <is>
          <t>9c072f5f9cf71a972f86e4222ffca6b72422789e9356ec3b1e371da1132584dd</t>
        </is>
      </c>
      <c r="BH598" s="24" t="inlineStr">
        <is>
          <t>2026-09-09T22:05:11.195730Z</t>
        </is>
      </c>
      <c r="BI598" s="24" t="inlineStr">
        <is>
          <t>["same_event","same_team_same_day","same_league_same_day"]</t>
        </is>
      </c>
      <c r="BJ598" s="25" t="n">
        <v>2.5</v>
      </c>
      <c r="BK598" s="26" t="n">
        <v>-223</v>
      </c>
      <c r="BL598" s="27" t="n">
        <v>1.44843</v>
      </c>
      <c r="BM598" s="28" t="n">
        <v>0.690402</v>
      </c>
      <c r="BN598" s="28" t="n"/>
      <c r="BO598" s="28" t="n"/>
      <c r="BP598" s="25" t="n"/>
      <c r="BQ598" s="27" t="n">
        <v>1.44843</v>
      </c>
      <c r="BR598" s="28" t="n">
        <v>0.6899999999999999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0.690402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0251282c17a944e3</t>
        </is>
      </c>
      <c r="B599" s="24" t="inlineStr">
        <is>
          <t>2026-09-09T22:06:21.332951Z</t>
        </is>
      </c>
      <c r="C599" s="24" t="inlineStr">
        <is>
          <t>2026-09-10T02:30Z</t>
        </is>
      </c>
      <c r="D599" s="24" t="inlineStr">
        <is>
          <t>761797</t>
        </is>
      </c>
      <c r="E599" s="24" t="inlineStr">
        <is>
          <t>SOCCER</t>
        </is>
      </c>
      <c r="F599" s="24" t="inlineStr">
        <is>
          <t>San Jose Earthquakes</t>
        </is>
      </c>
      <c r="G599" s="24" t="inlineStr">
        <is>
          <t>San Diego FC</t>
        </is>
      </c>
      <c r="H599" s="24" t="inlineStr">
        <is>
          <t>total</t>
        </is>
      </c>
      <c r="I599" s="24" t="inlineStr">
        <is>
          <t>over</t>
        </is>
      </c>
      <c r="J599" s="25" t="n">
        <v>2.5</v>
      </c>
      <c r="K599" s="24" t="inlineStr">
        <is>
          <t>polymarket_us</t>
        </is>
      </c>
      <c r="L599" s="26" t="n">
        <v>-233</v>
      </c>
      <c r="M599" s="27" t="n">
        <v>1.429185</v>
      </c>
      <c r="N599" s="28" t="n">
        <v>0.6997</v>
      </c>
      <c r="O599" s="28" t="n">
        <v>0.764666</v>
      </c>
      <c r="P599" s="28" t="n">
        <v>0.04</v>
      </c>
      <c r="Q599" s="28" t="n">
        <v>0.064966</v>
      </c>
      <c r="R599" s="26" t="n">
        <v>58</v>
      </c>
      <c r="S599" s="29" t="n">
        <v>1.25</v>
      </c>
      <c r="T599" s="24" t="inlineStr">
        <is>
          <t>soccer-poisson-dc-v1</t>
        </is>
      </c>
      <c r="U599" s="24" t="inlineStr">
        <is>
          <t>settled</t>
        </is>
      </c>
      <c r="V599" s="24" t="inlineStr">
        <is>
          <t>win</t>
        </is>
      </c>
      <c r="W599" s="26" t="n">
        <v>3</v>
      </c>
      <c r="X599" s="26" t="n">
        <v>2</v>
      </c>
      <c r="Y599" s="25" t="n"/>
      <c r="Z599" s="26" t="n">
        <v>-233</v>
      </c>
      <c r="AA599" s="28" t="n">
        <v>0.7</v>
      </c>
      <c r="AB599" s="28" t="n">
        <v>0.0003</v>
      </c>
      <c r="AC599" s="30" t="n">
        <v>0.5365</v>
      </c>
      <c r="AD599" s="24" t="inlineStr">
        <is>
          <t>2026-09-10T10:00:27.223784Z</t>
        </is>
      </c>
      <c r="AE599" s="31" t="inlineStr">
        <is>
          <t>Poisson-DC rates 2.15 (home) / 1.87 (away) from EWMA attack/defense strengths. Executable ask 0.7000 (tsc-mls-sdg-sje-2026-09-09-2pt5).</t>
        </is>
      </c>
      <c r="AF599" s="31" t="inlineStr">
        <is>
          <t>Research-only soccer score model; draw-aware, but not yet locked-holdout qualified.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San Jose Earthquakes</t>
        </is>
      </c>
      <c r="AQ599" s="24" t="inlineStr">
        <is>
          <t>San Jose Earthquakes</t>
        </is>
      </c>
      <c r="AR599" s="24" t="inlineStr">
        <is>
          <t>San Jose Earthquakes</t>
        </is>
      </c>
      <c r="AS599" s="24" t="inlineStr">
        <is>
          <t>San Diego FC</t>
        </is>
      </c>
      <c r="AT599" s="24" t="inlineStr">
        <is>
          <t>San Diego FC</t>
        </is>
      </c>
      <c r="AU599" s="24" t="inlineStr">
        <is>
          <t>San Diego FC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9c072f5f9cf71a972f86e4222ffca6b72422789e9356ec3b1e371da1132584dd</t>
        </is>
      </c>
      <c r="BB599" s="24" t="inlineStr">
        <is>
          <t>poisson_dixon_coles</t>
        </is>
      </c>
      <c r="BC599" s="24" t="inlineStr">
        <is>
          <t>soccer-poisson-dc-v1</t>
        </is>
      </c>
      <c r="BD599" s="24" t="inlineStr">
        <is>
          <t>9c072f5f9cf71a972f86e4222ffca6b72422789e9356ec3b1e371da1132584dd</t>
        </is>
      </c>
      <c r="BE599" s="24" t="inlineStr">
        <is>
          <t>soccer-poisson-dc-v1</t>
        </is>
      </c>
      <c r="BF599" s="24" t="inlineStr">
        <is>
          <t>1</t>
        </is>
      </c>
      <c r="BG599" s="24" t="inlineStr">
        <is>
          <t>9c072f5f9cf71a972f86e4222ffca6b72422789e9356ec3b1e371da1132584dd</t>
        </is>
      </c>
      <c r="BH599" s="24" t="inlineStr">
        <is>
          <t>2026-09-09T22:05:11.265986Z</t>
        </is>
      </c>
      <c r="BI599" s="24" t="inlineStr">
        <is>
          <t>["same_event","same_team_same_day","same_league_same_day"]</t>
        </is>
      </c>
      <c r="BJ599" s="25" t="n">
        <v>2.5</v>
      </c>
      <c r="BK599" s="26" t="n">
        <v>-233</v>
      </c>
      <c r="BL599" s="27" t="n">
        <v>1.429185</v>
      </c>
      <c r="BM599" s="28" t="n">
        <v>0.6997</v>
      </c>
      <c r="BN599" s="28" t="n"/>
      <c r="BO599" s="28" t="n"/>
      <c r="BP599" s="25" t="n"/>
      <c r="BQ599" s="27" t="n">
        <v>1.429185</v>
      </c>
      <c r="BR599" s="28" t="n">
        <v>0.7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0.6997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1e4ba51a27164efd</t>
        </is>
      </c>
      <c r="B600" s="24" t="inlineStr">
        <is>
          <t>2026-09-09T22:06:21.332951Z</t>
        </is>
      </c>
      <c r="C600" s="24" t="inlineStr">
        <is>
          <t>2026-09-10T02:30Z</t>
        </is>
      </c>
      <c r="D600" s="24" t="inlineStr">
        <is>
          <t>761799</t>
        </is>
      </c>
      <c r="E600" s="24" t="inlineStr">
        <is>
          <t>SOCCER</t>
        </is>
      </c>
      <c r="F600" s="24" t="inlineStr">
        <is>
          <t>LA Galaxy</t>
        </is>
      </c>
      <c r="G600" s="24" t="inlineStr">
        <is>
          <t>Vancouver Whitecaps</t>
        </is>
      </c>
      <c r="H600" s="24" t="inlineStr">
        <is>
          <t>total</t>
        </is>
      </c>
      <c r="I600" s="24" t="inlineStr">
        <is>
          <t>over</t>
        </is>
      </c>
      <c r="J600" s="25" t="n">
        <v>2.5</v>
      </c>
      <c r="K600" s="24" t="inlineStr">
        <is>
          <t>polymarket_us</t>
        </is>
      </c>
      <c r="L600" s="26" t="n">
        <v>-285</v>
      </c>
      <c r="M600" s="27" t="n">
        <v>1.350877</v>
      </c>
      <c r="N600" s="28" t="n">
        <v>0.74026</v>
      </c>
      <c r="O600" s="28" t="n">
        <v>0.685873</v>
      </c>
      <c r="P600" s="28" t="n">
        <v>0.04</v>
      </c>
      <c r="Q600" s="28" t="n">
        <v>-0.054387</v>
      </c>
      <c r="R600" s="26" t="n">
        <v>0</v>
      </c>
      <c r="S600" s="29" t="n">
        <v>1</v>
      </c>
      <c r="T600" s="24" t="inlineStr">
        <is>
          <t>soccer-poisson-dc-v1</t>
        </is>
      </c>
      <c r="U600" s="24" t="inlineStr">
        <is>
          <t>settled</t>
        </is>
      </c>
      <c r="V600" s="24" t="inlineStr">
        <is>
          <t>win</t>
        </is>
      </c>
      <c r="W600" s="26" t="n">
        <v>0</v>
      </c>
      <c r="X600" s="26" t="n">
        <v>3</v>
      </c>
      <c r="Y600" s="25" t="n"/>
      <c r="Z600" s="26" t="n">
        <v>-285</v>
      </c>
      <c r="AA600" s="28" t="n">
        <v>0.74</v>
      </c>
      <c r="AB600" s="28" t="n">
        <v>-0.00026</v>
      </c>
      <c r="AC600" s="30" t="n">
        <v>0.3509</v>
      </c>
      <c r="AD600" s="24" t="inlineStr">
        <is>
          <t>2026-09-10T10:00:27.752519Z</t>
        </is>
      </c>
      <c r="AE600" s="31" t="inlineStr">
        <is>
          <t>Poisson-DC rates 2.61 (home) / 0.93 (away) from EWMA attack/defense strengths. Executable ask 0.7400 (tsc-mls-vwh-lag-2026-09-09-2pt5).</t>
        </is>
      </c>
      <c r="AF600" s="31" t="inlineStr">
        <is>
          <t>Research-only soccer score model; draw-aware, but not yet locked-holdout qualified.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LA Galaxy</t>
        </is>
      </c>
      <c r="AQ600" s="24" t="inlineStr">
        <is>
          <t>LA Galaxy</t>
        </is>
      </c>
      <c r="AR600" s="24" t="inlineStr">
        <is>
          <t>LA Galaxy</t>
        </is>
      </c>
      <c r="AS600" s="24" t="inlineStr">
        <is>
          <t>Vancouver Whitecaps</t>
        </is>
      </c>
      <c r="AT600" s="24" t="inlineStr">
        <is>
          <t>Vancouver Whitecaps</t>
        </is>
      </c>
      <c r="AU600" s="24" t="inlineStr">
        <is>
          <t>Vancouver Whitecaps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9c072f5f9cf71a972f86e4222ffca6b72422789e9356ec3b1e371da1132584dd</t>
        </is>
      </c>
      <c r="BB600" s="24" t="inlineStr">
        <is>
          <t>poisson_dixon_coles</t>
        </is>
      </c>
      <c r="BC600" s="24" t="inlineStr">
        <is>
          <t>soccer-poisson-dc-v1</t>
        </is>
      </c>
      <c r="BD600" s="24" t="inlineStr">
        <is>
          <t>9c072f5f9cf71a972f86e4222ffca6b72422789e9356ec3b1e371da1132584dd</t>
        </is>
      </c>
      <c r="BE600" s="24" t="inlineStr">
        <is>
          <t>soccer-poisson-dc-v1</t>
        </is>
      </c>
      <c r="BF600" s="24" t="inlineStr">
        <is>
          <t>1</t>
        </is>
      </c>
      <c r="BG600" s="24" t="inlineStr">
        <is>
          <t>9c072f5f9cf71a972f86e4222ffca6b72422789e9356ec3b1e371da1132584dd</t>
        </is>
      </c>
      <c r="BH600" s="24" t="inlineStr">
        <is>
          <t>2026-09-09T22:05:10.871957Z</t>
        </is>
      </c>
      <c r="BI600" s="24" t="inlineStr">
        <is>
          <t>["same_event","same_team_same_day","same_league_same_day"]</t>
        </is>
      </c>
      <c r="BJ600" s="25" t="n">
        <v>2.5</v>
      </c>
      <c r="BK600" s="26" t="n">
        <v>-285</v>
      </c>
      <c r="BL600" s="27" t="n">
        <v>1.350877</v>
      </c>
      <c r="BM600" s="28" t="n">
        <v>0.74026</v>
      </c>
      <c r="BN600" s="28" t="n"/>
      <c r="BO600" s="28" t="n"/>
      <c r="BP600" s="25" t="n"/>
      <c r="BQ600" s="27" t="n">
        <v>1.350877</v>
      </c>
      <c r="BR600" s="28" t="n">
        <v>0.74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0.74026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8f8d064d43ff4d26</t>
        </is>
      </c>
      <c r="B601" s="24" t="inlineStr">
        <is>
          <t>2026-09-09T22:06:21.332951Z</t>
        </is>
      </c>
      <c r="C601" s="24" t="inlineStr">
        <is>
          <t>2026-09-09T23:30Z</t>
        </is>
      </c>
      <c r="D601" s="24" t="inlineStr">
        <is>
          <t>761787</t>
        </is>
      </c>
      <c r="E601" s="24" t="inlineStr">
        <is>
          <t>SOCCER</t>
        </is>
      </c>
      <c r="F601" s="24" t="inlineStr">
        <is>
          <t>Orlando City SC</t>
        </is>
      </c>
      <c r="G601" s="24" t="inlineStr">
        <is>
          <t>Atlanta United FC</t>
        </is>
      </c>
      <c r="H601" s="24" t="inlineStr">
        <is>
          <t>moneyline</t>
        </is>
      </c>
      <c r="I601" s="24" t="inlineStr">
        <is>
          <t>home</t>
        </is>
      </c>
      <c r="J601" s="25" t="n"/>
      <c r="K601" s="24" t="inlineStr">
        <is>
          <t>polymarket_us</t>
        </is>
      </c>
      <c r="L601" s="26" t="n">
        <v>138</v>
      </c>
      <c r="M601" s="27" t="n">
        <v>2.38</v>
      </c>
      <c r="N601" s="28" t="n">
        <v>0.420168</v>
      </c>
      <c r="O601" s="28" t="n">
        <v>0.433865</v>
      </c>
      <c r="P601" s="28" t="n">
        <v>0.04</v>
      </c>
      <c r="Q601" s="28" t="n">
        <v>0.013697</v>
      </c>
      <c r="R601" s="26" t="n">
        <v>33</v>
      </c>
      <c r="S601" s="29" t="n">
        <v>1</v>
      </c>
      <c r="T601" s="24" t="inlineStr">
        <is>
          <t>soccer-poisson-dc-v1</t>
        </is>
      </c>
      <c r="U601" s="24" t="inlineStr">
        <is>
          <t>settled</t>
        </is>
      </c>
      <c r="V601" s="24" t="inlineStr">
        <is>
          <t>loss</t>
        </is>
      </c>
      <c r="W601" s="26" t="n">
        <v>3</v>
      </c>
      <c r="X601" s="26" t="n">
        <v>2</v>
      </c>
      <c r="Y601" s="25" t="n"/>
      <c r="Z601" s="26" t="n">
        <v>138</v>
      </c>
      <c r="AA601" s="28" t="n">
        <v>0.42</v>
      </c>
      <c r="AB601" s="28" t="n">
        <v>-0.000168</v>
      </c>
      <c r="AC601" s="30" t="n">
        <v>-1</v>
      </c>
      <c r="AD601" s="24" t="inlineStr">
        <is>
          <t>2026-09-10T04:32:21.993607Z</t>
        </is>
      </c>
      <c r="AE601" s="31" t="inlineStr">
        <is>
          <t>Poisson-DC rates 1.82 (home) / 1.55 (away) from EWMA attack/defense strengths. Executable ask 0.4200 (atc-mls-atl-orl-2026-09-09-atl).</t>
        </is>
      </c>
      <c r="AF601" s="31" t="inlineStr">
        <is>
          <t>Research-only soccer score model; draw-aware, but not yet locked-holdout qualified.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Orlando City SC</t>
        </is>
      </c>
      <c r="AQ601" s="24" t="inlineStr">
        <is>
          <t>Orlando City SC</t>
        </is>
      </c>
      <c r="AR601" s="24" t="inlineStr">
        <is>
          <t>Orlando City SC</t>
        </is>
      </c>
      <c r="AS601" s="24" t="inlineStr">
        <is>
          <t>Atlanta United FC</t>
        </is>
      </c>
      <c r="AT601" s="24" t="inlineStr">
        <is>
          <t>Atlanta United FC</t>
        </is>
      </c>
      <c r="AU601" s="24" t="inlineStr">
        <is>
          <t>Atlanta United FC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9c072f5f9cf71a972f86e4222ffca6b72422789e9356ec3b1e371da1132584dd</t>
        </is>
      </c>
      <c r="BB601" s="24" t="inlineStr">
        <is>
          <t>poisson_dixon_coles</t>
        </is>
      </c>
      <c r="BC601" s="24" t="inlineStr">
        <is>
          <t>soccer-poisson-dc-v1</t>
        </is>
      </c>
      <c r="BD601" s="24" t="inlineStr">
        <is>
          <t>9c072f5f9cf71a972f86e4222ffca6b72422789e9356ec3b1e371da1132584dd</t>
        </is>
      </c>
      <c r="BE601" s="24" t="inlineStr">
        <is>
          <t>soccer-poisson-dc-v1</t>
        </is>
      </c>
      <c r="BF601" s="24" t="inlineStr">
        <is>
          <t>1</t>
        </is>
      </c>
      <c r="BG601" s="24" t="inlineStr">
        <is>
          <t>9c072f5f9cf71a972f86e4222ffca6b72422789e9356ec3b1e371da1132584dd</t>
        </is>
      </c>
      <c r="BH601" s="24" t="inlineStr">
        <is>
          <t>2026-09-09T22:05:10.036216Z</t>
        </is>
      </c>
      <c r="BI601" s="24" t="inlineStr">
        <is>
          <t>["same_event","same_team_same_day","same_league_same_day"]</t>
        </is>
      </c>
      <c r="BJ601" s="25" t="n"/>
      <c r="BK601" s="26" t="n">
        <v>138</v>
      </c>
      <c r="BL601" s="27" t="n">
        <v>2.38</v>
      </c>
      <c r="BM601" s="28" t="n">
        <v>0.420168</v>
      </c>
      <c r="BN601" s="28" t="n"/>
      <c r="BO601" s="28" t="n"/>
      <c r="BP601" s="25" t="n"/>
      <c r="BQ601" s="27" t="n">
        <v>2.38</v>
      </c>
      <c r="BR601" s="28" t="n">
        <v>0.42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0.420168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6ed71b95d2854f38</t>
        </is>
      </c>
      <c r="B602" s="24" t="inlineStr">
        <is>
          <t>2026-09-09T22:06:21.332951Z</t>
        </is>
      </c>
      <c r="C602" s="24" t="inlineStr">
        <is>
          <t>2026-09-09T23:30Z</t>
        </is>
      </c>
      <c r="D602" s="24" t="inlineStr">
        <is>
          <t>761789</t>
        </is>
      </c>
      <c r="E602" s="24" t="inlineStr">
        <is>
          <t>SOCCER</t>
        </is>
      </c>
      <c r="F602" s="24" t="inlineStr">
        <is>
          <t>Columbus Crew</t>
        </is>
      </c>
      <c r="G602" s="24" t="inlineStr">
        <is>
          <t>D.C. United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170</v>
      </c>
      <c r="M602" s="27" t="n">
        <v>2.7</v>
      </c>
      <c r="N602" s="28" t="n">
        <v>0.37037</v>
      </c>
      <c r="O602" s="28" t="n">
        <v>0.376932</v>
      </c>
      <c r="P602" s="28" t="n">
        <v>0.04</v>
      </c>
      <c r="Q602" s="28" t="n">
        <v>0.006562</v>
      </c>
      <c r="R602" s="26" t="n">
        <v>29</v>
      </c>
      <c r="S602" s="29" t="n">
        <v>1</v>
      </c>
      <c r="T602" s="24" t="inlineStr">
        <is>
          <t>soccer-poisson-dc-v1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2</v>
      </c>
      <c r="Y602" s="25" t="n"/>
      <c r="Z602" s="26" t="n">
        <v>-178</v>
      </c>
      <c r="AA602" s="28" t="n">
        <v>0.64</v>
      </c>
      <c r="AB602" s="28" t="n">
        <v>0.26963</v>
      </c>
      <c r="AC602" s="30" t="n">
        <v>-1</v>
      </c>
      <c r="AD602" s="24" t="inlineStr">
        <is>
          <t>2026-09-10T04:32:22.565188Z</t>
        </is>
      </c>
      <c r="AE602" s="31" t="inlineStr">
        <is>
          <t>Poisson-DC rates 1.55 (home) / 1.58 (away) from EWMA attack/defense strengths. Executable ask 0.3700 (atc-mls-dcu-clb-2026-09-09-clb).</t>
        </is>
      </c>
      <c r="AF602" s="31" t="inlineStr">
        <is>
          <t>Research-only soccer score model; draw-aware, but not yet locked-holdout qualified.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Columbus Crew</t>
        </is>
      </c>
      <c r="AQ602" s="24" t="inlineStr">
        <is>
          <t>Columbus Crew</t>
        </is>
      </c>
      <c r="AR602" s="24" t="inlineStr">
        <is>
          <t>Columbus Crew</t>
        </is>
      </c>
      <c r="AS602" s="24" t="inlineStr">
        <is>
          <t>D.C. United</t>
        </is>
      </c>
      <c r="AT602" s="24" t="inlineStr">
        <is>
          <t>D.C. United</t>
        </is>
      </c>
      <c r="AU602" s="24" t="inlineStr">
        <is>
          <t>D.C. United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9c072f5f9cf71a972f86e4222ffca6b72422789e9356ec3b1e371da1132584dd</t>
        </is>
      </c>
      <c r="BB602" s="24" t="inlineStr">
        <is>
          <t>poisson_dixon_coles</t>
        </is>
      </c>
      <c r="BC602" s="24" t="inlineStr">
        <is>
          <t>soccer-poisson-dc-v1</t>
        </is>
      </c>
      <c r="BD602" s="24" t="inlineStr">
        <is>
          <t>9c072f5f9cf71a972f86e4222ffca6b72422789e9356ec3b1e371da1132584dd</t>
        </is>
      </c>
      <c r="BE602" s="24" t="inlineStr">
        <is>
          <t>soccer-poisson-dc-v1</t>
        </is>
      </c>
      <c r="BF602" s="24" t="inlineStr">
        <is>
          <t>1</t>
        </is>
      </c>
      <c r="BG602" s="24" t="inlineStr">
        <is>
          <t>9c072f5f9cf71a972f86e4222ffca6b72422789e9356ec3b1e371da1132584dd</t>
        </is>
      </c>
      <c r="BH602" s="24" t="inlineStr">
        <is>
          <t>2026-09-09T22:05:09.956521Z</t>
        </is>
      </c>
      <c r="BI602" s="24" t="inlineStr">
        <is>
          <t>["same_event","same_team_same_day","same_league_same_day"]</t>
        </is>
      </c>
      <c r="BJ602" s="25" t="n"/>
      <c r="BK602" s="26" t="n">
        <v>170</v>
      </c>
      <c r="BL602" s="27" t="n">
        <v>2.7</v>
      </c>
      <c r="BM602" s="28" t="n">
        <v>0.37037</v>
      </c>
      <c r="BN602" s="28" t="n"/>
      <c r="BO602" s="28" t="n"/>
      <c r="BP602" s="25" t="n"/>
      <c r="BQ602" s="27" t="n">
        <v>1.561798</v>
      </c>
      <c r="BR602" s="28" t="n">
        <v>0.64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0.37037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d9b19bad36784123</t>
        </is>
      </c>
      <c r="B603" s="24" t="inlineStr">
        <is>
          <t>2026-09-09T22:06:21.332951Z</t>
        </is>
      </c>
      <c r="C603" s="24" t="inlineStr">
        <is>
          <t>2026-09-09T23:30Z</t>
        </is>
      </c>
      <c r="D603" s="24" t="inlineStr">
        <is>
          <t>761790</t>
        </is>
      </c>
      <c r="E603" s="24" t="inlineStr">
        <is>
          <t>SOCCER</t>
        </is>
      </c>
      <c r="F603" s="24" t="inlineStr">
        <is>
          <t>Nashville SC</t>
        </is>
      </c>
      <c r="G603" s="24" t="inlineStr">
        <is>
          <t>Toronto FC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104</v>
      </c>
      <c r="M603" s="27" t="n">
        <v>2.04</v>
      </c>
      <c r="N603" s="28" t="n">
        <v>0.490196</v>
      </c>
      <c r="O603" s="28" t="n">
        <v>0.510574</v>
      </c>
      <c r="P603" s="28" t="n">
        <v>0.04</v>
      </c>
      <c r="Q603" s="28" t="n">
        <v>0.020378</v>
      </c>
      <c r="R603" s="26" t="n">
        <v>36</v>
      </c>
      <c r="S603" s="29" t="n">
        <v>1</v>
      </c>
      <c r="T603" s="24" t="inlineStr">
        <is>
          <t>soccer-poisson-dc-v1</t>
        </is>
      </c>
      <c r="U603" s="24" t="inlineStr">
        <is>
          <t>settled</t>
        </is>
      </c>
      <c r="V603" s="24" t="inlineStr">
        <is>
          <t>loss</t>
        </is>
      </c>
      <c r="W603" s="26" t="n">
        <v>1</v>
      </c>
      <c r="X603" s="26" t="n">
        <v>2</v>
      </c>
      <c r="Y603" s="25" t="n"/>
      <c r="Z603" s="26" t="n">
        <v>-108</v>
      </c>
      <c r="AA603" s="28" t="n">
        <v>0.52</v>
      </c>
      <c r="AB603" s="28" t="n">
        <v>0.029804</v>
      </c>
      <c r="AC603" s="30" t="n">
        <v>-1</v>
      </c>
      <c r="AD603" s="24" t="inlineStr">
        <is>
          <t>2026-09-10T04:32:23.131155Z</t>
        </is>
      </c>
      <c r="AE603" s="31" t="inlineStr">
        <is>
          <t>Poisson-DC rates 1.16 (home) / 1.79 (away) from EWMA attack/defense strengths. Executable ask 0.4900 (atc-mls-tor-nas-2026-09-09-nas).</t>
        </is>
      </c>
      <c r="AF603" s="31" t="inlineStr">
        <is>
          <t>Research-only soccer score model; draw-aware, but not yet locked-holdout qualified.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Nashville SC</t>
        </is>
      </c>
      <c r="AQ603" s="24" t="inlineStr">
        <is>
          <t>Nashville SC</t>
        </is>
      </c>
      <c r="AR603" s="24" t="inlineStr">
        <is>
          <t>Nashville SC</t>
        </is>
      </c>
      <c r="AS603" s="24" t="inlineStr">
        <is>
          <t>Toronto FC</t>
        </is>
      </c>
      <c r="AT603" s="24" t="inlineStr">
        <is>
          <t>Toronto FC</t>
        </is>
      </c>
      <c r="AU603" s="24" t="inlineStr">
        <is>
          <t>Toronto FC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9c072f5f9cf71a972f86e4222ffca6b72422789e9356ec3b1e371da1132584dd</t>
        </is>
      </c>
      <c r="BB603" s="24" t="inlineStr">
        <is>
          <t>poisson_dixon_coles</t>
        </is>
      </c>
      <c r="BC603" s="24" t="inlineStr">
        <is>
          <t>soccer-poisson-dc-v1</t>
        </is>
      </c>
      <c r="BD603" s="24" t="inlineStr">
        <is>
          <t>9c072f5f9cf71a972f86e4222ffca6b72422789e9356ec3b1e371da1132584dd</t>
        </is>
      </c>
      <c r="BE603" s="24" t="inlineStr">
        <is>
          <t>soccer-poisson-dc-v1</t>
        </is>
      </c>
      <c r="BF603" s="24" t="inlineStr">
        <is>
          <t>1</t>
        </is>
      </c>
      <c r="BG603" s="24" t="inlineStr">
        <is>
          <t>9c072f5f9cf71a972f86e4222ffca6b72422789e9356ec3b1e371da1132584dd</t>
        </is>
      </c>
      <c r="BH603" s="24" t="inlineStr">
        <is>
          <t>2026-09-09T22:05:10.178771Z</t>
        </is>
      </c>
      <c r="BI603" s="24" t="inlineStr">
        <is>
          <t>["same_event","same_team_same_day","same_league_same_day"]</t>
        </is>
      </c>
      <c r="BJ603" s="25" t="n"/>
      <c r="BK603" s="26" t="n">
        <v>104</v>
      </c>
      <c r="BL603" s="27" t="n">
        <v>2.04</v>
      </c>
      <c r="BM603" s="28" t="n">
        <v>0.490196</v>
      </c>
      <c r="BN603" s="28" t="n"/>
      <c r="BO603" s="28" t="n"/>
      <c r="BP603" s="25" t="n"/>
      <c r="BQ603" s="27" t="n">
        <v>1.925926</v>
      </c>
      <c r="BR603" s="28" t="n">
        <v>0.52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0.490196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4e800c4544684b19</t>
        </is>
      </c>
      <c r="B604" s="24" t="inlineStr">
        <is>
          <t>2026-09-09T22:06:21.332951Z</t>
        </is>
      </c>
      <c r="C604" s="24" t="inlineStr">
        <is>
          <t>2026-09-09T23:45Z</t>
        </is>
      </c>
      <c r="D604" s="24" t="inlineStr">
        <is>
          <t>761786</t>
        </is>
      </c>
      <c r="E604" s="24" t="inlineStr">
        <is>
          <t>SOCCER</t>
        </is>
      </c>
      <c r="F604" s="24" t="inlineStr">
        <is>
          <t>FC Cincinnati</t>
        </is>
      </c>
      <c r="G604" s="24" t="inlineStr">
        <is>
          <t>Philadelphia Union</t>
        </is>
      </c>
      <c r="H604" s="24" t="inlineStr">
        <is>
          <t>moneyline</t>
        </is>
      </c>
      <c r="I604" s="24" t="inlineStr">
        <is>
          <t>home</t>
        </is>
      </c>
      <c r="J604" s="25" t="n"/>
      <c r="K604" s="24" t="inlineStr">
        <is>
          <t>polymarket_us</t>
        </is>
      </c>
      <c r="L604" s="26" t="n">
        <v>-144</v>
      </c>
      <c r="M604" s="27" t="n">
        <v>1.694444</v>
      </c>
      <c r="N604" s="28" t="n">
        <v>0.590164</v>
      </c>
      <c r="O604" s="28" t="n">
        <v>0.419374</v>
      </c>
      <c r="P604" s="28" t="n">
        <v>0.04</v>
      </c>
      <c r="Q604" s="28" t="n">
        <v>-0.17079</v>
      </c>
      <c r="R604" s="26" t="n">
        <v>0</v>
      </c>
      <c r="S604" s="29" t="n">
        <v>1</v>
      </c>
      <c r="T604" s="24" t="inlineStr">
        <is>
          <t>soccer-poisson-dc-v1</t>
        </is>
      </c>
      <c r="U604" s="24" t="inlineStr">
        <is>
          <t>settled</t>
        </is>
      </c>
      <c r="V604" s="24" t="inlineStr">
        <is>
          <t>win</t>
        </is>
      </c>
      <c r="W604" s="26" t="n">
        <v>0</v>
      </c>
      <c r="X604" s="26" t="n">
        <v>5</v>
      </c>
      <c r="Y604" s="25" t="n"/>
      <c r="Z604" s="26" t="n">
        <v>-144</v>
      </c>
      <c r="AA604" s="28" t="n">
        <v>0.59</v>
      </c>
      <c r="AB604" s="28" t="n">
        <v>-0.000164</v>
      </c>
      <c r="AC604" s="30" t="n">
        <v>0.6944</v>
      </c>
      <c r="AD604" s="24" t="inlineStr">
        <is>
          <t>2026-09-10T04:32:23.685095Z</t>
        </is>
      </c>
      <c r="AE604" s="31" t="inlineStr">
        <is>
          <t>Poisson-DC rates 2.29 (home) / 2.17 (away) from EWMA attack/defense strengths. Executable ask 0.5900 (atc-mls-phi-fcc-2026-09-09-phi).</t>
        </is>
      </c>
      <c r="AF604" s="31" t="inlineStr">
        <is>
          <t>Research-only soccer score model; draw-aware, but not yet locked-holdout qualified.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FC Cincinnati</t>
        </is>
      </c>
      <c r="AQ604" s="24" t="inlineStr">
        <is>
          <t>FC Cincinnati</t>
        </is>
      </c>
      <c r="AR604" s="24" t="inlineStr">
        <is>
          <t>FC Cincinnati</t>
        </is>
      </c>
      <c r="AS604" s="24" t="inlineStr">
        <is>
          <t>Philadelphia Union</t>
        </is>
      </c>
      <c r="AT604" s="24" t="inlineStr">
        <is>
          <t>Philadelphia Union</t>
        </is>
      </c>
      <c r="AU604" s="24" t="inlineStr">
        <is>
          <t>Philadelphia Union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9c072f5f9cf71a972f86e4222ffca6b72422789e9356ec3b1e371da1132584dd</t>
        </is>
      </c>
      <c r="BB604" s="24" t="inlineStr">
        <is>
          <t>poisson_dixon_coles</t>
        </is>
      </c>
      <c r="BC604" s="24" t="inlineStr">
        <is>
          <t>soccer-poisson-dc-v1</t>
        </is>
      </c>
      <c r="BD604" s="24" t="inlineStr">
        <is>
          <t>9c072f5f9cf71a972f86e4222ffca6b72422789e9356ec3b1e371da1132584dd</t>
        </is>
      </c>
      <c r="BE604" s="24" t="inlineStr">
        <is>
          <t>soccer-poisson-dc-v1</t>
        </is>
      </c>
      <c r="BF604" s="24" t="inlineStr">
        <is>
          <t>1</t>
        </is>
      </c>
      <c r="BG604" s="24" t="inlineStr">
        <is>
          <t>9c072f5f9cf71a972f86e4222ffca6b72422789e9356ec3b1e371da1132584dd</t>
        </is>
      </c>
      <c r="BH604" s="24" t="inlineStr">
        <is>
          <t>2026-09-09T22:05:10.256111Z</t>
        </is>
      </c>
      <c r="BI604" s="24" t="inlineStr">
        <is>
          <t>["same_event","same_team_same_day","same_league_same_day"]</t>
        </is>
      </c>
      <c r="BJ604" s="25" t="n"/>
      <c r="BK604" s="26" t="n">
        <v>-144</v>
      </c>
      <c r="BL604" s="27" t="n">
        <v>1.694444</v>
      </c>
      <c r="BM604" s="28" t="n">
        <v>0.590164</v>
      </c>
      <c r="BN604" s="28" t="n"/>
      <c r="BO604" s="28" t="n"/>
      <c r="BP604" s="25" t="n"/>
      <c r="BQ604" s="27" t="n">
        <v>1.694444</v>
      </c>
      <c r="BR604" s="28" t="n">
        <v>0.59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0.590164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c3327b7fa77f4710</t>
        </is>
      </c>
      <c r="B605" s="24" t="inlineStr">
        <is>
          <t>2026-09-09T22:06:21.332951Z</t>
        </is>
      </c>
      <c r="C605" s="24" t="inlineStr">
        <is>
          <t>2026-09-10T00:00Z</t>
        </is>
      </c>
      <c r="D605" s="24" t="inlineStr">
        <is>
          <t>761788</t>
        </is>
      </c>
      <c r="E605" s="24" t="inlineStr">
        <is>
          <t>SOCCER</t>
        </is>
      </c>
      <c r="F605" s="24" t="inlineStr">
        <is>
          <t>New England Revolution</t>
        </is>
      </c>
      <c r="G605" s="24" t="inlineStr">
        <is>
          <t>New York City FC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163</v>
      </c>
      <c r="M605" s="27" t="n">
        <v>2.63</v>
      </c>
      <c r="N605" s="28" t="n">
        <v>0.380228</v>
      </c>
      <c r="O605" s="28" t="n">
        <v>0.476751</v>
      </c>
      <c r="P605" s="28" t="n">
        <v>0.04</v>
      </c>
      <c r="Q605" s="28" t="n">
        <v>0.096523</v>
      </c>
      <c r="R605" s="26" t="n">
        <v>74</v>
      </c>
      <c r="S605" s="29" t="n">
        <v>1.5</v>
      </c>
      <c r="T605" s="24" t="inlineStr">
        <is>
          <t>soccer-poisson-dc-v1</t>
        </is>
      </c>
      <c r="U605" s="24" t="inlineStr">
        <is>
          <t>settled</t>
        </is>
      </c>
      <c r="V605" s="24" t="inlineStr">
        <is>
          <t>loss</t>
        </is>
      </c>
      <c r="W605" s="26" t="n">
        <v>2</v>
      </c>
      <c r="X605" s="26" t="n">
        <v>1</v>
      </c>
      <c r="Y605" s="25" t="n"/>
      <c r="Z605" s="26" t="n">
        <v>163</v>
      </c>
      <c r="AA605" s="28" t="n">
        <v>0.38</v>
      </c>
      <c r="AB605" s="28" t="n">
        <v>-0.000228</v>
      </c>
      <c r="AC605" s="30" t="n">
        <v>-1.5</v>
      </c>
      <c r="AD605" s="24" t="inlineStr">
        <is>
          <t>2026-09-10T04:32:24.239365Z</t>
        </is>
      </c>
      <c r="AE605" s="31" t="inlineStr">
        <is>
          <t>Poisson-DC rates 1.61 (home) / 1.12 (away) from EWMA attack/defense strengths. Executable ask 0.3800 (atc-mls-nyc-ner-2026-09-09-nyc).</t>
        </is>
      </c>
      <c r="AF605" s="31" t="inlineStr">
        <is>
          <t>Research-only soccer score model; draw-aware, but not yet locked-holdout qualified.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New England Revolution</t>
        </is>
      </c>
      <c r="AQ605" s="24" t="inlineStr">
        <is>
          <t>New England Revolution</t>
        </is>
      </c>
      <c r="AR605" s="24" t="inlineStr">
        <is>
          <t>New England Revolution</t>
        </is>
      </c>
      <c r="AS605" s="24" t="inlineStr">
        <is>
          <t>New York City FC</t>
        </is>
      </c>
      <c r="AT605" s="24" t="inlineStr">
        <is>
          <t>New York City FC</t>
        </is>
      </c>
      <c r="AU605" s="24" t="inlineStr">
        <is>
          <t>New York City FC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9c072f5f9cf71a972f86e4222ffca6b72422789e9356ec3b1e371da1132584dd</t>
        </is>
      </c>
      <c r="BB605" s="24" t="inlineStr">
        <is>
          <t>poisson_dixon_coles</t>
        </is>
      </c>
      <c r="BC605" s="24" t="inlineStr">
        <is>
          <t>soccer-poisson-dc-v1</t>
        </is>
      </c>
      <c r="BD605" s="24" t="inlineStr">
        <is>
          <t>9c072f5f9cf71a972f86e4222ffca6b72422789e9356ec3b1e371da1132584dd</t>
        </is>
      </c>
      <c r="BE605" s="24" t="inlineStr">
        <is>
          <t>soccer-poisson-dc-v1</t>
        </is>
      </c>
      <c r="BF605" s="24" t="inlineStr">
        <is>
          <t>1</t>
        </is>
      </c>
      <c r="BG605" s="24" t="inlineStr">
        <is>
          <t>9c072f5f9cf71a972f86e4222ffca6b72422789e9356ec3b1e371da1132584dd</t>
        </is>
      </c>
      <c r="BH605" s="24" t="inlineStr">
        <is>
          <t>2026-09-09T22:05:10.353590Z</t>
        </is>
      </c>
      <c r="BI605" s="24" t="inlineStr">
        <is>
          <t>["same_event","same_team_same_day","same_league_same_day"]</t>
        </is>
      </c>
      <c r="BJ605" s="25" t="n"/>
      <c r="BK605" s="26" t="n">
        <v>163</v>
      </c>
      <c r="BL605" s="27" t="n">
        <v>2.63</v>
      </c>
      <c r="BM605" s="28" t="n">
        <v>0.380228</v>
      </c>
      <c r="BN605" s="28" t="n"/>
      <c r="BO605" s="28" t="n"/>
      <c r="BP605" s="25" t="n"/>
      <c r="BQ605" s="27" t="n">
        <v>2.63</v>
      </c>
      <c r="BR605" s="28" t="n">
        <v>0.38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0.380228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5a9f3ff52c0b4e1b</t>
        </is>
      </c>
      <c r="B606" s="24" t="inlineStr">
        <is>
          <t>2026-09-09T22:06:21.332951Z</t>
        </is>
      </c>
      <c r="C606" s="24" t="inlineStr">
        <is>
          <t>2026-09-10T00:30Z</t>
        </is>
      </c>
      <c r="D606" s="24" t="inlineStr">
        <is>
          <t>761794</t>
        </is>
      </c>
      <c r="E606" s="24" t="inlineStr">
        <is>
          <t>SOCCER</t>
        </is>
      </c>
      <c r="F606" s="24" t="inlineStr">
        <is>
          <t>Colorado Rapids</t>
        </is>
      </c>
      <c r="G606" s="24" t="inlineStr">
        <is>
          <t>Austin FC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194</v>
      </c>
      <c r="M606" s="27" t="n">
        <v>2.94</v>
      </c>
      <c r="N606" s="28" t="n">
        <v>0.340136</v>
      </c>
      <c r="O606" s="28" t="n">
        <v>0.387844</v>
      </c>
      <c r="P606" s="28" t="n">
        <v>0.04</v>
      </c>
      <c r="Q606" s="28" t="n">
        <v>0.047708</v>
      </c>
      <c r="R606" s="26" t="n">
        <v>50</v>
      </c>
      <c r="S606" s="29" t="n">
        <v>1</v>
      </c>
      <c r="T606" s="24" t="inlineStr">
        <is>
          <t>soccer-poisson-dc-v1</t>
        </is>
      </c>
      <c r="U606" s="24" t="inlineStr">
        <is>
          <t>settled</t>
        </is>
      </c>
      <c r="V606" s="24" t="inlineStr">
        <is>
          <t>loss</t>
        </is>
      </c>
      <c r="W606" s="26" t="n">
        <v>1</v>
      </c>
      <c r="X606" s="26" t="n">
        <v>1</v>
      </c>
      <c r="Y606" s="25" t="n"/>
      <c r="Z606" s="26" t="n">
        <v>-203</v>
      </c>
      <c r="AA606" s="28" t="n">
        <v>0.67</v>
      </c>
      <c r="AB606" s="28" t="n">
        <v>0.329864</v>
      </c>
      <c r="AC606" s="30" t="n">
        <v>-1</v>
      </c>
      <c r="AD606" s="24" t="inlineStr">
        <is>
          <t>2026-09-10T04:32:24.797624Z</t>
        </is>
      </c>
      <c r="AE606" s="31" t="inlineStr">
        <is>
          <t>Poisson-DC rates 1.53 (home) / 1.61 (away) from EWMA attack/defense strengths. Executable ask 0.3400 (atc-mls-aus-col-2026-09-09-col).</t>
        </is>
      </c>
      <c r="AF606" s="31" t="inlineStr">
        <is>
          <t>Research-only soccer score model; draw-aware, but not yet locked-holdout qualified.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Colorado Rapids</t>
        </is>
      </c>
      <c r="AQ606" s="24" t="inlineStr">
        <is>
          <t>Colorado Rapids</t>
        </is>
      </c>
      <c r="AR606" s="24" t="inlineStr">
        <is>
          <t>Colorado Rapids</t>
        </is>
      </c>
      <c r="AS606" s="24" t="inlineStr">
        <is>
          <t>Austin FC</t>
        </is>
      </c>
      <c r="AT606" s="24" t="inlineStr">
        <is>
          <t>Austin FC</t>
        </is>
      </c>
      <c r="AU606" s="24" t="inlineStr">
        <is>
          <t>Austin FC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9c072f5f9cf71a972f86e4222ffca6b72422789e9356ec3b1e371da1132584dd</t>
        </is>
      </c>
      <c r="BB606" s="24" t="inlineStr">
        <is>
          <t>poisson_dixon_coles</t>
        </is>
      </c>
      <c r="BC606" s="24" t="inlineStr">
        <is>
          <t>soccer-poisson-dc-v1</t>
        </is>
      </c>
      <c r="BD606" s="24" t="inlineStr">
        <is>
          <t>9c072f5f9cf71a972f86e4222ffca6b72422789e9356ec3b1e371da1132584dd</t>
        </is>
      </c>
      <c r="BE606" s="24" t="inlineStr">
        <is>
          <t>soccer-poisson-dc-v1</t>
        </is>
      </c>
      <c r="BF606" s="24" t="inlineStr">
        <is>
          <t>1</t>
        </is>
      </c>
      <c r="BG606" s="24" t="inlineStr">
        <is>
          <t>9c072f5f9cf71a972f86e4222ffca6b72422789e9356ec3b1e371da1132584dd</t>
        </is>
      </c>
      <c r="BH606" s="24" t="inlineStr">
        <is>
          <t>2026-09-09T22:05:10.472051Z</t>
        </is>
      </c>
      <c r="BI606" s="24" t="inlineStr">
        <is>
          <t>["same_event","same_team_same_day","same_league_same_day"]</t>
        </is>
      </c>
      <c r="BJ606" s="25" t="n"/>
      <c r="BK606" s="26" t="n">
        <v>194</v>
      </c>
      <c r="BL606" s="27" t="n">
        <v>2.94</v>
      </c>
      <c r="BM606" s="28" t="n">
        <v>0.340136</v>
      </c>
      <c r="BN606" s="28" t="n"/>
      <c r="BO606" s="28" t="n"/>
      <c r="BP606" s="25" t="n"/>
      <c r="BQ606" s="27" t="n">
        <v>1.492611</v>
      </c>
      <c r="BR606" s="28" t="n">
        <v>0.67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0.340136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9b9c7850ff2c4357</t>
        </is>
      </c>
      <c r="B607" s="24" t="inlineStr">
        <is>
          <t>2026-09-09T22:06:21.332951Z</t>
        </is>
      </c>
      <c r="C607" s="24" t="inlineStr">
        <is>
          <t>2026-09-10T00:30Z</t>
        </is>
      </c>
      <c r="D607" s="24" t="inlineStr">
        <is>
          <t>761792</t>
        </is>
      </c>
      <c r="E607" s="24" t="inlineStr">
        <is>
          <t>SOCCER</t>
        </is>
      </c>
      <c r="F607" s="24" t="inlineStr">
        <is>
          <t>Inter Miami CF</t>
        </is>
      </c>
      <c r="G607" s="24" t="inlineStr">
        <is>
          <t>Chicago Fire FC</t>
        </is>
      </c>
      <c r="H607" s="24" t="inlineStr">
        <is>
          <t>moneyline</t>
        </is>
      </c>
      <c r="I607" s="24" t="inlineStr">
        <is>
          <t>home</t>
        </is>
      </c>
      <c r="J607" s="25" t="n"/>
      <c r="K607" s="24" t="inlineStr">
        <is>
          <t>polymarket_us</t>
        </is>
      </c>
      <c r="L607" s="26" t="n">
        <v>138</v>
      </c>
      <c r="M607" s="27" t="n">
        <v>2.38</v>
      </c>
      <c r="N607" s="28" t="n">
        <v>0.420168</v>
      </c>
      <c r="O607" s="28" t="n">
        <v>0.449354</v>
      </c>
      <c r="P607" s="28" t="n">
        <v>0.04</v>
      </c>
      <c r="Q607" s="28" t="n">
        <v>0.029186</v>
      </c>
      <c r="R607" s="26" t="n">
        <v>41</v>
      </c>
      <c r="S607" s="29" t="n">
        <v>1</v>
      </c>
      <c r="T607" s="24" t="inlineStr">
        <is>
          <t>soccer-poisson-dc-v1</t>
        </is>
      </c>
      <c r="U607" s="24" t="inlineStr">
        <is>
          <t>settled</t>
        </is>
      </c>
      <c r="V607" s="24" t="inlineStr">
        <is>
          <t>loss</t>
        </is>
      </c>
      <c r="W607" s="26" t="n">
        <v>1</v>
      </c>
      <c r="X607" s="26" t="n">
        <v>1</v>
      </c>
      <c r="Y607" s="25" t="n"/>
      <c r="Z607" s="26" t="n">
        <v>138</v>
      </c>
      <c r="AA607" s="28" t="n">
        <v>0.42</v>
      </c>
      <c r="AB607" s="28" t="n">
        <v>-0.000168</v>
      </c>
      <c r="AC607" s="30" t="n">
        <v>-1</v>
      </c>
      <c r="AD607" s="24" t="inlineStr">
        <is>
          <t>2026-09-10T04:32:25.354180Z</t>
        </is>
      </c>
      <c r="AE607" s="31" t="inlineStr">
        <is>
          <t>Poisson-DC rates 2.50 (home) / 2.23 (away) from EWMA attack/defense strengths. Executable ask 0.4200 (atc-mls-chi-mia-2026-09-09-chi).</t>
        </is>
      </c>
      <c r="AF607" s="31" t="inlineStr">
        <is>
          <t>Research-only soccer score model; draw-aware, but not yet locked-holdout qualified.</t>
        </is>
      </c>
      <c r="AG607" s="24" t="inlineStr">
        <is>
          <t>review_required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Inter Miami CF</t>
        </is>
      </c>
      <c r="AQ607" s="24" t="inlineStr">
        <is>
          <t>Inter Miami CF</t>
        </is>
      </c>
      <c r="AR607" s="24" t="inlineStr">
        <is>
          <t>Inter Miami CF</t>
        </is>
      </c>
      <c r="AS607" s="24" t="inlineStr">
        <is>
          <t>Chicago Fire FC</t>
        </is>
      </c>
      <c r="AT607" s="24" t="inlineStr">
        <is>
          <t>Chicago Fire FC</t>
        </is>
      </c>
      <c r="AU607" s="24" t="inlineStr">
        <is>
          <t>Chicago Fire FC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9c072f5f9cf71a972f86e4222ffca6b72422789e9356ec3b1e371da1132584dd</t>
        </is>
      </c>
      <c r="BB607" s="24" t="inlineStr">
        <is>
          <t>poisson_dixon_coles</t>
        </is>
      </c>
      <c r="BC607" s="24" t="inlineStr">
        <is>
          <t>soccer-poisson-dc-v1</t>
        </is>
      </c>
      <c r="BD607" s="24" t="inlineStr">
        <is>
          <t>9c072f5f9cf71a972f86e4222ffca6b72422789e9356ec3b1e371da1132584dd</t>
        </is>
      </c>
      <c r="BE607" s="24" t="inlineStr">
        <is>
          <t>soccer-poisson-dc-v1</t>
        </is>
      </c>
      <c r="BF607" s="24" t="inlineStr">
        <is>
          <t>1</t>
        </is>
      </c>
      <c r="BG607" s="24" t="inlineStr">
        <is>
          <t>9c072f5f9cf71a972f86e4222ffca6b72422789e9356ec3b1e371da1132584dd</t>
        </is>
      </c>
      <c r="BH607" s="24" t="inlineStr">
        <is>
          <t>2026-09-09T22:05:10.753695Z</t>
        </is>
      </c>
      <c r="BI607" s="24" t="inlineStr">
        <is>
          <t>["same_event","same_team_same_day","same_league_same_day"]</t>
        </is>
      </c>
      <c r="BJ607" s="25" t="n"/>
      <c r="BK607" s="26" t="n">
        <v>138</v>
      </c>
      <c r="BL607" s="27" t="n">
        <v>2.38</v>
      </c>
      <c r="BM607" s="28" t="n">
        <v>0.420168</v>
      </c>
      <c r="BN607" s="28" t="n"/>
      <c r="BO607" s="28" t="n"/>
      <c r="BP607" s="25" t="n"/>
      <c r="BQ607" s="27" t="n">
        <v>2.38</v>
      </c>
      <c r="BR607" s="28" t="n">
        <v>0.42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0.420168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85c68e9a93b44033</t>
        </is>
      </c>
      <c r="B608" s="24" t="inlineStr">
        <is>
          <t>2026-09-09T22:06:21.332951Z</t>
        </is>
      </c>
      <c r="C608" s="24" t="inlineStr">
        <is>
          <t>2026-09-10T00:30Z</t>
        </is>
      </c>
      <c r="D608" s="24" t="inlineStr">
        <is>
          <t>761791</t>
        </is>
      </c>
      <c r="E608" s="24" t="inlineStr">
        <is>
          <t>SOCCER</t>
        </is>
      </c>
      <c r="F608" s="24" t="inlineStr">
        <is>
          <t>Real Salt Lake</t>
        </is>
      </c>
      <c r="G608" s="24" t="inlineStr">
        <is>
          <t>Houston Dynamo FC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285</v>
      </c>
      <c r="M608" s="27" t="n">
        <v>3.85</v>
      </c>
      <c r="N608" s="28" t="n">
        <v>0.25974</v>
      </c>
      <c r="O608" s="28" t="n">
        <v>0.36166</v>
      </c>
      <c r="P608" s="28" t="n">
        <v>0.04</v>
      </c>
      <c r="Q608" s="28" t="n">
        <v>0.10192</v>
      </c>
      <c r="R608" s="26" t="n">
        <v>77</v>
      </c>
      <c r="S608" s="29" t="n">
        <v>1.5</v>
      </c>
      <c r="T608" s="24" t="inlineStr">
        <is>
          <t>soccer-poisson-dc-v1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2</v>
      </c>
      <c r="Y608" s="25" t="n"/>
      <c r="Z608" s="26" t="n">
        <v>-300</v>
      </c>
      <c r="AA608" s="28" t="n">
        <v>0.75</v>
      </c>
      <c r="AB608" s="28" t="n">
        <v>0.49026</v>
      </c>
      <c r="AC608" s="30" t="n">
        <v>-1.5</v>
      </c>
      <c r="AD608" s="24" t="inlineStr">
        <is>
          <t>2026-09-10T04:32:25.907387Z</t>
        </is>
      </c>
      <c r="AE608" s="31" t="inlineStr">
        <is>
          <t>Poisson-DC rates 1.40 (home) / 1.40 (away) from EWMA attack/defense strengths. Executable ask 0.2600 (atc-mls-hou-rsl-2026-09-09-rsl).</t>
        </is>
      </c>
      <c r="AF608" s="31" t="inlineStr">
        <is>
          <t>Research-only soccer score model; draw-aware, but not yet locked-holdout qualified.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Real Salt Lake</t>
        </is>
      </c>
      <c r="AQ608" s="24" t="inlineStr">
        <is>
          <t>Real Salt Lake</t>
        </is>
      </c>
      <c r="AR608" s="24" t="inlineStr">
        <is>
          <t>Real Salt Lake</t>
        </is>
      </c>
      <c r="AS608" s="24" t="inlineStr">
        <is>
          <t>Houston Dynamo FC</t>
        </is>
      </c>
      <c r="AT608" s="24" t="inlineStr">
        <is>
          <t>Houston Dynamo FC</t>
        </is>
      </c>
      <c r="AU608" s="24" t="inlineStr">
        <is>
          <t>Houston Dynamo FC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9c072f5f9cf71a972f86e4222ffca6b72422789e9356ec3b1e371da1132584dd</t>
        </is>
      </c>
      <c r="BB608" s="24" t="inlineStr">
        <is>
          <t>poisson_dixon_coles</t>
        </is>
      </c>
      <c r="BC608" s="24" t="inlineStr">
        <is>
          <t>soccer-poisson-dc-v1</t>
        </is>
      </c>
      <c r="BD608" s="24" t="inlineStr">
        <is>
          <t>9c072f5f9cf71a972f86e4222ffca6b72422789e9356ec3b1e371da1132584dd</t>
        </is>
      </c>
      <c r="BE608" s="24" t="inlineStr">
        <is>
          <t>soccer-poisson-dc-v1</t>
        </is>
      </c>
      <c r="BF608" s="24" t="inlineStr">
        <is>
          <t>1</t>
        </is>
      </c>
      <c r="BG608" s="24" t="inlineStr">
        <is>
          <t>9c072f5f9cf71a972f86e4222ffca6b72422789e9356ec3b1e371da1132584dd</t>
        </is>
      </c>
      <c r="BH608" s="24" t="inlineStr">
        <is>
          <t>2026-09-09T22:05:10.549255Z</t>
        </is>
      </c>
      <c r="BI608" s="24" t="inlineStr">
        <is>
          <t>["same_event","same_team_same_day","same_league_same_day"]</t>
        </is>
      </c>
      <c r="BJ608" s="25" t="n"/>
      <c r="BK608" s="26" t="n">
        <v>285</v>
      </c>
      <c r="BL608" s="27" t="n">
        <v>3.85</v>
      </c>
      <c r="BM608" s="28" t="n">
        <v>0.25974</v>
      </c>
      <c r="BN608" s="28" t="n"/>
      <c r="BO608" s="28" t="n"/>
      <c r="BP608" s="25" t="n"/>
      <c r="BQ608" s="27" t="n">
        <v>1.333333</v>
      </c>
      <c r="BR608" s="28" t="n">
        <v>0.75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0.25974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4f36a98848724157</t>
        </is>
      </c>
      <c r="B609" s="24" t="inlineStr">
        <is>
          <t>2026-09-09T22:06:21.332951Z</t>
        </is>
      </c>
      <c r="C609" s="24" t="inlineStr">
        <is>
          <t>2026-09-10T00:30Z</t>
        </is>
      </c>
      <c r="D609" s="24" t="inlineStr">
        <is>
          <t>761793</t>
        </is>
      </c>
      <c r="E609" s="24" t="inlineStr">
        <is>
          <t>SOCCER</t>
        </is>
      </c>
      <c r="F609" s="24" t="inlineStr">
        <is>
          <t>FC Dallas</t>
        </is>
      </c>
      <c r="G609" s="24" t="inlineStr">
        <is>
          <t>Minnesota United FC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100</v>
      </c>
      <c r="M609" s="27" t="n">
        <v>2</v>
      </c>
      <c r="N609" s="28" t="n">
        <v>0.5</v>
      </c>
      <c r="O609" s="28" t="n">
        <v>0.375738</v>
      </c>
      <c r="P609" s="28" t="n">
        <v>0.04</v>
      </c>
      <c r="Q609" s="28" t="n">
        <v>-0.124262</v>
      </c>
      <c r="R609" s="26" t="n">
        <v>0</v>
      </c>
      <c r="S609" s="29" t="n">
        <v>1</v>
      </c>
      <c r="T609" s="24" t="inlineStr">
        <is>
          <t>soccer-poisson-dc-v1</t>
        </is>
      </c>
      <c r="U609" s="24" t="inlineStr">
        <is>
          <t>settled</t>
        </is>
      </c>
      <c r="V609" s="24" t="inlineStr">
        <is>
          <t>loss</t>
        </is>
      </c>
      <c r="W609" s="26" t="n">
        <v>2</v>
      </c>
      <c r="X609" s="26" t="n">
        <v>1</v>
      </c>
      <c r="Y609" s="25" t="n"/>
      <c r="Z609" s="26" t="n">
        <v>100</v>
      </c>
      <c r="AA609" s="28" t="n">
        <v>0.5</v>
      </c>
      <c r="AB609" s="28" t="n">
        <v>0</v>
      </c>
      <c r="AC609" s="30" t="n">
        <v>-1</v>
      </c>
      <c r="AD609" s="24" t="inlineStr">
        <is>
          <t>2026-09-10T04:32:26.463187Z</t>
        </is>
      </c>
      <c r="AE609" s="31" t="inlineStr">
        <is>
          <t>Poisson-DC rates 1.50 (home) / 1.46 (away) from EWMA attack/defense strengths. Executable ask 0.5000 (atc-mls-min-dal-2026-09-09-min).</t>
        </is>
      </c>
      <c r="AF609" s="31" t="inlineStr">
        <is>
          <t>Research-only soccer score model; draw-aware, but not yet locked-holdout qualified.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FC Dallas</t>
        </is>
      </c>
      <c r="AQ609" s="24" t="inlineStr">
        <is>
          <t>FC Dallas</t>
        </is>
      </c>
      <c r="AR609" s="24" t="inlineStr">
        <is>
          <t>FC Dallas</t>
        </is>
      </c>
      <c r="AS609" s="24" t="inlineStr">
        <is>
          <t>Minnesota United FC</t>
        </is>
      </c>
      <c r="AT609" s="24" t="inlineStr">
        <is>
          <t>Minnesota United FC</t>
        </is>
      </c>
      <c r="AU609" s="24" t="inlineStr">
        <is>
          <t>Minnesota United FC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9c072f5f9cf71a972f86e4222ffca6b72422789e9356ec3b1e371da1132584dd</t>
        </is>
      </c>
      <c r="BB609" s="24" t="inlineStr">
        <is>
          <t>poisson_dixon_coles</t>
        </is>
      </c>
      <c r="BC609" s="24" t="inlineStr">
        <is>
          <t>soccer-poisson-dc-v1</t>
        </is>
      </c>
      <c r="BD609" s="24" t="inlineStr">
        <is>
          <t>9c072f5f9cf71a972f86e4222ffca6b72422789e9356ec3b1e371da1132584dd</t>
        </is>
      </c>
      <c r="BE609" s="24" t="inlineStr">
        <is>
          <t>soccer-poisson-dc-v1</t>
        </is>
      </c>
      <c r="BF609" s="24" t="inlineStr">
        <is>
          <t>1</t>
        </is>
      </c>
      <c r="BG609" s="24" t="inlineStr">
        <is>
          <t>9c072f5f9cf71a972f86e4222ffca6b72422789e9356ec3b1e371da1132584dd</t>
        </is>
      </c>
      <c r="BH609" s="24" t="inlineStr">
        <is>
          <t>2026-09-09T22:05:10.672761Z</t>
        </is>
      </c>
      <c r="BI609" s="24" t="inlineStr">
        <is>
          <t>["same_event","same_team_same_day","same_league_same_day"]</t>
        </is>
      </c>
      <c r="BJ609" s="25" t="n"/>
      <c r="BK609" s="26" t="n">
        <v>100</v>
      </c>
      <c r="BL609" s="27" t="n">
        <v>2</v>
      </c>
      <c r="BM609" s="28" t="n">
        <v>0.5</v>
      </c>
      <c r="BN609" s="28" t="n"/>
      <c r="BO609" s="28" t="n"/>
      <c r="BP609" s="25" t="n"/>
      <c r="BQ609" s="27" t="n">
        <v>2</v>
      </c>
      <c r="BR609" s="28" t="n">
        <v>0.5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d3d28cdc6c9c4cf5</t>
        </is>
      </c>
      <c r="B610" s="24" t="inlineStr">
        <is>
          <t>2026-09-09T22:06:21.332951Z</t>
        </is>
      </c>
      <c r="C610" s="24" t="inlineStr">
        <is>
          <t>2026-09-10T02:30Z</t>
        </is>
      </c>
      <c r="D610" s="24" t="inlineStr">
        <is>
          <t>761796</t>
        </is>
      </c>
      <c r="E610" s="24" t="inlineStr">
        <is>
          <t>SOCCER</t>
        </is>
      </c>
      <c r="F610" s="24" t="inlineStr">
        <is>
          <t>St. Louis CITY SC</t>
        </is>
      </c>
      <c r="G610" s="24" t="inlineStr">
        <is>
          <t>Portland Timbers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150</v>
      </c>
      <c r="M610" s="27" t="n">
        <v>2.5</v>
      </c>
      <c r="N610" s="28" t="n">
        <v>0.4</v>
      </c>
      <c r="O610" s="28" t="n">
        <v>0.465508</v>
      </c>
      <c r="P610" s="28" t="n">
        <v>0.04</v>
      </c>
      <c r="Q610" s="28" t="n">
        <v>0.065508</v>
      </c>
      <c r="R610" s="26" t="n">
        <v>59</v>
      </c>
      <c r="S610" s="29" t="n">
        <v>1.25</v>
      </c>
      <c r="T610" s="24" t="inlineStr">
        <is>
          <t>soccer-poisson-dc-v1</t>
        </is>
      </c>
      <c r="U610" s="24" t="inlineStr">
        <is>
          <t>settled</t>
        </is>
      </c>
      <c r="V610" s="24" t="inlineStr">
        <is>
          <t>loss</t>
        </is>
      </c>
      <c r="W610" s="26" t="n">
        <v>2</v>
      </c>
      <c r="X610" s="26" t="n">
        <v>2</v>
      </c>
      <c r="Y610" s="25" t="n"/>
      <c r="Z610" s="26" t="n">
        <v>150</v>
      </c>
      <c r="AA610" s="28" t="n">
        <v>0.4</v>
      </c>
      <c r="AB610" s="28" t="n">
        <v>0</v>
      </c>
      <c r="AC610" s="30" t="n">
        <v>-1.25</v>
      </c>
      <c r="AD610" s="24" t="inlineStr">
        <is>
          <t>2026-09-10T10:00:28.258495Z</t>
        </is>
      </c>
      <c r="AE610" s="31" t="inlineStr">
        <is>
          <t>Poisson-DC rates 1.91 (home) / 1.49 (away) from EWMA attack/defense strengths. Executable ask 0.4000 (atc-mls-por-stl-2026-09-09-por).</t>
        </is>
      </c>
      <c r="AF610" s="31" t="inlineStr">
        <is>
          <t>Research-only soccer score model; draw-aware, but not yet locked-holdout qualified.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St. Louis CITY SC</t>
        </is>
      </c>
      <c r="AQ610" s="24" t="inlineStr">
        <is>
          <t>St. Louis CITY SC</t>
        </is>
      </c>
      <c r="AR610" s="24" t="inlineStr">
        <is>
          <t>St. Louis CITY SC</t>
        </is>
      </c>
      <c r="AS610" s="24" t="inlineStr">
        <is>
          <t>Portland Timbers</t>
        </is>
      </c>
      <c r="AT610" s="24" t="inlineStr">
        <is>
          <t>Portland Timbers</t>
        </is>
      </c>
      <c r="AU610" s="24" t="inlineStr">
        <is>
          <t>Portland Timbers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9c072f5f9cf71a972f86e4222ffca6b72422789e9356ec3b1e371da1132584dd</t>
        </is>
      </c>
      <c r="BB610" s="24" t="inlineStr">
        <is>
          <t>poisson_dixon_coles</t>
        </is>
      </c>
      <c r="BC610" s="24" t="inlineStr">
        <is>
          <t>soccer-poisson-dc-v1</t>
        </is>
      </c>
      <c r="BD610" s="24" t="inlineStr">
        <is>
          <t>9c072f5f9cf71a972f86e4222ffca6b72422789e9356ec3b1e371da1132584dd</t>
        </is>
      </c>
      <c r="BE610" s="24" t="inlineStr">
        <is>
          <t>soccer-poisson-dc-v1</t>
        </is>
      </c>
      <c r="BF610" s="24" t="inlineStr">
        <is>
          <t>1</t>
        </is>
      </c>
      <c r="BG610" s="24" t="inlineStr">
        <is>
          <t>9c072f5f9cf71a972f86e4222ffca6b72422789e9356ec3b1e371da1132584dd</t>
        </is>
      </c>
      <c r="BH610" s="24" t="inlineStr">
        <is>
          <t>2026-09-09T22:05:11.079527Z</t>
        </is>
      </c>
      <c r="BI610" s="24" t="inlineStr">
        <is>
          <t>["same_event","same_team_same_day","same_league_same_day"]</t>
        </is>
      </c>
      <c r="BJ610" s="25" t="n"/>
      <c r="BK610" s="26" t="n">
        <v>150</v>
      </c>
      <c r="BL610" s="27" t="n">
        <v>2.5</v>
      </c>
      <c r="BM610" s="28" t="n">
        <v>0.4</v>
      </c>
      <c r="BN610" s="28" t="n"/>
      <c r="BO610" s="28" t="n"/>
      <c r="BP610" s="25" t="n"/>
      <c r="BQ610" s="27" t="n">
        <v>2.5</v>
      </c>
      <c r="BR610" s="28" t="n">
        <v>0.4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0.4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4b0458880ac94055</t>
        </is>
      </c>
      <c r="B611" s="24" t="inlineStr">
        <is>
          <t>2026-09-09T22:06:21.332951Z</t>
        </is>
      </c>
      <c r="C611" s="24" t="inlineStr">
        <is>
          <t>2026-09-10T02:30Z</t>
        </is>
      </c>
      <c r="D611" s="24" t="inlineStr">
        <is>
          <t>761797</t>
        </is>
      </c>
      <c r="E611" s="24" t="inlineStr">
        <is>
          <t>SOCCER</t>
        </is>
      </c>
      <c r="F611" s="24" t="inlineStr">
        <is>
          <t>San Jose Earthquakes</t>
        </is>
      </c>
      <c r="G611" s="24" t="inlineStr">
        <is>
          <t>San Diego FC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-127</v>
      </c>
      <c r="M611" s="27" t="n">
        <v>1.787402</v>
      </c>
      <c r="N611" s="28" t="n">
        <v>0.5594710000000001</v>
      </c>
      <c r="O611" s="28" t="n">
        <v>0.443033</v>
      </c>
      <c r="P611" s="28" t="n">
        <v>0.04</v>
      </c>
      <c r="Q611" s="28" t="n">
        <v>-0.116438</v>
      </c>
      <c r="R611" s="26" t="n">
        <v>0</v>
      </c>
      <c r="S611" s="29" t="n">
        <v>1</v>
      </c>
      <c r="T611" s="24" t="inlineStr">
        <is>
          <t>soccer-poisson-dc-v1</t>
        </is>
      </c>
      <c r="U611" s="24" t="inlineStr">
        <is>
          <t>settled</t>
        </is>
      </c>
      <c r="V611" s="24" t="inlineStr">
        <is>
          <t>loss</t>
        </is>
      </c>
      <c r="W611" s="26" t="n">
        <v>3</v>
      </c>
      <c r="X611" s="26" t="n">
        <v>2</v>
      </c>
      <c r="Y611" s="25" t="n"/>
      <c r="Z611" s="26" t="n">
        <v>-127</v>
      </c>
      <c r="AA611" s="28" t="n">
        <v>0.5600000000000001</v>
      </c>
      <c r="AB611" s="28" t="n">
        <v>0.000529</v>
      </c>
      <c r="AC611" s="30" t="n">
        <v>-1</v>
      </c>
      <c r="AD611" s="24" t="inlineStr">
        <is>
          <t>2026-09-10T10:00:28.770981Z</t>
        </is>
      </c>
      <c r="AE611" s="31" t="inlineStr">
        <is>
          <t>Poisson-DC rates 2.15 (home) / 1.87 (away) from EWMA attack/defense strengths. Executable ask 0.5600 (atc-mls-sdg-sje-2026-09-09-sdg).</t>
        </is>
      </c>
      <c r="AF611" s="31" t="inlineStr">
        <is>
          <t>Research-only soccer score model; draw-aware, but not yet locked-holdout qualified.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San Jose Earthquakes</t>
        </is>
      </c>
      <c r="AQ611" s="24" t="inlineStr">
        <is>
          <t>San Jose Earthquakes</t>
        </is>
      </c>
      <c r="AR611" s="24" t="inlineStr">
        <is>
          <t>San Jose Earthquakes</t>
        </is>
      </c>
      <c r="AS611" s="24" t="inlineStr">
        <is>
          <t>San Diego FC</t>
        </is>
      </c>
      <c r="AT611" s="24" t="inlineStr">
        <is>
          <t>San Diego FC</t>
        </is>
      </c>
      <c r="AU611" s="24" t="inlineStr">
        <is>
          <t>San Diego FC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9c072f5f9cf71a972f86e4222ffca6b72422789e9356ec3b1e371da1132584dd</t>
        </is>
      </c>
      <c r="BB611" s="24" t="inlineStr">
        <is>
          <t>poisson_dixon_coles</t>
        </is>
      </c>
      <c r="BC611" s="24" t="inlineStr">
        <is>
          <t>soccer-poisson-dc-v1</t>
        </is>
      </c>
      <c r="BD611" s="24" t="inlineStr">
        <is>
          <t>9c072f5f9cf71a972f86e4222ffca6b72422789e9356ec3b1e371da1132584dd</t>
        </is>
      </c>
      <c r="BE611" s="24" t="inlineStr">
        <is>
          <t>soccer-poisson-dc-v1</t>
        </is>
      </c>
      <c r="BF611" s="24" t="inlineStr">
        <is>
          <t>1</t>
        </is>
      </c>
      <c r="BG611" s="24" t="inlineStr">
        <is>
          <t>9c072f5f9cf71a972f86e4222ffca6b72422789e9356ec3b1e371da1132584dd</t>
        </is>
      </c>
      <c r="BH611" s="24" t="inlineStr">
        <is>
          <t>2026-09-09T22:05:11.189214Z</t>
        </is>
      </c>
      <c r="BI611" s="24" t="inlineStr">
        <is>
          <t>["same_event","same_team_same_day","same_league_same_day"]</t>
        </is>
      </c>
      <c r="BJ611" s="25" t="n"/>
      <c r="BK611" s="26" t="n">
        <v>-127</v>
      </c>
      <c r="BL611" s="27" t="n">
        <v>1.787402</v>
      </c>
      <c r="BM611" s="28" t="n">
        <v>0.5594710000000001</v>
      </c>
      <c r="BN611" s="28" t="n"/>
      <c r="BO611" s="28" t="n"/>
      <c r="BP611" s="25" t="n"/>
      <c r="BQ611" s="27" t="n">
        <v>1.787402</v>
      </c>
      <c r="BR611" s="28" t="n">
        <v>0.5600000000000001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0.559471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80c8ea5fbbc143b4</t>
        </is>
      </c>
      <c r="B612" s="24" t="inlineStr">
        <is>
          <t>2026-09-09T22:06:21.332951Z</t>
        </is>
      </c>
      <c r="C612" s="24" t="inlineStr">
        <is>
          <t>2026-09-10T02:30Z</t>
        </is>
      </c>
      <c r="D612" s="24" t="inlineStr">
        <is>
          <t>761799</t>
        </is>
      </c>
      <c r="E612" s="24" t="inlineStr">
        <is>
          <t>SOCCER</t>
        </is>
      </c>
      <c r="F612" s="24" t="inlineStr">
        <is>
          <t>LA Galaxy</t>
        </is>
      </c>
      <c r="G612" s="24" t="inlineStr">
        <is>
          <t>Vancouver Whitecaps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-285</v>
      </c>
      <c r="M612" s="27" t="n">
        <v>1.350877</v>
      </c>
      <c r="N612" s="28" t="n">
        <v>0.74026</v>
      </c>
      <c r="O612" s="28" t="n">
        <v>0.725503</v>
      </c>
      <c r="P612" s="28" t="n">
        <v>0.04</v>
      </c>
      <c r="Q612" s="28" t="n">
        <v>-0.014757</v>
      </c>
      <c r="R612" s="26" t="n">
        <v>19</v>
      </c>
      <c r="S612" s="29" t="n">
        <v>1</v>
      </c>
      <c r="T612" s="24" t="inlineStr">
        <is>
          <t>soccer-poisson-dc-v1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3</v>
      </c>
      <c r="Y612" s="25" t="n"/>
      <c r="Z612" s="26" t="n">
        <v>-285</v>
      </c>
      <c r="AA612" s="28" t="n">
        <v>0.74</v>
      </c>
      <c r="AB612" s="28" t="n">
        <v>-0.00026</v>
      </c>
      <c r="AC612" s="30" t="n">
        <v>0.3509</v>
      </c>
      <c r="AD612" s="24" t="inlineStr">
        <is>
          <t>2026-09-10T10:00:29.286332Z</t>
        </is>
      </c>
      <c r="AE612" s="31" t="inlineStr">
        <is>
          <t>Poisson-DC rates 2.61 (home) / 0.93 (away) from EWMA attack/defense strengths. Executable ask 0.7400 (atc-mls-vwh-lag-2026-09-09-vwh).</t>
        </is>
      </c>
      <c r="AF612" s="31" t="inlineStr">
        <is>
          <t>Research-only soccer score model; draw-aware, but not yet locked-holdout qualified.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LA Galaxy</t>
        </is>
      </c>
      <c r="AQ612" s="24" t="inlineStr">
        <is>
          <t>LA Galaxy</t>
        </is>
      </c>
      <c r="AR612" s="24" t="inlineStr">
        <is>
          <t>LA Galaxy</t>
        </is>
      </c>
      <c r="AS612" s="24" t="inlineStr">
        <is>
          <t>Vancouver Whitecaps</t>
        </is>
      </c>
      <c r="AT612" s="24" t="inlineStr">
        <is>
          <t>Vancouver Whitecaps</t>
        </is>
      </c>
      <c r="AU612" s="24" t="inlineStr">
        <is>
          <t>Vancouver Whitecaps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9c072f5f9cf71a972f86e4222ffca6b72422789e9356ec3b1e371da1132584dd</t>
        </is>
      </c>
      <c r="BB612" s="24" t="inlineStr">
        <is>
          <t>poisson_dixon_coles</t>
        </is>
      </c>
      <c r="BC612" s="24" t="inlineStr">
        <is>
          <t>soccer-poisson-dc-v1</t>
        </is>
      </c>
      <c r="BD612" s="24" t="inlineStr">
        <is>
          <t>9c072f5f9cf71a972f86e4222ffca6b72422789e9356ec3b1e371da1132584dd</t>
        </is>
      </c>
      <c r="BE612" s="24" t="inlineStr">
        <is>
          <t>soccer-poisson-dc-v1</t>
        </is>
      </c>
      <c r="BF612" s="24" t="inlineStr">
        <is>
          <t>1</t>
        </is>
      </c>
      <c r="BG612" s="24" t="inlineStr">
        <is>
          <t>9c072f5f9cf71a972f86e4222ffca6b72422789e9356ec3b1e371da1132584dd</t>
        </is>
      </c>
      <c r="BH612" s="24" t="inlineStr">
        <is>
          <t>2026-09-09T22:05:10.865654Z</t>
        </is>
      </c>
      <c r="BI612" s="24" t="inlineStr">
        <is>
          <t>["same_event","same_team_same_day","same_league_same_day"]</t>
        </is>
      </c>
      <c r="BJ612" s="25" t="n"/>
      <c r="BK612" s="26" t="n">
        <v>-285</v>
      </c>
      <c r="BL612" s="27" t="n">
        <v>1.350877</v>
      </c>
      <c r="BM612" s="28" t="n">
        <v>0.74026</v>
      </c>
      <c r="BN612" s="28" t="n"/>
      <c r="BO612" s="28" t="n"/>
      <c r="BP612" s="25" t="n"/>
      <c r="BQ612" s="27" t="n">
        <v>1.350877</v>
      </c>
      <c r="BR612" s="28" t="n">
        <v>0.74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0.74026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5d72fe2b54774cc8</t>
        </is>
      </c>
      <c r="B613" s="24" t="inlineStr">
        <is>
          <t>2026-09-09T22:06:21.332951Z</t>
        </is>
      </c>
      <c r="C613" s="24" t="inlineStr">
        <is>
          <t>2026-09-09T22:30Z</t>
        </is>
      </c>
      <c r="D613" s="24" t="inlineStr">
        <is>
          <t>401860329</t>
        </is>
      </c>
      <c r="E613" s="24" t="inlineStr">
        <is>
          <t>SOCCER</t>
        </is>
      </c>
      <c r="F613" s="24" t="inlineStr">
        <is>
          <t>Novorizontino</t>
        </is>
      </c>
      <c r="G613" s="24" t="inlineStr">
        <is>
          <t>Botafogo-SP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270</v>
      </c>
      <c r="M613" s="27" t="n">
        <v>3.7</v>
      </c>
      <c r="N613" s="28" t="n">
        <v>0.27027</v>
      </c>
      <c r="O613" s="28" t="n">
        <v>0.456135</v>
      </c>
      <c r="P613" s="28" t="n">
        <v>0.2</v>
      </c>
      <c r="Q613" s="28" t="n">
        <v>0.185865</v>
      </c>
      <c r="R613" s="26" t="n">
        <v>23</v>
      </c>
      <c r="S613" s="29" t="n">
        <v>1</v>
      </c>
      <c r="T613" s="24" t="inlineStr">
        <is>
          <t>soccer-poisson-dc-v1</t>
        </is>
      </c>
      <c r="U613" s="24" t="inlineStr">
        <is>
          <t>settled</t>
        </is>
      </c>
      <c r="V613" s="24" t="inlineStr">
        <is>
          <t>loss</t>
        </is>
      </c>
      <c r="W613" s="26" t="n">
        <v>3</v>
      </c>
      <c r="X613" s="26" t="n">
        <v>1</v>
      </c>
      <c r="Y613" s="25" t="n"/>
      <c r="Z613" s="26" t="n">
        <v>270</v>
      </c>
      <c r="AA613" s="28" t="n">
        <v>0.27</v>
      </c>
      <c r="AB613" s="28" t="n">
        <v>-0.00027</v>
      </c>
      <c r="AC613" s="30" t="n">
        <v>-1</v>
      </c>
      <c r="AD613" s="24" t="inlineStr">
        <is>
          <t>2026-09-10T04:32:27.028724Z</t>
        </is>
      </c>
      <c r="AE613" s="31" t="inlineStr">
        <is>
          <t>Poisson-DC rates 1.64 (home) / 1.24 (away) from EWMA attack/defense strengths. Executable ask 0.2700 (atc-brb-bot-nov-2026-09-09-bot).</t>
        </is>
      </c>
      <c r="AF613" s="31" t="inlineStr">
        <is>
          <t>Research-only soccer score model; draw-aware, but not yet locked-holdout qualified.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Novorizontino</t>
        </is>
      </c>
      <c r="AQ613" s="24" t="inlineStr">
        <is>
          <t>Novorizontino</t>
        </is>
      </c>
      <c r="AR613" s="24" t="inlineStr">
        <is>
          <t>Novorizontino</t>
        </is>
      </c>
      <c r="AS613" s="24" t="inlineStr">
        <is>
          <t>Botafogo-SP</t>
        </is>
      </c>
      <c r="AT613" s="24" t="inlineStr">
        <is>
          <t>Botafogo-SP</t>
        </is>
      </c>
      <c r="AU613" s="24" t="inlineStr">
        <is>
          <t>Botafogo-SP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9c072f5f9cf71a972f86e4222ffca6b72422789e9356ec3b1e371da1132584dd</t>
        </is>
      </c>
      <c r="BB613" s="24" t="inlineStr">
        <is>
          <t>poisson_dixon_coles</t>
        </is>
      </c>
      <c r="BC613" s="24" t="inlineStr">
        <is>
          <t>soccer-poisson-dc-v1</t>
        </is>
      </c>
      <c r="BD613" s="24" t="inlineStr">
        <is>
          <t>9c072f5f9cf71a972f86e4222ffca6b72422789e9356ec3b1e371da1132584dd</t>
        </is>
      </c>
      <c r="BE613" s="24" t="inlineStr">
        <is>
          <t>soccer-poisson-dc-v1</t>
        </is>
      </c>
      <c r="BF613" s="24" t="inlineStr">
        <is>
          <t>1</t>
        </is>
      </c>
      <c r="BG613" s="24" t="inlineStr">
        <is>
          <t>9c072f5f9cf71a972f86e4222ffca6b72422789e9356ec3b1e371da1132584dd</t>
        </is>
      </c>
      <c r="BH613" s="24" t="inlineStr">
        <is>
          <t>2026-09-09T22:05:11.336263Z</t>
        </is>
      </c>
      <c r="BI613" s="24" t="inlineStr">
        <is>
          <t>["same_event","same_team_same_day","same_league_same_day"]</t>
        </is>
      </c>
      <c r="BJ613" s="25" t="n"/>
      <c r="BK613" s="26" t="n">
        <v>270</v>
      </c>
      <c r="BL613" s="27" t="n">
        <v>3.7</v>
      </c>
      <c r="BM613" s="28" t="n">
        <v>0.27027</v>
      </c>
      <c r="BN613" s="28" t="n"/>
      <c r="BO613" s="28" t="n"/>
      <c r="BP613" s="25" t="n"/>
      <c r="BQ613" s="27" t="n">
        <v>3.7</v>
      </c>
      <c r="BR613" s="28" t="n">
        <v>0.27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0.27027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2456c42677544500</t>
        </is>
      </c>
      <c r="B614" s="24" t="inlineStr">
        <is>
          <t>2026-09-09T22:06:21.332951Z</t>
        </is>
      </c>
      <c r="C614" s="24" t="inlineStr">
        <is>
          <t>2026-09-09T22:30Z</t>
        </is>
      </c>
      <c r="D614" s="24" t="inlineStr">
        <is>
          <t>401860331</t>
        </is>
      </c>
      <c r="E614" s="24" t="inlineStr">
        <is>
          <t>SOCCER</t>
        </is>
      </c>
      <c r="F614" s="24" t="inlineStr">
        <is>
          <t>Avaí</t>
        </is>
      </c>
      <c r="G614" s="24" t="inlineStr">
        <is>
          <t>Fortaleza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-178</v>
      </c>
      <c r="M614" s="27" t="n">
        <v>1.561798</v>
      </c>
      <c r="N614" s="28" t="n">
        <v>0.640288</v>
      </c>
      <c r="O614" s="28" t="n">
        <v>0.440521</v>
      </c>
      <c r="P614" s="28" t="n">
        <v>0.2</v>
      </c>
      <c r="Q614" s="28" t="n">
        <v>-0.199767</v>
      </c>
      <c r="R614" s="26" t="n">
        <v>0</v>
      </c>
      <c r="S614" s="29" t="n">
        <v>1</v>
      </c>
      <c r="T614" s="24" t="inlineStr">
        <is>
          <t>soccer-poisson-dc-v1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>
        <v>-178</v>
      </c>
      <c r="AA614" s="28" t="n">
        <v>0.64</v>
      </c>
      <c r="AB614" s="28" t="n">
        <v>-0.000288</v>
      </c>
      <c r="AC614" s="30" t="n">
        <v>0.5618</v>
      </c>
      <c r="AD614" s="24" t="inlineStr">
        <is>
          <t>2026-09-10T04:32:27.590171Z</t>
        </is>
      </c>
      <c r="AE614" s="31" t="inlineStr">
        <is>
          <t>Poisson-DC rates 1.46 (home) / 1.10 (away) from EWMA attack/defense strengths. Executable ask 0.6400 (atc-brb-fec-ava-2026-09-09-fec).</t>
        </is>
      </c>
      <c r="AF614" s="31" t="inlineStr">
        <is>
          <t>Research-only soccer score model; draw-aware, but not yet locked-holdout qualified.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Avaí</t>
        </is>
      </c>
      <c r="AQ614" s="24" t="inlineStr">
        <is>
          <t>Avaí</t>
        </is>
      </c>
      <c r="AR614" s="24" t="inlineStr">
        <is>
          <t>Avaí</t>
        </is>
      </c>
      <c r="AS614" s="24" t="inlineStr">
        <is>
          <t>Fortaleza</t>
        </is>
      </c>
      <c r="AT614" s="24" t="inlineStr">
        <is>
          <t>Fortaleza</t>
        </is>
      </c>
      <c r="AU614" s="24" t="inlineStr">
        <is>
          <t>Fortaleza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9c072f5f9cf71a972f86e4222ffca6b72422789e9356ec3b1e371da1132584dd</t>
        </is>
      </c>
      <c r="BB614" s="24" t="inlineStr">
        <is>
          <t>poisson_dixon_coles</t>
        </is>
      </c>
      <c r="BC614" s="24" t="inlineStr">
        <is>
          <t>soccer-poisson-dc-v1</t>
        </is>
      </c>
      <c r="BD614" s="24" t="inlineStr">
        <is>
          <t>9c072f5f9cf71a972f86e4222ffca6b72422789e9356ec3b1e371da1132584dd</t>
        </is>
      </c>
      <c r="BE614" s="24" t="inlineStr">
        <is>
          <t>soccer-poisson-dc-v1</t>
        </is>
      </c>
      <c r="BF614" s="24" t="inlineStr">
        <is>
          <t>1</t>
        </is>
      </c>
      <c r="BG614" s="24" t="inlineStr">
        <is>
          <t>9c072f5f9cf71a972f86e4222ffca6b72422789e9356ec3b1e371da1132584dd</t>
        </is>
      </c>
      <c r="BH614" s="24" t="inlineStr">
        <is>
          <t>2026-09-09T22:05:11.361410Z</t>
        </is>
      </c>
      <c r="BI614" s="24" t="inlineStr">
        <is>
          <t>["same_event","same_team_same_day","same_league_same_day"]</t>
        </is>
      </c>
      <c r="BJ614" s="25" t="n"/>
      <c r="BK614" s="26" t="n">
        <v>-178</v>
      </c>
      <c r="BL614" s="27" t="n">
        <v>1.561798</v>
      </c>
      <c r="BM614" s="28" t="n">
        <v>0.640288</v>
      </c>
      <c r="BN614" s="28" t="n"/>
      <c r="BO614" s="28" t="n"/>
      <c r="BP614" s="25" t="n"/>
      <c r="BQ614" s="27" t="n">
        <v>1.561798</v>
      </c>
      <c r="BR614" s="28" t="n">
        <v>0.64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0.640288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e3b39064cacd41aa</t>
        </is>
      </c>
      <c r="B615" s="24" t="inlineStr">
        <is>
          <t>2026-09-10T22:04:01.536997Z</t>
        </is>
      </c>
      <c r="C615" s="24" t="inlineStr">
        <is>
          <t>2026-09-10T22:30Z</t>
        </is>
      </c>
      <c r="D615" s="24" t="inlineStr">
        <is>
          <t>401860323</t>
        </is>
      </c>
      <c r="E615" s="24" t="inlineStr">
        <is>
          <t>SOCCER</t>
        </is>
      </c>
      <c r="F615" s="24" t="inlineStr">
        <is>
          <t>Londrina</t>
        </is>
      </c>
      <c r="G615" s="24" t="inlineStr">
        <is>
          <t>São Bernardo</t>
        </is>
      </c>
      <c r="H615" s="24" t="inlineStr">
        <is>
          <t>moneyline</t>
        </is>
      </c>
      <c r="I615" s="24" t="inlineStr">
        <is>
          <t>home</t>
        </is>
      </c>
      <c r="J615" s="25" t="n"/>
      <c r="K615" s="24" t="inlineStr">
        <is>
          <t>polymarket_us</t>
        </is>
      </c>
      <c r="L615" s="26" t="n">
        <v>-150</v>
      </c>
      <c r="M615" s="27" t="n">
        <v>1.666667</v>
      </c>
      <c r="N615" s="28" t="n">
        <v>0.6</v>
      </c>
      <c r="O615" s="28" t="n">
        <v>0.456135</v>
      </c>
      <c r="P615" s="28" t="n">
        <v>0.2</v>
      </c>
      <c r="Q615" s="28" t="n">
        <v>-0.143865</v>
      </c>
      <c r="R615" s="26" t="n">
        <v>0</v>
      </c>
      <c r="S615" s="29" t="n">
        <v>1</v>
      </c>
      <c r="T615" s="24" t="inlineStr">
        <is>
          <t>soccer-poisson-dc-v1</t>
        </is>
      </c>
      <c r="U615" s="24" t="inlineStr">
        <is>
          <t>settled</t>
        </is>
      </c>
      <c r="V615" s="24" t="inlineStr">
        <is>
          <t>loss</t>
        </is>
      </c>
      <c r="W615" s="26" t="n">
        <v>2</v>
      </c>
      <c r="X615" s="26" t="n">
        <v>1</v>
      </c>
      <c r="Y615" s="25" t="n"/>
      <c r="Z615" s="26" t="n">
        <v>-150</v>
      </c>
      <c r="AA615" s="28" t="n">
        <v>0.6</v>
      </c>
      <c r="AB615" s="28" t="n">
        <v>0</v>
      </c>
      <c r="AC615" s="30" t="n">
        <v>-1</v>
      </c>
      <c r="AD615" s="24" t="inlineStr">
        <is>
          <t>2026-09-11T04:30:30.540106Z</t>
        </is>
      </c>
      <c r="AE615" s="31" t="inlineStr">
        <is>
          <t>Poisson-DC rates 1.64 (home) / 1.24 (away) from EWMA attack/defense strengths. Executable ask 0.6000 (atc-brb-ber-lon-2026-09-10-ber).</t>
        </is>
      </c>
      <c r="AF615" s="31" t="inlineStr">
        <is>
          <t>Research-only soccer score model; draw-aware, but not yet locked-holdout qualified.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Londrina</t>
        </is>
      </c>
      <c r="AQ615" s="24" t="inlineStr">
        <is>
          <t>Londrina</t>
        </is>
      </c>
      <c r="AR615" s="24" t="inlineStr">
        <is>
          <t>Londrina</t>
        </is>
      </c>
      <c r="AS615" s="24" t="inlineStr">
        <is>
          <t>São Bernardo</t>
        </is>
      </c>
      <c r="AT615" s="24" t="inlineStr">
        <is>
          <t>São Bernardo</t>
        </is>
      </c>
      <c r="AU615" s="24" t="inlineStr">
        <is>
          <t>São Bernardo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3d16277c2cfc0628d7ec79d04feee92735e5c503a3be195cb225c7c52d024308</t>
        </is>
      </c>
      <c r="BB615" s="24" t="inlineStr">
        <is>
          <t>poisson_dixon_coles</t>
        </is>
      </c>
      <c r="BC615" s="24" t="inlineStr">
        <is>
          <t>soccer-poisson-dc-v1</t>
        </is>
      </c>
      <c r="BD615" s="24" t="inlineStr">
        <is>
          <t>3d16277c2cfc0628d7ec79d04feee92735e5c503a3be195cb225c7c52d024308</t>
        </is>
      </c>
      <c r="BE615" s="24" t="inlineStr">
        <is>
          <t>soccer-poisson-dc-v1</t>
        </is>
      </c>
      <c r="BF615" s="24" t="inlineStr">
        <is>
          <t>1</t>
        </is>
      </c>
      <c r="BG615" s="24" t="inlineStr">
        <is>
          <t>3d16277c2cfc0628d7ec79d04feee92735e5c503a3be195cb225c7c52d024308</t>
        </is>
      </c>
      <c r="BH615" s="24" t="inlineStr">
        <is>
          <t>2026-09-10T22:03:47.411692Z</t>
        </is>
      </c>
      <c r="BI615" s="24" t="inlineStr">
        <is>
          <t>["same_event","same_team_same_day","same_league_same_day"]</t>
        </is>
      </c>
      <c r="BJ615" s="25" t="n"/>
      <c r="BK615" s="26" t="n">
        <v>-150</v>
      </c>
      <c r="BL615" s="27" t="n">
        <v>1.666667</v>
      </c>
      <c r="BM615" s="28" t="n">
        <v>0.6</v>
      </c>
      <c r="BN615" s="28" t="n"/>
      <c r="BO615" s="28" t="n"/>
      <c r="BP615" s="25" t="n"/>
      <c r="BQ615" s="27" t="n">
        <v>1.666667</v>
      </c>
      <c r="BR615" s="28" t="n">
        <v>0.6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0.6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"3d16277c2cfc0628d7ec79d04feee92735e5c503a3be195cb225c7c52d024308", "away_team": "Londrina", "event_id": "401860323", "event_start_utc": "2026-09-10T22:30Z", "features": {"away_goal_rate": 1.2418, "history_games": 9181, "home_goal_rate": 1.6423, "league_goals_per_team": 1.4281, "min_team_games": 0.0}, "historical_source_observation_times_verified": false, "home_team": "S\u00e3o Bernardo",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"2026-09-10T22:04:00.628744+00:00", "probabilities": {"away": 0.278015, "draw": 0.265851, "home": 0.456135}, "replay_scope": "Exact full-precision serving state and rounding; upstream historical observation times are not certified.", "schema": "coded-moneyline-replay-v1", "snapshot_hash": "6759f6d3655781355d8c35e1326771b43fa1a336a841de484ee078f8f16da6a9", "sport": "SOCCER"}</t>
        </is>
      </c>
    </row>
    <row r="616" ht="36" customHeight="1">
      <c r="A616" s="24" t="inlineStr">
        <is>
          <t>2787a112d88b41a0</t>
        </is>
      </c>
      <c r="B616" s="24" t="inlineStr">
        <is>
          <t>2026-09-11T16:04:36.820754Z</t>
        </is>
      </c>
      <c r="C616" s="24" t="inlineStr">
        <is>
          <t>2026-09-11T19:00Z</t>
        </is>
      </c>
      <c r="D616" s="24" t="inlineStr">
        <is>
          <t>401882878</t>
        </is>
      </c>
      <c r="E616" s="24" t="inlineStr">
        <is>
          <t>SOCCER</t>
        </is>
      </c>
      <c r="F616" s="24" t="inlineStr">
        <is>
          <t>Valencia</t>
        </is>
      </c>
      <c r="G616" s="24" t="inlineStr">
        <is>
          <t>Sevilla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355</v>
      </c>
      <c r="M616" s="27" t="n">
        <v>4.55</v>
      </c>
      <c r="N616" s="28" t="n">
        <v>0.21978</v>
      </c>
      <c r="O616" s="28" t="n">
        <v>0.378028</v>
      </c>
      <c r="P616" s="28" t="n">
        <v>0.04</v>
      </c>
      <c r="Q616" s="28" t="n">
        <v>0.158248</v>
      </c>
      <c r="R616" s="26" t="n">
        <v>100</v>
      </c>
      <c r="S616" s="29" t="n">
        <v>1.75</v>
      </c>
      <c r="T616" s="24" t="inlineStr">
        <is>
          <t>soccer-poisson-dc-v1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>
        <v>-376</v>
      </c>
      <c r="AA616" s="28" t="n">
        <v>0.79</v>
      </c>
      <c r="AB616" s="28" t="n">
        <v>0.5702199999999999</v>
      </c>
      <c r="AC616" s="30" t="n">
        <v>-1.75</v>
      </c>
      <c r="AD616" s="24" t="inlineStr">
        <is>
          <t>2026-09-11T22:00:27.385993Z</t>
        </is>
      </c>
      <c r="AE616" s="31" t="inlineStr">
        <is>
          <t>Poisson-DC rates 1.31 (home) / 1.39 (away) from EWMA attack/defense strengths. Executable ask 0.2200 (atc-lal-sev-val-2026-09-11-val).</t>
        </is>
      </c>
      <c r="AF616" s="31" t="inlineStr">
        <is>
          <t>Research-only soccer score model; draw-aware, but not yet locked-holdout qualified.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Valencia</t>
        </is>
      </c>
      <c r="AQ616" s="24" t="inlineStr">
        <is>
          <t>Valencia</t>
        </is>
      </c>
      <c r="AR616" s="24" t="inlineStr">
        <is>
          <t>Valencia</t>
        </is>
      </c>
      <c r="AS616" s="24" t="inlineStr">
        <is>
          <t>Sevilla</t>
        </is>
      </c>
      <c r="AT616" s="24" t="inlineStr">
        <is>
          <t>Sevilla</t>
        </is>
      </c>
      <c r="AU616" s="24" t="inlineStr">
        <is>
          <t>Sevilla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3d16277c2cfc0628d7ec79d04feee92735e5c503a3be195cb225c7c52d024308</t>
        </is>
      </c>
      <c r="BB616" s="24" t="inlineStr">
        <is>
          <t>poisson_dixon_coles</t>
        </is>
      </c>
      <c r="BC616" s="24" t="inlineStr">
        <is>
          <t>soccer-poisson-dc-v1</t>
        </is>
      </c>
      <c r="BD616" s="24" t="inlineStr">
        <is>
          <t>3d16277c2cfc0628d7ec79d04feee92735e5c503a3be195cb225c7c52d024308</t>
        </is>
      </c>
      <c r="BE616" s="24" t="inlineStr">
        <is>
          <t>soccer-poisson-dc-v1</t>
        </is>
      </c>
      <c r="BF616" s="24" t="inlineStr">
        <is>
          <t>1</t>
        </is>
      </c>
      <c r="BG616" s="24" t="inlineStr">
        <is>
          <t>3d16277c2cfc0628d7ec79d04feee92735e5c503a3be195cb225c7c52d024308</t>
        </is>
      </c>
      <c r="BH616" s="24" t="inlineStr">
        <is>
          <t>2026-09-11T16:03:34.012203Z</t>
        </is>
      </c>
      <c r="BI616" s="24" t="inlineStr">
        <is>
          <t>["same_event","same_team_same_day","same_league_same_day"]</t>
        </is>
      </c>
      <c r="BJ616" s="25" t="n"/>
      <c r="BK616" s="26" t="n">
        <v>355</v>
      </c>
      <c r="BL616" s="27" t="n">
        <v>4.55</v>
      </c>
      <c r="BM616" s="28" t="n">
        <v>0.21978</v>
      </c>
      <c r="BN616" s="28" t="n"/>
      <c r="BO616" s="28" t="n"/>
      <c r="BP616" s="25" t="n"/>
      <c r="BQ616" s="27" t="n">
        <v>1.265957</v>
      </c>
      <c r="BR616" s="28" t="n">
        <v>0.79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0.21978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"3d16277c2cfc0628d7ec79d04feee92735e5c503a3be195cb225c7c52d024308", "away_team": "Valencia", "event_id": "401882878", "event_start_utc": "2026-09-11T19:00Z", "features": {"away_goal_rate": 1.391, "history_games": 9181, "home_goal_rate": 1.3074, "league_goals_per_team": 1.325, "min_team_games": 96.0}, "historical_source_observation_times_verified": false, "home_team": "Sevilla", "inference_inputs": {"away_rate": 1.3910353205175674, "code_sha256": {"models/soccer.py": "3d16277c2cfc0628d7ec79d04feee92735e5c503a3be195cb225c7c52d024308"}, "home_rate": 1.3074001333945688, "sport": "SOCCER"}, "market_type": "moneyline", "model_version": "soccer-poisson-dc-v1", "observed_at_utc": "2026-09-11T16:04:36.029419+00:00", "probabilities": {"away": 0.378028, "draw": 0.282487, "home": 0.339484}, "replay_scope": "Exact full-precision serving state and rounding; upstream historical observation times are not certified.", "schema": "coded-moneyline-replay-v1", "snapshot_hash": "5bb7338891a94d303d78a64b5f61bf9f01817b90308b73b7f077081a0d9a211d", "sport": "SOCCER"}</t>
        </is>
      </c>
    </row>
    <row r="617" ht="36" customHeight="1">
      <c r="A617" s="24" t="inlineStr">
        <is>
          <t>34f8fa78797a40d6</t>
        </is>
      </c>
      <c r="B617" s="24" t="inlineStr">
        <is>
          <t>2026-09-11T16:04:36.820754Z</t>
        </is>
      </c>
      <c r="C617" s="24" t="inlineStr">
        <is>
          <t>2026-09-11T18:30Z</t>
        </is>
      </c>
      <c r="D617" s="24" t="inlineStr">
        <is>
          <t>401884793</t>
        </is>
      </c>
      <c r="E617" s="24" t="inlineStr">
        <is>
          <t>SOCCER</t>
        </is>
      </c>
      <c r="F617" s="24" t="inlineStr">
        <is>
          <t>Schalke 04</t>
        </is>
      </c>
      <c r="G617" s="24" t="inlineStr">
        <is>
          <t>1. FC Union Berlin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150</v>
      </c>
      <c r="M617" s="27" t="n">
        <v>2.5</v>
      </c>
      <c r="N617" s="28" t="n">
        <v>0.4</v>
      </c>
      <c r="O617" s="28" t="n">
        <v>0.404635</v>
      </c>
      <c r="P617" s="28" t="n">
        <v>0.2</v>
      </c>
      <c r="Q617" s="28" t="n">
        <v>0.004635</v>
      </c>
      <c r="R617" s="26" t="n">
        <v>0</v>
      </c>
      <c r="S617" s="29" t="n">
        <v>1</v>
      </c>
      <c r="T617" s="24" t="inlineStr">
        <is>
          <t>soccer-poisson-dc-v1</t>
        </is>
      </c>
      <c r="U617" s="24" t="inlineStr">
        <is>
          <t>settled</t>
        </is>
      </c>
      <c r="V617" s="24" t="inlineStr">
        <is>
          <t>loss</t>
        </is>
      </c>
      <c r="W617" s="26" t="n">
        <v>3</v>
      </c>
      <c r="X617" s="26" t="n">
        <v>1</v>
      </c>
      <c r="Y617" s="25" t="n"/>
      <c r="Z617" s="26" t="n">
        <v>150</v>
      </c>
      <c r="AA617" s="28" t="n">
        <v>0.4</v>
      </c>
      <c r="AB617" s="28" t="n">
        <v>0</v>
      </c>
      <c r="AC617" s="30" t="n">
        <v>-1</v>
      </c>
      <c r="AD617" s="24" t="inlineStr">
        <is>
          <t>2026-09-11T22:00:27.894779Z</t>
        </is>
      </c>
      <c r="AE617" s="31" t="inlineStr">
        <is>
          <t>Poisson-DC rates 1.64 (home) / 1.48 (away) from EWMA attack/defense strengths. Executable ask 0.4000 (atc-bun-unb-s04-2026-09-11-unb).</t>
        </is>
      </c>
      <c r="AF617" s="31" t="inlineStr">
        <is>
          <t>Research-only soccer score model; draw-aware, but not yet locked-holdout qualified.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Schalke 04</t>
        </is>
      </c>
      <c r="AQ617" s="24" t="inlineStr">
        <is>
          <t>Schalke 04</t>
        </is>
      </c>
      <c r="AR617" s="24" t="inlineStr">
        <is>
          <t>Schalke 04</t>
        </is>
      </c>
      <c r="AS617" s="24" t="inlineStr">
        <is>
          <t>1. FC Union Berlin</t>
        </is>
      </c>
      <c r="AT617" s="24" t="inlineStr">
        <is>
          <t>1. FC Union Berlin</t>
        </is>
      </c>
      <c r="AU617" s="24" t="inlineStr">
        <is>
          <t>1. FC Union Berlin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3d16277c2cfc0628d7ec79d04feee92735e5c503a3be195cb225c7c52d024308</t>
        </is>
      </c>
      <c r="BB617" s="24" t="inlineStr">
        <is>
          <t>poisson_dixon_coles</t>
        </is>
      </c>
      <c r="BC617" s="24" t="inlineStr">
        <is>
          <t>soccer-poisson-dc-v1</t>
        </is>
      </c>
      <c r="BD617" s="24" t="inlineStr">
        <is>
          <t>3d16277c2cfc0628d7ec79d04feee92735e5c503a3be195cb225c7c52d024308</t>
        </is>
      </c>
      <c r="BE617" s="24" t="inlineStr">
        <is>
          <t>soccer-poisson-dc-v1</t>
        </is>
      </c>
      <c r="BF617" s="24" t="inlineStr">
        <is>
          <t>1</t>
        </is>
      </c>
      <c r="BG617" s="24" t="inlineStr">
        <is>
          <t>3d16277c2cfc0628d7ec79d04feee92735e5c503a3be195cb225c7c52d024308</t>
        </is>
      </c>
      <c r="BH617" s="24" t="inlineStr">
        <is>
          <t>2026-09-11T16:03:34.144166Z</t>
        </is>
      </c>
      <c r="BI617" s="24" t="inlineStr">
        <is>
          <t>["same_event","same_team_same_day","same_league_same_day"]</t>
        </is>
      </c>
      <c r="BJ617" s="25" t="n"/>
      <c r="BK617" s="26" t="n">
        <v>150</v>
      </c>
      <c r="BL617" s="27" t="n">
        <v>2.5</v>
      </c>
      <c r="BM617" s="28" t="n">
        <v>0.4</v>
      </c>
      <c r="BN617" s="28" t="n"/>
      <c r="BO617" s="28" t="n"/>
      <c r="BP617" s="25" t="n"/>
      <c r="BQ617" s="27" t="n">
        <v>2.5</v>
      </c>
      <c r="BR617" s="28" t="n">
        <v>0.4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0.4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"3d16277c2cfc0628d7ec79d04feee92735e5c503a3be195cb225c7c52d024308", "away_team": "Schalke 04", "event_id": "401884793", "event_start_utc": "2026-09-11T18:30Z", "features": {"away_goal_rate": 1.4801, "history_games": 9181, "home_goal_rate": 1.6369, "league_goals_per_team": 1.5832, "min_team_games": 0.0}, "historical_source_observation_times_verified": false, "home_team": "1. FC Union Berlin", "inference_inputs": {"away_rate": 1.4800589250782934, "code_sha256": {"models/soccer.py": "3d16277c2cfc0628d7ec79d04feee92735e5c503a3be195cb225c7c52d024308"}, "home_rate": 1.6368898643269902, "sport": "SOCCER"}, "market_type": "moneyline", "model_version": "soccer-poisson-dc-v1", "observed_at_utc": "2026-09-11T16:04:36.029419+00:00", "probabilities": {"away": 0.336894, "draw": 0.258472, "home": 0.404635}, "replay_scope": "Exact full-precision serving state and rounding; upstream historical observation times are not certified.", "schema": "coded-moneyline-replay-v1", "snapshot_hash": "3e60e67d768492e49ff1993dd00b2890d9463cf61775f34e464894328c7a3da0", "sport": "SOCCER"}</t>
        </is>
      </c>
    </row>
    <row r="618" ht="36" customHeight="1">
      <c r="A618" s="24" t="inlineStr">
        <is>
          <t>33a776d262174e5c</t>
        </is>
      </c>
      <c r="B618" s="24" t="inlineStr">
        <is>
          <t>2026-09-11T16:04:36.820754Z</t>
        </is>
      </c>
      <c r="C618" s="24" t="inlineStr">
        <is>
          <t>2026-09-11T18:45Z</t>
        </is>
      </c>
      <c r="D618" s="24" t="inlineStr">
        <is>
          <t>401874759</t>
        </is>
      </c>
      <c r="E618" s="24" t="inlineStr">
        <is>
          <t>SOCCER</t>
        </is>
      </c>
      <c r="F618" s="24" t="inlineStr">
        <is>
          <t>Fiorentina</t>
        </is>
      </c>
      <c r="G618" s="24" t="inlineStr">
        <is>
          <t>Venezia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163</v>
      </c>
      <c r="M618" s="27" t="n">
        <v>2.63</v>
      </c>
      <c r="N618" s="28" t="n">
        <v>0.380228</v>
      </c>
      <c r="O618" s="28" t="n">
        <v>0.366366</v>
      </c>
      <c r="P618" s="28" t="n">
        <v>0.04</v>
      </c>
      <c r="Q618" s="28" t="n">
        <v>-0.013862</v>
      </c>
      <c r="R618" s="26" t="n">
        <v>19</v>
      </c>
      <c r="S618" s="29" t="n">
        <v>1</v>
      </c>
      <c r="T618" s="24" t="inlineStr">
        <is>
          <t>soccer-poisson-dc-v1</t>
        </is>
      </c>
      <c r="U618" s="24" t="inlineStr">
        <is>
          <t>settled</t>
        </is>
      </c>
      <c r="V618" s="24" t="inlineStr">
        <is>
          <t>win</t>
        </is>
      </c>
      <c r="W618" s="26" t="n">
        <v>4</v>
      </c>
      <c r="X618" s="26" t="n">
        <v>2</v>
      </c>
      <c r="Y618" s="25" t="n"/>
      <c r="Z618" s="26" t="n">
        <v>-170</v>
      </c>
      <c r="AA618" s="28" t="n">
        <v>0.63</v>
      </c>
      <c r="AB618" s="28" t="n">
        <v>0.249772</v>
      </c>
      <c r="AC618" s="30" t="n">
        <v>1.63</v>
      </c>
      <c r="AD618" s="24" t="inlineStr">
        <is>
          <t>2026-09-11T22:00:28.412264Z</t>
        </is>
      </c>
      <c r="AE618" s="31" t="inlineStr">
        <is>
          <t>Poisson-DC rates 0.95 (home) / 1.07 (away) from EWMA attack/defense strengths. Executable ask 0.3800 (atc-sea-ven-fio-2026-09-11-fio).</t>
        </is>
      </c>
      <c r="AF618" s="31" t="inlineStr">
        <is>
          <t>Research-only soccer score model; draw-aware, but not yet locked-holdout qualified.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Fiorentina</t>
        </is>
      </c>
      <c r="AQ618" s="24" t="inlineStr">
        <is>
          <t>Fiorentina</t>
        </is>
      </c>
      <c r="AR618" s="24" t="inlineStr">
        <is>
          <t>Fiorentina</t>
        </is>
      </c>
      <c r="AS618" s="24" t="inlineStr">
        <is>
          <t>Venezia</t>
        </is>
      </c>
      <c r="AT618" s="24" t="inlineStr">
        <is>
          <t>Venezia</t>
        </is>
      </c>
      <c r="AU618" s="24" t="inlineStr">
        <is>
          <t>Venezia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3d16277c2cfc0628d7ec79d04feee92735e5c503a3be195cb225c7c52d024308</t>
        </is>
      </c>
      <c r="BB618" s="24" t="inlineStr">
        <is>
          <t>poisson_dixon_coles</t>
        </is>
      </c>
      <c r="BC618" s="24" t="inlineStr">
        <is>
          <t>soccer-poisson-dc-v1</t>
        </is>
      </c>
      <c r="BD618" s="24" t="inlineStr">
        <is>
          <t>3d16277c2cfc0628d7ec79d04feee92735e5c503a3be195cb225c7c52d024308</t>
        </is>
      </c>
      <c r="BE618" s="24" t="inlineStr">
        <is>
          <t>soccer-poisson-dc-v1</t>
        </is>
      </c>
      <c r="BF618" s="24" t="inlineStr">
        <is>
          <t>1</t>
        </is>
      </c>
      <c r="BG618" s="24" t="inlineStr">
        <is>
          <t>3d16277c2cfc0628d7ec79d04feee92735e5c503a3be195cb225c7c52d024308</t>
        </is>
      </c>
      <c r="BH618" s="24" t="inlineStr">
        <is>
          <t>2026-09-11T16:03:34.326698Z</t>
        </is>
      </c>
      <c r="BI618" s="24" t="inlineStr">
        <is>
          <t>["same_event","same_team_same_day","same_league_same_day"]</t>
        </is>
      </c>
      <c r="BJ618" s="25" t="n"/>
      <c r="BK618" s="26" t="n">
        <v>163</v>
      </c>
      <c r="BL618" s="27" t="n">
        <v>2.63</v>
      </c>
      <c r="BM618" s="28" t="n">
        <v>0.380228</v>
      </c>
      <c r="BN618" s="28" t="n"/>
      <c r="BO618" s="28" t="n"/>
      <c r="BP618" s="25" t="n"/>
      <c r="BQ618" s="27" t="n">
        <v>1.588235</v>
      </c>
      <c r="BR618" s="28" t="n">
        <v>0.63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0.380228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"3d16277c2cfc0628d7ec79d04feee92735e5c503a3be195cb225c7c52d024308", "away_team": "Fiorentina", "event_id": "401874759", "event_start_utc": "2026-09-11T18:45Z", "features": {"away_goal_rate": 1.0722, "history_games": 9181, "home_goal_rate": 0.9463, "league_goals_per_team": 1.2703, "min_team_games": 38.0}, "historical_source_observation_times_verified": false, "home_team": "Venezia", "inference_inputs": {"away_rate": 1.0721707293471707, "code_sha256": {"models/soccer.py": "3d16277c2cfc0628d7ec79d04feee92735e5c503a3be195cb225c7c52d024308"}, "home_rate": 0.9462557173792293, "sport": "SOCCER"}, "market_type": "moneyline", "model_version": "soccer-poisson-dc-v1", "observed_at_utc": "2026-09-11T16:04:36.029419+00:00", "probabilities": {"away": 0.366366, "draw": 0.332919, "home": 0.300714}, "replay_scope": "Exact full-precision serving state and rounding; upstream historical observation times are not certified.", "schema": "coded-moneyline-replay-v1", "snapshot_hash": "2afd6be4ce768a675b1fef3269398ad967b7a097484b6b243a7abda87108cd30", "sport": "SOCCER"}</t>
        </is>
      </c>
    </row>
    <row r="619" ht="36" customHeight="1">
      <c r="A619" s="24" t="inlineStr">
        <is>
          <t>b3c1fc3aa01644eb</t>
        </is>
      </c>
      <c r="B619" s="24" t="inlineStr">
        <is>
          <t>2026-09-11T22:03:44.334780Z</t>
        </is>
      </c>
      <c r="C619" s="24" t="inlineStr">
        <is>
          <t>2026-09-11T22:15Z</t>
        </is>
      </c>
      <c r="D619" s="24" t="inlineStr">
        <is>
          <t>401841556</t>
        </is>
      </c>
      <c r="E619" s="24" t="inlineStr">
        <is>
          <t>SOCCER</t>
        </is>
      </c>
      <c r="F619" s="24" t="inlineStr">
        <is>
          <t>Gimnasia (Mendoza)</t>
        </is>
      </c>
      <c r="G619" s="24" t="inlineStr">
        <is>
          <t>Defensa y Justicia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104</v>
      </c>
      <c r="M619" s="27" t="n">
        <v>2.04</v>
      </c>
      <c r="N619" s="28" t="n">
        <v>0.490196</v>
      </c>
      <c r="O619" s="28" t="n">
        <v>0.456135</v>
      </c>
      <c r="P619" s="28" t="n">
        <v>0.2</v>
      </c>
      <c r="Q619" s="28" t="n">
        <v>-0.034061</v>
      </c>
      <c r="R619" s="26" t="n">
        <v>0</v>
      </c>
      <c r="S619" s="29" t="n">
        <v>1</v>
      </c>
      <c r="T619" s="24" t="inlineStr">
        <is>
          <t>soccer-poisson-dc-v1</t>
        </is>
      </c>
      <c r="U619" s="24" t="inlineStr">
        <is>
          <t>settled</t>
        </is>
      </c>
      <c r="V619" s="24" t="inlineStr">
        <is>
          <t>win</t>
        </is>
      </c>
      <c r="W619" s="26" t="n">
        <v>0</v>
      </c>
      <c r="X619" s="26" t="n">
        <v>2</v>
      </c>
      <c r="Y619" s="25" t="n"/>
      <c r="Z619" s="26" t="n">
        <v>104</v>
      </c>
      <c r="AA619" s="28" t="n">
        <v>0.49</v>
      </c>
      <c r="AB619" s="28" t="n">
        <v>-0.000196</v>
      </c>
      <c r="AC619" s="30" t="n">
        <v>1.04</v>
      </c>
      <c r="AD619" s="24" t="inlineStr">
        <is>
          <t>2026-09-12T04:31:29.031654Z</t>
        </is>
      </c>
      <c r="AE619" s="31" t="inlineStr">
        <is>
          <t>Poisson-DC rates 1.64 (home) / 1.24 (away) from EWMA attack/defense strengths. Executable ask 0.4900 (atc-lpa-def-gye-2026-09-11-def).</t>
        </is>
      </c>
      <c r="AF619" s="31" t="inlineStr">
        <is>
          <t>Research-only soccer score model; draw-aware, but not yet locked-holdout qualified.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PAPER_CALL_MODEL_UNVALIDATED</t>
        </is>
      </c>
      <c r="AP619" s="24" t="inlineStr">
        <is>
          <t>Gimnasia (Mendoza)</t>
        </is>
      </c>
      <c r="AQ619" s="24" t="inlineStr">
        <is>
          <t>Gimnasia (Mendoza)</t>
        </is>
      </c>
      <c r="AR619" s="24" t="inlineStr">
        <is>
          <t>Gimnasia (Mendoza)</t>
        </is>
      </c>
      <c r="AS619" s="24" t="inlineStr">
        <is>
          <t>Defensa y Justicia</t>
        </is>
      </c>
      <c r="AT619" s="24" t="inlineStr">
        <is>
          <t>Defensa y Justicia</t>
        </is>
      </c>
      <c r="AU619" s="24" t="inlineStr">
        <is>
          <t>Defensa y Justicia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3d16277c2cfc0628d7ec79d04feee92735e5c503a3be195cb225c7c52d024308</t>
        </is>
      </c>
      <c r="BB619" s="24" t="inlineStr">
        <is>
          <t>poisson_dixon_coles</t>
        </is>
      </c>
      <c r="BC619" s="24" t="inlineStr">
        <is>
          <t>soccer-poisson-dc-v1</t>
        </is>
      </c>
      <c r="BD619" s="24" t="inlineStr">
        <is>
          <t>3d16277c2cfc0628d7ec79d04feee92735e5c503a3be195cb225c7c52d024308</t>
        </is>
      </c>
      <c r="BE619" s="24" t="inlineStr">
        <is>
          <t>soccer-poisson-dc-v1</t>
        </is>
      </c>
      <c r="BF619" s="24" t="inlineStr">
        <is>
          <t>1</t>
        </is>
      </c>
      <c r="BG619" s="24" t="inlineStr">
        <is>
          <t>3d16277c2cfc0628d7ec79d04feee92735e5c503a3be195cb225c7c52d024308</t>
        </is>
      </c>
      <c r="BH619" s="24" t="inlineStr">
        <is>
          <t>2026-09-11T22:03:02.240623Z</t>
        </is>
      </c>
      <c r="BI619" s="24" t="inlineStr">
        <is>
          <t>["same_event","same_team_same_day","same_league_same_day"]</t>
        </is>
      </c>
      <c r="BJ619" s="25" t="n"/>
      <c r="BK619" s="26" t="n">
        <v>104</v>
      </c>
      <c r="BL619" s="27" t="n">
        <v>2.04</v>
      </c>
      <c r="BM619" s="28" t="n">
        <v>0.490196</v>
      </c>
      <c r="BN619" s="28" t="n"/>
      <c r="BO619" s="28" t="n"/>
      <c r="BP619" s="25" t="n"/>
      <c r="BQ619" s="27" t="n">
        <v>2.04</v>
      </c>
      <c r="BR619" s="28" t="n">
        <v>0.49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0.490196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"3d16277c2cfc0628d7ec79d04feee92735e5c503a3be195cb225c7c52d024308", "away_team": "Gimnasia (Mendoza)", "event_id": "401841556", "event_start_utc": "2026-09-11T22:15Z", "features": {"away_goal_rate": 1.2418, "history_games": 9181, "home_goal_rate": 1.6423, "league_goals_per_team": 1.4281, "min_team_games": 0.0}, "historical_source_observation_times_verified": false, "home_team": "Defensa y Justicia",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"2026-09-11T22:03:43.455941+00:00", "probabilities": {"away": 0.278015, "draw": 0.265851, "home": 0.456135}, "replay_scope": "Exact full-precision serving state and rounding; upstream historical observation times are not certified.", "schema": "coded-moneyline-replay-v1", "snapshot_hash": "c02bde6654f1178caca5b9cee49ac27c5c922c1d16693913ba168e9848165022", "sport": "SOCCER"}</t>
        </is>
      </c>
    </row>
    <row r="620" ht="36" customHeight="1">
      <c r="A620" s="24" t="inlineStr">
        <is>
          <t>3bce48590a0d4252</t>
        </is>
      </c>
      <c r="B620" s="24" t="inlineStr">
        <is>
          <t>2026-09-11T22:03:44.334780Z</t>
        </is>
      </c>
      <c r="C620" s="24" t="inlineStr">
        <is>
          <t>2026-09-12T00:00Z</t>
        </is>
      </c>
      <c r="D620" s="24" t="inlineStr">
        <is>
          <t>401886188</t>
        </is>
      </c>
      <c r="E620" s="24" t="inlineStr">
        <is>
          <t>SOCCER</t>
        </is>
      </c>
      <c r="F620" s="24" t="inlineStr">
        <is>
          <t>Melgar</t>
        </is>
      </c>
      <c r="G620" s="24" t="inlineStr">
        <is>
          <t>Cusco FC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108</v>
      </c>
      <c r="M620" s="27" t="n">
        <v>2.08</v>
      </c>
      <c r="N620" s="28" t="n">
        <v>0.480769</v>
      </c>
      <c r="O620" s="28" t="n">
        <v>0.54278</v>
      </c>
      <c r="P620" s="28" t="n">
        <v>0.2</v>
      </c>
      <c r="Q620" s="28" t="n">
        <v>0.062011</v>
      </c>
      <c r="R620" s="26" t="n">
        <v>0</v>
      </c>
      <c r="S620" s="29" t="n">
        <v>1</v>
      </c>
      <c r="T620" s="24" t="inlineStr">
        <is>
          <t>soccer-poisson-dc-v1</t>
        </is>
      </c>
      <c r="U620" s="24" t="inlineStr">
        <is>
          <t>settled</t>
        </is>
      </c>
      <c r="V620" s="24" t="inlineStr">
        <is>
          <t>loss</t>
        </is>
      </c>
      <c r="W620" s="26" t="n">
        <v>1</v>
      </c>
      <c r="X620" s="26" t="n">
        <v>0</v>
      </c>
      <c r="Y620" s="25" t="n"/>
      <c r="Z620" s="26" t="n">
        <v>108</v>
      </c>
      <c r="AA620" s="28" t="n">
        <v>0.48</v>
      </c>
      <c r="AB620" s="28" t="n">
        <v>-0.000769</v>
      </c>
      <c r="AC620" s="30" t="n">
        <v>-1</v>
      </c>
      <c r="AD620" s="24" t="inlineStr">
        <is>
          <t>2026-09-12T04:31:29.566364Z</t>
        </is>
      </c>
      <c r="AE620" s="31" t="inlineStr">
        <is>
          <t>Poisson-DC rates 1.97 (home) / 1.20 (away) from EWMA attack/defense strengths. Executable ask 0.4800 (atc-pl1-gar-mel-2026-09-11-gar).</t>
        </is>
      </c>
      <c r="AF620" s="31" t="inlineStr">
        <is>
          <t>Research-only soccer score model; draw-aware, but not yet locked-holdout qualified.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PAPER_CALL_MODEL_UNVALIDATED</t>
        </is>
      </c>
      <c r="AP620" s="24" t="inlineStr">
        <is>
          <t>Melgar</t>
        </is>
      </c>
      <c r="AQ620" s="24" t="inlineStr">
        <is>
          <t>Melgar</t>
        </is>
      </c>
      <c r="AR620" s="24" t="inlineStr">
        <is>
          <t>Melgar</t>
        </is>
      </c>
      <c r="AS620" s="24" t="inlineStr">
        <is>
          <t>Cusco FC</t>
        </is>
      </c>
      <c r="AT620" s="24" t="inlineStr">
        <is>
          <t>Cusco FC</t>
        </is>
      </c>
      <c r="AU620" s="24" t="inlineStr">
        <is>
          <t>Cusco FC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3d16277c2cfc0628d7ec79d04feee92735e5c503a3be195cb225c7c52d024308</t>
        </is>
      </c>
      <c r="BB620" s="24" t="inlineStr">
        <is>
          <t>poisson_dixon_coles</t>
        </is>
      </c>
      <c r="BC620" s="24" t="inlineStr">
        <is>
          <t>soccer-poisson-dc-v1</t>
        </is>
      </c>
      <c r="BD620" s="24" t="inlineStr">
        <is>
          <t>3d16277c2cfc0628d7ec79d04feee92735e5c503a3be195cb225c7c52d024308</t>
        </is>
      </c>
      <c r="BE620" s="24" t="inlineStr">
        <is>
          <t>soccer-poisson-dc-v1</t>
        </is>
      </c>
      <c r="BF620" s="24" t="inlineStr">
        <is>
          <t>1</t>
        </is>
      </c>
      <c r="BG620" s="24" t="inlineStr">
        <is>
          <t>3d16277c2cfc0628d7ec79d04feee92735e5c503a3be195cb225c7c52d024308</t>
        </is>
      </c>
      <c r="BH620" s="24" t="inlineStr">
        <is>
          <t>2026-09-11T22:03:02.303015Z</t>
        </is>
      </c>
      <c r="BI620" s="24" t="inlineStr">
        <is>
          <t>["same_event","same_team_same_day","same_league_same_day"]</t>
        </is>
      </c>
      <c r="BJ620" s="25" t="n"/>
      <c r="BK620" s="26" t="n">
        <v>108</v>
      </c>
      <c r="BL620" s="27" t="n">
        <v>2.08</v>
      </c>
      <c r="BM620" s="28" t="n">
        <v>0.480769</v>
      </c>
      <c r="BN620" s="28" t="n"/>
      <c r="BO620" s="28" t="n"/>
      <c r="BP620" s="25" t="n"/>
      <c r="BQ620" s="27" t="n">
        <v>2.08</v>
      </c>
      <c r="BR620" s="28" t="n">
        <v>0.48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0.480769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"3d16277c2cfc0628d7ec79d04feee92735e5c503a3be195cb225c7c52d024308", "away_team": "Melgar", "event_id": "401886188", "event_start_utc": "2026-09-12T00:00Z", "features": {"away_goal_rate": 1.2004, "history_games": 9181, "home_goal_rate": 1.9709, "league_goals_per_team": 1.4281, "min_team_games": 0.0}, "historical_source_observation_times_verified": false, "home_team": "Cusco FC", "inference_inputs": {"away_rate": 1.2004312624212894, "code_sha256": {"models/soccer.py": "3d16277c2cfc0628d7ec79d04feee92735e5c503a3be195cb225c7c52d024308"}, "home_rate": 1.970903677885488, "sport": "SOCCER"}, "market_type": "moneyline", "model_version": "soccer-poisson-dc-v1", "observed_at_utc": "2026-09-11T22:03:43.455941+00:00", "probabilities": {"away": 0.219531, "draw": 0.23769, "home": 0.54278}, "replay_scope": "Exact full-precision serving state and rounding; upstream historical observation times are not certified.", "schema": "coded-moneyline-replay-v1", "snapshot_hash": "3a75224152ef57bd2337200c2b371fd3d6d6a3db184c2ecb6825f9b2bbe2b189", "sport": "SOCCER"}</t>
        </is>
      </c>
    </row>
    <row r="621" ht="36" customHeight="1">
      <c r="A621" s="24" t="inlineStr">
        <is>
          <t>337e4e6782b348d3</t>
        </is>
      </c>
      <c r="B621" s="24" t="inlineStr">
        <is>
          <t>2026-09-12T10:07:01.899797Z</t>
        </is>
      </c>
      <c r="C621" s="24" t="inlineStr">
        <is>
          <t>2026-09-12T14:00Z</t>
        </is>
      </c>
      <c r="D621" s="24" t="inlineStr">
        <is>
          <t>401879285</t>
        </is>
      </c>
      <c r="E621" s="24" t="inlineStr">
        <is>
          <t>SOCCER</t>
        </is>
      </c>
      <c r="F621" s="24" t="inlineStr">
        <is>
          <t>Brentford</t>
        </is>
      </c>
      <c r="G621" s="24" t="inlineStr">
        <is>
          <t>AFC Bournemouth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156</v>
      </c>
      <c r="M621" s="27" t="n">
        <v>2.56</v>
      </c>
      <c r="N621" s="28" t="n">
        <v>0.390625</v>
      </c>
      <c r="O621" s="28" t="n">
        <v>0.5015039999999999</v>
      </c>
      <c r="P621" s="28" t="n">
        <v>0.04</v>
      </c>
      <c r="Q621" s="28" t="n">
        <v>0.110879</v>
      </c>
      <c r="R621" s="26" t="n">
        <v>81</v>
      </c>
      <c r="S621" s="29" t="n">
        <v>1.5</v>
      </c>
      <c r="T621" s="24" t="inlineStr">
        <is>
          <t>soccer-poisson-dc-v1</t>
        </is>
      </c>
      <c r="U621" s="24" t="inlineStr">
        <is>
          <t>settled</t>
        </is>
      </c>
      <c r="V621" s="24" t="inlineStr">
        <is>
          <t>loss</t>
        </is>
      </c>
      <c r="W621" s="26" t="n">
        <v>2</v>
      </c>
      <c r="X621" s="26" t="n">
        <v>2</v>
      </c>
      <c r="Y621" s="25" t="n"/>
      <c r="Z621" s="26" t="n">
        <v>156</v>
      </c>
      <c r="AA621" s="28" t="n">
        <v>0.39</v>
      </c>
      <c r="AB621" s="28" t="n">
        <v>-0.000625</v>
      </c>
      <c r="AC621" s="30" t="n">
        <v>-1.5</v>
      </c>
      <c r="AD621" s="24" t="inlineStr">
        <is>
          <t>2026-09-12T16:00:32.375356Z</t>
        </is>
      </c>
      <c r="AE621" s="31" t="inlineStr">
        <is>
          <t>Poisson-DC rates 1.56 (home) / 0.96 (away) from EWMA attack/defense strengths. Executable ask 0.3900 (atc-epl-bor-bre-2026-09-12-bor).</t>
        </is>
      </c>
      <c r="AF621" s="31" t="inlineStr">
        <is>
          <t>Research-only soccer score model; draw-aware, but not yet locked-holdout qualified.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Brentford</t>
        </is>
      </c>
      <c r="AQ621" s="24" t="inlineStr">
        <is>
          <t>Brentford</t>
        </is>
      </c>
      <c r="AR621" s="24" t="inlineStr">
        <is>
          <t>Brentford</t>
        </is>
      </c>
      <c r="AS621" s="24" t="inlineStr">
        <is>
          <t>AFC Bournemouth</t>
        </is>
      </c>
      <c r="AT621" s="24" t="inlineStr">
        <is>
          <t>AFC Bournemouth</t>
        </is>
      </c>
      <c r="AU621" s="24" t="inlineStr">
        <is>
          <t>AFC Bournemouth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3d16277c2cfc0628d7ec79d04feee92735e5c503a3be195cb225c7c52d024308</t>
        </is>
      </c>
      <c r="BB621" s="24" t="inlineStr">
        <is>
          <t>poisson_dixon_coles</t>
        </is>
      </c>
      <c r="BC621" s="24" t="inlineStr">
        <is>
          <t>soccer-poisson-dc-v1</t>
        </is>
      </c>
      <c r="BD621" s="24" t="inlineStr">
        <is>
          <t>3d16277c2cfc0628d7ec79d04feee92735e5c503a3be195cb225c7c52d024308</t>
        </is>
      </c>
      <c r="BE621" s="24" t="inlineStr">
        <is>
          <t>soccer-poisson-dc-v1</t>
        </is>
      </c>
      <c r="BF621" s="24" t="inlineStr">
        <is>
          <t>1</t>
        </is>
      </c>
      <c r="BG621" s="24" t="inlineStr">
        <is>
          <t>3d16277c2cfc0628d7ec79d04feee92735e5c503a3be195cb225c7c52d024308</t>
        </is>
      </c>
      <c r="BH621" s="24" t="inlineStr">
        <is>
          <t>2026-09-12T10:05:43.621138Z</t>
        </is>
      </c>
      <c r="BI621" s="24" t="inlineStr">
        <is>
          <t>["same_event","same_team_same_day","same_league_same_day"]</t>
        </is>
      </c>
      <c r="BJ621" s="25" t="n"/>
      <c r="BK621" s="26" t="n">
        <v>156</v>
      </c>
      <c r="BL621" s="27" t="n">
        <v>2.56</v>
      </c>
      <c r="BM621" s="28" t="n">
        <v>0.390625</v>
      </c>
      <c r="BN621" s="28" t="n"/>
      <c r="BO621" s="28" t="n"/>
      <c r="BP621" s="25" t="n"/>
      <c r="BQ621" s="27" t="n">
        <v>2.56</v>
      </c>
      <c r="BR621" s="28" t="n">
        <v>0.39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0.390625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"3d16277c2cfc0628d7ec79d04feee92735e5c503a3be195cb225c7c52d024308", "away_team": "Brentford", "event_id": "401879285", "event_start_utc": "2026-09-12T14:00Z", "features": {"away_goal_rate": 0.9609, "history_games": 9181, "home_goal_rate": 1.5625, "league_goals_per_team": 1.4809, "min_team_games": 95.0}, "historical_source_observation_times_verified": false, "home_team": "AFC Bournemouth", "inference_inputs": {"away_rate": 0.9609010459337582, "code_sha256": {"models/soccer.py": "3d16277c2cfc0628d7ec79d04feee92735e5c503a3be195cb225c7c52d024308"}, "home_rate": 1.5624884721487564, "sport": "SOCCER"}, "market_type": "moneyline", "model_version": "soccer-poisson-dc-v1", "observed_at_utc": "2026-09-12T10:07:01.270046+00:00", "probabilities": {"away": 0.220357, "draw": 0.278139, "home": 0.501504}, "replay_scope": "Exact full-precision serving state and rounding; upstream historical observation times are not certified.", "schema": "coded-moneyline-replay-v1", "snapshot_hash": "90b604836aa76ae3fa7f7f51468682867d4c17984c4c4697f0ea912171ec564c", "sport": "SOCCER"}</t>
        </is>
      </c>
    </row>
    <row r="622" ht="36" customHeight="1">
      <c r="A622" s="24" t="inlineStr">
        <is>
          <t>1a72188d6c8d4c21</t>
        </is>
      </c>
      <c r="B622" s="24" t="inlineStr">
        <is>
          <t>2026-09-12T10:07:01.899797Z</t>
        </is>
      </c>
      <c r="C622" s="24" t="inlineStr">
        <is>
          <t>2026-09-12T14:00Z</t>
        </is>
      </c>
      <c r="D622" s="24" t="inlineStr">
        <is>
          <t>401879284</t>
        </is>
      </c>
      <c r="E622" s="24" t="inlineStr">
        <is>
          <t>SOCCER</t>
        </is>
      </c>
      <c r="F622" s="24" t="inlineStr">
        <is>
          <t>Nottingham Forest</t>
        </is>
      </c>
      <c r="G622" s="24" t="inlineStr">
        <is>
          <t>Aston Villa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127</v>
      </c>
      <c r="M622" s="27" t="n">
        <v>2.27</v>
      </c>
      <c r="N622" s="28" t="n">
        <v>0.440529</v>
      </c>
      <c r="O622" s="28" t="n">
        <v>0.401732</v>
      </c>
      <c r="P622" s="28" t="n">
        <v>0.04</v>
      </c>
      <c r="Q622" s="28" t="n">
        <v>-0.038797</v>
      </c>
      <c r="R622" s="26" t="n">
        <v>7</v>
      </c>
      <c r="S622" s="29" t="n">
        <v>1</v>
      </c>
      <c r="T622" s="24" t="inlineStr">
        <is>
          <t>soccer-poisson-dc-v1</t>
        </is>
      </c>
      <c r="U622" s="24" t="inlineStr">
        <is>
          <t>settled</t>
        </is>
      </c>
      <c r="V622" s="24" t="inlineStr">
        <is>
          <t>loss</t>
        </is>
      </c>
      <c r="W622" s="26" t="n">
        <v>2</v>
      </c>
      <c r="X622" s="26" t="n">
        <v>1</v>
      </c>
      <c r="Y622" s="25" t="n"/>
      <c r="Z622" s="26" t="n">
        <v>127</v>
      </c>
      <c r="AA622" s="28" t="n">
        <v>0.44</v>
      </c>
      <c r="AB622" s="28" t="n">
        <v>-0.000529</v>
      </c>
      <c r="AC622" s="30" t="n">
        <v>-1</v>
      </c>
      <c r="AD622" s="24" t="inlineStr">
        <is>
          <t>2026-09-12T16:00:32.906538Z</t>
        </is>
      </c>
      <c r="AE622" s="31" t="inlineStr">
        <is>
          <t>Poisson-DC rates 1.52 (home) / 1.35 (away) from EWMA attack/defense strengths. Executable ask 0.4400 (atc-epl-ast-not-2026-09-12-ast).</t>
        </is>
      </c>
      <c r="AF622" s="31" t="inlineStr">
        <is>
          <t>Research-only soccer score model; draw-aware, but not yet locked-holdout qualified.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Nottingham Forest</t>
        </is>
      </c>
      <c r="AQ622" s="24" t="inlineStr">
        <is>
          <t>Nottingham Forest</t>
        </is>
      </c>
      <c r="AR622" s="24" t="inlineStr">
        <is>
          <t>Nottingham Forest</t>
        </is>
      </c>
      <c r="AS622" s="24" t="inlineStr">
        <is>
          <t>Aston Villa</t>
        </is>
      </c>
      <c r="AT622" s="24" t="inlineStr">
        <is>
          <t>Aston Villa</t>
        </is>
      </c>
      <c r="AU622" s="24" t="inlineStr">
        <is>
          <t>Aston Villa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3d16277c2cfc0628d7ec79d04feee92735e5c503a3be195cb225c7c52d024308</t>
        </is>
      </c>
      <c r="BB622" s="24" t="inlineStr">
        <is>
          <t>poisson_dixon_coles</t>
        </is>
      </c>
      <c r="BC622" s="24" t="inlineStr">
        <is>
          <t>soccer-poisson-dc-v1</t>
        </is>
      </c>
      <c r="BD622" s="24" t="inlineStr">
        <is>
          <t>3d16277c2cfc0628d7ec79d04feee92735e5c503a3be195cb225c7c52d024308</t>
        </is>
      </c>
      <c r="BE622" s="24" t="inlineStr">
        <is>
          <t>soccer-poisson-dc-v1</t>
        </is>
      </c>
      <c r="BF622" s="24" t="inlineStr">
        <is>
          <t>1</t>
        </is>
      </c>
      <c r="BG622" s="24" t="inlineStr">
        <is>
          <t>3d16277c2cfc0628d7ec79d04feee92735e5c503a3be195cb225c7c52d024308</t>
        </is>
      </c>
      <c r="BH622" s="24" t="inlineStr">
        <is>
          <t>2026-09-12T10:05:43.794790Z</t>
        </is>
      </c>
      <c r="BI622" s="24" t="inlineStr">
        <is>
          <t>["same_event","same_team_same_day","same_league_same_day"]</t>
        </is>
      </c>
      <c r="BJ622" s="25" t="n"/>
      <c r="BK622" s="26" t="n">
        <v>127</v>
      </c>
      <c r="BL622" s="27" t="n">
        <v>2.27</v>
      </c>
      <c r="BM622" s="28" t="n">
        <v>0.440529</v>
      </c>
      <c r="BN622" s="28" t="n"/>
      <c r="BO622" s="28" t="n"/>
      <c r="BP622" s="25" t="n"/>
      <c r="BQ622" s="27" t="n">
        <v>2.27</v>
      </c>
      <c r="BR622" s="28" t="n">
        <v>0.44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0.440529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"3d16277c2cfc0628d7ec79d04feee92735e5c503a3be195cb225c7c52d024308", "away_team": "Nottingham Forest", "event_id": "401879284", "event_start_utc": "2026-09-12T14:00Z", "features": {"away_goal_rate": 1.3486, "history_games": 9181, "home_goal_rate": 1.5165, "league_goals_per_team": 1.4809, "min_team_games": 94.0}, "historical_source_observation_times_verified": false, "home_team": "Aston Villa", "inference_inputs": {"away_rate": 1.348602530180151, "code_sha256": {"models/soccer.py": "3d16277c2cfc0628d7ec79d04feee92735e5c503a3be195cb225c7c52d024308"}, "home_rate": 1.5164623418025218, "sport": "SOCCER"}, "market_type": "moneyline", "model_version": "soccer-poisson-dc-v1", "observed_at_utc": "2026-09-12T10:07:01.270046+00:00", "probabilities": {"away": 0.326457, "draw": 0.271811, "home": 0.401732}, "replay_scope": "Exact full-precision serving state and rounding; upstream historical observation times are not certified.", "schema": "coded-moneyline-replay-v1", "snapshot_hash": "1e41881eb347632272e1b44a7e99110ee82d24ae88e6ab9370c10ea9fe689dfe", "sport": "SOCCER"}</t>
        </is>
      </c>
    </row>
    <row r="623" ht="36" customHeight="1">
      <c r="A623" s="24" t="inlineStr">
        <is>
          <t>e97809e42d624b7f</t>
        </is>
      </c>
      <c r="B623" s="24" t="inlineStr">
        <is>
          <t>2026-09-12T10:07:01.899797Z</t>
        </is>
      </c>
      <c r="C623" s="24" t="inlineStr">
        <is>
          <t>2026-09-12T14:00Z</t>
        </is>
      </c>
      <c r="D623" s="24" t="inlineStr">
        <is>
          <t>401879283</t>
        </is>
      </c>
      <c r="E623" s="24" t="inlineStr">
        <is>
          <t>SOCCER</t>
        </is>
      </c>
      <c r="F623" s="24" t="inlineStr">
        <is>
          <t>Hull City</t>
        </is>
      </c>
      <c r="G623" s="24" t="inlineStr">
        <is>
          <t>Chelsea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-426</v>
      </c>
      <c r="M623" s="27" t="n">
        <v>1.234742</v>
      </c>
      <c r="N623" s="28" t="n">
        <v>0.809886</v>
      </c>
      <c r="O623" s="28" t="n">
        <v>0.399931</v>
      </c>
      <c r="P623" s="28" t="n">
        <v>0.2</v>
      </c>
      <c r="Q623" s="28" t="n">
        <v>-0.409955</v>
      </c>
      <c r="R623" s="26" t="n">
        <v>0</v>
      </c>
      <c r="S623" s="29" t="n">
        <v>1</v>
      </c>
      <c r="T623" s="24" t="inlineStr">
        <is>
          <t>soccer-poisson-dc-v1</t>
        </is>
      </c>
      <c r="U623" s="24" t="inlineStr">
        <is>
          <t>settled</t>
        </is>
      </c>
      <c r="V623" s="24" t="inlineStr">
        <is>
          <t>loss</t>
        </is>
      </c>
      <c r="W623" s="26" t="n">
        <v>2</v>
      </c>
      <c r="X623" s="26" t="n">
        <v>2</v>
      </c>
      <c r="Y623" s="25" t="n"/>
      <c r="Z623" s="26" t="n">
        <v>-426</v>
      </c>
      <c r="AA623" s="28" t="n">
        <v>0.8100000000000001</v>
      </c>
      <c r="AB623" s="28" t="n">
        <v>0.000114</v>
      </c>
      <c r="AC623" s="30" t="n">
        <v>-1</v>
      </c>
      <c r="AD623" s="24" t="inlineStr">
        <is>
          <t>2026-09-12T16:00:33.442228Z</t>
        </is>
      </c>
      <c r="AE623" s="31" t="inlineStr">
        <is>
          <t>Poisson-DC rates 1.52 (home) / 1.36 (away) from EWMA attack/defense strengths. Executable ask 0.8100 (atc-epl-cfc-hul-2026-09-12-cfc).</t>
        </is>
      </c>
      <c r="AF623" s="31" t="inlineStr">
        <is>
          <t>Research-only soccer score model; draw-aware, but not yet locked-holdout qualified.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PAPER_CALL_MODEL_UNVALIDATED</t>
        </is>
      </c>
      <c r="AP623" s="24" t="inlineStr">
        <is>
          <t>Hull City</t>
        </is>
      </c>
      <c r="AQ623" s="24" t="inlineStr">
        <is>
          <t>Hull City</t>
        </is>
      </c>
      <c r="AR623" s="24" t="inlineStr">
        <is>
          <t>Hull City</t>
        </is>
      </c>
      <c r="AS623" s="24" t="inlineStr">
        <is>
          <t>Chelsea</t>
        </is>
      </c>
      <c r="AT623" s="24" t="inlineStr">
        <is>
          <t>Chelsea</t>
        </is>
      </c>
      <c r="AU623" s="24" t="inlineStr">
        <is>
          <t>Chelsea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3d16277c2cfc0628d7ec79d04feee92735e5c503a3be195cb225c7c52d024308</t>
        </is>
      </c>
      <c r="BB623" s="24" t="inlineStr">
        <is>
          <t>poisson_dixon_coles</t>
        </is>
      </c>
      <c r="BC623" s="24" t="inlineStr">
        <is>
          <t>soccer-poisson-dc-v1</t>
        </is>
      </c>
      <c r="BD623" s="24" t="inlineStr">
        <is>
          <t>3d16277c2cfc0628d7ec79d04feee92735e5c503a3be195cb225c7c52d024308</t>
        </is>
      </c>
      <c r="BE623" s="24" t="inlineStr">
        <is>
          <t>soccer-poisson-dc-v1</t>
        </is>
      </c>
      <c r="BF623" s="24" t="inlineStr">
        <is>
          <t>1</t>
        </is>
      </c>
      <c r="BG623" s="24" t="inlineStr">
        <is>
          <t>3d16277c2cfc0628d7ec79d04feee92735e5c503a3be195cb225c7c52d024308</t>
        </is>
      </c>
      <c r="BH623" s="24" t="inlineStr">
        <is>
          <t>2026-09-12T10:05:43.904322Z</t>
        </is>
      </c>
      <c r="BI623" s="24" t="inlineStr">
        <is>
          <t>["same_event","same_team_same_day","same_league_same_day"]</t>
        </is>
      </c>
      <c r="BJ623" s="25" t="n"/>
      <c r="BK623" s="26" t="n">
        <v>-426</v>
      </c>
      <c r="BL623" s="27" t="n">
        <v>1.234742</v>
      </c>
      <c r="BM623" s="28" t="n">
        <v>0.809886</v>
      </c>
      <c r="BN623" s="28" t="n"/>
      <c r="BO623" s="28" t="n"/>
      <c r="BP623" s="25" t="n"/>
      <c r="BQ623" s="27" t="n">
        <v>1.234742</v>
      </c>
      <c r="BR623" s="28" t="n">
        <v>0.8100000000000001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0.809886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"3d16277c2cfc0628d7ec79d04feee92735e5c503a3be195cb225c7c52d024308", "away_team": "Hull City", "event_id": "401879283", "event_start_utc": "2026-09-12T14:00Z", "features": {"away_goal_rate": 1.3591, "history_games": 9181, "home_goal_rate": 1.5179, "league_goals_per_team": 1.4809, "min_team_games": 0.0}, "historical_source_observation_times_verified": false, "home_team": "Chelsea", "inference_inputs": {"away_rate": 1.3590876784944168, "code_sha256": {"models/soccer.py": "3d16277c2cfc0628d7ec79d04feee92735e5c503a3be195cb225c7c52d024308"}, "home_rate": 1.5179316305175812, "sport": "SOCCER"}, "market_type": "moneyline", "model_version": "soccer-poisson-dc-v1", "observed_at_utc": "2026-09-12T10:07:01.270046+00:00", "probabilities": {"away": 0.328822, "draw": 0.271247, "home": 0.399931}, "replay_scope": "Exact full-precision serving state and rounding; upstream historical observation times are not certified.", "schema": "coded-moneyline-replay-v1", "snapshot_hash": "5548ea2542d486de9aa125e77400300bf935e490f4b4fdc2c5a67946fa751366", "sport": "SOCCER"}</t>
        </is>
      </c>
    </row>
    <row r="624" ht="36" customHeight="1">
      <c r="A624" s="24" t="inlineStr">
        <is>
          <t>1b371502a7b8419c</t>
        </is>
      </c>
      <c r="B624" s="24" t="inlineStr">
        <is>
          <t>2026-09-12T10:07:01.899797Z</t>
        </is>
      </c>
      <c r="C624" s="24" t="inlineStr">
        <is>
          <t>2026-09-12T14:00Z</t>
        </is>
      </c>
      <c r="D624" s="24" t="inlineStr">
        <is>
          <t>401879281</t>
        </is>
      </c>
      <c r="E624" s="24" t="inlineStr">
        <is>
          <t>SOCCER</t>
        </is>
      </c>
      <c r="F624" s="24" t="inlineStr">
        <is>
          <t>Ipswich Town</t>
        </is>
      </c>
      <c r="G624" s="24" t="inlineStr">
        <is>
          <t>Crystal Palace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-104</v>
      </c>
      <c r="M624" s="27" t="n">
        <v>1.961538</v>
      </c>
      <c r="N624" s="28" t="n">
        <v>0.509804</v>
      </c>
      <c r="O624" s="28" t="n">
        <v>0.5805439999999999</v>
      </c>
      <c r="P624" s="28" t="n">
        <v>0.04</v>
      </c>
      <c r="Q624" s="28" t="n">
        <v>0.07074</v>
      </c>
      <c r="R624" s="26" t="n">
        <v>61</v>
      </c>
      <c r="S624" s="29" t="n">
        <v>1.25</v>
      </c>
      <c r="T624" s="24" t="inlineStr">
        <is>
          <t>soccer-poisson-dc-v1</t>
        </is>
      </c>
      <c r="U624" s="24" t="inlineStr">
        <is>
          <t>settled</t>
        </is>
      </c>
      <c r="V624" s="24" t="inlineStr">
        <is>
          <t>loss</t>
        </is>
      </c>
      <c r="W624" s="26" t="n">
        <v>3</v>
      </c>
      <c r="X624" s="26" t="n">
        <v>2</v>
      </c>
      <c r="Y624" s="25" t="n"/>
      <c r="Z624" s="26" t="n">
        <v>-104</v>
      </c>
      <c r="AA624" s="28" t="n">
        <v>0.51</v>
      </c>
      <c r="AB624" s="28" t="n">
        <v>0.000196</v>
      </c>
      <c r="AC624" s="30" t="n">
        <v>-1.25</v>
      </c>
      <c r="AD624" s="24" t="inlineStr">
        <is>
          <t>2026-09-12T16:00:33.978837Z</t>
        </is>
      </c>
      <c r="AE624" s="31" t="inlineStr">
        <is>
          <t>Poisson-DC rates 1.87 (home) / 0.94 (away) from EWMA attack/defense strengths. Executable ask 0.5100 (atc-epl-cry-ips-2026-09-12-cry).</t>
        </is>
      </c>
      <c r="AF624" s="31" t="inlineStr">
        <is>
          <t>Research-only soccer score model; draw-aware, but not yet locked-holdout qualified.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Ipswich Town</t>
        </is>
      </c>
      <c r="AQ624" s="24" t="inlineStr">
        <is>
          <t>Ipswich Town</t>
        </is>
      </c>
      <c r="AR624" s="24" t="inlineStr">
        <is>
          <t>Ipswich Town</t>
        </is>
      </c>
      <c r="AS624" s="24" t="inlineStr">
        <is>
          <t>Crystal Palace</t>
        </is>
      </c>
      <c r="AT624" s="24" t="inlineStr">
        <is>
          <t>Crystal Palace</t>
        </is>
      </c>
      <c r="AU624" s="24" t="inlineStr">
        <is>
          <t>Crystal Palace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3d16277c2cfc0628d7ec79d04feee92735e5c503a3be195cb225c7c52d024308</t>
        </is>
      </c>
      <c r="BB624" s="24" t="inlineStr">
        <is>
          <t>poisson_dixon_coles</t>
        </is>
      </c>
      <c r="BC624" s="24" t="inlineStr">
        <is>
          <t>soccer-poisson-dc-v1</t>
        </is>
      </c>
      <c r="BD624" s="24" t="inlineStr">
        <is>
          <t>3d16277c2cfc0628d7ec79d04feee92735e5c503a3be195cb225c7c52d024308</t>
        </is>
      </c>
      <c r="BE624" s="24" t="inlineStr">
        <is>
          <t>soccer-poisson-dc-v1</t>
        </is>
      </c>
      <c r="BF624" s="24" t="inlineStr">
        <is>
          <t>1</t>
        </is>
      </c>
      <c r="BG624" s="24" t="inlineStr">
        <is>
          <t>3d16277c2cfc0628d7ec79d04feee92735e5c503a3be195cb225c7c52d024308</t>
        </is>
      </c>
      <c r="BH624" s="24" t="inlineStr">
        <is>
          <t>2026-09-12T10:05:43.430039Z</t>
        </is>
      </c>
      <c r="BI624" s="24" t="inlineStr">
        <is>
          <t>["same_event","same_team_same_day","same_league_same_day"]</t>
        </is>
      </c>
      <c r="BJ624" s="25" t="n"/>
      <c r="BK624" s="26" t="n">
        <v>-104</v>
      </c>
      <c r="BL624" s="27" t="n">
        <v>1.961538</v>
      </c>
      <c r="BM624" s="28" t="n">
        <v>0.509804</v>
      </c>
      <c r="BN624" s="28" t="n"/>
      <c r="BO624" s="28" t="n"/>
      <c r="BP624" s="25" t="n"/>
      <c r="BQ624" s="27" t="n">
        <v>1.961538</v>
      </c>
      <c r="BR624" s="28" t="n">
        <v>0.51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0.509804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"3d16277c2cfc0628d7ec79d04feee92735e5c503a3be195cb225c7c52d024308", "away_team": "Ipswich Town", "event_id": "401879281", "event_start_utc": "2026-09-12T14:00Z", "features": {"away_goal_rate": 0.9421, "history_games": 9181, "home_goal_rate": 1.8685, "league_goals_per_team": 1.4809, "min_team_games": 38.0}, "historical_source_observation_times_verified": false, "home_team": "Crystal Palace", "inference_inputs": {"away_rate": 0.9421440914692143, "code_sha256": {"models/soccer.py": "3d16277c2cfc0628d7ec79d04feee92735e5c503a3be195cb225c7c52d024308"}, "home_rate": 1.86854161814447, "sport": "SOCCER"}, "market_type": "moneyline", "model_version": "soccer-poisson-dc-v1", "observed_at_utc": "2026-09-12T10:07:01.270046+00:00", "probabilities": {"away": 0.175384, "draw": 0.244071, "home": 0.580544}, "replay_scope": "Exact full-precision serving state and rounding; upstream historical observation times are not certified.", "schema": "coded-moneyline-replay-v1", "snapshot_hash": "b2fbaf908d4bc67efd8be6ed64b80176e2c34e6d4a94cb3d4312f6b7b2e57f98", "sport": "SOCCER"}</t>
        </is>
      </c>
    </row>
    <row r="625" ht="36" customHeight="1">
      <c r="A625" s="24" t="inlineStr">
        <is>
          <t>9164c96150fb4d8a</t>
        </is>
      </c>
      <c r="B625" s="24" t="inlineStr">
        <is>
          <t>2026-09-12T10:07:01.899797Z</t>
        </is>
      </c>
      <c r="C625" s="24" t="inlineStr">
        <is>
          <t>2026-09-12T14:00Z</t>
        </is>
      </c>
      <c r="D625" s="24" t="inlineStr">
        <is>
          <t>401879279</t>
        </is>
      </c>
      <c r="E625" s="24" t="inlineStr">
        <is>
          <t>SOCCER</t>
        </is>
      </c>
      <c r="F625" s="24" t="inlineStr">
        <is>
          <t>Fulham</t>
        </is>
      </c>
      <c r="G625" s="24" t="inlineStr">
        <is>
          <t>Liverpool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-186</v>
      </c>
      <c r="M625" s="27" t="n">
        <v>1.537634</v>
      </c>
      <c r="N625" s="28" t="n">
        <v>0.65035</v>
      </c>
      <c r="O625" s="28" t="n">
        <v>0.517045</v>
      </c>
      <c r="P625" s="28" t="n">
        <v>0.04</v>
      </c>
      <c r="Q625" s="28" t="n">
        <v>-0.133305</v>
      </c>
      <c r="R625" s="26" t="n">
        <v>0</v>
      </c>
      <c r="S625" s="29" t="n">
        <v>1</v>
      </c>
      <c r="T625" s="24" t="inlineStr">
        <is>
          <t>soccer-poisson-dc-v1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0</v>
      </c>
      <c r="Y625" s="25" t="n"/>
      <c r="Z625" s="26" t="n">
        <v>-186</v>
      </c>
      <c r="AA625" s="28" t="n">
        <v>0.65</v>
      </c>
      <c r="AB625" s="28" t="n">
        <v>-0.00035</v>
      </c>
      <c r="AC625" s="30" t="n">
        <v>-1</v>
      </c>
      <c r="AD625" s="24" t="inlineStr">
        <is>
          <t>2026-09-12T16:00:34.519980Z</t>
        </is>
      </c>
      <c r="AE625" s="31" t="inlineStr">
        <is>
          <t>Poisson-DC rates 1.64 (home) / 0.98 (away) from EWMA attack/defense strengths. Executable ask 0.6500 (atc-epl-liv-ful-2026-09-12-liv).</t>
        </is>
      </c>
      <c r="AF625" s="31" t="inlineStr">
        <is>
          <t>Research-only soccer score model; draw-aware, but not yet locked-holdout qualified.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Fulham</t>
        </is>
      </c>
      <c r="AQ625" s="24" t="inlineStr">
        <is>
          <t>Fulham</t>
        </is>
      </c>
      <c r="AR625" s="24" t="inlineStr">
        <is>
          <t>Fulham</t>
        </is>
      </c>
      <c r="AS625" s="24" t="inlineStr">
        <is>
          <t>Liverpool</t>
        </is>
      </c>
      <c r="AT625" s="24" t="inlineStr">
        <is>
          <t>Liverpool</t>
        </is>
      </c>
      <c r="AU625" s="24" t="inlineStr">
        <is>
          <t>Liverpool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3d16277c2cfc0628d7ec79d04feee92735e5c503a3be195cb225c7c52d024308</t>
        </is>
      </c>
      <c r="BB625" s="24" t="inlineStr">
        <is>
          <t>poisson_dixon_coles</t>
        </is>
      </c>
      <c r="BC625" s="24" t="inlineStr">
        <is>
          <t>soccer-poisson-dc-v1</t>
        </is>
      </c>
      <c r="BD625" s="24" t="inlineStr">
        <is>
          <t>3d16277c2cfc0628d7ec79d04feee92735e5c503a3be195cb225c7c52d024308</t>
        </is>
      </c>
      <c r="BE625" s="24" t="inlineStr">
        <is>
          <t>soccer-poisson-dc-v1</t>
        </is>
      </c>
      <c r="BF625" s="24" t="inlineStr">
        <is>
          <t>1</t>
        </is>
      </c>
      <c r="BG625" s="24" t="inlineStr">
        <is>
          <t>3d16277c2cfc0628d7ec79d04feee92735e5c503a3be195cb225c7c52d024308</t>
        </is>
      </c>
      <c r="BH625" s="24" t="inlineStr">
        <is>
          <t>2026-09-12T10:05:43.325539Z</t>
        </is>
      </c>
      <c r="BI625" s="24" t="inlineStr">
        <is>
          <t>["same_event","same_team_same_day","same_league_same_day"]</t>
        </is>
      </c>
      <c r="BJ625" s="25" t="n"/>
      <c r="BK625" s="26" t="n">
        <v>-186</v>
      </c>
      <c r="BL625" s="27" t="n">
        <v>1.537634</v>
      </c>
      <c r="BM625" s="28" t="n">
        <v>0.65035</v>
      </c>
      <c r="BN625" s="28" t="n"/>
      <c r="BO625" s="28" t="n"/>
      <c r="BP625" s="25" t="n"/>
      <c r="BQ625" s="27" t="n">
        <v>1.537634</v>
      </c>
      <c r="BR625" s="28" t="n">
        <v>0.65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0.65035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"3d16277c2cfc0628d7ec79d04feee92735e5c503a3be195cb225c7c52d024308", "away_team": "Fulham", "event_id": "401879279", "event_start_utc": "2026-09-12T14:00Z", "features": {"away_goal_rate": 0.9785, "history_games": 9181, "home_goal_rate": 1.6405, "league_goals_per_team": 1.4809, "min_team_games": 94.0}, "historical_source_observation_times_verified": false, "home_team": "Liverpool", "inference_inputs": {"away_rate": 0.9784690256144903, "code_sha256": {"models/soccer.py": "3d16277c2cfc0628d7ec79d04feee92735e5c503a3be195cb225c7c52d024308"}, "home_rate": 1.6405321700151223, "sport": "SOCCER"}, "market_type": "moneyline", "model_version": "soccer-poisson-dc-v1", "observed_at_utc": "2026-09-12T10:07:01.270046+00:00", "probabilities": {"away": 0.213488, "draw": 0.269467, "home": 0.517045}, "replay_scope": "Exact full-precision serving state and rounding; upstream historical observation times are not certified.", "schema": "coded-moneyline-replay-v1", "snapshot_hash": "a712f4239897ed9f73de8f23c37f1710058e8809bdd40f97d94a394b4caa76f5", "sport": "SOCCER"}</t>
        </is>
      </c>
    </row>
    <row r="626" ht="36" customHeight="1">
      <c r="A626" s="24" t="inlineStr">
        <is>
          <t>27ee4c7902c648f6</t>
        </is>
      </c>
      <c r="B626" s="24" t="inlineStr">
        <is>
          <t>2026-09-12T10:07:01.899797Z</t>
        </is>
      </c>
      <c r="C626" s="24" t="inlineStr">
        <is>
          <t>2026-09-12T14:15Z</t>
        </is>
      </c>
      <c r="D626" s="24" t="inlineStr">
        <is>
          <t>401882882</t>
        </is>
      </c>
      <c r="E626" s="24" t="inlineStr">
        <is>
          <t>SOCCER</t>
        </is>
      </c>
      <c r="F626" s="24" t="inlineStr">
        <is>
          <t>Espanyol</t>
        </is>
      </c>
      <c r="G626" s="24" t="inlineStr">
        <is>
          <t>Osasuna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133</v>
      </c>
      <c r="M626" s="27" t="n">
        <v>2.33</v>
      </c>
      <c r="N626" s="28" t="n">
        <v>0.429185</v>
      </c>
      <c r="O626" s="28" t="n">
        <v>0.470382</v>
      </c>
      <c r="P626" s="28" t="n">
        <v>0.04</v>
      </c>
      <c r="Q626" s="28" t="n">
        <v>0.041197</v>
      </c>
      <c r="R626" s="26" t="n">
        <v>47</v>
      </c>
      <c r="S626" s="29" t="n">
        <v>1</v>
      </c>
      <c r="T626" s="24" t="inlineStr">
        <is>
          <t>soccer-poisson-dc-v1</t>
        </is>
      </c>
      <c r="U626" s="24" t="inlineStr">
        <is>
          <t>settled</t>
        </is>
      </c>
      <c r="V626" s="24" t="inlineStr">
        <is>
          <t>loss</t>
        </is>
      </c>
      <c r="W626" s="26" t="n">
        <v>2</v>
      </c>
      <c r="X626" s="26" t="n">
        <v>0</v>
      </c>
      <c r="Y626" s="25" t="n"/>
      <c r="Z626" s="26" t="n">
        <v>133</v>
      </c>
      <c r="AA626" s="28" t="n">
        <v>0.43</v>
      </c>
      <c r="AB626" s="28" t="n">
        <v>0.000815</v>
      </c>
      <c r="AC626" s="30" t="n">
        <v>-1</v>
      </c>
      <c r="AD626" s="24" t="inlineStr">
        <is>
          <t>2026-09-12T22:01:13.054263Z</t>
        </is>
      </c>
      <c r="AE626" s="31" t="inlineStr">
        <is>
          <t>Poisson-DC rates 1.50 (home) / 1.02 (away) from EWMA attack/defense strengths. Executable ask 0.4300 (atc-lal-osa-esp-2026-09-12-osa).</t>
        </is>
      </c>
      <c r="AF626" s="31" t="inlineStr">
        <is>
          <t>Research-only soccer score model; draw-aware, but not yet locked-holdout qualified.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Espanyol</t>
        </is>
      </c>
      <c r="AQ626" s="24" t="inlineStr">
        <is>
          <t>Espanyol</t>
        </is>
      </c>
      <c r="AR626" s="24" t="inlineStr">
        <is>
          <t>Espanyol</t>
        </is>
      </c>
      <c r="AS626" s="24" t="inlineStr">
        <is>
          <t>Osasuna</t>
        </is>
      </c>
      <c r="AT626" s="24" t="inlineStr">
        <is>
          <t>Osasuna</t>
        </is>
      </c>
      <c r="AU626" s="24" t="inlineStr">
        <is>
          <t>Osasuna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3d16277c2cfc0628d7ec79d04feee92735e5c503a3be195cb225c7c52d024308</t>
        </is>
      </c>
      <c r="BB626" s="24" t="inlineStr">
        <is>
          <t>poisson_dixon_coles</t>
        </is>
      </c>
      <c r="BC626" s="24" t="inlineStr">
        <is>
          <t>soccer-poisson-dc-v1</t>
        </is>
      </c>
      <c r="BD626" s="24" t="inlineStr">
        <is>
          <t>3d16277c2cfc0628d7ec79d04feee92735e5c503a3be195cb225c7c52d024308</t>
        </is>
      </c>
      <c r="BE626" s="24" t="inlineStr">
        <is>
          <t>soccer-poisson-dc-v1</t>
        </is>
      </c>
      <c r="BF626" s="24" t="inlineStr">
        <is>
          <t>1</t>
        </is>
      </c>
      <c r="BG626" s="24" t="inlineStr">
        <is>
          <t>3d16277c2cfc0628d7ec79d04feee92735e5c503a3be195cb225c7c52d024308</t>
        </is>
      </c>
      <c r="BH626" s="24" t="inlineStr">
        <is>
          <t>2026-09-12T10:05:44.524264Z</t>
        </is>
      </c>
      <c r="BI626" s="24" t="inlineStr">
        <is>
          <t>["same_event","same_team_same_day","same_league_same_day"]</t>
        </is>
      </c>
      <c r="BJ626" s="25" t="n"/>
      <c r="BK626" s="26" t="n">
        <v>133</v>
      </c>
      <c r="BL626" s="27" t="n">
        <v>2.33</v>
      </c>
      <c r="BM626" s="28" t="n">
        <v>0.429185</v>
      </c>
      <c r="BN626" s="28" t="n"/>
      <c r="BO626" s="28" t="n"/>
      <c r="BP626" s="25" t="n"/>
      <c r="BQ626" s="27" t="n">
        <v>2.33</v>
      </c>
      <c r="BR626" s="28" t="n">
        <v>0.43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0.429185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"3d16277c2cfc0628d7ec79d04feee92735e5c503a3be195cb225c7c52d024308", "away_team": "Espanyol", "event_id": "401882882", "event_start_utc": "2026-09-12T14:15Z", "features": {"away_goal_rate": 1.021, "history_games": 9181, "home_goal_rate": 1.4992, "league_goals_per_team": 1.325, "min_team_games": 76.0}, "historical_source_observation_times_verified": false, "home_team": "Osasuna", "inference_inputs": {"away_rate": 1.0209924710315583, "code_sha256": {"models/soccer.py": "3d16277c2cfc0628d7ec79d04feee92735e5c503a3be195cb225c7c52d024308"}, "home_rate": 1.4992381413504514, "sport": "SOCCER"}, "market_type": "moneyline", "model_version": "soccer-poisson-dc-v1", "observed_at_utc": "2026-09-12T10:07:01.270046+00:00", "probabilities": {"away": 0.245469, "draw": 0.284149, "home": 0.470382}, "replay_scope": "Exact full-precision serving state and rounding; upstream historical observation times are not certified.", "schema": "coded-moneyline-replay-v1", "snapshot_hash": "e91b4cc3b3e18e6db32c220c1361d9f5e14ac074e384b5b7fece5cb1e5342227", "sport": "SOCCER"}</t>
        </is>
      </c>
    </row>
    <row r="627" ht="36" customHeight="1">
      <c r="A627" s="24" t="inlineStr">
        <is>
          <t>66f13684610145d8</t>
        </is>
      </c>
      <c r="B627" s="24" t="inlineStr">
        <is>
          <t>2026-09-12T10:07:01.899797Z</t>
        </is>
      </c>
      <c r="C627" s="24" t="inlineStr">
        <is>
          <t>2026-09-12T13:30Z</t>
        </is>
      </c>
      <c r="D627" s="24" t="inlineStr">
        <is>
          <t>401884799</t>
        </is>
      </c>
      <c r="E627" s="24" t="inlineStr">
        <is>
          <t>SOCCER</t>
        </is>
      </c>
      <c r="F627" s="24" t="inlineStr">
        <is>
          <t>SC Paderborn 07</t>
        </is>
      </c>
      <c r="G627" s="24" t="inlineStr">
        <is>
          <t>Borussia Dortmund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-355</v>
      </c>
      <c r="M627" s="27" t="n">
        <v>1.28169</v>
      </c>
      <c r="N627" s="28" t="n">
        <v>0.78022</v>
      </c>
      <c r="O627" s="28" t="n">
        <v>0.678732</v>
      </c>
      <c r="P627" s="28" t="n">
        <v>0.2</v>
      </c>
      <c r="Q627" s="28" t="n">
        <v>-0.101488</v>
      </c>
      <c r="R627" s="26" t="n">
        <v>0</v>
      </c>
      <c r="S627" s="29" t="n">
        <v>1</v>
      </c>
      <c r="T627" s="24" t="inlineStr">
        <is>
          <t>soccer-poisson-dc-v1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3</v>
      </c>
      <c r="Y627" s="25" t="n"/>
      <c r="Z627" s="26" t="n">
        <v>-355</v>
      </c>
      <c r="AA627" s="28" t="n">
        <v>0.78</v>
      </c>
      <c r="AB627" s="28" t="n">
        <v>-0.00022</v>
      </c>
      <c r="AC627" s="30" t="n">
        <v>0.2817</v>
      </c>
      <c r="AD627" s="24" t="inlineStr">
        <is>
          <t>2026-09-12T16:00:35.056589Z</t>
        </is>
      </c>
      <c r="AE627" s="31" t="inlineStr">
        <is>
          <t>Poisson-DC rates 2.37 (home) / 0.96 (away) from EWMA attack/defense strengths. Executable ask 0.7800 (atc-bun-bvb-scp-2026-09-12-bvb).</t>
        </is>
      </c>
      <c r="AF627" s="31" t="inlineStr">
        <is>
          <t>Research-only soccer score model; draw-aware, but not yet locked-holdout qualified.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PAPER_CALL_MODEL_UNVALIDATED</t>
        </is>
      </c>
      <c r="AP627" s="24" t="inlineStr">
        <is>
          <t>SC Paderborn 07</t>
        </is>
      </c>
      <c r="AQ627" s="24" t="inlineStr">
        <is>
          <t>SC Paderborn 07</t>
        </is>
      </c>
      <c r="AR627" s="24" t="inlineStr">
        <is>
          <t>SC Paderborn 07</t>
        </is>
      </c>
      <c r="AS627" s="24" t="inlineStr">
        <is>
          <t>Borussia Dortmund</t>
        </is>
      </c>
      <c r="AT627" s="24" t="inlineStr">
        <is>
          <t>Borussia Dortmund</t>
        </is>
      </c>
      <c r="AU627" s="24" t="inlineStr">
        <is>
          <t>Borussia Dortmund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3d16277c2cfc0628d7ec79d04feee92735e5c503a3be195cb225c7c52d024308</t>
        </is>
      </c>
      <c r="BB627" s="24" t="inlineStr">
        <is>
          <t>poisson_dixon_coles</t>
        </is>
      </c>
      <c r="BC627" s="24" t="inlineStr">
        <is>
          <t>soccer-poisson-dc-v1</t>
        </is>
      </c>
      <c r="BD627" s="24" t="inlineStr">
        <is>
          <t>3d16277c2cfc0628d7ec79d04feee92735e5c503a3be195cb225c7c52d024308</t>
        </is>
      </c>
      <c r="BE627" s="24" t="inlineStr">
        <is>
          <t>soccer-poisson-dc-v1</t>
        </is>
      </c>
      <c r="BF627" s="24" t="inlineStr">
        <is>
          <t>1</t>
        </is>
      </c>
      <c r="BG627" s="24" t="inlineStr">
        <is>
          <t>3d16277c2cfc0628d7ec79d04feee92735e5c503a3be195cb225c7c52d024308</t>
        </is>
      </c>
      <c r="BH627" s="24" t="inlineStr">
        <is>
          <t>2026-09-12T10:05:44.903295Z</t>
        </is>
      </c>
      <c r="BI627" s="24" t="inlineStr">
        <is>
          <t>["same_event","same_team_same_day","same_league_same_day"]</t>
        </is>
      </c>
      <c r="BJ627" s="25" t="n"/>
      <c r="BK627" s="26" t="n">
        <v>-355</v>
      </c>
      <c r="BL627" s="27" t="n">
        <v>1.28169</v>
      </c>
      <c r="BM627" s="28" t="n">
        <v>0.78022</v>
      </c>
      <c r="BN627" s="28" t="n"/>
      <c r="BO627" s="28" t="n"/>
      <c r="BP627" s="25" t="n"/>
      <c r="BQ627" s="27" t="n">
        <v>1.28169</v>
      </c>
      <c r="BR627" s="28" t="n">
        <v>0.78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0.78022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"3d16277c2cfc0628d7ec79d04feee92735e5c503a3be195cb225c7c52d024308", "away_team": "SC Paderborn 07", "event_id": "401884799", "event_start_utc": "2026-09-12T13:30Z", "features": {"away_goal_rate": 0.9575, "history_games": 9181, "home_goal_rate": 2.3668, "league_goals_per_team": 1.5832, "min_team_games": 0.0}, "historical_source_observation_times_verified": false, "home_team": "Borussia Dortmund", "inference_inputs": {"away_rate": 0.957450943130345, "code_sha256": {"models/soccer.py": "3d16277c2cfc0628d7ec79d04feee92735e5c503a3be195cb225c7c52d024308"}, "home_rate": 2.36679431177883, "sport": "SOCCER"}, "market_type": "moneyline", "model_version": "soccer-poisson-dc-v1", "observed_at_utc": "2026-09-12T10:07:01.270046+00:00", "probabilities": {"away": 0.127707, "draw": 0.193561, "home": 0.678732}, "replay_scope": "Exact full-precision serving state and rounding; upstream historical observation times are not certified.", "schema": "coded-moneyline-replay-v1", "snapshot_hash": "ef08e2c94f25be9c3d7532d40d60e78475732b65dd80f2e6ea8974186f809eb1", "sport": "SOCCER"}</t>
        </is>
      </c>
    </row>
    <row r="628" ht="36" customHeight="1">
      <c r="A628" s="24" t="inlineStr">
        <is>
          <t>a09848c531374255</t>
        </is>
      </c>
      <c r="B628" s="24" t="inlineStr">
        <is>
          <t>2026-09-12T10:07:01.899797Z</t>
        </is>
      </c>
      <c r="C628" s="24" t="inlineStr">
        <is>
          <t>2026-09-12T13:30Z</t>
        </is>
      </c>
      <c r="D628" s="24" t="inlineStr">
        <is>
          <t>401884795</t>
        </is>
      </c>
      <c r="E628" s="24" t="inlineStr">
        <is>
          <t>SOCCER</t>
        </is>
      </c>
      <c r="F628" s="24" t="inlineStr">
        <is>
          <t>Bayer Leverkusen</t>
        </is>
      </c>
      <c r="G628" s="24" t="inlineStr">
        <is>
          <t>FC Augsburg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-104</v>
      </c>
      <c r="M628" s="27" t="n">
        <v>1.961538</v>
      </c>
      <c r="N628" s="28" t="n">
        <v>0.509804</v>
      </c>
      <c r="O628" s="28" t="n">
        <v>0.45676</v>
      </c>
      <c r="P628" s="28" t="n">
        <v>0.04</v>
      </c>
      <c r="Q628" s="28" t="n">
        <v>-0.053044</v>
      </c>
      <c r="R628" s="26" t="n">
        <v>0</v>
      </c>
      <c r="S628" s="29" t="n">
        <v>1</v>
      </c>
      <c r="T628" s="24" t="inlineStr">
        <is>
          <t>soccer-poisson-dc-v1</t>
        </is>
      </c>
      <c r="U628" s="24" t="inlineStr">
        <is>
          <t>settled</t>
        </is>
      </c>
      <c r="V628" s="24" t="inlineStr">
        <is>
          <t>loss</t>
        </is>
      </c>
      <c r="W628" s="26" t="n">
        <v>2</v>
      </c>
      <c r="X628" s="26" t="n">
        <v>2</v>
      </c>
      <c r="Y628" s="25" t="n"/>
      <c r="Z628" s="26" t="n">
        <v>100</v>
      </c>
      <c r="AA628" s="28" t="n">
        <v>0.5</v>
      </c>
      <c r="AB628" s="28" t="n">
        <v>-0.009804</v>
      </c>
      <c r="AC628" s="30" t="n">
        <v>-1</v>
      </c>
      <c r="AD628" s="24" t="inlineStr">
        <is>
          <t>2026-09-12T16:00:35.601807Z</t>
        </is>
      </c>
      <c r="AE628" s="31" t="inlineStr">
        <is>
          <t>Poisson-DC rates 1.46 (home) / 1.84 (away) from EWMA attack/defense strengths. Executable ask 0.5100 (atc-bun-aug-lev-2026-09-12-lev).</t>
        </is>
      </c>
      <c r="AF628" s="31" t="inlineStr">
        <is>
          <t>Research-only soccer score model; draw-aware, but not yet locked-holdout qualified.</t>
        </is>
      </c>
      <c r="AG628" s="24" t="inlineStr">
        <is>
          <t>review_required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Bayer Leverkusen</t>
        </is>
      </c>
      <c r="AQ628" s="24" t="inlineStr">
        <is>
          <t>Bayer Leverkusen</t>
        </is>
      </c>
      <c r="AR628" s="24" t="inlineStr">
        <is>
          <t>Bayer Leverkusen</t>
        </is>
      </c>
      <c r="AS628" s="24" t="inlineStr">
        <is>
          <t>FC Augsburg</t>
        </is>
      </c>
      <c r="AT628" s="24" t="inlineStr">
        <is>
          <t>FC Augsburg</t>
        </is>
      </c>
      <c r="AU628" s="24" t="inlineStr">
        <is>
          <t>FC Augsburg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3d16277c2cfc0628d7ec79d04feee92735e5c503a3be195cb225c7c52d024308</t>
        </is>
      </c>
      <c r="BB628" s="24" t="inlineStr">
        <is>
          <t>poisson_dixon_coles</t>
        </is>
      </c>
      <c r="BC628" s="24" t="inlineStr">
        <is>
          <t>soccer-poisson-dc-v1</t>
        </is>
      </c>
      <c r="BD628" s="24" t="inlineStr">
        <is>
          <t>3d16277c2cfc0628d7ec79d04feee92735e5c503a3be195cb225c7c52d024308</t>
        </is>
      </c>
      <c r="BE628" s="24" t="inlineStr">
        <is>
          <t>soccer-poisson-dc-v1</t>
        </is>
      </c>
      <c r="BF628" s="24" t="inlineStr">
        <is>
          <t>1</t>
        </is>
      </c>
      <c r="BG628" s="24" t="inlineStr">
        <is>
          <t>3d16277c2cfc0628d7ec79d04feee92735e5c503a3be195cb225c7c52d024308</t>
        </is>
      </c>
      <c r="BH628" s="24" t="inlineStr">
        <is>
          <t>2026-09-12T10:05:45.286568Z</t>
        </is>
      </c>
      <c r="BI628" s="24" t="inlineStr">
        <is>
          <t>["same_event","same_team_same_day","same_league_same_day"]</t>
        </is>
      </c>
      <c r="BJ628" s="25" t="n"/>
      <c r="BK628" s="26" t="n">
        <v>-104</v>
      </c>
      <c r="BL628" s="27" t="n">
        <v>1.961538</v>
      </c>
      <c r="BM628" s="28" t="n">
        <v>0.509804</v>
      </c>
      <c r="BN628" s="28" t="n"/>
      <c r="BO628" s="28" t="n"/>
      <c r="BP628" s="25" t="n"/>
      <c r="BQ628" s="27" t="n">
        <v>2</v>
      </c>
      <c r="BR628" s="28" t="n">
        <v>0.5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0.509804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"3d16277c2cfc0628d7ec79d04feee92735e5c503a3be195cb225c7c52d024308", "away_team": "Bayer Leverkusen", "event_id": "401884795", "event_start_utc": "2026-09-12T13:30Z", "features": {"away_goal_rate": 1.838, "history_games": 9181, "home_goal_rate": 1.4573, "league_goals_per_team": 1.5832, "min_team_games": 86.0}, "historical_source_observation_times_verified": false, "home_team": "FC Augsburg", "inference_inputs": {"away_rate": 1.8379729626470058, "code_sha256": {"models/soccer.py": "3d16277c2cfc0628d7ec79d04feee92735e5c503a3be195cb225c7c52d024308"}, "home_rate": 1.4573327008043042, "sport": "SOCCER"}, "market_type": "moneyline", "model_version": "soccer-poisson-dc-v1", "observed_at_utc": "2026-09-12T10:07:01.270046+00:00", "probabilities": {"away": 0.45676, "draw": 0.246109, "home": 0.29713}, "replay_scope": "Exact full-precision serving state and rounding; upstream historical observation times are not certified.", "schema": "coded-moneyline-replay-v1", "snapshot_hash": "0e103e90857ee204befbc2e7e7298ba150cf1074e5f375219a8b3a8fe2403c75", "sport": "SOCCER"}</t>
        </is>
      </c>
    </row>
    <row r="629" ht="36" customHeight="1">
      <c r="A629" s="24" t="inlineStr">
        <is>
          <t>a3f4f7bc34024ba8</t>
        </is>
      </c>
      <c r="B629" s="24" t="inlineStr">
        <is>
          <t>2026-09-12T10:07:01.899797Z</t>
        </is>
      </c>
      <c r="C629" s="24" t="inlineStr">
        <is>
          <t>2026-09-12T13:30Z</t>
        </is>
      </c>
      <c r="D629" s="24" t="inlineStr">
        <is>
          <t>401884794</t>
        </is>
      </c>
      <c r="E629" s="24" t="inlineStr">
        <is>
          <t>SOCCER</t>
        </is>
      </c>
      <c r="F629" s="24" t="inlineStr">
        <is>
          <t>Eintracht Frankfurt</t>
        </is>
      </c>
      <c r="G629" s="24" t="inlineStr">
        <is>
          <t>Mainz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-122</v>
      </c>
      <c r="M629" s="27" t="n">
        <v>1.819672</v>
      </c>
      <c r="N629" s="28" t="n">
        <v>0.54955</v>
      </c>
      <c r="O629" s="28" t="n">
        <v>0.5009749999999999</v>
      </c>
      <c r="P629" s="28" t="n">
        <v>0.04</v>
      </c>
      <c r="Q629" s="28" t="n">
        <v>-0.048575</v>
      </c>
      <c r="R629" s="26" t="n">
        <v>2</v>
      </c>
      <c r="S629" s="29" t="n">
        <v>1</v>
      </c>
      <c r="T629" s="24" t="inlineStr">
        <is>
          <t>soccer-poisson-dc-v1</t>
        </is>
      </c>
      <c r="U629" s="24" t="inlineStr">
        <is>
          <t>settled</t>
        </is>
      </c>
      <c r="V629" s="24" t="inlineStr">
        <is>
          <t>loss</t>
        </is>
      </c>
      <c r="W629" s="26" t="n">
        <v>3</v>
      </c>
      <c r="X629" s="26" t="n">
        <v>1</v>
      </c>
      <c r="Y629" s="25" t="n"/>
      <c r="Z629" s="26" t="n">
        <v>-122</v>
      </c>
      <c r="AA629" s="28" t="n">
        <v>0.55</v>
      </c>
      <c r="AB629" s="28" t="n">
        <v>0.00045</v>
      </c>
      <c r="AC629" s="30" t="n">
        <v>-1</v>
      </c>
      <c r="AD629" s="24" t="inlineStr">
        <is>
          <t>2026-09-12T16:00:36.143045Z</t>
        </is>
      </c>
      <c r="AE629" s="31" t="inlineStr">
        <is>
          <t>Poisson-DC rates 1.91 (home) / 1.32 (away) from EWMA attack/defense strengths. Executable ask 0.5500 (atc-bun-mai-fra-2026-09-12-mai).</t>
        </is>
      </c>
      <c r="AF629" s="31" t="inlineStr">
        <is>
          <t>Research-only soccer score model; draw-aware, but not yet locked-holdout qualified.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Eintracht Frankfurt</t>
        </is>
      </c>
      <c r="AQ629" s="24" t="inlineStr">
        <is>
          <t>Eintracht Frankfurt</t>
        </is>
      </c>
      <c r="AR629" s="24" t="inlineStr">
        <is>
          <t>Eintracht Frankfurt</t>
        </is>
      </c>
      <c r="AS629" s="24" t="inlineStr">
        <is>
          <t>Mainz</t>
        </is>
      </c>
      <c r="AT629" s="24" t="inlineStr">
        <is>
          <t>Mainz</t>
        </is>
      </c>
      <c r="AU629" s="24" t="inlineStr">
        <is>
          <t>Mainz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3d16277c2cfc0628d7ec79d04feee92735e5c503a3be195cb225c7c52d024308</t>
        </is>
      </c>
      <c r="BB629" s="24" t="inlineStr">
        <is>
          <t>poisson_dixon_coles</t>
        </is>
      </c>
      <c r="BC629" s="24" t="inlineStr">
        <is>
          <t>soccer-poisson-dc-v1</t>
        </is>
      </c>
      <c r="BD629" s="24" t="inlineStr">
        <is>
          <t>3d16277c2cfc0628d7ec79d04feee92735e5c503a3be195cb225c7c52d024308</t>
        </is>
      </c>
      <c r="BE629" s="24" t="inlineStr">
        <is>
          <t>soccer-poisson-dc-v1</t>
        </is>
      </c>
      <c r="BF629" s="24" t="inlineStr">
        <is>
          <t>1</t>
        </is>
      </c>
      <c r="BG629" s="24" t="inlineStr">
        <is>
          <t>3d16277c2cfc0628d7ec79d04feee92735e5c503a3be195cb225c7c52d024308</t>
        </is>
      </c>
      <c r="BH629" s="24" t="inlineStr">
        <is>
          <t>2026-09-12T10:05:45.420379Z</t>
        </is>
      </c>
      <c r="BI629" s="24" t="inlineStr">
        <is>
          <t>["same_event","same_team_same_day","same_league_same_day"]</t>
        </is>
      </c>
      <c r="BJ629" s="25" t="n"/>
      <c r="BK629" s="26" t="n">
        <v>-122</v>
      </c>
      <c r="BL629" s="27" t="n">
        <v>1.819672</v>
      </c>
      <c r="BM629" s="28" t="n">
        <v>0.54955</v>
      </c>
      <c r="BN629" s="28" t="n"/>
      <c r="BO629" s="28" t="n"/>
      <c r="BP629" s="25" t="n"/>
      <c r="BQ629" s="27" t="n">
        <v>1.819672</v>
      </c>
      <c r="BR629" s="28" t="n">
        <v>0.55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0.54955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"3d16277c2cfc0628d7ec79d04feee92735e5c503a3be195cb225c7c52d024308", "away_team": "Eintracht Frankfurt", "event_id": "401884794", "event_start_utc": "2026-09-12T13:30Z", "features": {"away_goal_rate": 1.3225, "history_games": 9181, "home_goal_rate": 1.9056, "league_goals_per_team": 1.5832, "min_team_games": 86.0}, "historical_source_observation_times_verified": false, "home_team": "Mainz", "inference_inputs": {"away_rate": 1.3224585677673388, "code_sha256": {"models/soccer.py": "3d16277c2cfc0628d7ec79d04feee92735e5c503a3be195cb225c7c52d024308"}, "home_rate": 1.9056369046114316, "sport": "SOCCER"}, "market_type": "moneyline", "model_version": "soccer-poisson-dc-v1", "observed_at_utc": "2026-09-12T10:07:01.270046+00:00", "probabilities": {"away": 0.255911, "draw": 0.243114, "home": 0.500975}, "replay_scope": "Exact full-precision serving state and rounding; upstream historical observation times are not certified.", "schema": "coded-moneyline-replay-v1", "snapshot_hash": "cf83e3f34a44ebb598eda8bfaaa9cf0f6f62524149a0f33290e5df5b8df61c59", "sport": "SOCCER"}</t>
        </is>
      </c>
    </row>
    <row r="630" ht="36" customHeight="1">
      <c r="A630" s="24" t="inlineStr">
        <is>
          <t>a93b8be718374d09</t>
        </is>
      </c>
      <c r="B630" s="24" t="inlineStr">
        <is>
          <t>2026-09-12T10:07:01.899797Z</t>
        </is>
      </c>
      <c r="C630" s="24" t="inlineStr">
        <is>
          <t>2026-09-12T13:30Z</t>
        </is>
      </c>
      <c r="D630" s="24" t="inlineStr">
        <is>
          <t>401884797</t>
        </is>
      </c>
      <c r="E630" s="24" t="inlineStr">
        <is>
          <t>SOCCER</t>
        </is>
      </c>
      <c r="F630" s="24" t="inlineStr">
        <is>
          <t>VfB Stuttgart</t>
        </is>
      </c>
      <c r="G630" s="24" t="inlineStr">
        <is>
          <t>TSG Hoffenheim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194</v>
      </c>
      <c r="M630" s="27" t="n">
        <v>2.94</v>
      </c>
      <c r="N630" s="28" t="n">
        <v>0.340136</v>
      </c>
      <c r="O630" s="28" t="n">
        <v>0.421209</v>
      </c>
      <c r="P630" s="28" t="n">
        <v>0.04</v>
      </c>
      <c r="Q630" s="28" t="n">
        <v>0.08107300000000001</v>
      </c>
      <c r="R630" s="26" t="n">
        <v>67</v>
      </c>
      <c r="S630" s="29" t="n">
        <v>1.25</v>
      </c>
      <c r="T630" s="24" t="inlineStr">
        <is>
          <t>soccer-poisson-dc-v1</t>
        </is>
      </c>
      <c r="U630" s="24" t="inlineStr">
        <is>
          <t>settled</t>
        </is>
      </c>
      <c r="V630" s="24" t="inlineStr">
        <is>
          <t>loss</t>
        </is>
      </c>
      <c r="W630" s="26" t="n">
        <v>1</v>
      </c>
      <c r="X630" s="26" t="n">
        <v>2</v>
      </c>
      <c r="Y630" s="25" t="n"/>
      <c r="Z630" s="26" t="n">
        <v>-203</v>
      </c>
      <c r="AA630" s="28" t="n">
        <v>0.67</v>
      </c>
      <c r="AB630" s="28" t="n">
        <v>0.329864</v>
      </c>
      <c r="AC630" s="30" t="n">
        <v>-1.25</v>
      </c>
      <c r="AD630" s="24" t="inlineStr">
        <is>
          <t>2026-09-12T16:00:36.678673Z</t>
        </is>
      </c>
      <c r="AE630" s="31" t="inlineStr">
        <is>
          <t>Poisson-DC rates 1.92 (home) / 2.08 (away) from EWMA attack/defense strengths. Executable ask 0.3400 (atc-bun-hof-stu-2026-09-12-stu).</t>
        </is>
      </c>
      <c r="AF630" s="31" t="inlineStr">
        <is>
          <t>Research-only soccer score model; draw-aware, but not yet locked-holdout qualified.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VfB Stuttgart</t>
        </is>
      </c>
      <c r="AQ630" s="24" t="inlineStr">
        <is>
          <t>VfB Stuttgart</t>
        </is>
      </c>
      <c r="AR630" s="24" t="inlineStr">
        <is>
          <t>VfB Stuttgart</t>
        </is>
      </c>
      <c r="AS630" s="24" t="inlineStr">
        <is>
          <t>TSG Hoffenheim</t>
        </is>
      </c>
      <c r="AT630" s="24" t="inlineStr">
        <is>
          <t>TSG Hoffenheim</t>
        </is>
      </c>
      <c r="AU630" s="24" t="inlineStr">
        <is>
          <t>TSG Hoffenheim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3d16277c2cfc0628d7ec79d04feee92735e5c503a3be195cb225c7c52d024308</t>
        </is>
      </c>
      <c r="BB630" s="24" t="inlineStr">
        <is>
          <t>poisson_dixon_coles</t>
        </is>
      </c>
      <c r="BC630" s="24" t="inlineStr">
        <is>
          <t>soccer-poisson-dc-v1</t>
        </is>
      </c>
      <c r="BD630" s="24" t="inlineStr">
        <is>
          <t>3d16277c2cfc0628d7ec79d04feee92735e5c503a3be195cb225c7c52d024308</t>
        </is>
      </c>
      <c r="BE630" s="24" t="inlineStr">
        <is>
          <t>soccer-poisson-dc-v1</t>
        </is>
      </c>
      <c r="BF630" s="24" t="inlineStr">
        <is>
          <t>1</t>
        </is>
      </c>
      <c r="BG630" s="24" t="inlineStr">
        <is>
          <t>3d16277c2cfc0628d7ec79d04feee92735e5c503a3be195cb225c7c52d024308</t>
        </is>
      </c>
      <c r="BH630" s="24" t="inlineStr">
        <is>
          <t>2026-09-12T10:05:45.041725Z</t>
        </is>
      </c>
      <c r="BI630" s="24" t="inlineStr">
        <is>
          <t>["same_event","same_team_same_day","same_league_same_day"]</t>
        </is>
      </c>
      <c r="BJ630" s="25" t="n"/>
      <c r="BK630" s="26" t="n">
        <v>194</v>
      </c>
      <c r="BL630" s="27" t="n">
        <v>2.94</v>
      </c>
      <c r="BM630" s="28" t="n">
        <v>0.340136</v>
      </c>
      <c r="BN630" s="28" t="n"/>
      <c r="BO630" s="28" t="n"/>
      <c r="BP630" s="25" t="n"/>
      <c r="BQ630" s="27" t="n">
        <v>1.492611</v>
      </c>
      <c r="BR630" s="28" t="n">
        <v>0.67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0.340136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"3d16277c2cfc0628d7ec79d04feee92735e5c503a3be195cb225c7c52d024308", "away_team": "VfB Stuttgart", "event_id": "401884797", "event_start_utc": "2026-09-12T13:30Z", "features": {"away_goal_rate": 2.0808, "history_games": 9181, "home_goal_rate": 1.9159, "league_goals_per_team": 1.5832, "min_team_games": 86.0}, "historical_source_observation_times_verified": false, "home_team": "TSG Hoffenheim", "inference_inputs": {"away_rate": 2.080774649904847, "code_sha256": {"models/soccer.py": "3d16277c2cfc0628d7ec79d04feee92735e5c503a3be195cb225c7c52d024308"}, "home_rate": 1.915905715228076, "sport": "SOCCER"}, "market_type": "moneyline", "model_version": "soccer-poisson-dc-v1", "observed_at_utc": "2026-09-12T10:07:01.270046+00:00", "probabilities": {"away": 0.421209, "draw": 0.221144, "home": 0.357647}, "replay_scope": "Exact full-precision serving state and rounding; upstream historical observation times are not certified.", "schema": "coded-moneyline-replay-v1", "snapshot_hash": "9639c0c34e485f0b8c37c205ae97bd13dcc3a3a58686b17d4a2cb4a8db24a834", "sport": "SOCCER"}</t>
        </is>
      </c>
    </row>
    <row r="631" ht="36" customHeight="1">
      <c r="A631" s="24" t="inlineStr">
        <is>
          <t>53ccc7efc7644577</t>
        </is>
      </c>
      <c r="B631" s="24" t="inlineStr">
        <is>
          <t>2026-09-12T10:07:01.899797Z</t>
        </is>
      </c>
      <c r="C631" s="24" t="inlineStr">
        <is>
          <t>2026-09-12T13:00Z</t>
        </is>
      </c>
      <c r="D631" s="24" t="inlineStr">
        <is>
          <t>401874991</t>
        </is>
      </c>
      <c r="E631" s="24" t="inlineStr">
        <is>
          <t>SOCCER</t>
        </is>
      </c>
      <c r="F631" s="24" t="inlineStr">
        <is>
          <t>Frosinone</t>
        </is>
      </c>
      <c r="G631" s="24" t="inlineStr">
        <is>
          <t>Genoa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127</v>
      </c>
      <c r="M631" s="27" t="n">
        <v>2.27</v>
      </c>
      <c r="N631" s="28" t="n">
        <v>0.440529</v>
      </c>
      <c r="O631" s="28" t="n">
        <v>0.480342</v>
      </c>
      <c r="P631" s="28" t="n">
        <v>0.04</v>
      </c>
      <c r="Q631" s="28" t="n">
        <v>0.039813</v>
      </c>
      <c r="R631" s="26" t="n">
        <v>46</v>
      </c>
      <c r="S631" s="29" t="n">
        <v>1</v>
      </c>
      <c r="T631" s="24" t="inlineStr">
        <is>
          <t>soccer-poisson-dc-v1</t>
        </is>
      </c>
      <c r="U631" s="24" t="inlineStr">
        <is>
          <t>settled</t>
        </is>
      </c>
      <c r="V631" s="24" t="inlineStr">
        <is>
          <t>loss</t>
        </is>
      </c>
      <c r="W631" s="26" t="n">
        <v>1</v>
      </c>
      <c r="X631" s="26" t="n">
        <v>1</v>
      </c>
      <c r="Y631" s="25" t="n"/>
      <c r="Z631" s="26" t="n">
        <v>127</v>
      </c>
      <c r="AA631" s="28" t="n">
        <v>0.44</v>
      </c>
      <c r="AB631" s="28" t="n">
        <v>-0.000529</v>
      </c>
      <c r="AC631" s="30" t="n">
        <v>-1</v>
      </c>
      <c r="AD631" s="24" t="inlineStr">
        <is>
          <t>2026-09-12T16:00:37.221416Z</t>
        </is>
      </c>
      <c r="AE631" s="31" t="inlineStr">
        <is>
          <t>Poisson-DC rates 1.39 (home) / 0.86 (away) from EWMA attack/defense strengths. Executable ask 0.4400 (atc-sea-gen-fro-2026-09-12-gen).</t>
        </is>
      </c>
      <c r="AF631" s="31" t="inlineStr">
        <is>
          <t>Research-only soccer score model; draw-aware, but not yet locked-holdout qualified.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Frosinone</t>
        </is>
      </c>
      <c r="AQ631" s="24" t="inlineStr">
        <is>
          <t>Frosinone</t>
        </is>
      </c>
      <c r="AR631" s="24" t="inlineStr">
        <is>
          <t>Frosinone</t>
        </is>
      </c>
      <c r="AS631" s="24" t="inlineStr">
        <is>
          <t>Genoa</t>
        </is>
      </c>
      <c r="AT631" s="24" t="inlineStr">
        <is>
          <t>Genoa</t>
        </is>
      </c>
      <c r="AU631" s="24" t="inlineStr">
        <is>
          <t>Genoa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3d16277c2cfc0628d7ec79d04feee92735e5c503a3be195cb225c7c52d024308</t>
        </is>
      </c>
      <c r="BB631" s="24" t="inlineStr">
        <is>
          <t>poisson_dixon_coles</t>
        </is>
      </c>
      <c r="BC631" s="24" t="inlineStr">
        <is>
          <t>soccer-poisson-dc-v1</t>
        </is>
      </c>
      <c r="BD631" s="24" t="inlineStr">
        <is>
          <t>3d16277c2cfc0628d7ec79d04feee92735e5c503a3be195cb225c7c52d024308</t>
        </is>
      </c>
      <c r="BE631" s="24" t="inlineStr">
        <is>
          <t>soccer-poisson-dc-v1</t>
        </is>
      </c>
      <c r="BF631" s="24" t="inlineStr">
        <is>
          <t>1</t>
        </is>
      </c>
      <c r="BG631" s="24" t="inlineStr">
        <is>
          <t>3d16277c2cfc0628d7ec79d04feee92735e5c503a3be195cb225c7c52d024308</t>
        </is>
      </c>
      <c r="BH631" s="24" t="inlineStr">
        <is>
          <t>2026-09-12T10:05:46.361914Z</t>
        </is>
      </c>
      <c r="BI631" s="24" t="inlineStr">
        <is>
          <t>["same_event","same_team_same_day","same_league_same_day"]</t>
        </is>
      </c>
      <c r="BJ631" s="25" t="n"/>
      <c r="BK631" s="26" t="n">
        <v>127</v>
      </c>
      <c r="BL631" s="27" t="n">
        <v>2.27</v>
      </c>
      <c r="BM631" s="28" t="n">
        <v>0.440529</v>
      </c>
      <c r="BN631" s="28" t="n"/>
      <c r="BO631" s="28" t="n"/>
      <c r="BP631" s="25" t="n"/>
      <c r="BQ631" s="27" t="n">
        <v>2.27</v>
      </c>
      <c r="BR631" s="28" t="n">
        <v>0.44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0.440529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"3d16277c2cfc0628d7ec79d04feee92735e5c503a3be195cb225c7c52d024308", "away_team": "Frosinone", "event_id": "401874991", "event_start_utc": "2026-09-12T13:00Z", "features": {"away_goal_rate": 0.8629, "history_games": 9181, "home_goal_rate": 1.3917, "league_goals_per_team": 1.2703, "min_team_games": 20.0}, "historical_source_observation_times_verified": false, "home_team": "Genoa", "inference_inputs": {"away_rate": 0.8629207591563014, "code_sha256": {"models/soccer.py": "3d16277c2cfc0628d7ec79d04feee92735e5c503a3be195cb225c7c52d024308"}, "home_rate": 1.3916776190994888, "sport": "SOCCER"}, "market_type": "moneyline", "model_version": "soccer-poisson-dc-v1", "observed_at_utc": "2026-09-12T10:07:01.270046+00:00", "probabilities": {"away": 0.220277, "draw": 0.29938, "home": 0.480342}, "replay_scope": "Exact full-precision serving state and rounding; upstream historical observation times are not certified.", "schema": "coded-moneyline-replay-v1", "snapshot_hash": "478919c31c3b1087cf090d7d6f035483c20d728f28d4db4552882d66a0e855e2", "sport": "SOCCER"}</t>
        </is>
      </c>
    </row>
    <row r="632" ht="36" customHeight="1">
      <c r="A632" s="24" t="inlineStr">
        <is>
          <t>a7c9a07096394947</t>
        </is>
      </c>
      <c r="B632" s="24" t="inlineStr">
        <is>
          <t>2026-09-12T10:07:01.899797Z</t>
        </is>
      </c>
      <c r="C632" s="24" t="inlineStr">
        <is>
          <t>2026-09-12T16:00Z</t>
        </is>
      </c>
      <c r="D632" s="24" t="inlineStr">
        <is>
          <t>401874941</t>
        </is>
      </c>
      <c r="E632" s="24" t="inlineStr">
        <is>
          <t>SOCCER</t>
        </is>
      </c>
      <c r="F632" s="24" t="inlineStr">
        <is>
          <t>AC Milan</t>
        </is>
      </c>
      <c r="G632" s="24" t="inlineStr">
        <is>
          <t>Lazio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285</v>
      </c>
      <c r="M632" s="27" t="n">
        <v>3.85</v>
      </c>
      <c r="N632" s="28" t="n">
        <v>0.25974</v>
      </c>
      <c r="O632" s="28" t="n">
        <v>0.377676</v>
      </c>
      <c r="P632" s="28" t="n">
        <v>0.04</v>
      </c>
      <c r="Q632" s="28" t="n">
        <v>0.117936</v>
      </c>
      <c r="R632" s="26" t="n">
        <v>85</v>
      </c>
      <c r="S632" s="29" t="n">
        <v>1.5</v>
      </c>
      <c r="T632" s="24" t="inlineStr">
        <is>
          <t>soccer-poisson-dc-v1</t>
        </is>
      </c>
      <c r="U632" s="24" t="inlineStr">
        <is>
          <t>settled</t>
        </is>
      </c>
      <c r="V632" s="24" t="inlineStr">
        <is>
          <t>loss</t>
        </is>
      </c>
      <c r="W632" s="26" t="n">
        <v>2</v>
      </c>
      <c r="X632" s="26" t="n">
        <v>2</v>
      </c>
      <c r="Y632" s="25" t="n"/>
      <c r="Z632" s="26" t="n">
        <v>285</v>
      </c>
      <c r="AA632" s="28" t="n">
        <v>0.26</v>
      </c>
      <c r="AB632" s="28" t="n">
        <v>0.00026</v>
      </c>
      <c r="AC632" s="30" t="n">
        <v>-1.5</v>
      </c>
      <c r="AD632" s="24" t="inlineStr">
        <is>
          <t>2026-09-12T22:01:13.629254Z</t>
        </is>
      </c>
      <c r="AE632" s="31" t="inlineStr">
        <is>
          <t>Poisson-DC rates 1.19 (home) / 1.06 (away) from EWMA attack/defense strengths. Executable ask 0.2600 (atc-sea-laz-mil-2026-09-12-laz).</t>
        </is>
      </c>
      <c r="AF632" s="31" t="inlineStr">
        <is>
          <t>Research-only soccer score model; draw-aware, but not yet locked-holdout qualified.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AC Milan</t>
        </is>
      </c>
      <c r="AQ632" s="24" t="inlineStr">
        <is>
          <t>AC Milan</t>
        </is>
      </c>
      <c r="AR632" s="24" t="inlineStr">
        <is>
          <t>AC Milan</t>
        </is>
      </c>
      <c r="AS632" s="24" t="inlineStr">
        <is>
          <t>Lazio</t>
        </is>
      </c>
      <c r="AT632" s="24" t="inlineStr">
        <is>
          <t>Lazio</t>
        </is>
      </c>
      <c r="AU632" s="24" t="inlineStr">
        <is>
          <t>Lazio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3d16277c2cfc0628d7ec79d04feee92735e5c503a3be195cb225c7c52d024308</t>
        </is>
      </c>
      <c r="BB632" s="24" t="inlineStr">
        <is>
          <t>poisson_dixon_coles</t>
        </is>
      </c>
      <c r="BC632" s="24" t="inlineStr">
        <is>
          <t>soccer-poisson-dc-v1</t>
        </is>
      </c>
      <c r="BD632" s="24" t="inlineStr">
        <is>
          <t>3d16277c2cfc0628d7ec79d04feee92735e5c503a3be195cb225c7c52d024308</t>
        </is>
      </c>
      <c r="BE632" s="24" t="inlineStr">
        <is>
          <t>soccer-poisson-dc-v1</t>
        </is>
      </c>
      <c r="BF632" s="24" t="inlineStr">
        <is>
          <t>1</t>
        </is>
      </c>
      <c r="BG632" s="24" t="inlineStr">
        <is>
          <t>3d16277c2cfc0628d7ec79d04feee92735e5c503a3be195cb225c7c52d024308</t>
        </is>
      </c>
      <c r="BH632" s="24" t="inlineStr">
        <is>
          <t>2026-09-12T10:05:46.556845Z</t>
        </is>
      </c>
      <c r="BI632" s="24" t="inlineStr">
        <is>
          <t>["same_event","same_team_same_day","same_league_same_day"]</t>
        </is>
      </c>
      <c r="BJ632" s="25" t="n"/>
      <c r="BK632" s="26" t="n">
        <v>285</v>
      </c>
      <c r="BL632" s="27" t="n">
        <v>3.85</v>
      </c>
      <c r="BM632" s="28" t="n">
        <v>0.25974</v>
      </c>
      <c r="BN632" s="28" t="n"/>
      <c r="BO632" s="28" t="n"/>
      <c r="BP632" s="25" t="n"/>
      <c r="BQ632" s="27" t="n">
        <v>3.85</v>
      </c>
      <c r="BR632" s="28" t="n">
        <v>0.26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0.25974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"3d16277c2cfc0628d7ec79d04feee92735e5c503a3be195cb225c7c52d024308", "away_team": "AC Milan", "event_id": "401874941", "event_start_utc": "2026-09-12T16:00Z", "features": {"away_goal_rate": 1.0555, "history_games": 9181, "home_goal_rate": 1.1931, "league_goals_per_team": 1.2703, "min_team_games": 96.0}, "historical_source_observation_times_verified": false, "home_team": "Lazio", "inference_inputs": {"away_rate": 1.0555289756481678, "code_sha256": {"models/soccer.py": "3d16277c2cfc0628d7ec79d04feee92735e5c503a3be195cb225c7c52d024308"}, "home_rate": 1.193146348301164, "sport": "SOCCER"}, "market_type": "moneyline", "model_version": "soccer-poisson-dc-v1", "observed_at_utc": "2026-09-12T10:07:01.270046+00:00", "probabilities": {"away": 0.309096, "draw": 0.313227, "home": 0.377676}, "replay_scope": "Exact full-precision serving state and rounding; upstream historical observation times are not certified.", "schema": "coded-moneyline-replay-v1", "snapshot_hash": "3956a6b3675d4bc6723a73cc7b49b0a556f9ee0c3ced8853d880698fe6295e34", "sport": "SOCCER"}</t>
        </is>
      </c>
    </row>
    <row r="633" ht="36" customHeight="1">
      <c r="A633" s="24" t="inlineStr">
        <is>
          <t>0bc59a086a584244</t>
        </is>
      </c>
      <c r="B633" s="24" t="inlineStr">
        <is>
          <t>2026-09-12T10:07:01.899797Z</t>
        </is>
      </c>
      <c r="C633" s="24" t="inlineStr">
        <is>
          <t>2026-09-12T15:30Z</t>
        </is>
      </c>
      <c r="D633" s="24" t="inlineStr">
        <is>
          <t>401850659</t>
        </is>
      </c>
      <c r="E633" s="24" t="inlineStr">
        <is>
          <t>SOCCER</t>
        </is>
      </c>
      <c r="F633" s="24" t="inlineStr">
        <is>
          <t>Everton CD</t>
        </is>
      </c>
      <c r="G633" s="24" t="inlineStr">
        <is>
          <t>Ñublense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186</v>
      </c>
      <c r="M633" s="27" t="n">
        <v>2.86</v>
      </c>
      <c r="N633" s="28" t="n">
        <v>0.34965</v>
      </c>
      <c r="O633" s="28" t="n">
        <v>0.414794</v>
      </c>
      <c r="P633" s="28" t="n">
        <v>0.19</v>
      </c>
      <c r="Q633" s="28" t="n">
        <v>0.06514399999999999</v>
      </c>
      <c r="R633" s="26" t="n">
        <v>0</v>
      </c>
      <c r="S633" s="29" t="n">
        <v>1</v>
      </c>
      <c r="T633" s="24" t="inlineStr">
        <is>
          <t>soccer-poisson-dc-v1</t>
        </is>
      </c>
      <c r="U633" s="24" t="inlineStr">
        <is>
          <t>settled</t>
        </is>
      </c>
      <c r="V633" s="24" t="inlineStr">
        <is>
          <t>loss</t>
        </is>
      </c>
      <c r="W633" s="26" t="n">
        <v>3</v>
      </c>
      <c r="X633" s="26" t="n">
        <v>1</v>
      </c>
      <c r="Y633" s="25" t="n"/>
      <c r="Z633" s="26" t="n">
        <v>186</v>
      </c>
      <c r="AA633" s="28" t="n">
        <v>0.35</v>
      </c>
      <c r="AB633" s="28" t="n">
        <v>0.00035</v>
      </c>
      <c r="AC633" s="30" t="n">
        <v>-1</v>
      </c>
      <c r="AD633" s="24" t="inlineStr">
        <is>
          <t>2026-09-12T22:01:14.199559Z</t>
        </is>
      </c>
      <c r="AE633" s="31" t="inlineStr">
        <is>
          <t>Poisson-DC rates 1.41 (home) / 1.16 (away) from EWMA attack/defense strengths. Executable ask 0.3500 (atc-pdc-nub-eve-2026-09-12-nub).</t>
        </is>
      </c>
      <c r="AF633" s="31" t="inlineStr">
        <is>
          <t>Research-only soccer score model; draw-aware, but not yet locked-holdout qualified.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PAPER_CALL_MODEL_UNVALIDATED</t>
        </is>
      </c>
      <c r="AP633" s="24" t="inlineStr">
        <is>
          <t>Everton CD</t>
        </is>
      </c>
      <c r="AQ633" s="24" t="inlineStr">
        <is>
          <t>Everton CD</t>
        </is>
      </c>
      <c r="AR633" s="24" t="inlineStr">
        <is>
          <t>Everton CD</t>
        </is>
      </c>
      <c r="AS633" s="24" t="inlineStr">
        <is>
          <t>Ñublense</t>
        </is>
      </c>
      <c r="AT633" s="24" t="inlineStr">
        <is>
          <t>Ñublense</t>
        </is>
      </c>
      <c r="AU633" s="24" t="inlineStr">
        <is>
          <t>Ñublense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3d16277c2cfc0628d7ec79d04feee92735e5c503a3be195cb225c7c52d024308</t>
        </is>
      </c>
      <c r="BB633" s="24" t="inlineStr">
        <is>
          <t>poisson_dixon_coles</t>
        </is>
      </c>
      <c r="BC633" s="24" t="inlineStr">
        <is>
          <t>soccer-poisson-dc-v1</t>
        </is>
      </c>
      <c r="BD633" s="24" t="inlineStr">
        <is>
          <t>3d16277c2cfc0628d7ec79d04feee92735e5c503a3be195cb225c7c52d024308</t>
        </is>
      </c>
      <c r="BE633" s="24" t="inlineStr">
        <is>
          <t>soccer-poisson-dc-v1</t>
        </is>
      </c>
      <c r="BF633" s="24" t="inlineStr">
        <is>
          <t>1</t>
        </is>
      </c>
      <c r="BG633" s="24" t="inlineStr">
        <is>
          <t>3d16277c2cfc0628d7ec79d04feee92735e5c503a3be195cb225c7c52d024308</t>
        </is>
      </c>
      <c r="BH633" s="24" t="inlineStr">
        <is>
          <t>2026-09-12T10:05:52.883767Z</t>
        </is>
      </c>
      <c r="BI633" s="24" t="inlineStr">
        <is>
          <t>["same_event","same_team_same_day","same_league_same_day"]</t>
        </is>
      </c>
      <c r="BJ633" s="25" t="n"/>
      <c r="BK633" s="26" t="n">
        <v>186</v>
      </c>
      <c r="BL633" s="27" t="n">
        <v>2.86</v>
      </c>
      <c r="BM633" s="28" t="n">
        <v>0.34965</v>
      </c>
      <c r="BN633" s="28" t="n"/>
      <c r="BO633" s="28" t="n"/>
      <c r="BP633" s="25" t="n"/>
      <c r="BQ633" s="27" t="n">
        <v>2.86</v>
      </c>
      <c r="BR633" s="28" t="n">
        <v>0.35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0.34965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"3d16277c2cfc0628d7ec79d04feee92735e5c503a3be195cb225c7c52d024308", "away_team": "Everton CD", "event_id": "401850659", "event_start_utc": "2026-09-12T15:30Z", "features": {"away_goal_rate": 1.1605, "history_games": 9181, "home_goal_rate": 1.4112, "league_goals_per_team": 1.4281, "min_team_games": 1.0}, "historical_source_observation_times_verified": false, "home_team": "\u00d1ublense", "inference_inputs": {"away_rate": 1.1604504586745148, "code_sha256": {"models/soccer.py": "3d16277c2cfc0628d7ec79d04feee92735e5c503a3be195cb225c7c52d024308"}, "home_rate": 1.4111736396019154, "sport": "SOCCER"}, "market_type": "moneyline", "model_version": "soccer-poisson-dc-v1", "observed_at_utc": "2026-09-12T10:07:01.270046+00:00", "probabilities": {"away": 0.297068, "draw": 0.288138, "home": 0.414794}, "replay_scope": "Exact full-precision serving state and rounding; upstream historical observation times are not certified.", "schema": "coded-moneyline-replay-v1", "snapshot_hash": "5622e2a13fd8ed9a7c9b68f37f8d195c71b8615fab30a0ddc225f75ec700ba74", "sport": "SOCCER"}</t>
        </is>
      </c>
    </row>
    <row r="634" ht="36" customHeight="1">
      <c r="A634" s="24" t="inlineStr">
        <is>
          <t>f75ff5367ff5460b</t>
        </is>
      </c>
      <c r="B634" s="24" t="inlineStr">
        <is>
          <t>2026-09-12T10:07:01.899797Z</t>
        </is>
      </c>
      <c r="C634" s="24" t="inlineStr">
        <is>
          <t>2026-09-12T16:00Z</t>
        </is>
      </c>
      <c r="D634" s="24" t="inlineStr">
        <is>
          <t>401916232</t>
        </is>
      </c>
      <c r="E634" s="24" t="inlineStr">
        <is>
          <t>SOCCER</t>
        </is>
      </c>
      <c r="F634" s="24" t="inlineStr">
        <is>
          <t>Boston River</t>
        </is>
      </c>
      <c r="G634" s="24" t="inlineStr">
        <is>
          <t>Racing (Montevideo)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100</v>
      </c>
      <c r="M634" s="27" t="n">
        <v>2</v>
      </c>
      <c r="N634" s="28" t="n">
        <v>0.5</v>
      </c>
      <c r="O634" s="28" t="n">
        <v>0.5359159999999999</v>
      </c>
      <c r="P634" s="28" t="n">
        <v>0.2</v>
      </c>
      <c r="Q634" s="28" t="n">
        <v>0.035916</v>
      </c>
      <c r="R634" s="26" t="n">
        <v>0</v>
      </c>
      <c r="S634" s="29" t="n">
        <v>1</v>
      </c>
      <c r="T634" s="24" t="inlineStr">
        <is>
          <t>soccer-poisson-dc-v1</t>
        </is>
      </c>
      <c r="U634" s="24" t="inlineStr">
        <is>
          <t>settled</t>
        </is>
      </c>
      <c r="V634" s="24" t="inlineStr">
        <is>
          <t>win</t>
        </is>
      </c>
      <c r="W634" s="26" t="n">
        <v>2</v>
      </c>
      <c r="X634" s="26" t="n">
        <v>3</v>
      </c>
      <c r="Y634" s="25" t="n"/>
      <c r="Z634" s="26" t="n">
        <v>100</v>
      </c>
      <c r="AA634" s="28" t="n">
        <v>0.5</v>
      </c>
      <c r="AB634" s="28" t="n">
        <v>0</v>
      </c>
      <c r="AC634" s="30" t="n">
        <v>1</v>
      </c>
      <c r="AD634" s="24" t="inlineStr">
        <is>
          <t>2026-09-12T22:01:14.759831Z</t>
        </is>
      </c>
      <c r="AE634" s="31" t="inlineStr">
        <is>
          <t>Poisson-DC rates 1.84 (home) / 1.10 (away) from EWMA attack/defense strengths. Executable ask 0.5000 (atc-uru1-rcm-bri-2026-09-12-rcm).</t>
        </is>
      </c>
      <c r="AF634" s="31" t="inlineStr">
        <is>
          <t>Research-only soccer score model; draw-aware, but not yet locked-holdout qualified.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Boston River</t>
        </is>
      </c>
      <c r="AQ634" s="24" t="inlineStr">
        <is>
          <t>Boston River</t>
        </is>
      </c>
      <c r="AR634" s="24" t="inlineStr">
        <is>
          <t>Boston River</t>
        </is>
      </c>
      <c r="AS634" s="24" t="inlineStr">
        <is>
          <t>Racing (Montevideo)</t>
        </is>
      </c>
      <c r="AT634" s="24" t="inlineStr">
        <is>
          <t>Racing (Montevideo)</t>
        </is>
      </c>
      <c r="AU634" s="24" t="inlineStr">
        <is>
          <t>Racing (Montevideo)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3d16277c2cfc0628d7ec79d04feee92735e5c503a3be195cb225c7c52d024308</t>
        </is>
      </c>
      <c r="BB634" s="24" t="inlineStr">
        <is>
          <t>poisson_dixon_coles</t>
        </is>
      </c>
      <c r="BC634" s="24" t="inlineStr">
        <is>
          <t>soccer-poisson-dc-v1</t>
        </is>
      </c>
      <c r="BD634" s="24" t="inlineStr">
        <is>
          <t>3d16277c2cfc0628d7ec79d04feee92735e5c503a3be195cb225c7c52d024308</t>
        </is>
      </c>
      <c r="BE634" s="24" t="inlineStr">
        <is>
          <t>soccer-poisson-dc-v1</t>
        </is>
      </c>
      <c r="BF634" s="24" t="inlineStr">
        <is>
          <t>1</t>
        </is>
      </c>
      <c r="BG634" s="24" t="inlineStr">
        <is>
          <t>3d16277c2cfc0628d7ec79d04feee92735e5c503a3be195cb225c7c52d024308</t>
        </is>
      </c>
      <c r="BH634" s="24" t="inlineStr">
        <is>
          <t>2026-09-12T10:05:52.858786Z</t>
        </is>
      </c>
      <c r="BI634" s="24" t="inlineStr">
        <is>
          <t>["same_event","same_team_same_day","same_league_same_day"]</t>
        </is>
      </c>
      <c r="BJ634" s="25" t="n"/>
      <c r="BK634" s="26" t="n">
        <v>100</v>
      </c>
      <c r="BL634" s="27" t="n">
        <v>2</v>
      </c>
      <c r="BM634" s="28" t="n">
        <v>0.5</v>
      </c>
      <c r="BN634" s="28" t="n"/>
      <c r="BO634" s="28" t="n"/>
      <c r="BP634" s="25" t="n"/>
      <c r="BQ634" s="27" t="n">
        <v>2</v>
      </c>
      <c r="BR634" s="28" t="n">
        <v>0.5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"3d16277c2cfc0628d7ec79d04feee92735e5c503a3be195cb225c7c52d024308", "away_team": "Boston River", "event_id": "401916232", "event_start_utc": "2026-09-12T16:00Z", "features": {"away_goal_rate": 1.1038, "history_games": 9181, "home_goal_rate": 1.8431, "league_goals_per_team": 1.4281, "min_team_games": 0.0}, "historical_source_observation_times_verified": false, "home_team": "Racing (Montevideo)", "inference_inputs": {"away_rate": 1.1038129049333665, "code_sha256": {"models/soccer.py": "3d16277c2cfc0628d7ec79d04feee92735e5c503a3be195cb225c7c52d024308"}, "home_rate": 1.84312590010771, "sport": "SOCCER"}, "market_type": "moneyline", "model_version": "soccer-poisson-dc-v1", "observed_at_utc": "2026-09-12T10:07:01.270046+00:00", "probabilities": {"away": 0.215109, "draw": 0.248975, "home": 0.535916}, "replay_scope": "Exact full-precision serving state and rounding; upstream historical observation times are not certified.", "schema": "coded-moneyline-replay-v1", "snapshot_hash": "7ed10901b34222f83ded349f120673e372eeafc88f147cc63ac581f3cc3242c0", "sport": "SOCCER"}</t>
        </is>
      </c>
    </row>
    <row r="635" ht="36" customHeight="1">
      <c r="A635" s="24" t="inlineStr">
        <is>
          <t>eb239d2f9c6a4818</t>
        </is>
      </c>
      <c r="B635" s="24" t="inlineStr">
        <is>
          <t>2026-09-12T10:07:01.899797Z</t>
        </is>
      </c>
      <c r="C635" s="24" t="inlineStr">
        <is>
          <t>2026-09-12T15:30Z</t>
        </is>
      </c>
      <c r="D635" s="24" t="inlineStr">
        <is>
          <t>401886201</t>
        </is>
      </c>
      <c r="E635" s="24" t="inlineStr">
        <is>
          <t>SOCCER</t>
        </is>
      </c>
      <c r="F635" s="24" t="inlineStr">
        <is>
          <t>FC Cajamarca</t>
        </is>
      </c>
      <c r="G635" s="24" t="inlineStr">
        <is>
          <t>Los Chankas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-108</v>
      </c>
      <c r="M635" s="27" t="n">
        <v>1.925926</v>
      </c>
      <c r="N635" s="28" t="n">
        <v>0.519231</v>
      </c>
      <c r="O635" s="28" t="n">
        <v>0.456135</v>
      </c>
      <c r="P635" s="28" t="n">
        <v>0.2</v>
      </c>
      <c r="Q635" s="28" t="n">
        <v>-0.063096</v>
      </c>
      <c r="R635" s="26" t="n">
        <v>0</v>
      </c>
      <c r="S635" s="29" t="n">
        <v>1</v>
      </c>
      <c r="T635" s="24" t="inlineStr">
        <is>
          <t>soccer-poisson-dc-v1</t>
        </is>
      </c>
      <c r="U635" s="24" t="inlineStr">
        <is>
          <t>settled</t>
        </is>
      </c>
      <c r="V635" s="24" t="inlineStr">
        <is>
          <t>loss</t>
        </is>
      </c>
      <c r="W635" s="26" t="n">
        <v>2</v>
      </c>
      <c r="X635" s="26" t="n">
        <v>1</v>
      </c>
      <c r="Y635" s="25" t="n"/>
      <c r="Z635" s="26" t="n">
        <v>-108</v>
      </c>
      <c r="AA635" s="28" t="n">
        <v>0.52</v>
      </c>
      <c r="AB635" s="28" t="n">
        <v>0.000769</v>
      </c>
      <c r="AC635" s="30" t="n">
        <v>-1</v>
      </c>
      <c r="AD635" s="24" t="inlineStr">
        <is>
          <t>2026-09-12T22:01:15.321328Z</t>
        </is>
      </c>
      <c r="AE635" s="31" t="inlineStr">
        <is>
          <t>Poisson-DC rates 1.64 (home) / 1.24 (away) from EWMA attack/defense strengths. Executable ask 0.5200 (atc-pl1-cha-caj-2026-09-12-cha).</t>
        </is>
      </c>
      <c r="AF635" s="31" t="inlineStr">
        <is>
          <t>Research-only soccer score model; draw-aware, but not yet locked-holdout qualified.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PAPER_CALL_MODEL_UNVALIDATED</t>
        </is>
      </c>
      <c r="AP635" s="24" t="inlineStr">
        <is>
          <t>FC Cajamarca</t>
        </is>
      </c>
      <c r="AQ635" s="24" t="inlineStr">
        <is>
          <t>FC Cajamarca</t>
        </is>
      </c>
      <c r="AR635" s="24" t="inlineStr">
        <is>
          <t>FC Cajamarca</t>
        </is>
      </c>
      <c r="AS635" s="24" t="inlineStr">
        <is>
          <t>Los Chankas</t>
        </is>
      </c>
      <c r="AT635" s="24" t="inlineStr">
        <is>
          <t>Los Chankas</t>
        </is>
      </c>
      <c r="AU635" s="24" t="inlineStr">
        <is>
          <t>Los Chankas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3d16277c2cfc0628d7ec79d04feee92735e5c503a3be195cb225c7c52d024308</t>
        </is>
      </c>
      <c r="BB635" s="24" t="inlineStr">
        <is>
          <t>poisson_dixon_coles</t>
        </is>
      </c>
      <c r="BC635" s="24" t="inlineStr">
        <is>
          <t>soccer-poisson-dc-v1</t>
        </is>
      </c>
      <c r="BD635" s="24" t="inlineStr">
        <is>
          <t>3d16277c2cfc0628d7ec79d04feee92735e5c503a3be195cb225c7c52d024308</t>
        </is>
      </c>
      <c r="BE635" s="24" t="inlineStr">
        <is>
          <t>soccer-poisson-dc-v1</t>
        </is>
      </c>
      <c r="BF635" s="24" t="inlineStr">
        <is>
          <t>1</t>
        </is>
      </c>
      <c r="BG635" s="24" t="inlineStr">
        <is>
          <t>3d16277c2cfc0628d7ec79d04feee92735e5c503a3be195cb225c7c52d024308</t>
        </is>
      </c>
      <c r="BH635" s="24" t="inlineStr">
        <is>
          <t>2026-09-12T10:05:52.937203Z</t>
        </is>
      </c>
      <c r="BI635" s="24" t="inlineStr">
        <is>
          <t>["same_event","same_team_same_day","same_league_same_day"]</t>
        </is>
      </c>
      <c r="BJ635" s="25" t="n"/>
      <c r="BK635" s="26" t="n">
        <v>-108</v>
      </c>
      <c r="BL635" s="27" t="n">
        <v>1.925926</v>
      </c>
      <c r="BM635" s="28" t="n">
        <v>0.519231</v>
      </c>
      <c r="BN635" s="28" t="n"/>
      <c r="BO635" s="28" t="n"/>
      <c r="BP635" s="25" t="n"/>
      <c r="BQ635" s="27" t="n">
        <v>1.925926</v>
      </c>
      <c r="BR635" s="28" t="n">
        <v>0.52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0.519231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"3d16277c2cfc0628d7ec79d04feee92735e5c503a3be195cb225c7c52d024308", "away_team": "FC Cajamarca", "event_id": "401886201", "event_start_utc": "2026-09-12T15:30Z", "features": {"away_goal_rate": 1.2418, "history_games": 9181, "home_goal_rate": 1.6423, "league_goals_per_team": 1.4281, "min_team_games": 0.0}, "historical_source_observation_times_verified": false, "home_team": "Los Chankas",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"2026-09-12T10:07:01.270046+00:00", "probabilities": {"away": 0.278015, "draw": 0.265851, "home": 0.456135}, "replay_scope": "Exact full-precision serving state and rounding; upstream historical observation times are not certified.", "schema": "coded-moneyline-replay-v1", "snapshot_hash": "5f97a43b3aaa98f844c8211d44a977695279459c4214dc63fdf4eab28adc93ab", "sport": "SOCCER"}</t>
        </is>
      </c>
    </row>
    <row r="636" ht="36" customHeight="1">
      <c r="A636" s="24" t="inlineStr">
        <is>
          <t>1303126cedda41d8</t>
        </is>
      </c>
      <c r="B636" s="24" t="inlineStr">
        <is>
          <t>2026-09-12T16:07:26.991101Z</t>
        </is>
      </c>
      <c r="C636" s="24" t="inlineStr">
        <is>
          <t>2026-09-12T16:30Z</t>
        </is>
      </c>
      <c r="D636" s="24" t="inlineStr">
        <is>
          <t>401879277</t>
        </is>
      </c>
      <c r="E636" s="24" t="inlineStr">
        <is>
          <t>SOCCER</t>
        </is>
      </c>
      <c r="F636" s="24" t="inlineStr">
        <is>
          <t>Everton</t>
        </is>
      </c>
      <c r="G636" s="24" t="inlineStr">
        <is>
          <t>Tottenham Hotspur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104</v>
      </c>
      <c r="M636" s="27" t="n">
        <v>2.04</v>
      </c>
      <c r="N636" s="28" t="n">
        <v>0.490196</v>
      </c>
      <c r="O636" s="28" t="n">
        <v>0.381328</v>
      </c>
      <c r="P636" s="28" t="n">
        <v>0.04</v>
      </c>
      <c r="Q636" s="28" t="n">
        <v>-0.108868</v>
      </c>
      <c r="R636" s="26" t="n">
        <v>0</v>
      </c>
      <c r="S636" s="29" t="n">
        <v>1</v>
      </c>
      <c r="T636" s="24" t="inlineStr">
        <is>
          <t>soccer-poisson-dc-v1</t>
        </is>
      </c>
      <c r="U636" s="24" t="inlineStr">
        <is>
          <t>settled</t>
        </is>
      </c>
      <c r="V636" s="24" t="inlineStr">
        <is>
          <t>loss</t>
        </is>
      </c>
      <c r="W636" s="26" t="n">
        <v>0</v>
      </c>
      <c r="X636" s="26" t="n">
        <v>0</v>
      </c>
      <c r="Y636" s="25" t="n"/>
      <c r="Z636" s="26" t="n">
        <v>104</v>
      </c>
      <c r="AA636" s="28" t="n">
        <v>0.49</v>
      </c>
      <c r="AB636" s="28" t="n">
        <v>-0.000196</v>
      </c>
      <c r="AC636" s="30" t="n">
        <v>-1</v>
      </c>
      <c r="AD636" s="24" t="inlineStr">
        <is>
          <t>2026-09-12T22:01:34.125946Z</t>
        </is>
      </c>
      <c r="AE636" s="31" t="inlineStr">
        <is>
          <t>Poisson-DC rates 1.34 (home) / 1.23 (away) from EWMA attack/defense strengths. Executable ask 0.4900 (atc-epl-tot-eve-2026-09-12-tot).</t>
        </is>
      </c>
      <c r="AF636" s="31" t="inlineStr">
        <is>
          <t>Research-only soccer score model; draw-aware, but not yet locked-holdout qualified.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Everton</t>
        </is>
      </c>
      <c r="AQ636" s="24" t="inlineStr">
        <is>
          <t>Everton</t>
        </is>
      </c>
      <c r="AR636" s="24" t="inlineStr">
        <is>
          <t>Everton</t>
        </is>
      </c>
      <c r="AS636" s="24" t="inlineStr">
        <is>
          <t>Tottenham Hotspur</t>
        </is>
      </c>
      <c r="AT636" s="24" t="inlineStr">
        <is>
          <t>Tottenham Hotspur</t>
        </is>
      </c>
      <c r="AU636" s="24" t="inlineStr">
        <is>
          <t>Tottenham Hotspur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3d16277c2cfc0628d7ec79d04feee92735e5c503a3be195cb225c7c52d024308</t>
        </is>
      </c>
      <c r="BB636" s="24" t="inlineStr">
        <is>
          <t>poisson_dixon_coles</t>
        </is>
      </c>
      <c r="BC636" s="24" t="inlineStr">
        <is>
          <t>soccer-poisson-dc-v1</t>
        </is>
      </c>
      <c r="BD636" s="24" t="inlineStr">
        <is>
          <t>3d16277c2cfc0628d7ec79d04feee92735e5c503a3be195cb225c7c52d024308</t>
        </is>
      </c>
      <c r="BE636" s="24" t="inlineStr">
        <is>
          <t>soccer-poisson-dc-v1</t>
        </is>
      </c>
      <c r="BF636" s="24" t="inlineStr">
        <is>
          <t>1</t>
        </is>
      </c>
      <c r="BG636" s="24" t="inlineStr">
        <is>
          <t>3d16277c2cfc0628d7ec79d04feee92735e5c503a3be195cb225c7c52d024308</t>
        </is>
      </c>
      <c r="BH636" s="24" t="inlineStr">
        <is>
          <t>2026-09-12T16:06:08.395612Z</t>
        </is>
      </c>
      <c r="BI636" s="24" t="inlineStr">
        <is>
          <t>["same_event","same_team_same_day","same_league_same_day"]</t>
        </is>
      </c>
      <c r="BJ636" s="25" t="n"/>
      <c r="BK636" s="26" t="n">
        <v>104</v>
      </c>
      <c r="BL636" s="27" t="n">
        <v>2.04</v>
      </c>
      <c r="BM636" s="28" t="n">
        <v>0.490196</v>
      </c>
      <c r="BN636" s="28" t="n"/>
      <c r="BO636" s="28" t="n"/>
      <c r="BP636" s="25" t="n"/>
      <c r="BQ636" s="27" t="n">
        <v>2.04</v>
      </c>
      <c r="BR636" s="28" t="n">
        <v>0.49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0.490196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"3d16277c2cfc0628d7ec79d04feee92735e5c503a3be195cb225c7c52d024308", "away_team": "Everton", "event_id": "401879277", "event_start_utc": "2026-09-12T16:30Z", "features": {"away_goal_rate": 1.2278, "history_games": 9181, "home_goal_rate": 1.3407, "league_goals_per_team": 1.4809, "min_team_games": 94.0}, "historical_source_observation_times_verified": false, "home_team": "Tottenham Hotspur", "inference_inputs": {"away_rate": 1.2277557147130744, "code_sha256": {"models/soccer.py": "3d16277c2cfc0628d7ec79d04feee92735e5c503a3be195cb225c7c52d024308"}, "home_rate": 1.340719535557325, "sport": "SOCCER"}, "market_type": "moneyline", "model_version": "soccer-poisson-dc-v1", "observed_at_utc": "2026-09-12T16:07:25.930421+00:00", "probabilities": {"away": 0.328144, "draw": 0.290528, "home": 0.381328}, "replay_scope": "Exact full-precision serving state and rounding; upstream historical observation times are not certified.", "schema": "coded-moneyline-replay-v1", "snapshot_hash": "bd169a2075bd48c842a7b0472fa25363c95de3e1f5364752e9f11bfdc424e9df", "sport": "SOCCER"}</t>
        </is>
      </c>
    </row>
    <row r="637" ht="36" customHeight="1">
      <c r="A637" s="24" t="inlineStr">
        <is>
          <t>4dfe8d531f164187</t>
        </is>
      </c>
      <c r="B637" s="24" t="inlineStr">
        <is>
          <t>2026-09-12T16:07:26.991101Z</t>
        </is>
      </c>
      <c r="C637" s="24" t="inlineStr">
        <is>
          <t>2026-09-12T19:00Z</t>
        </is>
      </c>
      <c r="D637" s="24" t="inlineStr">
        <is>
          <t>401878779</t>
        </is>
      </c>
      <c r="E637" s="24" t="inlineStr">
        <is>
          <t>SOCCER</t>
        </is>
      </c>
      <c r="F637" s="24" t="inlineStr">
        <is>
          <t>Arsenal</t>
        </is>
      </c>
      <c r="G637" s="24" t="inlineStr">
        <is>
          <t>Sunderland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-163</v>
      </c>
      <c r="M637" s="27" t="n">
        <v>1.613497</v>
      </c>
      <c r="N637" s="28" t="n">
        <v>0.619772</v>
      </c>
      <c r="O637" s="28" t="n">
        <v>0.530242</v>
      </c>
      <c r="P637" s="28" t="n">
        <v>0.04</v>
      </c>
      <c r="Q637" s="28" t="n">
        <v>-0.08953</v>
      </c>
      <c r="R637" s="26" t="n">
        <v>0</v>
      </c>
      <c r="S637" s="29" t="n">
        <v>1</v>
      </c>
      <c r="T637" s="24" t="inlineStr">
        <is>
          <t>soccer-poisson-dc-v1</t>
        </is>
      </c>
      <c r="U637" s="24" t="inlineStr">
        <is>
          <t>settled</t>
        </is>
      </c>
      <c r="V637" s="24" t="inlineStr">
        <is>
          <t>win</t>
        </is>
      </c>
      <c r="W637" s="26" t="n">
        <v>2</v>
      </c>
      <c r="X637" s="26" t="n">
        <v>0</v>
      </c>
      <c r="Y637" s="25" t="n"/>
      <c r="Z637" s="26" t="n">
        <v>156</v>
      </c>
      <c r="AA637" s="28" t="n">
        <v>0.39</v>
      </c>
      <c r="AB637" s="28" t="n">
        <v>-0.229772</v>
      </c>
      <c r="AC637" s="30" t="n">
        <v>0.6135</v>
      </c>
      <c r="AD637" s="24" t="inlineStr">
        <is>
          <t>2026-09-12T22:01:34.693230Z</t>
        </is>
      </c>
      <c r="AE637" s="31" t="inlineStr">
        <is>
          <t>Poisson-DC rates 0.75 (home) / 1.47 (away) from EWMA attack/defense strengths. Executable ask 0.6200 (atc-epl-sun-ars-2026-09-12-ars).</t>
        </is>
      </c>
      <c r="AF637" s="31" t="inlineStr">
        <is>
          <t>Research-only soccer score model; draw-aware, but not yet locked-holdout qualified.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Arsenal</t>
        </is>
      </c>
      <c r="AQ637" s="24" t="inlineStr">
        <is>
          <t>Arsenal</t>
        </is>
      </c>
      <c r="AR637" s="24" t="inlineStr">
        <is>
          <t>Arsenal</t>
        </is>
      </c>
      <c r="AS637" s="24" t="inlineStr">
        <is>
          <t>Sunderland</t>
        </is>
      </c>
      <c r="AT637" s="24" t="inlineStr">
        <is>
          <t>Sunderland</t>
        </is>
      </c>
      <c r="AU637" s="24" t="inlineStr">
        <is>
          <t>Sunderland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3d16277c2cfc0628d7ec79d04feee92735e5c503a3be195cb225c7c52d024308</t>
        </is>
      </c>
      <c r="BB637" s="24" t="inlineStr">
        <is>
          <t>poisson_dixon_coles</t>
        </is>
      </c>
      <c r="BC637" s="24" t="inlineStr">
        <is>
          <t>soccer-poisson-dc-v1</t>
        </is>
      </c>
      <c r="BD637" s="24" t="inlineStr">
        <is>
          <t>3d16277c2cfc0628d7ec79d04feee92735e5c503a3be195cb225c7c52d024308</t>
        </is>
      </c>
      <c r="BE637" s="24" t="inlineStr">
        <is>
          <t>soccer-poisson-dc-v1</t>
        </is>
      </c>
      <c r="BF637" s="24" t="inlineStr">
        <is>
          <t>1</t>
        </is>
      </c>
      <c r="BG637" s="24" t="inlineStr">
        <is>
          <t>3d16277c2cfc0628d7ec79d04feee92735e5c503a3be195cb225c7c52d024308</t>
        </is>
      </c>
      <c r="BH637" s="24" t="inlineStr">
        <is>
          <t>2026-09-12T16:06:08.630483Z</t>
        </is>
      </c>
      <c r="BI637" s="24" t="inlineStr">
        <is>
          <t>["same_event","same_team_same_day","same_league_same_day"]</t>
        </is>
      </c>
      <c r="BJ637" s="25" t="n"/>
      <c r="BK637" s="26" t="n">
        <v>-163</v>
      </c>
      <c r="BL637" s="27" t="n">
        <v>1.613497</v>
      </c>
      <c r="BM637" s="28" t="n">
        <v>0.619772</v>
      </c>
      <c r="BN637" s="28" t="n"/>
      <c r="BO637" s="28" t="n"/>
      <c r="BP637" s="25" t="n"/>
      <c r="BQ637" s="27" t="n">
        <v>2.56</v>
      </c>
      <c r="BR637" s="28" t="n">
        <v>0.39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0.619772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"3d16277c2cfc0628d7ec79d04feee92735e5c503a3be195cb225c7c52d024308", "away_team": "Arsenal", "event_id": "401878779", "event_start_utc": "2026-09-12T19:00Z", "features": {"away_goal_rate": 1.4655, "history_games": 9181, "home_goal_rate": 0.7499, "league_goals_per_team": 1.4809, "min_team_games": 38.0}, "historical_source_observation_times_verified": false, "home_team": "Sunderland", "inference_inputs": {"away_rate": 1.4655088942597247, "code_sha256": {"models/soccer.py": "3d16277c2cfc0628d7ec79d04feee92735e5c503a3be195cb225c7c52d024308"}, "home_rate": 0.7499034831270176, "sport": "SOCCER"}, "market_type": "moneyline", "model_version": "soccer-poisson-dc-v1", "observed_at_utc": "2026-09-12T16:07:25.930421+00:00", "probabilities": {"away": 0.530242, "draw": 0.290256, "home": 0.179502}, "replay_scope": "Exact full-precision serving state and rounding; upstream historical observation times are not certified.", "schema": "coded-moneyline-replay-v1", "snapshot_hash": "352d693ae6efce75b75288e5a935c64e765699b545befb342a5b16f07b8d35a9", "sport": "SOCCER"}</t>
        </is>
      </c>
    </row>
    <row r="638" ht="36" customHeight="1">
      <c r="A638" s="24" t="inlineStr">
        <is>
          <t>951aeafcbaf34ed1</t>
        </is>
      </c>
      <c r="B638" s="24" t="inlineStr">
        <is>
          <t>2026-09-12T16:07:26.991101Z</t>
        </is>
      </c>
      <c r="C638" s="24" t="inlineStr">
        <is>
          <t>2026-09-12T16:30Z</t>
        </is>
      </c>
      <c r="D638" s="24" t="inlineStr">
        <is>
          <t>401882886</t>
        </is>
      </c>
      <c r="E638" s="24" t="inlineStr">
        <is>
          <t>SOCCER</t>
        </is>
      </c>
      <c r="F638" s="24" t="inlineStr">
        <is>
          <t>Elche</t>
        </is>
      </c>
      <c r="G638" s="24" t="inlineStr">
        <is>
          <t>Athletic Club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-233</v>
      </c>
      <c r="M638" s="27" t="n">
        <v>1.429185</v>
      </c>
      <c r="N638" s="28" t="n">
        <v>0.6997</v>
      </c>
      <c r="O638" s="28" t="n">
        <v>0.414136</v>
      </c>
      <c r="P638" s="28" t="n">
        <v>0.04</v>
      </c>
      <c r="Q638" s="28" t="n">
        <v>-0.285564</v>
      </c>
      <c r="R638" s="26" t="n">
        <v>0</v>
      </c>
      <c r="S638" s="29" t="n">
        <v>1</v>
      </c>
      <c r="T638" s="24" t="inlineStr">
        <is>
          <t>soccer-poisson-dc-v1</t>
        </is>
      </c>
      <c r="U638" s="24" t="inlineStr">
        <is>
          <t>settled</t>
        </is>
      </c>
      <c r="V638" s="24" t="inlineStr">
        <is>
          <t>loss</t>
        </is>
      </c>
      <c r="W638" s="26" t="n">
        <v>1</v>
      </c>
      <c r="X638" s="26" t="n">
        <v>1</v>
      </c>
      <c r="Y638" s="25" t="n"/>
      <c r="Z638" s="26" t="n">
        <v>-233</v>
      </c>
      <c r="AA638" s="28" t="n">
        <v>0.7</v>
      </c>
      <c r="AB638" s="28" t="n">
        <v>0.0003</v>
      </c>
      <c r="AC638" s="30" t="n">
        <v>-1</v>
      </c>
      <c r="AD638" s="24" t="inlineStr">
        <is>
          <t>2026-09-12T22:01:35.265025Z</t>
        </is>
      </c>
      <c r="AE638" s="31" t="inlineStr">
        <is>
          <t>Poisson-DC rates 1.58 (home) / 1.36 (away) from EWMA attack/defense strengths. Executable ask 0.7000 (atc-lal-ath-elc-2026-09-12-ath).</t>
        </is>
      </c>
      <c r="AF638" s="31" t="inlineStr">
        <is>
          <t>Research-only soccer score model; draw-aware, but not yet locked-holdout qualified.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Elche</t>
        </is>
      </c>
      <c r="AQ638" s="24" t="inlineStr">
        <is>
          <t>Elche</t>
        </is>
      </c>
      <c r="AR638" s="24" t="inlineStr">
        <is>
          <t>Elche</t>
        </is>
      </c>
      <c r="AS638" s="24" t="inlineStr">
        <is>
          <t>Athletic Club</t>
        </is>
      </c>
      <c r="AT638" s="24" t="inlineStr">
        <is>
          <t>Athletic Club</t>
        </is>
      </c>
      <c r="AU638" s="24" t="inlineStr">
        <is>
          <t>Athletic Club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3d16277c2cfc0628d7ec79d04feee92735e5c503a3be195cb225c7c52d024308</t>
        </is>
      </c>
      <c r="BB638" s="24" t="inlineStr">
        <is>
          <t>poisson_dixon_coles</t>
        </is>
      </c>
      <c r="BC638" s="24" t="inlineStr">
        <is>
          <t>soccer-poisson-dc-v1</t>
        </is>
      </c>
      <c r="BD638" s="24" t="inlineStr">
        <is>
          <t>3d16277c2cfc0628d7ec79d04feee92735e5c503a3be195cb225c7c52d024308</t>
        </is>
      </c>
      <c r="BE638" s="24" t="inlineStr">
        <is>
          <t>soccer-poisson-dc-v1</t>
        </is>
      </c>
      <c r="BF638" s="24" t="inlineStr">
        <is>
          <t>1</t>
        </is>
      </c>
      <c r="BG638" s="24" t="inlineStr">
        <is>
          <t>3d16277c2cfc0628d7ec79d04feee92735e5c503a3be195cb225c7c52d024308</t>
        </is>
      </c>
      <c r="BH638" s="24" t="inlineStr">
        <is>
          <t>2026-09-12T16:06:08.701184Z</t>
        </is>
      </c>
      <c r="BI638" s="24" t="inlineStr">
        <is>
          <t>["same_event","same_team_same_day","same_league_same_day"]</t>
        </is>
      </c>
      <c r="BJ638" s="25" t="n"/>
      <c r="BK638" s="26" t="n">
        <v>-233</v>
      </c>
      <c r="BL638" s="27" t="n">
        <v>1.429185</v>
      </c>
      <c r="BM638" s="28" t="n">
        <v>0.6997</v>
      </c>
      <c r="BN638" s="28" t="n"/>
      <c r="BO638" s="28" t="n"/>
      <c r="BP638" s="25" t="n"/>
      <c r="BQ638" s="27" t="n">
        <v>1.429185</v>
      </c>
      <c r="BR638" s="28" t="n">
        <v>0.7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0.6997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"3d16277c2cfc0628d7ec79d04feee92735e5c503a3be195cb225c7c52d024308", "away_team": "Elche", "event_id": "401882886", "event_start_utc": "2026-09-12T16:30Z", "features": {"away_goal_rate": 1.3606, "history_games": 9181, "home_goal_rate": 1.5759, "league_goals_per_team": 1.325, "min_team_games": 38.0}, "historical_source_observation_times_verified": false, "home_team": "Athletic Club", "inference_inputs": {"away_rate": 1.3605845136931736, "code_sha256": {"models/soccer.py": "3d16277c2cfc0628d7ec79d04feee92735e5c503a3be195cb225c7c52d024308"}, "home_rate": 1.5759292215540133, "sport": "SOCCER"}, "market_type": "moneyline", "model_version": "soccer-poisson-dc-v1", "observed_at_utc": "2026-09-12T16:07:25.930421+00:00", "probabilities": {"away": 0.318688, "draw": 0.267177, "home": 0.414136}, "replay_scope": "Exact full-precision serving state and rounding; upstream historical observation times are not certified.", "schema": "coded-moneyline-replay-v1", "snapshot_hash": "d5b66344c771ee3a3ddf6b9d2ac924971c2cbc92a043600cc88ad56e257c1ef1", "sport": "SOCCER"}</t>
        </is>
      </c>
    </row>
    <row r="639" ht="36" customHeight="1">
      <c r="A639" s="24" t="inlineStr">
        <is>
          <t>e766adea6a25458c</t>
        </is>
      </c>
      <c r="B639" s="24" t="inlineStr">
        <is>
          <t>2026-09-12T16:07:26.991101Z</t>
        </is>
      </c>
      <c r="C639" s="24" t="inlineStr">
        <is>
          <t>2026-09-12T19:00Z</t>
        </is>
      </c>
      <c r="D639" s="24" t="inlineStr">
        <is>
          <t>401882880</t>
        </is>
      </c>
      <c r="E639" s="24" t="inlineStr">
        <is>
          <t>SOCCER</t>
        </is>
      </c>
      <c r="F639" s="24" t="inlineStr">
        <is>
          <t>Rayo Vallecano</t>
        </is>
      </c>
      <c r="G639" s="24" t="inlineStr">
        <is>
          <t>Real Madrid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-614</v>
      </c>
      <c r="M639" s="27" t="n">
        <v>1.162866</v>
      </c>
      <c r="N639" s="28" t="n">
        <v>0.859944</v>
      </c>
      <c r="O639" s="28" t="n">
        <v>0.5979950000000001</v>
      </c>
      <c r="P639" s="28" t="n">
        <v>0.04</v>
      </c>
      <c r="Q639" s="28" t="n">
        <v>-0.261949</v>
      </c>
      <c r="R639" s="26" t="n">
        <v>0</v>
      </c>
      <c r="S639" s="29" t="n">
        <v>1</v>
      </c>
      <c r="T639" s="24" t="inlineStr">
        <is>
          <t>soccer-poisson-dc-v1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4</v>
      </c>
      <c r="Y639" s="25" t="n"/>
      <c r="Z639" s="26" t="n">
        <v>-614</v>
      </c>
      <c r="AA639" s="28" t="n">
        <v>0.86</v>
      </c>
      <c r="AB639" s="28" t="n">
        <v>5.6e-05</v>
      </c>
      <c r="AC639" s="30" t="n">
        <v>0.1629</v>
      </c>
      <c r="AD639" s="24" t="inlineStr">
        <is>
          <t>2026-09-12T22:01:35.832105Z</t>
        </is>
      </c>
      <c r="AE639" s="31" t="inlineStr">
        <is>
          <t>Poisson-DC rates 1.81 (home) / 0.82 (away) from EWMA attack/defense strengths. Executable ask 0.8600 (atc-lal-rma-ray-2026-09-12-rma).</t>
        </is>
      </c>
      <c r="AF639" s="31" t="inlineStr">
        <is>
          <t>Research-only soccer score model; draw-aware, but not yet locked-holdout qualified.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Rayo Vallecano</t>
        </is>
      </c>
      <c r="AQ639" s="24" t="inlineStr">
        <is>
          <t>Rayo Vallecano</t>
        </is>
      </c>
      <c r="AR639" s="24" t="inlineStr">
        <is>
          <t>Rayo Vallecano</t>
        </is>
      </c>
      <c r="AS639" s="24" t="inlineStr">
        <is>
          <t>Real Madrid</t>
        </is>
      </c>
      <c r="AT639" s="24" t="inlineStr">
        <is>
          <t>Real Madrid</t>
        </is>
      </c>
      <c r="AU639" s="24" t="inlineStr">
        <is>
          <t>Real Madrid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3d16277c2cfc0628d7ec79d04feee92735e5c503a3be195cb225c7c52d024308</t>
        </is>
      </c>
      <c r="BB639" s="24" t="inlineStr">
        <is>
          <t>poisson_dixon_coles</t>
        </is>
      </c>
      <c r="BC639" s="24" t="inlineStr">
        <is>
          <t>soccer-poisson-dc-v1</t>
        </is>
      </c>
      <c r="BD639" s="24" t="inlineStr">
        <is>
          <t>3d16277c2cfc0628d7ec79d04feee92735e5c503a3be195cb225c7c52d024308</t>
        </is>
      </c>
      <c r="BE639" s="24" t="inlineStr">
        <is>
          <t>soccer-poisson-dc-v1</t>
        </is>
      </c>
      <c r="BF639" s="24" t="inlineStr">
        <is>
          <t>1</t>
        </is>
      </c>
      <c r="BG639" s="24" t="inlineStr">
        <is>
          <t>3d16277c2cfc0628d7ec79d04feee92735e5c503a3be195cb225c7c52d024308</t>
        </is>
      </c>
      <c r="BH639" s="24" t="inlineStr">
        <is>
          <t>2026-09-12T16:06:09.326118Z</t>
        </is>
      </c>
      <c r="BI639" s="24" t="inlineStr">
        <is>
          <t>["same_event","same_team_same_day","same_league_same_day"]</t>
        </is>
      </c>
      <c r="BJ639" s="25" t="n"/>
      <c r="BK639" s="26" t="n">
        <v>-614</v>
      </c>
      <c r="BL639" s="27" t="n">
        <v>1.162866</v>
      </c>
      <c r="BM639" s="28" t="n">
        <v>0.859944</v>
      </c>
      <c r="BN639" s="28" t="n"/>
      <c r="BO639" s="28" t="n"/>
      <c r="BP639" s="25" t="n"/>
      <c r="BQ639" s="27" t="n">
        <v>1.162866</v>
      </c>
      <c r="BR639" s="28" t="n">
        <v>0.86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0.859944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"3d16277c2cfc0628d7ec79d04feee92735e5c503a3be195cb225c7c52d024308", "away_team": "Rayo Vallecano", "event_id": "401882880", "event_start_utc": "2026-09-12T19:00Z", "features": {"away_goal_rate": 0.8167, "history_games": 9181, "home_goal_rate": 1.8071, "league_goals_per_team": 1.325, "min_team_games": 96.0}, "historical_source_observation_times_verified": false, "home_team": "Real Madrid", "inference_inputs": {"away_rate": 0.8166518696154378, "code_sha256": {"models/soccer.py": "3d16277c2cfc0628d7ec79d04feee92735e5c503a3be195cb225c7c52d024308"}, "home_rate": 1.8071287082557352, "sport": "SOCCER"}, "market_type": "moneyline", "model_version": "soccer-poisson-dc-v1", "observed_at_utc": "2026-09-12T16:07:25.930421+00:00", "probabilities": {"away": 0.154431, "draw": 0.247574, "home": 0.597995}, "replay_scope": "Exact full-precision serving state and rounding; upstream historical observation times are not certified.", "schema": "coded-moneyline-replay-v1", "snapshot_hash": "2cd52dfa423f42dbe921e392b18c9b7724aba372d22eeac4079133f0a9b63d34", "sport": "SOCCER"}</t>
        </is>
      </c>
    </row>
    <row r="640" ht="36" customHeight="1">
      <c r="A640" s="24" t="inlineStr">
        <is>
          <t>11f7bf85eaf94ef5</t>
        </is>
      </c>
      <c r="B640" s="24" t="inlineStr">
        <is>
          <t>2026-09-12T16:07:26.991101Z</t>
        </is>
      </c>
      <c r="C640" s="24" t="inlineStr">
        <is>
          <t>2026-09-12T18:45Z</t>
        </is>
      </c>
      <c r="D640" s="24" t="inlineStr">
        <is>
          <t>401874979</t>
        </is>
      </c>
      <c r="E640" s="24" t="inlineStr">
        <is>
          <t>SOCCER</t>
        </is>
      </c>
      <c r="F640" s="24" t="inlineStr">
        <is>
          <t>Cagliari</t>
        </is>
      </c>
      <c r="G640" s="24" t="inlineStr">
        <is>
          <t>Atalanta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-138</v>
      </c>
      <c r="M640" s="27" t="n">
        <v>1.724638</v>
      </c>
      <c r="N640" s="28" t="n">
        <v>0.579832</v>
      </c>
      <c r="O640" s="28" t="n">
        <v>0.589598</v>
      </c>
      <c r="P640" s="28" t="n">
        <v>0.04</v>
      </c>
      <c r="Q640" s="28" t="n">
        <v>0.009766</v>
      </c>
      <c r="R640" s="26" t="n">
        <v>31</v>
      </c>
      <c r="S640" s="29" t="n">
        <v>1</v>
      </c>
      <c r="T640" s="24" t="inlineStr">
        <is>
          <t>soccer-poisson-dc-v1</t>
        </is>
      </c>
      <c r="U640" s="24" t="inlineStr">
        <is>
          <t>settled</t>
        </is>
      </c>
      <c r="V640" s="24" t="inlineStr">
        <is>
          <t>loss</t>
        </is>
      </c>
      <c r="W640" s="26" t="n">
        <v>2</v>
      </c>
      <c r="X640" s="26" t="n">
        <v>1</v>
      </c>
      <c r="Y640" s="25" t="n"/>
      <c r="Z640" s="26" t="n">
        <v>-138</v>
      </c>
      <c r="AA640" s="28" t="n">
        <v>0.58</v>
      </c>
      <c r="AB640" s="28" t="n">
        <v>0.000168</v>
      </c>
      <c r="AC640" s="30" t="n">
        <v>-1</v>
      </c>
      <c r="AD640" s="24" t="inlineStr">
        <is>
          <t>2026-09-12T22:01:36.396418Z</t>
        </is>
      </c>
      <c r="AE640" s="31" t="inlineStr">
        <is>
          <t>Poisson-DC rates 1.70 (home) / 0.75 (away) from EWMA attack/defense strengths. Executable ask 0.5800 (atc-sea-ata-cag-2026-09-12-ata).</t>
        </is>
      </c>
      <c r="AF640" s="31" t="inlineStr">
        <is>
          <t>Research-only soccer score model; draw-aware, but not yet locked-holdout qualified.</t>
        </is>
      </c>
      <c r="AG640" s="24" t="inlineStr">
        <is>
          <t>review_required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Cagliari</t>
        </is>
      </c>
      <c r="AQ640" s="24" t="inlineStr">
        <is>
          <t>Cagliari</t>
        </is>
      </c>
      <c r="AR640" s="24" t="inlineStr">
        <is>
          <t>Cagliari</t>
        </is>
      </c>
      <c r="AS640" s="24" t="inlineStr">
        <is>
          <t>Atalanta</t>
        </is>
      </c>
      <c r="AT640" s="24" t="inlineStr">
        <is>
          <t>Atalanta</t>
        </is>
      </c>
      <c r="AU640" s="24" t="inlineStr">
        <is>
          <t>Atalanta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3d16277c2cfc0628d7ec79d04feee92735e5c503a3be195cb225c7c52d024308</t>
        </is>
      </c>
      <c r="BB640" s="24" t="inlineStr">
        <is>
          <t>poisson_dixon_coles</t>
        </is>
      </c>
      <c r="BC640" s="24" t="inlineStr">
        <is>
          <t>soccer-poisson-dc-v1</t>
        </is>
      </c>
      <c r="BD640" s="24" t="inlineStr">
        <is>
          <t>3d16277c2cfc0628d7ec79d04feee92735e5c503a3be195cb225c7c52d024308</t>
        </is>
      </c>
      <c r="BE640" s="24" t="inlineStr">
        <is>
          <t>soccer-poisson-dc-v1</t>
        </is>
      </c>
      <c r="BF640" s="24" t="inlineStr">
        <is>
          <t>1</t>
        </is>
      </c>
      <c r="BG640" s="24" t="inlineStr">
        <is>
          <t>3d16277c2cfc0628d7ec79d04feee92735e5c503a3be195cb225c7c52d024308</t>
        </is>
      </c>
      <c r="BH640" s="24" t="inlineStr">
        <is>
          <t>2026-09-12T16:06:09.773104Z</t>
        </is>
      </c>
      <c r="BI640" s="24" t="inlineStr">
        <is>
          <t>["same_event","same_team_same_day","same_league_same_day"]</t>
        </is>
      </c>
      <c r="BJ640" s="25" t="n"/>
      <c r="BK640" s="26" t="n">
        <v>-138</v>
      </c>
      <c r="BL640" s="27" t="n">
        <v>1.724638</v>
      </c>
      <c r="BM640" s="28" t="n">
        <v>0.579832</v>
      </c>
      <c r="BN640" s="28" t="n"/>
      <c r="BO640" s="28" t="n"/>
      <c r="BP640" s="25" t="n"/>
      <c r="BQ640" s="27" t="n">
        <v>1.724638</v>
      </c>
      <c r="BR640" s="28" t="n">
        <v>0.58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0.579832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"3d16277c2cfc0628d7ec79d04feee92735e5c503a3be195cb225c7c52d024308", "away_team": "Cagliari", "event_id": "401874979", "event_start_utc": "2026-09-12T18:45Z", "features": {"away_goal_rate": 0.7496, "history_games": 9181, "home_goal_rate": 1.6974, "league_goals_per_team": 1.2703, "min_team_games": 96.0}, "historical_source_observation_times_verified": false, "home_team": "Atalanta", "inference_inputs": {"away_rate": 0.7496438053841652, "code_sha256": {"models/soccer.py": "3d16277c2cfc0628d7ec79d04feee92735e5c503a3be195cb225c7c52d024308"}, "home_rate": 1.6973573807232734, "sport": "SOCCER"}, "market_type": "moneyline", "model_version": "soccer-poisson-dc-v1", "observed_at_utc": "2026-09-12T16:07:25.930421+00:00", "probabilities": {"away": 0.151291, "draw": 0.259111, "home": 0.589598}, "replay_scope": "Exact full-precision serving state and rounding; upstream historical observation times are not certified.", "schema": "coded-moneyline-replay-v1", "snapshot_hash": "dc746d8710ec962915df87f2048404f281cbe762ad35c86f1e4edf42a3ceccc8", "sport": "SOCCER"}</t>
        </is>
      </c>
    </row>
    <row r="641" ht="36" customHeight="1">
      <c r="A641" s="24" t="inlineStr">
        <is>
          <t>80b22d6ac7454e9e</t>
        </is>
      </c>
      <c r="B641" s="24" t="inlineStr">
        <is>
          <t>2026-09-12T16:07:26.991101Z</t>
        </is>
      </c>
      <c r="C641" s="24" t="inlineStr">
        <is>
          <t>2026-09-12T20:00Z</t>
        </is>
      </c>
      <c r="D641" s="24" t="inlineStr">
        <is>
          <t>401841228</t>
        </is>
      </c>
      <c r="E641" s="24" t="inlineStr">
        <is>
          <t>SOCCER</t>
        </is>
      </c>
      <c r="F641" s="24" t="inlineStr">
        <is>
          <t>Internacional</t>
        </is>
      </c>
      <c r="G641" s="24" t="inlineStr">
        <is>
          <t>Chapecoense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285</v>
      </c>
      <c r="M641" s="27" t="n">
        <v>3.85</v>
      </c>
      <c r="N641" s="28" t="n">
        <v>0.25974</v>
      </c>
      <c r="O641" s="28" t="n">
        <v>0.451659</v>
      </c>
      <c r="P641" s="28" t="n">
        <v>0.2</v>
      </c>
      <c r="Q641" s="28" t="n">
        <v>0.191919</v>
      </c>
      <c r="R641" s="26" t="n">
        <v>26</v>
      </c>
      <c r="S641" s="29" t="n">
        <v>1</v>
      </c>
      <c r="T641" s="24" t="inlineStr">
        <is>
          <t>soccer-poisson-dc-v1</t>
        </is>
      </c>
      <c r="U641" s="24" t="inlineStr">
        <is>
          <t>settled</t>
        </is>
      </c>
      <c r="V641" s="24" t="inlineStr">
        <is>
          <t>loss</t>
        </is>
      </c>
      <c r="W641" s="26" t="n">
        <v>2</v>
      </c>
      <c r="X641" s="26" t="n">
        <v>1</v>
      </c>
      <c r="Y641" s="25" t="n"/>
      <c r="Z641" s="26" t="n">
        <v>285</v>
      </c>
      <c r="AA641" s="28" t="n">
        <v>0.26</v>
      </c>
      <c r="AB641" s="28" t="n">
        <v>0.00026</v>
      </c>
      <c r="AC641" s="30" t="n">
        <v>-1</v>
      </c>
      <c r="AD641" s="24" t="inlineStr">
        <is>
          <t>2026-09-13T04:32:48.749059Z</t>
        </is>
      </c>
      <c r="AE641" s="31" t="inlineStr">
        <is>
          <t>Poisson-DC rates 1.59 (home) / 1.20 (away) from EWMA attack/defense strengths. Executable ask 0.2600 (atc-bra-cha-int-2026-09-12-cha).</t>
        </is>
      </c>
      <c r="AF641" s="31" t="inlineStr">
        <is>
          <t>Research-only soccer score model; draw-aware, but not yet locked-holdout qualified.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PAPER_CALL_MODEL_UNVALIDATED</t>
        </is>
      </c>
      <c r="AP641" s="24" t="inlineStr">
        <is>
          <t>Internacional</t>
        </is>
      </c>
      <c r="AQ641" s="24" t="inlineStr">
        <is>
          <t>Internacional</t>
        </is>
      </c>
      <c r="AR641" s="24" t="inlineStr">
        <is>
          <t>Internacional</t>
        </is>
      </c>
      <c r="AS641" s="24" t="inlineStr">
        <is>
          <t>Chapecoense</t>
        </is>
      </c>
      <c r="AT641" s="24" t="inlineStr">
        <is>
          <t>Chapecoense</t>
        </is>
      </c>
      <c r="AU641" s="24" t="inlineStr">
        <is>
          <t>Chapecoense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3d16277c2cfc0628d7ec79d04feee92735e5c503a3be195cb225c7c52d024308</t>
        </is>
      </c>
      <c r="BB641" s="24" t="inlineStr">
        <is>
          <t>poisson_dixon_coles</t>
        </is>
      </c>
      <c r="BC641" s="24" t="inlineStr">
        <is>
          <t>soccer-poisson-dc-v1</t>
        </is>
      </c>
      <c r="BD641" s="24" t="inlineStr">
        <is>
          <t>3d16277c2cfc0628d7ec79d04feee92735e5c503a3be195cb225c7c52d024308</t>
        </is>
      </c>
      <c r="BE641" s="24" t="inlineStr">
        <is>
          <t>soccer-poisson-dc-v1</t>
        </is>
      </c>
      <c r="BF641" s="24" t="inlineStr">
        <is>
          <t>1</t>
        </is>
      </c>
      <c r="BG641" s="24" t="inlineStr">
        <is>
          <t>3d16277c2cfc0628d7ec79d04feee92735e5c503a3be195cb225c7c52d024308</t>
        </is>
      </c>
      <c r="BH641" s="24" t="inlineStr">
        <is>
          <t>2026-09-12T16:06:13.718673Z</t>
        </is>
      </c>
      <c r="BI641" s="24" t="inlineStr">
        <is>
          <t>["same_event","same_team_same_day","same_league_same_day"]</t>
        </is>
      </c>
      <c r="BJ641" s="25" t="n"/>
      <c r="BK641" s="26" t="n">
        <v>285</v>
      </c>
      <c r="BL641" s="27" t="n">
        <v>3.85</v>
      </c>
      <c r="BM641" s="28" t="n">
        <v>0.25974</v>
      </c>
      <c r="BN641" s="28" t="n"/>
      <c r="BO641" s="28" t="n"/>
      <c r="BP641" s="25" t="n"/>
      <c r="BQ641" s="27" t="n">
        <v>3.85</v>
      </c>
      <c r="BR641" s="28" t="n">
        <v>0.26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0.25974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"3d16277c2cfc0628d7ec79d04feee92735e5c503a3be195cb225c7c52d024308", "away_team": "Internacional", "event_id": "401841228", "event_start_utc": "2026-09-12T20:00Z", "features": {"away_goal_rate": 1.2004, "history_games": 9181, "home_goal_rate": 1.5876, "league_goals_per_team": 1.4281, "min_team_games": 0.0}, "historical_source_observation_times_verified": false, "home_team": "Chapecoense",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"701361095fddbb68ae30085c79fc9f3cd6f77b7f31f9d672972179f933f2ce6d", "sport": "SOCCER"}</t>
        </is>
      </c>
    </row>
    <row r="642" ht="36" customHeight="1">
      <c r="A642" s="24" t="inlineStr">
        <is>
          <t>af13a6934ae24851</t>
        </is>
      </c>
      <c r="B642" s="24" t="inlineStr">
        <is>
          <t>2026-09-12T16:07:26.991101Z</t>
        </is>
      </c>
      <c r="C642" s="24" t="inlineStr">
        <is>
          <t>2026-09-12T21:30Z</t>
        </is>
      </c>
      <c r="D642" s="24" t="inlineStr">
        <is>
          <t>401841234</t>
        </is>
      </c>
      <c r="E642" s="24" t="inlineStr">
        <is>
          <t>SOCCER</t>
        </is>
      </c>
      <c r="F642" s="24" t="inlineStr">
        <is>
          <t>São Paulo</t>
        </is>
      </c>
      <c r="G642" s="24" t="inlineStr">
        <is>
          <t>Palmeiras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-144</v>
      </c>
      <c r="M642" s="27" t="n">
        <v>1.694444</v>
      </c>
      <c r="N642" s="28" t="n">
        <v>0.590164</v>
      </c>
      <c r="O642" s="28" t="n">
        <v>0.456135</v>
      </c>
      <c r="P642" s="28" t="n">
        <v>0.2</v>
      </c>
      <c r="Q642" s="28" t="n">
        <v>-0.134029</v>
      </c>
      <c r="R642" s="26" t="n">
        <v>0</v>
      </c>
      <c r="S642" s="29" t="n">
        <v>1</v>
      </c>
      <c r="T642" s="24" t="inlineStr">
        <is>
          <t>soccer-poisson-dc-v1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2</v>
      </c>
      <c r="Y642" s="25" t="n"/>
      <c r="Z642" s="26" t="n">
        <v>-144</v>
      </c>
      <c r="AA642" s="28" t="n">
        <v>0.59</v>
      </c>
      <c r="AB642" s="28" t="n">
        <v>-0.000164</v>
      </c>
      <c r="AC642" s="30" t="n">
        <v>0.6944</v>
      </c>
      <c r="AD642" s="24" t="inlineStr">
        <is>
          <t>2026-09-13T04:32:49.332018Z</t>
        </is>
      </c>
      <c r="AE642" s="31" t="inlineStr">
        <is>
          <t>Poisson-DC rates 1.64 (home) / 1.24 (away) from EWMA attack/defense strengths. Executable ask 0.5900 (atc-bra-pal-sao-2026-09-12-pal).</t>
        </is>
      </c>
      <c r="AF642" s="31" t="inlineStr">
        <is>
          <t>Research-only soccer score model; draw-aware, but not yet locked-holdout qualified.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PAPER_CALL_MODEL_UNVALIDATED</t>
        </is>
      </c>
      <c r="AP642" s="24" t="inlineStr">
        <is>
          <t>São Paulo</t>
        </is>
      </c>
      <c r="AQ642" s="24" t="inlineStr">
        <is>
          <t>São Paulo</t>
        </is>
      </c>
      <c r="AR642" s="24" t="inlineStr">
        <is>
          <t>São Paulo</t>
        </is>
      </c>
      <c r="AS642" s="24" t="inlineStr">
        <is>
          <t>Palmeiras</t>
        </is>
      </c>
      <c r="AT642" s="24" t="inlineStr">
        <is>
          <t>Palmeiras</t>
        </is>
      </c>
      <c r="AU642" s="24" t="inlineStr">
        <is>
          <t>Palmeiras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3d16277c2cfc0628d7ec79d04feee92735e5c503a3be195cb225c7c52d024308</t>
        </is>
      </c>
      <c r="BB642" s="24" t="inlineStr">
        <is>
          <t>poisson_dixon_coles</t>
        </is>
      </c>
      <c r="BC642" s="24" t="inlineStr">
        <is>
          <t>soccer-poisson-dc-v1</t>
        </is>
      </c>
      <c r="BD642" s="24" t="inlineStr">
        <is>
          <t>3d16277c2cfc0628d7ec79d04feee92735e5c503a3be195cb225c7c52d024308</t>
        </is>
      </c>
      <c r="BE642" s="24" t="inlineStr">
        <is>
          <t>soccer-poisson-dc-v1</t>
        </is>
      </c>
      <c r="BF642" s="24" t="inlineStr">
        <is>
          <t>1</t>
        </is>
      </c>
      <c r="BG642" s="24" t="inlineStr">
        <is>
          <t>3d16277c2cfc0628d7ec79d04feee92735e5c503a3be195cb225c7c52d024308</t>
        </is>
      </c>
      <c r="BH642" s="24" t="inlineStr">
        <is>
          <t>2026-09-12T16:06:14.315423Z</t>
        </is>
      </c>
      <c r="BI642" s="24" t="inlineStr">
        <is>
          <t>["same_event","same_team_same_day","same_league_same_day"]</t>
        </is>
      </c>
      <c r="BJ642" s="25" t="n"/>
      <c r="BK642" s="26" t="n">
        <v>-144</v>
      </c>
      <c r="BL642" s="27" t="n">
        <v>1.694444</v>
      </c>
      <c r="BM642" s="28" t="n">
        <v>0.590164</v>
      </c>
      <c r="BN642" s="28" t="n"/>
      <c r="BO642" s="28" t="n"/>
      <c r="BP642" s="25" t="n"/>
      <c r="BQ642" s="27" t="n">
        <v>1.694444</v>
      </c>
      <c r="BR642" s="28" t="n">
        <v>0.59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0.590164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"3d16277c2cfc0628d7ec79d04feee92735e5c503a3be195cb225c7c52d024308", "away_team": "S\u00e3o Paulo", "event_id": "401841234", "event_start_utc": "2026-09-12T21:30Z", "features": {"away_goal_rate": 1.2418, "history_games": 9181, "home_goal_rate": 1.6423, "league_goals_per_team": 1.4281, "min_team_games": 0.0}, "historical_source_observation_times_verified": false, "home_team": "Palmeiras",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"2ec749ca66e157ab6236e6773ee39d6aa227794f8b9e81b8e1fe7e28afcbe462", "sport": "SOCCER"}</t>
        </is>
      </c>
    </row>
    <row r="643" ht="36" customHeight="1">
      <c r="A643" s="24" t="inlineStr">
        <is>
          <t>de12124f0cd54e89</t>
        </is>
      </c>
      <c r="B643" s="24" t="inlineStr">
        <is>
          <t>2026-09-12T16:07:26.991101Z</t>
        </is>
      </c>
      <c r="C643" s="24" t="inlineStr">
        <is>
          <t>2026-09-12T17:45Z</t>
        </is>
      </c>
      <c r="D643" s="24" t="inlineStr">
        <is>
          <t>401841554</t>
        </is>
      </c>
      <c r="E643" s="24" t="inlineStr">
        <is>
          <t>SOCCER</t>
        </is>
      </c>
      <c r="F643" s="24" t="inlineStr">
        <is>
          <t>Platense</t>
        </is>
      </c>
      <c r="G643" s="24" t="inlineStr">
        <is>
          <t>Estudiantes de La Plata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108</v>
      </c>
      <c r="M643" s="27" t="n">
        <v>2.08</v>
      </c>
      <c r="N643" s="28" t="n">
        <v>0.480769</v>
      </c>
      <c r="O643" s="28" t="n">
        <v>0.451659</v>
      </c>
      <c r="P643" s="28" t="n">
        <v>0.2</v>
      </c>
      <c r="Q643" s="28" t="n">
        <v>-0.02911</v>
      </c>
      <c r="R643" s="26" t="n">
        <v>0</v>
      </c>
      <c r="S643" s="29" t="n">
        <v>1</v>
      </c>
      <c r="T643" s="24" t="inlineStr">
        <is>
          <t>soccer-poisson-dc-v1</t>
        </is>
      </c>
      <c r="U643" s="24" t="inlineStr">
        <is>
          <t>settled</t>
        </is>
      </c>
      <c r="V643" s="24" t="inlineStr">
        <is>
          <t>win</t>
        </is>
      </c>
      <c r="W643" s="26" t="n">
        <v>1</v>
      </c>
      <c r="X643" s="26" t="n">
        <v>2</v>
      </c>
      <c r="Y643" s="25" t="n"/>
      <c r="Z643" s="26" t="n">
        <v>108</v>
      </c>
      <c r="AA643" s="28" t="n">
        <v>0.48</v>
      </c>
      <c r="AB643" s="28" t="n">
        <v>-0.000769</v>
      </c>
      <c r="AC643" s="30" t="n">
        <v>1.08</v>
      </c>
      <c r="AD643" s="24" t="inlineStr">
        <is>
          <t>2026-09-12T22:01:36.966988Z</t>
        </is>
      </c>
      <c r="AE643" s="31" t="inlineStr">
        <is>
          <t>Poisson-DC rates 1.59 (home) / 1.20 (away) from EWMA attack/defense strengths. Executable ask 0.4800 (atc-lpa-est-pla-2026-09-12-est).</t>
        </is>
      </c>
      <c r="AF643" s="31" t="inlineStr">
        <is>
          <t>Research-only soccer score model; draw-aware, but not yet locked-holdout qualified.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Platense</t>
        </is>
      </c>
      <c r="AQ643" s="24" t="inlineStr">
        <is>
          <t>Platense</t>
        </is>
      </c>
      <c r="AR643" s="24" t="inlineStr">
        <is>
          <t>Platense</t>
        </is>
      </c>
      <c r="AS643" s="24" t="inlineStr">
        <is>
          <t>Estudiantes de La Plata</t>
        </is>
      </c>
      <c r="AT643" s="24" t="inlineStr">
        <is>
          <t>Estudiantes de La Plata</t>
        </is>
      </c>
      <c r="AU643" s="24" t="inlineStr">
        <is>
          <t>Estudiantes de La Plata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3d16277c2cfc0628d7ec79d04feee92735e5c503a3be195cb225c7c52d024308</t>
        </is>
      </c>
      <c r="BB643" s="24" t="inlineStr">
        <is>
          <t>poisson_dixon_coles</t>
        </is>
      </c>
      <c r="BC643" s="24" t="inlineStr">
        <is>
          <t>soccer-poisson-dc-v1</t>
        </is>
      </c>
      <c r="BD643" s="24" t="inlineStr">
        <is>
          <t>3d16277c2cfc0628d7ec79d04feee92735e5c503a3be195cb225c7c52d024308</t>
        </is>
      </c>
      <c r="BE643" s="24" t="inlineStr">
        <is>
          <t>soccer-poisson-dc-v1</t>
        </is>
      </c>
      <c r="BF643" s="24" t="inlineStr">
        <is>
          <t>1</t>
        </is>
      </c>
      <c r="BG643" s="24" t="inlineStr">
        <is>
          <t>3d16277c2cfc0628d7ec79d04feee92735e5c503a3be195cb225c7c52d024308</t>
        </is>
      </c>
      <c r="BH643" s="24" t="inlineStr">
        <is>
          <t>2026-09-12T16:06:14.338873Z</t>
        </is>
      </c>
      <c r="BI643" s="24" t="inlineStr">
        <is>
          <t>["same_event","same_team_same_day","same_league_same_day"]</t>
        </is>
      </c>
      <c r="BJ643" s="25" t="n"/>
      <c r="BK643" s="26" t="n">
        <v>108</v>
      </c>
      <c r="BL643" s="27" t="n">
        <v>2.08</v>
      </c>
      <c r="BM643" s="28" t="n">
        <v>0.480769</v>
      </c>
      <c r="BN643" s="28" t="n"/>
      <c r="BO643" s="28" t="n"/>
      <c r="BP643" s="25" t="n"/>
      <c r="BQ643" s="27" t="n">
        <v>2.08</v>
      </c>
      <c r="BR643" s="28" t="n">
        <v>0.48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False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0.480769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"3d16277c2cfc0628d7ec79d04feee92735e5c503a3be195cb225c7c52d024308", "away_team": "Platense", "event_id": "401841554", "event_start_utc": "2026-09-12T17:45Z",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"086f7a6dbfe3cd3264e890730a42f150999a55b207e38071eb9b04893a7a58d8", "sport": "SOCCER"}</t>
        </is>
      </c>
    </row>
    <row r="644" ht="36" customHeight="1">
      <c r="A644" s="24" t="inlineStr">
        <is>
          <t>bce575e19a7344b0</t>
        </is>
      </c>
      <c r="B644" s="24" t="inlineStr">
        <is>
          <t>2026-09-12T16:07:26.991101Z</t>
        </is>
      </c>
      <c r="C644" s="24" t="inlineStr">
        <is>
          <t>2026-09-12T17:45Z</t>
        </is>
      </c>
      <c r="D644" s="24" t="inlineStr">
        <is>
          <t>401841567</t>
        </is>
      </c>
      <c r="E644" s="24" t="inlineStr">
        <is>
          <t>SOCCER</t>
        </is>
      </c>
      <c r="F644" s="24" t="inlineStr">
        <is>
          <t>Aldosivi</t>
        </is>
      </c>
      <c r="G644" s="24" t="inlineStr">
        <is>
          <t>Independiente Rivadavia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-223</v>
      </c>
      <c r="M644" s="27" t="n">
        <v>1.44843</v>
      </c>
      <c r="N644" s="28" t="n">
        <v>0.690402</v>
      </c>
      <c r="O644" s="28" t="n">
        <v>0.430486</v>
      </c>
      <c r="P644" s="28" t="n">
        <v>0.2</v>
      </c>
      <c r="Q644" s="28" t="n">
        <v>-0.259916</v>
      </c>
      <c r="R644" s="26" t="n">
        <v>0</v>
      </c>
      <c r="S644" s="29" t="n">
        <v>1</v>
      </c>
      <c r="T644" s="24" t="inlineStr">
        <is>
          <t>soccer-poisson-dc-v1</t>
        </is>
      </c>
      <c r="U644" s="24" t="inlineStr">
        <is>
          <t>settled</t>
        </is>
      </c>
      <c r="V644" s="24" t="inlineStr">
        <is>
          <t>win</t>
        </is>
      </c>
      <c r="W644" s="26" t="n">
        <v>3</v>
      </c>
      <c r="X644" s="26" t="n">
        <v>4</v>
      </c>
      <c r="Y644" s="25" t="n"/>
      <c r="Z644" s="26" t="n">
        <v>-223</v>
      </c>
      <c r="AA644" s="28" t="n">
        <v>0.6899999999999999</v>
      </c>
      <c r="AB644" s="28" t="n">
        <v>-0.000402</v>
      </c>
      <c r="AC644" s="30" t="n">
        <v>0.4484</v>
      </c>
      <c r="AD644" s="24" t="inlineStr">
        <is>
          <t>2026-09-12T22:01:37.529202Z</t>
        </is>
      </c>
      <c r="AE644" s="31" t="inlineStr">
        <is>
          <t>Poisson-DC rates 1.59 (home) / 1.30 (away) from EWMA attack/defense strengths. Executable ask 0.6900 (atc-lpa-cir-ald-2026-09-12-cir).</t>
        </is>
      </c>
      <c r="AF644" s="31" t="inlineStr">
        <is>
          <t>Research-only soccer score model; draw-aware, but not yet locked-holdout qualified.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Aldosivi</t>
        </is>
      </c>
      <c r="AQ644" s="24" t="inlineStr">
        <is>
          <t>Aldosivi</t>
        </is>
      </c>
      <c r="AR644" s="24" t="inlineStr">
        <is>
          <t>Aldosivi</t>
        </is>
      </c>
      <c r="AS644" s="24" t="inlineStr">
        <is>
          <t>Independiente Rivadavia</t>
        </is>
      </c>
      <c r="AT644" s="24" t="inlineStr">
        <is>
          <t>Independiente Rivadavia</t>
        </is>
      </c>
      <c r="AU644" s="24" t="inlineStr">
        <is>
          <t>Independiente Rivadavia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3d16277c2cfc0628d7ec79d04feee92735e5c503a3be195cb225c7c52d024308</t>
        </is>
      </c>
      <c r="BB644" s="24" t="inlineStr">
        <is>
          <t>poisson_dixon_coles</t>
        </is>
      </c>
      <c r="BC644" s="24" t="inlineStr">
        <is>
          <t>soccer-poisson-dc-v1</t>
        </is>
      </c>
      <c r="BD644" s="24" t="inlineStr">
        <is>
          <t>3d16277c2cfc0628d7ec79d04feee92735e5c503a3be195cb225c7c52d024308</t>
        </is>
      </c>
      <c r="BE644" s="24" t="inlineStr">
        <is>
          <t>soccer-poisson-dc-v1</t>
        </is>
      </c>
      <c r="BF644" s="24" t="inlineStr">
        <is>
          <t>1</t>
        </is>
      </c>
      <c r="BG644" s="24" t="inlineStr">
        <is>
          <t>3d16277c2cfc0628d7ec79d04feee92735e5c503a3be195cb225c7c52d024308</t>
        </is>
      </c>
      <c r="BH644" s="24" t="inlineStr">
        <is>
          <t>2026-09-12T16:06:14.406048Z</t>
        </is>
      </c>
      <c r="BI644" s="24" t="inlineStr">
        <is>
          <t>["same_event","same_team_same_day","same_league_same_day"]</t>
        </is>
      </c>
      <c r="BJ644" s="25" t="n"/>
      <c r="BK644" s="26" t="n">
        <v>-223</v>
      </c>
      <c r="BL644" s="27" t="n">
        <v>1.44843</v>
      </c>
      <c r="BM644" s="28" t="n">
        <v>0.690402</v>
      </c>
      <c r="BN644" s="28" t="n"/>
      <c r="BO644" s="28" t="n"/>
      <c r="BP644" s="25" t="n"/>
      <c r="BQ644" s="27" t="n">
        <v>1.44843</v>
      </c>
      <c r="BR644" s="28" t="n">
        <v>0.6899999999999999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0.690402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"3d16277c2cfc0628d7ec79d04feee92735e5c503a3be195cb225c7c52d024308", "away_team": "Aldosivi", "event_id": "401841567", "event_start_utc": "2026-09-12T17:45Z",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0.30089, "draw": 0.268624, "home": 0.430486}, "replay_scope": "Exact full-precision serving state and rounding; upstream historical observation times are not certified.", "schema": "coded-moneyline-replay-v1", "snapshot_hash": "3cfe17af07bbd81c203c1233320069bc4b2d83418991908b56b15c9d52938932", "sport": "SOCCER"}</t>
        </is>
      </c>
    </row>
    <row r="645" ht="36" customHeight="1">
      <c r="A645" s="24" t="inlineStr">
        <is>
          <t>5a68ffc3333c4737</t>
        </is>
      </c>
      <c r="B645" s="24" t="inlineStr">
        <is>
          <t>2026-09-12T16:07:26.991101Z</t>
        </is>
      </c>
      <c r="C645" s="24" t="inlineStr">
        <is>
          <t>2026-09-12T18:30Z</t>
        </is>
      </c>
      <c r="D645" s="24" t="inlineStr">
        <is>
          <t>401844119</t>
        </is>
      </c>
      <c r="E645" s="24" t="inlineStr">
        <is>
          <t>SOCCER</t>
        </is>
      </c>
      <c r="F645" s="24" t="inlineStr">
        <is>
          <t>San Telmo</t>
        </is>
      </c>
      <c r="G645" s="24" t="inlineStr">
        <is>
          <t>All Boys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-127</v>
      </c>
      <c r="M645" s="27" t="n">
        <v>1.787402</v>
      </c>
      <c r="N645" s="28" t="n">
        <v>0.5594710000000001</v>
      </c>
      <c r="O645" s="28" t="n">
        <v>0.456135</v>
      </c>
      <c r="P645" s="28" t="n">
        <v>0.2</v>
      </c>
      <c r="Q645" s="28" t="n">
        <v>-0.103336</v>
      </c>
      <c r="R645" s="26" t="n">
        <v>0</v>
      </c>
      <c r="S645" s="29" t="n">
        <v>1</v>
      </c>
      <c r="T645" s="24" t="inlineStr">
        <is>
          <t>soccer-poisson-dc-v1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-127</v>
      </c>
      <c r="AA645" s="28" t="n">
        <v>0.5600000000000001</v>
      </c>
      <c r="AB645" s="28" t="n">
        <v>0.000529</v>
      </c>
      <c r="AC645" s="30" t="n">
        <v>-1</v>
      </c>
      <c r="AD645" s="24" t="inlineStr">
        <is>
          <t>2026-09-12T22:01:38.103910Z</t>
        </is>
      </c>
      <c r="AE645" s="31" t="inlineStr">
        <is>
          <t>Poisson-DC rates 1.64 (home) / 1.24 (away) from EWMA attack/defense strengths. Executable ask 0.5600 (atc-arg2-abo-ste-2026-09-12-abo).</t>
        </is>
      </c>
      <c r="AF645" s="31" t="inlineStr">
        <is>
          <t>Research-only soccer score model; draw-aware, but not yet locked-holdout qualified.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PAPER_CALL_MODEL_UNVALIDATED</t>
        </is>
      </c>
      <c r="AP645" s="24" t="inlineStr">
        <is>
          <t>San Telmo</t>
        </is>
      </c>
      <c r="AQ645" s="24" t="inlineStr">
        <is>
          <t>San Telmo</t>
        </is>
      </c>
      <c r="AR645" s="24" t="inlineStr">
        <is>
          <t>San Telmo</t>
        </is>
      </c>
      <c r="AS645" s="24" t="inlineStr">
        <is>
          <t>All Boys</t>
        </is>
      </c>
      <c r="AT645" s="24" t="inlineStr">
        <is>
          <t>All Boys</t>
        </is>
      </c>
      <c r="AU645" s="24" t="inlineStr">
        <is>
          <t>All Boys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3d16277c2cfc0628d7ec79d04feee92735e5c503a3be195cb225c7c52d024308</t>
        </is>
      </c>
      <c r="BB645" s="24" t="inlineStr">
        <is>
          <t>poisson_dixon_coles</t>
        </is>
      </c>
      <c r="BC645" s="24" t="inlineStr">
        <is>
          <t>soccer-poisson-dc-v1</t>
        </is>
      </c>
      <c r="BD645" s="24" t="inlineStr">
        <is>
          <t>3d16277c2cfc0628d7ec79d04feee92735e5c503a3be195cb225c7c52d024308</t>
        </is>
      </c>
      <c r="BE645" s="24" t="inlineStr">
        <is>
          <t>soccer-poisson-dc-v1</t>
        </is>
      </c>
      <c r="BF645" s="24" t="inlineStr">
        <is>
          <t>1</t>
        </is>
      </c>
      <c r="BG645" s="24" t="inlineStr">
        <is>
          <t>3d16277c2cfc0628d7ec79d04feee92735e5c503a3be195cb225c7c52d024308</t>
        </is>
      </c>
      <c r="BH645" s="24" t="inlineStr">
        <is>
          <t>2026-09-12T16:06:14.479665Z</t>
        </is>
      </c>
      <c r="BI645" s="24" t="inlineStr">
        <is>
          <t>["same_event","same_team_same_day","same_league_same_day"]</t>
        </is>
      </c>
      <c r="BJ645" s="25" t="n"/>
      <c r="BK645" s="26" t="n">
        <v>-127</v>
      </c>
      <c r="BL645" s="27" t="n">
        <v>1.787402</v>
      </c>
      <c r="BM645" s="28" t="n">
        <v>0.5594710000000001</v>
      </c>
      <c r="BN645" s="28" t="n"/>
      <c r="BO645" s="28" t="n"/>
      <c r="BP645" s="25" t="n"/>
      <c r="BQ645" s="27" t="n">
        <v>1.787402</v>
      </c>
      <c r="BR645" s="28" t="n">
        <v>0.5600000000000001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0.559471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"3d16277c2cfc0628d7ec79d04feee92735e5c503a3be195cb225c7c52d024308", "away_team": "San Telmo", "event_id": "401844119", "event_start_utc": "2026-09-12T18:30Z", "features": {"away_goal_rate": 1.2418, "history_games": 9181, "home_goal_rate": 1.6423, "league_goals_per_team": 1.4281, "min_team_games": 0.0}, "historical_source_observation_times_verified": false, "home_team": "All Boys",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"ed54cd61b99a587d7e7f844908810e5b7dc61867a7336bb3c4d55c0ee2dd129f", "sport": "SOCCER"}</t>
        </is>
      </c>
    </row>
    <row r="646" ht="36" customHeight="1">
      <c r="A646" s="24" t="inlineStr">
        <is>
          <t>ca83b14b78474bf1</t>
        </is>
      </c>
      <c r="B646" s="24" t="inlineStr">
        <is>
          <t>2026-09-12T16:07:26.991101Z</t>
        </is>
      </c>
      <c r="C646" s="24" t="inlineStr">
        <is>
          <t>2026-09-12T21:05Z</t>
        </is>
      </c>
      <c r="D646" s="24" t="inlineStr">
        <is>
          <t>401877891</t>
        </is>
      </c>
      <c r="E646" s="24" t="inlineStr">
        <is>
          <t>SOCCER</t>
        </is>
      </c>
      <c r="F646" s="24" t="inlineStr">
        <is>
          <t>Llaneros FC</t>
        </is>
      </c>
      <c r="G646" s="24" t="inlineStr">
        <is>
          <t>Internacional de Bogotá</t>
        </is>
      </c>
      <c r="H646" s="24" t="inlineStr">
        <is>
          <t>moneyline</t>
        </is>
      </c>
      <c r="I646" s="24" t="inlineStr">
        <is>
          <t>home</t>
        </is>
      </c>
      <c r="J646" s="25" t="n"/>
      <c r="K646" s="24" t="inlineStr">
        <is>
          <t>polymarket_us</t>
        </is>
      </c>
      <c r="L646" s="26" t="n">
        <v>-122</v>
      </c>
      <c r="M646" s="27" t="n">
        <v>1.819672</v>
      </c>
      <c r="N646" s="28" t="n">
        <v>0.54955</v>
      </c>
      <c r="O646" s="28" t="n">
        <v>0.456135</v>
      </c>
      <c r="P646" s="28" t="n">
        <v>0.2</v>
      </c>
      <c r="Q646" s="28" t="n">
        <v>-0.093415</v>
      </c>
      <c r="R646" s="26" t="n">
        <v>0</v>
      </c>
      <c r="S646" s="29" t="n">
        <v>1</v>
      </c>
      <c r="T646" s="24" t="inlineStr">
        <is>
          <t>soccer-poisson-dc-v1</t>
        </is>
      </c>
      <c r="U646" s="24" t="inlineStr">
        <is>
          <t>settled</t>
        </is>
      </c>
      <c r="V646" s="24" t="inlineStr">
        <is>
          <t>win</t>
        </is>
      </c>
      <c r="W646" s="26" t="n">
        <v>2</v>
      </c>
      <c r="X646" s="26" t="n">
        <v>3</v>
      </c>
      <c r="Y646" s="25" t="n"/>
      <c r="Z646" s="26" t="n">
        <v>-122</v>
      </c>
      <c r="AA646" s="28" t="n">
        <v>0.55</v>
      </c>
      <c r="AB646" s="28" t="n">
        <v>0.00045</v>
      </c>
      <c r="AC646" s="30" t="n">
        <v>0.8197</v>
      </c>
      <c r="AD646" s="24" t="inlineStr">
        <is>
          <t>2026-09-13T04:32:49.903644Z</t>
        </is>
      </c>
      <c r="AE646" s="31" t="inlineStr">
        <is>
          <t>Poisson-DC rates 1.64 (home) / 1.24 (away) from EWMA attack/defense strengths. Executable ask 0.5500 (atc-lco-leq-lla-2026-09-12-leq).</t>
        </is>
      </c>
      <c r="AF646" s="31" t="inlineStr">
        <is>
          <t>Research-only soccer score model; draw-aware, but not yet locked-holdout qualified.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Llaneros FC</t>
        </is>
      </c>
      <c r="AQ646" s="24" t="inlineStr">
        <is>
          <t>Llaneros FC</t>
        </is>
      </c>
      <c r="AR646" s="24" t="inlineStr">
        <is>
          <t>Llaneros FC</t>
        </is>
      </c>
      <c r="AS646" s="24" t="inlineStr">
        <is>
          <t>Internacional de Bogotá</t>
        </is>
      </c>
      <c r="AT646" s="24" t="inlineStr">
        <is>
          <t>Internacional de Bogotá</t>
        </is>
      </c>
      <c r="AU646" s="24" t="inlineStr">
        <is>
          <t>Internacional de Bogotá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3d16277c2cfc0628d7ec79d04feee92735e5c503a3be195cb225c7c52d024308</t>
        </is>
      </c>
      <c r="BB646" s="24" t="inlineStr">
        <is>
          <t>poisson_dixon_coles</t>
        </is>
      </c>
      <c r="BC646" s="24" t="inlineStr">
        <is>
          <t>soccer-poisson-dc-v1</t>
        </is>
      </c>
      <c r="BD646" s="24" t="inlineStr">
        <is>
          <t>3d16277c2cfc0628d7ec79d04feee92735e5c503a3be195cb225c7c52d024308</t>
        </is>
      </c>
      <c r="BE646" s="24" t="inlineStr">
        <is>
          <t>soccer-poisson-dc-v1</t>
        </is>
      </c>
      <c r="BF646" s="24" t="inlineStr">
        <is>
          <t>1</t>
        </is>
      </c>
      <c r="BG646" s="24" t="inlineStr">
        <is>
          <t>3d16277c2cfc0628d7ec79d04feee92735e5c503a3be195cb225c7c52d024308</t>
        </is>
      </c>
      <c r="BH646" s="24" t="inlineStr">
        <is>
          <t>2026-09-12T16:06:14.490485Z</t>
        </is>
      </c>
      <c r="BI646" s="24" t="inlineStr">
        <is>
          <t>["same_event","same_team_same_day","same_league_same_day"]</t>
        </is>
      </c>
      <c r="BJ646" s="25" t="n"/>
      <c r="BK646" s="26" t="n">
        <v>-122</v>
      </c>
      <c r="BL646" s="27" t="n">
        <v>1.819672</v>
      </c>
      <c r="BM646" s="28" t="n">
        <v>0.54955</v>
      </c>
      <c r="BN646" s="28" t="n"/>
      <c r="BO646" s="28" t="n"/>
      <c r="BP646" s="25" t="n"/>
      <c r="BQ646" s="27" t="n">
        <v>1.819672</v>
      </c>
      <c r="BR646" s="28" t="n">
        <v>0.55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0.54955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"3d16277c2cfc0628d7ec79d04feee92735e5c503a3be195cb225c7c52d024308", "away_team": "Llaneros FC", "event_id": "401877891", "event_start_utc": "2026-09-12T21:05Z", "features": {"away_goal_rate": 1.2418, "history_games": 9181, "home_goal_rate": 1.6423, "league_goals_per_team": 1.4281, "min_team_games": 0.0}, "historical_source_observation_times_verified": false, "home_team": "Internacional de Bogot\u00e1",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"63a27f4e331c7161ba1979cbf49ee4f1b7922469db848406b1e539a7cd0a1c9c", "sport": "SOCCER"}</t>
        </is>
      </c>
    </row>
    <row r="647" ht="36" customHeight="1">
      <c r="A647" s="24" t="inlineStr">
        <is>
          <t>f1c95d5363734d88</t>
        </is>
      </c>
      <c r="B647" s="24" t="inlineStr">
        <is>
          <t>2026-09-12T16:07:26.991101Z</t>
        </is>
      </c>
      <c r="C647" s="24" t="inlineStr">
        <is>
          <t>2026-09-12T18:00Z</t>
        </is>
      </c>
      <c r="D647" s="24" t="inlineStr">
        <is>
          <t>401850658</t>
        </is>
      </c>
      <c r="E647" s="24" t="inlineStr">
        <is>
          <t>SOCCER</t>
        </is>
      </c>
      <c r="F647" s="24" t="inlineStr">
        <is>
          <t>Coquimbo Unido</t>
        </is>
      </c>
      <c r="G647" s="24" t="inlineStr">
        <is>
          <t>Cobresal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polymarket_us</t>
        </is>
      </c>
      <c r="L647" s="26" t="n">
        <v>257</v>
      </c>
      <c r="M647" s="27" t="n">
        <v>3.57</v>
      </c>
      <c r="N647" s="28" t="n">
        <v>0.280112</v>
      </c>
      <c r="O647" s="28" t="n">
        <v>0.378182</v>
      </c>
      <c r="P647" s="28" t="n">
        <v>0.2</v>
      </c>
      <c r="Q647" s="28" t="n">
        <v>0.09807</v>
      </c>
      <c r="R647" s="26" t="n">
        <v>0</v>
      </c>
      <c r="S647" s="29" t="n">
        <v>1</v>
      </c>
      <c r="T647" s="24" t="inlineStr">
        <is>
          <t>soccer-poisson-dc-v1</t>
        </is>
      </c>
      <c r="U647" s="24" t="inlineStr">
        <is>
          <t>settled</t>
        </is>
      </c>
      <c r="V647" s="24" t="inlineStr">
        <is>
          <t>win</t>
        </is>
      </c>
      <c r="W647" s="26" t="n">
        <v>2</v>
      </c>
      <c r="X647" s="26" t="n">
        <v>3</v>
      </c>
      <c r="Y647" s="25" t="n"/>
      <c r="Z647" s="26" t="n">
        <v>257</v>
      </c>
      <c r="AA647" s="28" t="n">
        <v>0.28</v>
      </c>
      <c r="AB647" s="28" t="n">
        <v>-0.000112</v>
      </c>
      <c r="AC647" s="30" t="n">
        <v>2.57</v>
      </c>
      <c r="AD647" s="24" t="inlineStr">
        <is>
          <t>2026-09-12T22:01:38.746704Z</t>
        </is>
      </c>
      <c r="AE647" s="31" t="inlineStr">
        <is>
          <t>Poisson-DC rates 1.46 (home) / 1.39 (away) from EWMA attack/defense strengths. Executable ask 0.2800 (atc-pdc-cbs-coq-2026-09-12-cbs).</t>
        </is>
      </c>
      <c r="AF647" s="31" t="inlineStr">
        <is>
          <t>Research-only soccer score model; draw-aware, but not yet locked-holdout qualified.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PAPER_CALL_MODEL_UNVALIDATED</t>
        </is>
      </c>
      <c r="AP647" s="24" t="inlineStr">
        <is>
          <t>Coquimbo Unido</t>
        </is>
      </c>
      <c r="AQ647" s="24" t="inlineStr">
        <is>
          <t>Coquimbo Unido</t>
        </is>
      </c>
      <c r="AR647" s="24" t="inlineStr">
        <is>
          <t>Coquimbo Unido</t>
        </is>
      </c>
      <c r="AS647" s="24" t="inlineStr">
        <is>
          <t>Cobresal</t>
        </is>
      </c>
      <c r="AT647" s="24" t="inlineStr">
        <is>
          <t>Cobresal</t>
        </is>
      </c>
      <c r="AU647" s="24" t="inlineStr">
        <is>
          <t>Cobresal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3d16277c2cfc0628d7ec79d04feee92735e5c503a3be195cb225c7c52d024308</t>
        </is>
      </c>
      <c r="BB647" s="24" t="inlineStr">
        <is>
          <t>poisson_dixon_coles</t>
        </is>
      </c>
      <c r="BC647" s="24" t="inlineStr">
        <is>
          <t>soccer-poisson-dc-v1</t>
        </is>
      </c>
      <c r="BD647" s="24" t="inlineStr">
        <is>
          <t>3d16277c2cfc0628d7ec79d04feee92735e5c503a3be195cb225c7c52d024308</t>
        </is>
      </c>
      <c r="BE647" s="24" t="inlineStr">
        <is>
          <t>soccer-poisson-dc-v1</t>
        </is>
      </c>
      <c r="BF647" s="24" t="inlineStr">
        <is>
          <t>1</t>
        </is>
      </c>
      <c r="BG647" s="24" t="inlineStr">
        <is>
          <t>3d16277c2cfc0628d7ec79d04feee92735e5c503a3be195cb225c7c52d024308</t>
        </is>
      </c>
      <c r="BH647" s="24" t="inlineStr">
        <is>
          <t>2026-09-12T16:06:14.556720Z</t>
        </is>
      </c>
      <c r="BI647" s="24" t="inlineStr">
        <is>
          <t>["same_event","same_team_same_day","same_league_same_day"]</t>
        </is>
      </c>
      <c r="BJ647" s="25" t="n"/>
      <c r="BK647" s="26" t="n">
        <v>257</v>
      </c>
      <c r="BL647" s="27" t="n">
        <v>3.57</v>
      </c>
      <c r="BM647" s="28" t="n">
        <v>0.280112</v>
      </c>
      <c r="BN647" s="28" t="n"/>
      <c r="BO647" s="28" t="n"/>
      <c r="BP647" s="25" t="n"/>
      <c r="BQ647" s="27" t="n">
        <v>3.57</v>
      </c>
      <c r="BR647" s="28" t="n">
        <v>0.28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0.280112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"3d16277c2cfc0628d7ec79d04feee92735e5c503a3be195cb225c7c52d024308", "away_team": "Coquimbo Unido", "event_id": "401850658", "event_start_utc": "2026-09-12T18:00Z", "features": {"away_goal_rate": 1.3937, "history_games": 9181, "home_goal_rate": 1.4598, "league_goals_per_team": 1.4281, "min_team_games": 0.0}, "historical_source_observation_times_verified": false, "home_team": "Cobresal", "inference_inputs": {"away_rate": 1.3936679773971343,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0.348448, "draw": 0.27337, "home": 0.378182}, "replay_scope": "Exact full-precision serving state and rounding; upstream historical observation times are not certified.", "schema": "coded-moneyline-replay-v1", "snapshot_hash": "d6f4d75720e1589f2a7981414c8d22d12396e92d1c296a2e0806dcb1a186d67f", "sport": "SOCCER"}</t>
        </is>
      </c>
    </row>
    <row r="648" ht="36" customHeight="1">
      <c r="A648" s="24" t="inlineStr">
        <is>
          <t>d5ee180ac8ed4df8</t>
        </is>
      </c>
      <c r="B648" s="24" t="inlineStr">
        <is>
          <t>2026-09-12T16:07:26.991101Z</t>
        </is>
      </c>
      <c r="C648" s="24" t="inlineStr">
        <is>
          <t>2026-09-12T19:30Z</t>
        </is>
      </c>
      <c r="D648" s="24" t="inlineStr">
        <is>
          <t>401916233</t>
        </is>
      </c>
      <c r="E648" s="24" t="inlineStr">
        <is>
          <t>SOCCER</t>
        </is>
      </c>
      <c r="F648" s="24" t="inlineStr">
        <is>
          <t>Nacional</t>
        </is>
      </c>
      <c r="G648" s="24" t="inlineStr">
        <is>
          <t>Montevideo Wanderers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400</v>
      </c>
      <c r="M648" s="27" t="n">
        <v>5</v>
      </c>
      <c r="N648" s="28" t="n">
        <v>0.2</v>
      </c>
      <c r="O648" s="28" t="n">
        <v>0.440521</v>
      </c>
      <c r="P648" s="28" t="n">
        <v>0.2</v>
      </c>
      <c r="Q648" s="28" t="n">
        <v>0.240521</v>
      </c>
      <c r="R648" s="26" t="n">
        <v>50</v>
      </c>
      <c r="S648" s="29" t="n">
        <v>1.25</v>
      </c>
      <c r="T648" s="24" t="inlineStr">
        <is>
          <t>soccer-poisson-dc-v1</t>
        </is>
      </c>
      <c r="U648" s="24" t="inlineStr">
        <is>
          <t>settled</t>
        </is>
      </c>
      <c r="V648" s="24" t="inlineStr">
        <is>
          <t>loss</t>
        </is>
      </c>
      <c r="W648" s="26" t="n">
        <v>1</v>
      </c>
      <c r="X648" s="26" t="n">
        <v>1</v>
      </c>
      <c r="Y648" s="25" t="n"/>
      <c r="Z648" s="26" t="n">
        <v>400</v>
      </c>
      <c r="AA648" s="28" t="n">
        <v>0.2</v>
      </c>
      <c r="AB648" s="28" t="n">
        <v>0</v>
      </c>
      <c r="AC648" s="30" t="n">
        <v>-1.25</v>
      </c>
      <c r="AD648" s="24" t="inlineStr">
        <is>
          <t>2026-09-12T22:01:39.315389Z</t>
        </is>
      </c>
      <c r="AE648" s="31" t="inlineStr">
        <is>
          <t>Poisson-DC rates 1.46 (home) / 1.10 (away) from EWMA attack/defense strengths. Executable ask 0.2000 (atc-uru1-wan-nac-2026-09-12-wan).</t>
        </is>
      </c>
      <c r="AF648" s="31" t="inlineStr">
        <is>
          <t>Research-only soccer score model; draw-aware, but not yet locked-holdout qualified.</t>
        </is>
      </c>
      <c r="AG648" s="24" t="inlineStr">
        <is>
          <t>review_required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Nacional</t>
        </is>
      </c>
      <c r="AQ648" s="24" t="inlineStr">
        <is>
          <t>Nacional</t>
        </is>
      </c>
      <c r="AR648" s="24" t="inlineStr">
        <is>
          <t>Nacional</t>
        </is>
      </c>
      <c r="AS648" s="24" t="inlineStr">
        <is>
          <t>Montevideo Wanderers</t>
        </is>
      </c>
      <c r="AT648" s="24" t="inlineStr">
        <is>
          <t>Montevideo Wanderers</t>
        </is>
      </c>
      <c r="AU648" s="24" t="inlineStr">
        <is>
          <t>Montevideo Wanderers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3d16277c2cfc0628d7ec79d04feee92735e5c503a3be195cb225c7c52d024308</t>
        </is>
      </c>
      <c r="BB648" s="24" t="inlineStr">
        <is>
          <t>poisson_dixon_coles</t>
        </is>
      </c>
      <c r="BC648" s="24" t="inlineStr">
        <is>
          <t>soccer-poisson-dc-v1</t>
        </is>
      </c>
      <c r="BD648" s="24" t="inlineStr">
        <is>
          <t>3d16277c2cfc0628d7ec79d04feee92735e5c503a3be195cb225c7c52d024308</t>
        </is>
      </c>
      <c r="BE648" s="24" t="inlineStr">
        <is>
          <t>soccer-poisson-dc-v1</t>
        </is>
      </c>
      <c r="BF648" s="24" t="inlineStr">
        <is>
          <t>1</t>
        </is>
      </c>
      <c r="BG648" s="24" t="inlineStr">
        <is>
          <t>3d16277c2cfc0628d7ec79d04feee92735e5c503a3be195cb225c7c52d024308</t>
        </is>
      </c>
      <c r="BH648" s="24" t="inlineStr">
        <is>
          <t>2026-09-12T16:06:14.721800Z</t>
        </is>
      </c>
      <c r="BI648" s="24" t="inlineStr">
        <is>
          <t>["same_event","same_team_same_day","same_league_same_day"]</t>
        </is>
      </c>
      <c r="BJ648" s="25" t="n"/>
      <c r="BK648" s="26" t="n">
        <v>400</v>
      </c>
      <c r="BL648" s="27" t="n">
        <v>5</v>
      </c>
      <c r="BM648" s="28" t="n">
        <v>0.2</v>
      </c>
      <c r="BN648" s="28" t="n"/>
      <c r="BO648" s="28" t="n"/>
      <c r="BP648" s="25" t="n"/>
      <c r="BQ648" s="27" t="n">
        <v>5</v>
      </c>
      <c r="BR648" s="28" t="n">
        <v>0.2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0.2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"3d16277c2cfc0628d7ec79d04feee92735e5c503a3be195cb225c7c52d024308", "away_team": "Nacional", "event_id": "401916233", "event_start_utc": "2026-09-12T19:30Z", "features": {"away_goal_rate": 1.1038, "history_games": 9181, "home_goal_rate": 1.4598, "league_goals_per_team": 1.4281, "min_team_games": 0.0}, "historical_source_observation_times_verified": false, "home_team": "Montevideo Wanderers",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0.273602, "draw": 0.285877, "home": 0.440521}, "replay_scope": "Exact full-precision serving state and rounding; upstream historical observation times are not certified.", "schema": "coded-moneyline-replay-v1", "snapshot_hash": "b5deb4b9f2ee18efebe46f7fcf5e507e4355fc2dc508b1928b5b20a030cfe7ea", "sport": "SOCCER"}</t>
        </is>
      </c>
    </row>
    <row r="649" ht="36" customHeight="1">
      <c r="A649" s="24" t="inlineStr">
        <is>
          <t>03aabfa95f6645ad</t>
        </is>
      </c>
      <c r="B649" s="24" t="inlineStr">
        <is>
          <t>2026-09-12T16:07:26.991101Z</t>
        </is>
      </c>
      <c r="C649" s="24" t="inlineStr">
        <is>
          <t>2026-09-12T19:00Z</t>
        </is>
      </c>
      <c r="D649" s="24" t="inlineStr">
        <is>
          <t>401859692</t>
        </is>
      </c>
      <c r="E649" s="24" t="inlineStr">
        <is>
          <t>SOCCER</t>
        </is>
      </c>
      <c r="F649" s="24" t="inlineStr">
        <is>
          <t>Aucas</t>
        </is>
      </c>
      <c r="G649" s="24" t="inlineStr">
        <is>
          <t>Manta F.C.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285</v>
      </c>
      <c r="M649" s="27" t="n">
        <v>3.85</v>
      </c>
      <c r="N649" s="28" t="n">
        <v>0.25974</v>
      </c>
      <c r="O649" s="28" t="n">
        <v>0.456135</v>
      </c>
      <c r="P649" s="28" t="n">
        <v>0.2</v>
      </c>
      <c r="Q649" s="28" t="n">
        <v>0.196395</v>
      </c>
      <c r="R649" s="26" t="n">
        <v>28</v>
      </c>
      <c r="S649" s="29" t="n">
        <v>1</v>
      </c>
      <c r="T649" s="24" t="inlineStr">
        <is>
          <t>soccer-poisson-dc-v1</t>
        </is>
      </c>
      <c r="U649" s="24" t="inlineStr">
        <is>
          <t>settled</t>
        </is>
      </c>
      <c r="V649" s="24" t="inlineStr">
        <is>
          <t>loss</t>
        </is>
      </c>
      <c r="W649" s="26" t="n">
        <v>0</v>
      </c>
      <c r="X649" s="26" t="n">
        <v>0</v>
      </c>
      <c r="Y649" s="25" t="n"/>
      <c r="Z649" s="26" t="n">
        <v>285</v>
      </c>
      <c r="AA649" s="28" t="n">
        <v>0.26</v>
      </c>
      <c r="AB649" s="28" t="n">
        <v>0.00026</v>
      </c>
      <c r="AC649" s="30" t="n">
        <v>-1</v>
      </c>
      <c r="AD649" s="24" t="inlineStr">
        <is>
          <t>2026-09-12T22:01:39.880767Z</t>
        </is>
      </c>
      <c r="AE649" s="31" t="inlineStr">
        <is>
          <t>Poisson-DC rates 1.64 (home) / 1.24 (away) from EWMA attack/defense strengths. Executable ask 0.2600 (atc-ecu1-man-sda-2026-09-13-man).</t>
        </is>
      </c>
      <c r="AF649" s="31" t="inlineStr">
        <is>
          <t>Research-only soccer score model; draw-aware, but not yet locked-holdout qualified.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PAPER_CALL_MODEL_UNVALIDATED</t>
        </is>
      </c>
      <c r="AP649" s="24" t="inlineStr">
        <is>
          <t>Aucas</t>
        </is>
      </c>
      <c r="AQ649" s="24" t="inlineStr">
        <is>
          <t>Aucas</t>
        </is>
      </c>
      <c r="AR649" s="24" t="inlineStr">
        <is>
          <t>Aucas</t>
        </is>
      </c>
      <c r="AS649" s="24" t="inlineStr">
        <is>
          <t>Manta F.C.</t>
        </is>
      </c>
      <c r="AT649" s="24" t="inlineStr">
        <is>
          <t>Manta F.C.</t>
        </is>
      </c>
      <c r="AU649" s="24" t="inlineStr">
        <is>
          <t>Manta F.C.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3d16277c2cfc0628d7ec79d04feee92735e5c503a3be195cb225c7c52d024308</t>
        </is>
      </c>
      <c r="BB649" s="24" t="inlineStr">
        <is>
          <t>poisson_dixon_coles</t>
        </is>
      </c>
      <c r="BC649" s="24" t="inlineStr">
        <is>
          <t>soccer-poisson-dc-v1</t>
        </is>
      </c>
      <c r="BD649" s="24" t="inlineStr">
        <is>
          <t>3d16277c2cfc0628d7ec79d04feee92735e5c503a3be195cb225c7c52d024308</t>
        </is>
      </c>
      <c r="BE649" s="24" t="inlineStr">
        <is>
          <t>soccer-poisson-dc-v1</t>
        </is>
      </c>
      <c r="BF649" s="24" t="inlineStr">
        <is>
          <t>1</t>
        </is>
      </c>
      <c r="BG649" s="24" t="inlineStr">
        <is>
          <t>3d16277c2cfc0628d7ec79d04feee92735e5c503a3be195cb225c7c52d024308</t>
        </is>
      </c>
      <c r="BH649" s="24" t="inlineStr">
        <is>
          <t>2026-09-12T16:06:14.707724Z</t>
        </is>
      </c>
      <c r="BI649" s="24" t="inlineStr">
        <is>
          <t>["same_event","same_team_same_day","same_league_same_day"]</t>
        </is>
      </c>
      <c r="BJ649" s="25" t="n"/>
      <c r="BK649" s="26" t="n">
        <v>285</v>
      </c>
      <c r="BL649" s="27" t="n">
        <v>3.85</v>
      </c>
      <c r="BM649" s="28" t="n">
        <v>0.25974</v>
      </c>
      <c r="BN649" s="28" t="n"/>
      <c r="BO649" s="28" t="n"/>
      <c r="BP649" s="25" t="n"/>
      <c r="BQ649" s="27" t="n">
        <v>3.85</v>
      </c>
      <c r="BR649" s="28" t="n">
        <v>0.26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0.25974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"3d16277c2cfc0628d7ec79d04feee92735e5c503a3be195cb225c7c52d024308", "away_team": "Aucas", "event_id": "401859692", "event_start_utc": "2026-09-12T19:00Z", "features": {"away_goal_rate": 1.2418, "history_games": 9181, "home_goal_rate": 1.6423, "league_goals_per_team": 1.4281, "min_team_games": 0.0}, "historical_source_observation_times_verified": false, "home_team": "Manta F.C.",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"96031d3fb75926e14f69607f499c29da0d714c2d27162e5f7363066c95100335", "sport": "SOCCER"}</t>
        </is>
      </c>
    </row>
    <row r="650" ht="36" customHeight="1">
      <c r="A650" s="24" t="inlineStr">
        <is>
          <t>abfa246667b74e56</t>
        </is>
      </c>
      <c r="B650" s="24" t="inlineStr">
        <is>
          <t>2026-09-12T16:07:26.991101Z</t>
        </is>
      </c>
      <c r="C650" s="24" t="inlineStr">
        <is>
          <t>2026-09-12T21:30Z</t>
        </is>
      </c>
      <c r="D650" s="24" t="inlineStr">
        <is>
          <t>401859690</t>
        </is>
      </c>
      <c r="E650" s="24" t="inlineStr">
        <is>
          <t>SOCCER</t>
        </is>
      </c>
      <c r="F650" s="24" t="inlineStr">
        <is>
          <t>Mushuc Runa</t>
        </is>
      </c>
      <c r="G650" s="24" t="inlineStr">
        <is>
          <t>Guayaquil City FC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170</v>
      </c>
      <c r="M650" s="27" t="n">
        <v>2.7</v>
      </c>
      <c r="N650" s="28" t="n">
        <v>0.37037</v>
      </c>
      <c r="O650" s="28" t="n">
        <v>0.456135</v>
      </c>
      <c r="P650" s="28" t="n">
        <v>0.2</v>
      </c>
      <c r="Q650" s="28" t="n">
        <v>0.08576499999999999</v>
      </c>
      <c r="R650" s="26" t="n">
        <v>0</v>
      </c>
      <c r="S650" s="29" t="n">
        <v>1</v>
      </c>
      <c r="T650" s="24" t="inlineStr">
        <is>
          <t>soccer-poisson-dc-v1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3</v>
      </c>
      <c r="Y650" s="25" t="n"/>
      <c r="Z650" s="26" t="n">
        <v>170</v>
      </c>
      <c r="AA650" s="28" t="n">
        <v>0.37</v>
      </c>
      <c r="AB650" s="28" t="n">
        <v>-0.00037</v>
      </c>
      <c r="AC650" s="30" t="n">
        <v>1.7</v>
      </c>
      <c r="AD650" s="24" t="inlineStr">
        <is>
          <t>2026-09-13T04:32:50.484472Z</t>
        </is>
      </c>
      <c r="AE650" s="31" t="inlineStr">
        <is>
          <t>Poisson-DC rates 1.64 (home) / 1.24 (away) from EWMA attack/defense strengths. Executable ask 0.3700 (atc-ecu1-gua-mur-2026-09-13-gua).</t>
        </is>
      </c>
      <c r="AF650" s="31" t="inlineStr">
        <is>
          <t>Research-only soccer score model; draw-aware, but not yet locked-holdout qualified.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PAPER_CALL_MODEL_UNVALIDATED</t>
        </is>
      </c>
      <c r="AP650" s="24" t="inlineStr">
        <is>
          <t>Mushuc Runa</t>
        </is>
      </c>
      <c r="AQ650" s="24" t="inlineStr">
        <is>
          <t>Mushuc Runa</t>
        </is>
      </c>
      <c r="AR650" s="24" t="inlineStr">
        <is>
          <t>Mushuc Runa</t>
        </is>
      </c>
      <c r="AS650" s="24" t="inlineStr">
        <is>
          <t>Guayaquil City FC</t>
        </is>
      </c>
      <c r="AT650" s="24" t="inlineStr">
        <is>
          <t>Guayaquil City FC</t>
        </is>
      </c>
      <c r="AU650" s="24" t="inlineStr">
        <is>
          <t>Guayaquil City FC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3d16277c2cfc0628d7ec79d04feee92735e5c503a3be195cb225c7c52d024308</t>
        </is>
      </c>
      <c r="BB650" s="24" t="inlineStr">
        <is>
          <t>poisson_dixon_coles</t>
        </is>
      </c>
      <c r="BC650" s="24" t="inlineStr">
        <is>
          <t>soccer-poisson-dc-v1</t>
        </is>
      </c>
      <c r="BD650" s="24" t="inlineStr">
        <is>
          <t>3d16277c2cfc0628d7ec79d04feee92735e5c503a3be195cb225c7c52d024308</t>
        </is>
      </c>
      <c r="BE650" s="24" t="inlineStr">
        <is>
          <t>soccer-poisson-dc-v1</t>
        </is>
      </c>
      <c r="BF650" s="24" t="inlineStr">
        <is>
          <t>1</t>
        </is>
      </c>
      <c r="BG650" s="24" t="inlineStr">
        <is>
          <t>3d16277c2cfc0628d7ec79d04feee92735e5c503a3be195cb225c7c52d024308</t>
        </is>
      </c>
      <c r="BH650" s="24" t="inlineStr">
        <is>
          <t>2026-09-12T16:06:14.647663Z</t>
        </is>
      </c>
      <c r="BI650" s="24" t="inlineStr">
        <is>
          <t>["same_event","same_team_same_day","same_league_same_day"]</t>
        </is>
      </c>
      <c r="BJ650" s="25" t="n"/>
      <c r="BK650" s="26" t="n">
        <v>170</v>
      </c>
      <c r="BL650" s="27" t="n">
        <v>2.7</v>
      </c>
      <c r="BM650" s="28" t="n">
        <v>0.37037</v>
      </c>
      <c r="BN650" s="28" t="n"/>
      <c r="BO650" s="28" t="n"/>
      <c r="BP650" s="25" t="n"/>
      <c r="BQ650" s="27" t="n">
        <v>2.7</v>
      </c>
      <c r="BR650" s="28" t="n">
        <v>0.37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0.37037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"3d16277c2cfc0628d7ec79d04feee92735e5c503a3be195cb225c7c52d024308", "away_team": "Mushuc Runa", "event_id": "401859690", "event_start_utc": "2026-09-12T21:30Z", "features": {"away_goal_rate": 1.2418, "history_games": 9181, "home_goal_rate": 1.6423, "league_goals_per_team": 1.4281, "min_team_games": 0.0}, "historical_source_observation_times_verified": false, "home_team": "Guayaquil City FC",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"f93e92a2c63235fb56e522dc2bbc92ab492b6b1bb731a6f9cfab8e3c69ca4789", "sport": "SOCCER"}</t>
        </is>
      </c>
    </row>
    <row r="651" ht="36" customHeight="1">
      <c r="A651" s="24" t="inlineStr">
        <is>
          <t>b52c239f55fc4c37</t>
        </is>
      </c>
      <c r="B651" s="24" t="inlineStr">
        <is>
          <t>2026-09-12T22:41:45.616998Z</t>
        </is>
      </c>
      <c r="C651" s="24" t="inlineStr">
        <is>
          <t>2026-09-12T23:30Z</t>
        </is>
      </c>
      <c r="D651" s="24" t="inlineStr">
        <is>
          <t>761803</t>
        </is>
      </c>
      <c r="E651" s="24" t="inlineStr">
        <is>
          <t>SOCCER</t>
        </is>
      </c>
      <c r="F651" s="24" t="inlineStr">
        <is>
          <t>Atlanta United FC</t>
        </is>
      </c>
      <c r="G651" s="24" t="inlineStr">
        <is>
          <t>D.C. United</t>
        </is>
      </c>
      <c r="H651" s="24" t="inlineStr">
        <is>
          <t>total</t>
        </is>
      </c>
      <c r="I651" s="24" t="inlineStr">
        <is>
          <t>over</t>
        </is>
      </c>
      <c r="J651" s="25" t="n">
        <v>2.5</v>
      </c>
      <c r="K651" s="24" t="inlineStr">
        <is>
          <t>polymarket_us</t>
        </is>
      </c>
      <c r="L651" s="26" t="n">
        <v>-156</v>
      </c>
      <c r="M651" s="27" t="n">
        <v>1.641026</v>
      </c>
      <c r="N651" s="28" t="n">
        <v>0.609375</v>
      </c>
      <c r="O651" s="28" t="n">
        <v>0.5159820000000001</v>
      </c>
      <c r="P651" s="28" t="n">
        <v>0.04</v>
      </c>
      <c r="Q651" s="28" t="n">
        <v>-0.093393</v>
      </c>
      <c r="R651" s="26" t="n">
        <v>0</v>
      </c>
      <c r="S651" s="29" t="n">
        <v>1</v>
      </c>
      <c r="T651" s="24" t="inlineStr">
        <is>
          <t>soccer-poisson-dc-v1</t>
        </is>
      </c>
      <c r="U651" s="24" t="inlineStr">
        <is>
          <t>settled</t>
        </is>
      </c>
      <c r="V651" s="24" t="inlineStr">
        <is>
          <t>loss</t>
        </is>
      </c>
      <c r="W651" s="26" t="n">
        <v>0</v>
      </c>
      <c r="X651" s="26" t="n">
        <v>0</v>
      </c>
      <c r="Y651" s="25" t="n"/>
      <c r="Z651" s="26" t="n">
        <v>-156</v>
      </c>
      <c r="AA651" s="28" t="n">
        <v>0.61</v>
      </c>
      <c r="AB651" s="28" t="n">
        <v>0.000625</v>
      </c>
      <c r="AC651" s="30" t="n">
        <v>-1</v>
      </c>
      <c r="AD651" s="24" t="inlineStr">
        <is>
          <t>2026-09-13T04:33:26.202488Z</t>
        </is>
      </c>
      <c r="AE651" s="31" t="inlineStr">
        <is>
          <t>Poisson-DC rates 1.68 (home) / 1.06 (away) from EWMA attack/defense strengths. Executable ask 0.6100 (tsc-mls-dcu-atl-2026-09-12-2pt5).</t>
        </is>
      </c>
      <c r="AF651" s="31" t="inlineStr">
        <is>
          <t>Research-only soccer score model; draw-aware, but not yet locked-holdout qualified.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Atlanta United FC</t>
        </is>
      </c>
      <c r="AQ651" s="24" t="inlineStr">
        <is>
          <t>Atlanta United FC</t>
        </is>
      </c>
      <c r="AR651" s="24" t="inlineStr">
        <is>
          <t>Atlanta United FC</t>
        </is>
      </c>
      <c r="AS651" s="24" t="inlineStr">
        <is>
          <t>D.C. United</t>
        </is>
      </c>
      <c r="AT651" s="24" t="inlineStr">
        <is>
          <t>D.C. United</t>
        </is>
      </c>
      <c r="AU651" s="24" t="inlineStr">
        <is>
          <t>D.C. United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3d16277c2cfc0628d7ec79d04feee92735e5c503a3be195cb225c7c52d024308</t>
        </is>
      </c>
      <c r="BB651" s="24" t="inlineStr">
        <is>
          <t>poisson_dixon_coles</t>
        </is>
      </c>
      <c r="BC651" s="24" t="inlineStr">
        <is>
          <t>soccer-poisson-dc-v1</t>
        </is>
      </c>
      <c r="BD651" s="24" t="inlineStr">
        <is>
          <t>3d16277c2cfc0628d7ec79d04feee92735e5c503a3be195cb225c7c52d024308</t>
        </is>
      </c>
      <c r="BE651" s="24" t="inlineStr">
        <is>
          <t>soccer-poisson-dc-v1</t>
        </is>
      </c>
      <c r="BF651" s="24" t="inlineStr">
        <is>
          <t>1</t>
        </is>
      </c>
      <c r="BG651" s="24" t="inlineStr">
        <is>
          <t>3d16277c2cfc0628d7ec79d04feee92735e5c503a3be195cb225c7c52d024308</t>
        </is>
      </c>
      <c r="BH651" s="24" t="inlineStr">
        <is>
          <t>2026-09-12T16:06:12.081355Z</t>
        </is>
      </c>
      <c r="BI651" s="24" t="inlineStr">
        <is>
          <t>["same_event","same_team_same_day","same_league_same_day"]</t>
        </is>
      </c>
      <c r="BJ651" s="25" t="n">
        <v>2.5</v>
      </c>
      <c r="BK651" s="26" t="n">
        <v>-156</v>
      </c>
      <c r="BL651" s="27" t="n">
        <v>1.641026</v>
      </c>
      <c r="BM651" s="28" t="n">
        <v>0.609375</v>
      </c>
      <c r="BN651" s="28" t="n"/>
      <c r="BO651" s="28" t="n"/>
      <c r="BP651" s="25" t="n"/>
      <c r="BQ651" s="27" t="n">
        <v>1.641026</v>
      </c>
      <c r="BR651" s="28" t="n">
        <v>0.61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0.609375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64952b2426514193</t>
        </is>
      </c>
      <c r="B652" s="24" t="inlineStr">
        <is>
          <t>2026-09-12T22:41:45.616998Z</t>
        </is>
      </c>
      <c r="C652" s="24" t="inlineStr">
        <is>
          <t>2026-09-12T23:30Z</t>
        </is>
      </c>
      <c r="D652" s="24" t="inlineStr">
        <is>
          <t>761802</t>
        </is>
      </c>
      <c r="E652" s="24" t="inlineStr">
        <is>
          <t>SOCCER</t>
        </is>
      </c>
      <c r="F652" s="24" t="inlineStr">
        <is>
          <t>Charlotte FC</t>
        </is>
      </c>
      <c r="G652" s="24" t="inlineStr">
        <is>
          <t>FC Cincinnati</t>
        </is>
      </c>
      <c r="H652" s="24" t="inlineStr">
        <is>
          <t>total</t>
        </is>
      </c>
      <c r="I652" s="24" t="inlineStr">
        <is>
          <t>over</t>
        </is>
      </c>
      <c r="J652" s="25" t="n">
        <v>2.5</v>
      </c>
      <c r="K652" s="24" t="inlineStr">
        <is>
          <t>polymarket_us</t>
        </is>
      </c>
      <c r="L652" s="26" t="n">
        <v>-245</v>
      </c>
      <c r="M652" s="27" t="n">
        <v>1.408163</v>
      </c>
      <c r="N652" s="28" t="n">
        <v>0.710145</v>
      </c>
      <c r="O652" s="28" t="n">
        <v>0.765283</v>
      </c>
      <c r="P652" s="28" t="n">
        <v>0.04</v>
      </c>
      <c r="Q652" s="28" t="n">
        <v>0.055138</v>
      </c>
      <c r="R652" s="26" t="n">
        <v>54</v>
      </c>
      <c r="S652" s="29" t="n">
        <v>1</v>
      </c>
      <c r="T652" s="24" t="inlineStr">
        <is>
          <t>soccer-poisson-dc-v1</t>
        </is>
      </c>
      <c r="U652" s="24" t="inlineStr">
        <is>
          <t>settled</t>
        </is>
      </c>
      <c r="V652" s="24" t="inlineStr">
        <is>
          <t>win</t>
        </is>
      </c>
      <c r="W652" s="26" t="n">
        <v>3</v>
      </c>
      <c r="X652" s="26" t="n">
        <v>3</v>
      </c>
      <c r="Y652" s="25" t="n"/>
      <c r="Z652" s="26" t="n">
        <v>-245</v>
      </c>
      <c r="AA652" s="28" t="n">
        <v>0.71</v>
      </c>
      <c r="AB652" s="28" t="n">
        <v>-0.000145</v>
      </c>
      <c r="AC652" s="30" t="n">
        <v>0.4082</v>
      </c>
      <c r="AD652" s="24" t="inlineStr">
        <is>
          <t>2026-09-13T04:33:26.780903Z</t>
        </is>
      </c>
      <c r="AE652" s="31" t="inlineStr">
        <is>
          <t>Poisson-DC rates 2.28 (home) / 1.74 (away) from EWMA attack/defense strengths. Executable ask 0.7100 (tsc-mls-fcc-clt-2026-09-12-2pt5).</t>
        </is>
      </c>
      <c r="AF652" s="31" t="inlineStr">
        <is>
          <t>Research-only soccer score model; draw-aware, but not yet locked-holdout qualified.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Charlotte FC</t>
        </is>
      </c>
      <c r="AQ652" s="24" t="inlineStr">
        <is>
          <t>Charlotte FC</t>
        </is>
      </c>
      <c r="AR652" s="24" t="inlineStr">
        <is>
          <t>Charlotte FC</t>
        </is>
      </c>
      <c r="AS652" s="24" t="inlineStr">
        <is>
          <t>FC Cincinnati</t>
        </is>
      </c>
      <c r="AT652" s="24" t="inlineStr">
        <is>
          <t>FC Cincinnati</t>
        </is>
      </c>
      <c r="AU652" s="24" t="inlineStr">
        <is>
          <t>FC Cincinnati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3d16277c2cfc0628d7ec79d04feee92735e5c503a3be195cb225c7c52d024308</t>
        </is>
      </c>
      <c r="BB652" s="24" t="inlineStr">
        <is>
          <t>poisson_dixon_coles</t>
        </is>
      </c>
      <c r="BC652" s="24" t="inlineStr">
        <is>
          <t>soccer-poisson-dc-v1</t>
        </is>
      </c>
      <c r="BD652" s="24" t="inlineStr">
        <is>
          <t>3d16277c2cfc0628d7ec79d04feee92735e5c503a3be195cb225c7c52d024308</t>
        </is>
      </c>
      <c r="BE652" s="24" t="inlineStr">
        <is>
          <t>soccer-poisson-dc-v1</t>
        </is>
      </c>
      <c r="BF652" s="24" t="inlineStr">
        <is>
          <t>1</t>
        </is>
      </c>
      <c r="BG652" s="24" t="inlineStr">
        <is>
          <t>3d16277c2cfc0628d7ec79d04feee92735e5c503a3be195cb225c7c52d024308</t>
        </is>
      </c>
      <c r="BH652" s="24" t="inlineStr">
        <is>
          <t>2026-09-12T16:06:12.208351Z</t>
        </is>
      </c>
      <c r="BI652" s="24" t="inlineStr">
        <is>
          <t>["same_event","same_team_same_day","same_league_same_day"]</t>
        </is>
      </c>
      <c r="BJ652" s="25" t="n">
        <v>2.5</v>
      </c>
      <c r="BK652" s="26" t="n">
        <v>-245</v>
      </c>
      <c r="BL652" s="27" t="n">
        <v>1.408163</v>
      </c>
      <c r="BM652" s="28" t="n">
        <v>0.710145</v>
      </c>
      <c r="BN652" s="28" t="n"/>
      <c r="BO652" s="28" t="n"/>
      <c r="BP652" s="25" t="n"/>
      <c r="BQ652" s="27" t="n">
        <v>1.408163</v>
      </c>
      <c r="BR652" s="28" t="n">
        <v>0.71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0.710145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abc0e71941fc401d</t>
        </is>
      </c>
      <c r="B653" s="24" t="inlineStr">
        <is>
          <t>2026-09-12T22:41:45.616998Z</t>
        </is>
      </c>
      <c r="C653" s="24" t="inlineStr">
        <is>
          <t>2026-09-12T23:30Z</t>
        </is>
      </c>
      <c r="D653" s="24" t="inlineStr">
        <is>
          <t>761800</t>
        </is>
      </c>
      <c r="E653" s="24" t="inlineStr">
        <is>
          <t>SOCCER</t>
        </is>
      </c>
      <c r="F653" s="24" t="inlineStr">
        <is>
          <t>Nashville SC</t>
        </is>
      </c>
      <c r="G653" s="24" t="inlineStr">
        <is>
          <t>Inter Miami CF</t>
        </is>
      </c>
      <c r="H653" s="24" t="inlineStr">
        <is>
          <t>total</t>
        </is>
      </c>
      <c r="I653" s="24" t="inlineStr">
        <is>
          <t>over</t>
        </is>
      </c>
      <c r="J653" s="25" t="n">
        <v>2.5</v>
      </c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0.790371</v>
      </c>
      <c r="P653" s="28" t="n">
        <v>0.04</v>
      </c>
      <c r="Q653" s="28" t="n">
        <v>0.090671</v>
      </c>
      <c r="R653" s="26" t="n">
        <v>71</v>
      </c>
      <c r="S653" s="29" t="n">
        <v>1.25</v>
      </c>
      <c r="T653" s="24" t="inlineStr">
        <is>
          <t>soccer-poisson-dc-v1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2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0.5365</v>
      </c>
      <c r="AD653" s="24" t="inlineStr">
        <is>
          <t>2026-09-13T04:33:27.361578Z</t>
        </is>
      </c>
      <c r="AE653" s="31" t="inlineStr">
        <is>
          <t>Poisson-DC rates 2.40 (home) / 1.80 (away) from EWMA attack/defense strengths. Executable ask 0.7000 (tsc-mls-mia-nas-2026-09-12-2pt5).</t>
        </is>
      </c>
      <c r="AF653" s="31" t="inlineStr">
        <is>
          <t>Research-only soccer score model; draw-aware, but not yet locked-holdout qualified.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Nashville SC</t>
        </is>
      </c>
      <c r="AQ653" s="24" t="inlineStr">
        <is>
          <t>Nashville SC</t>
        </is>
      </c>
      <c r="AR653" s="24" t="inlineStr">
        <is>
          <t>Nashville SC</t>
        </is>
      </c>
      <c r="AS653" s="24" t="inlineStr">
        <is>
          <t>Inter Miami CF</t>
        </is>
      </c>
      <c r="AT653" s="24" t="inlineStr">
        <is>
          <t>Inter Miami CF</t>
        </is>
      </c>
      <c r="AU653" s="24" t="inlineStr">
        <is>
          <t>Inter Miami CF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3d16277c2cfc0628d7ec79d04feee92735e5c503a3be195cb225c7c52d024308</t>
        </is>
      </c>
      <c r="BB653" s="24" t="inlineStr">
        <is>
          <t>poisson_dixon_coles</t>
        </is>
      </c>
      <c r="BC653" s="24" t="inlineStr">
        <is>
          <t>soccer-poisson-dc-v1</t>
        </is>
      </c>
      <c r="BD653" s="24" t="inlineStr">
        <is>
          <t>3d16277c2cfc0628d7ec79d04feee92735e5c503a3be195cb225c7c52d024308</t>
        </is>
      </c>
      <c r="BE653" s="24" t="inlineStr">
        <is>
          <t>soccer-poisson-dc-v1</t>
        </is>
      </c>
      <c r="BF653" s="24" t="inlineStr">
        <is>
          <t>1</t>
        </is>
      </c>
      <c r="BG653" s="24" t="inlineStr">
        <is>
          <t>3d16277c2cfc0628d7ec79d04feee92735e5c503a3be195cb225c7c52d024308</t>
        </is>
      </c>
      <c r="BH653" s="24" t="inlineStr">
        <is>
          <t>2026-09-12T16:06:12.254395Z</t>
        </is>
      </c>
      <c r="BI653" s="24" t="inlineStr">
        <is>
          <t>["same_event","same_team_same_day","same_league_same_day"]</t>
        </is>
      </c>
      <c r="BJ653" s="25" t="n">
        <v>2.5</v>
      </c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168ccfb88d7c4d05</t>
        </is>
      </c>
      <c r="B654" s="24" t="inlineStr">
        <is>
          <t>2026-09-12T22:41:45.616998Z</t>
        </is>
      </c>
      <c r="C654" s="24" t="inlineStr">
        <is>
          <t>2026-09-12T23:30Z</t>
        </is>
      </c>
      <c r="D654" s="24" t="inlineStr">
        <is>
          <t>761801</t>
        </is>
      </c>
      <c r="E654" s="24" t="inlineStr">
        <is>
          <t>SOCCER</t>
        </is>
      </c>
      <c r="F654" s="24" t="inlineStr">
        <is>
          <t>Toronto FC</t>
        </is>
      </c>
      <c r="G654" s="24" t="inlineStr">
        <is>
          <t>Orlando City SC</t>
        </is>
      </c>
      <c r="H654" s="24" t="inlineStr">
        <is>
          <t>total</t>
        </is>
      </c>
      <c r="I654" s="24" t="inlineStr">
        <is>
          <t>over</t>
        </is>
      </c>
      <c r="J654" s="25" t="n">
        <v>2.5</v>
      </c>
      <c r="K654" s="24" t="inlineStr">
        <is>
          <t>polymarket_us</t>
        </is>
      </c>
      <c r="L654" s="26" t="n">
        <v>-223</v>
      </c>
      <c r="M654" s="27" t="n">
        <v>1.44843</v>
      </c>
      <c r="N654" s="28" t="n">
        <v>0.690402</v>
      </c>
      <c r="O654" s="28" t="n">
        <v>0.755145</v>
      </c>
      <c r="P654" s="28" t="n">
        <v>0.04</v>
      </c>
      <c r="Q654" s="28" t="n">
        <v>0.06474299999999999</v>
      </c>
      <c r="R654" s="26" t="n">
        <v>58</v>
      </c>
      <c r="S654" s="29" t="n">
        <v>1.25</v>
      </c>
      <c r="T654" s="24" t="inlineStr">
        <is>
          <t>soccer-poisson-dc-v1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3</v>
      </c>
      <c r="Y654" s="25" t="n"/>
      <c r="Z654" s="26" t="n">
        <v>-223</v>
      </c>
      <c r="AA654" s="28" t="n">
        <v>0.6899999999999999</v>
      </c>
      <c r="AB654" s="28" t="n">
        <v>-0.000402</v>
      </c>
      <c r="AC654" s="30" t="n">
        <v>0.5605</v>
      </c>
      <c r="AD654" s="24" t="inlineStr">
        <is>
          <t>2026-09-13T04:33:27.944977Z</t>
        </is>
      </c>
      <c r="AE654" s="31" t="inlineStr">
        <is>
          <t>Poisson-DC rates 2.14 (home) / 1.82 (away) from EWMA attack/defense strengths. Executable ask 0.6900 (tsc-mls-orl-tor-2026-09-12-2pt5).</t>
        </is>
      </c>
      <c r="AF654" s="31" t="inlineStr">
        <is>
          <t>Research-only soccer score model; draw-aware, but not yet locked-holdout qualified.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Toronto FC</t>
        </is>
      </c>
      <c r="AQ654" s="24" t="inlineStr">
        <is>
          <t>Toronto FC</t>
        </is>
      </c>
      <c r="AR654" s="24" t="inlineStr">
        <is>
          <t>Toronto FC</t>
        </is>
      </c>
      <c r="AS654" s="24" t="inlineStr">
        <is>
          <t>Orlando City SC</t>
        </is>
      </c>
      <c r="AT654" s="24" t="inlineStr">
        <is>
          <t>Orlando City SC</t>
        </is>
      </c>
      <c r="AU654" s="24" t="inlineStr">
        <is>
          <t>Orlando City SC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3d16277c2cfc0628d7ec79d04feee92735e5c503a3be195cb225c7c52d024308</t>
        </is>
      </c>
      <c r="BB654" s="24" t="inlineStr">
        <is>
          <t>poisson_dixon_coles</t>
        </is>
      </c>
      <c r="BC654" s="24" t="inlineStr">
        <is>
          <t>soccer-poisson-dc-v1</t>
        </is>
      </c>
      <c r="BD654" s="24" t="inlineStr">
        <is>
          <t>3d16277c2cfc0628d7ec79d04feee92735e5c503a3be195cb225c7c52d024308</t>
        </is>
      </c>
      <c r="BE654" s="24" t="inlineStr">
        <is>
          <t>soccer-poisson-dc-v1</t>
        </is>
      </c>
      <c r="BF654" s="24" t="inlineStr">
        <is>
          <t>1</t>
        </is>
      </c>
      <c r="BG654" s="24" t="inlineStr">
        <is>
          <t>3d16277c2cfc0628d7ec79d04feee92735e5c503a3be195cb225c7c52d024308</t>
        </is>
      </c>
      <c r="BH654" s="24" t="inlineStr">
        <is>
          <t>2026-09-12T16:06:12.446879Z</t>
        </is>
      </c>
      <c r="BI654" s="24" t="inlineStr">
        <is>
          <t>["same_event","same_team_same_day","same_league_same_day"]</t>
        </is>
      </c>
      <c r="BJ654" s="25" t="n">
        <v>2.5</v>
      </c>
      <c r="BK654" s="26" t="n">
        <v>-223</v>
      </c>
      <c r="BL654" s="27" t="n">
        <v>1.44843</v>
      </c>
      <c r="BM654" s="28" t="n">
        <v>0.690402</v>
      </c>
      <c r="BN654" s="28" t="n"/>
      <c r="BO654" s="28" t="n"/>
      <c r="BP654" s="25" t="n"/>
      <c r="BQ654" s="27" t="n">
        <v>1.44843</v>
      </c>
      <c r="BR654" s="28" t="n">
        <v>0.6899999999999999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0.690402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bd3bab64ca0e4a7d</t>
        </is>
      </c>
      <c r="B655" s="24" t="inlineStr">
        <is>
          <t>2026-09-12T22:41:45.616998Z</t>
        </is>
      </c>
      <c r="C655" s="24" t="inlineStr">
        <is>
          <t>2026-09-13T00:30Z</t>
        </is>
      </c>
      <c r="D655" s="24" t="inlineStr">
        <is>
          <t>761805</t>
        </is>
      </c>
      <c r="E655" s="24" t="inlineStr">
        <is>
          <t>SOCCER</t>
        </is>
      </c>
      <c r="F655" s="24" t="inlineStr">
        <is>
          <t>Portland Timbers</t>
        </is>
      </c>
      <c r="G655" s="24" t="inlineStr">
        <is>
          <t>FC Dallas</t>
        </is>
      </c>
      <c r="H655" s="24" t="inlineStr">
        <is>
          <t>total</t>
        </is>
      </c>
      <c r="I655" s="24" t="inlineStr">
        <is>
          <t>over</t>
        </is>
      </c>
      <c r="J655" s="25" t="n">
        <v>2.5</v>
      </c>
      <c r="K655" s="24" t="inlineStr">
        <is>
          <t>polymarket_us</t>
        </is>
      </c>
      <c r="L655" s="26" t="n">
        <v>-245</v>
      </c>
      <c r="M655" s="27" t="n">
        <v>1.408163</v>
      </c>
      <c r="N655" s="28" t="n">
        <v>0.710145</v>
      </c>
      <c r="O655" s="28" t="n">
        <v>0.731409</v>
      </c>
      <c r="P655" s="28" t="n">
        <v>0.04</v>
      </c>
      <c r="Q655" s="28" t="n">
        <v>0.021264</v>
      </c>
      <c r="R655" s="26" t="n">
        <v>37</v>
      </c>
      <c r="S655" s="29" t="n">
        <v>1</v>
      </c>
      <c r="T655" s="24" t="inlineStr">
        <is>
          <t>soccer-poisson-dc-v1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2</v>
      </c>
      <c r="Y655" s="25" t="n"/>
      <c r="Z655" s="26" t="n">
        <v>-245</v>
      </c>
      <c r="AA655" s="28" t="n">
        <v>0.71</v>
      </c>
      <c r="AB655" s="28" t="n">
        <v>-0.000145</v>
      </c>
      <c r="AC655" s="30" t="n">
        <v>0.4082</v>
      </c>
      <c r="AD655" s="24" t="inlineStr">
        <is>
          <t>2026-09-13T04:33:28.524393Z</t>
        </is>
      </c>
      <c r="AE655" s="31" t="inlineStr">
        <is>
          <t>Poisson-DC rates 2.41 (home) / 1.39 (away) from EWMA attack/defense strengths. Executable ask 0.7100 (tsc-mls-dal-por-2026-09-12-2pt5).</t>
        </is>
      </c>
      <c r="AF655" s="31" t="inlineStr">
        <is>
          <t>Research-only soccer score model; draw-aware, but not yet locked-holdout qualified.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Portland Timbers</t>
        </is>
      </c>
      <c r="AQ655" s="24" t="inlineStr">
        <is>
          <t>Portland Timbers</t>
        </is>
      </c>
      <c r="AR655" s="24" t="inlineStr">
        <is>
          <t>Portland Timbers</t>
        </is>
      </c>
      <c r="AS655" s="24" t="inlineStr">
        <is>
          <t>FC Dallas</t>
        </is>
      </c>
      <c r="AT655" s="24" t="inlineStr">
        <is>
          <t>FC Dallas</t>
        </is>
      </c>
      <c r="AU655" s="24" t="inlineStr">
        <is>
          <t>FC Dallas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3d16277c2cfc0628d7ec79d04feee92735e5c503a3be195cb225c7c52d024308</t>
        </is>
      </c>
      <c r="BB655" s="24" t="inlineStr">
        <is>
          <t>poisson_dixon_coles</t>
        </is>
      </c>
      <c r="BC655" s="24" t="inlineStr">
        <is>
          <t>soccer-poisson-dc-v1</t>
        </is>
      </c>
      <c r="BD655" s="24" t="inlineStr">
        <is>
          <t>3d16277c2cfc0628d7ec79d04feee92735e5c503a3be195cb225c7c52d024308</t>
        </is>
      </c>
      <c r="BE655" s="24" t="inlineStr">
        <is>
          <t>soccer-poisson-dc-v1</t>
        </is>
      </c>
      <c r="BF655" s="24" t="inlineStr">
        <is>
          <t>1</t>
        </is>
      </c>
      <c r="BG655" s="24" t="inlineStr">
        <is>
          <t>3d16277c2cfc0628d7ec79d04feee92735e5c503a3be195cb225c7c52d024308</t>
        </is>
      </c>
      <c r="BH655" s="24" t="inlineStr">
        <is>
          <t>2026-09-12T16:06:12.542743Z</t>
        </is>
      </c>
      <c r="BI655" s="24" t="inlineStr">
        <is>
          <t>["same_event","same_team_same_day","same_league_same_day"]</t>
        </is>
      </c>
      <c r="BJ655" s="25" t="n">
        <v>2.5</v>
      </c>
      <c r="BK655" s="26" t="n">
        <v>-245</v>
      </c>
      <c r="BL655" s="27" t="n">
        <v>1.408163</v>
      </c>
      <c r="BM655" s="28" t="n">
        <v>0.710145</v>
      </c>
      <c r="BN655" s="28" t="n"/>
      <c r="BO655" s="28" t="n"/>
      <c r="BP655" s="25" t="n"/>
      <c r="BQ655" s="27" t="n">
        <v>1.408163</v>
      </c>
      <c r="BR655" s="28" t="n">
        <v>0.71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0.710145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1100bda29d3e41c7</t>
        </is>
      </c>
      <c r="B656" s="24" t="inlineStr">
        <is>
          <t>2026-09-12T22:41:45.616998Z</t>
        </is>
      </c>
      <c r="C656" s="24" t="inlineStr">
        <is>
          <t>2026-09-13T00:30Z</t>
        </is>
      </c>
      <c r="D656" s="24" t="inlineStr">
        <is>
          <t>761807</t>
        </is>
      </c>
      <c r="E656" s="24" t="inlineStr">
        <is>
          <t>SOCCER</t>
        </is>
      </c>
      <c r="F656" s="24" t="inlineStr">
        <is>
          <t>Minnesota United FC</t>
        </is>
      </c>
      <c r="G656" s="24" t="inlineStr">
        <is>
          <t>St. Louis CITY SC</t>
        </is>
      </c>
      <c r="H656" s="24" t="inlineStr">
        <is>
          <t>total</t>
        </is>
      </c>
      <c r="I656" s="24" t="inlineStr">
        <is>
          <t>over</t>
        </is>
      </c>
      <c r="J656" s="25" t="n">
        <v>2.5</v>
      </c>
      <c r="K656" s="24" t="inlineStr">
        <is>
          <t>polymarket_us</t>
        </is>
      </c>
      <c r="L656" s="26" t="n">
        <v>-178</v>
      </c>
      <c r="M656" s="27" t="n">
        <v>1.561798</v>
      </c>
      <c r="N656" s="28" t="n">
        <v>0.640288</v>
      </c>
      <c r="O656" s="28" t="n">
        <v>0.521428</v>
      </c>
      <c r="P656" s="28" t="n">
        <v>0.04</v>
      </c>
      <c r="Q656" s="28" t="n">
        <v>-0.11886</v>
      </c>
      <c r="R656" s="26" t="n">
        <v>0</v>
      </c>
      <c r="S656" s="29" t="n">
        <v>1</v>
      </c>
      <c r="T656" s="24" t="inlineStr">
        <is>
          <t>soccer-poisson-dc-v1</t>
        </is>
      </c>
      <c r="U656" s="24" t="inlineStr">
        <is>
          <t>settled</t>
        </is>
      </c>
      <c r="V656" s="24" t="inlineStr">
        <is>
          <t>win</t>
        </is>
      </c>
      <c r="W656" s="26" t="n">
        <v>2</v>
      </c>
      <c r="X656" s="26" t="n">
        <v>4</v>
      </c>
      <c r="Y656" s="25" t="n"/>
      <c r="Z656" s="26" t="n">
        <v>-178</v>
      </c>
      <c r="AA656" s="28" t="n">
        <v>0.64</v>
      </c>
      <c r="AB656" s="28" t="n">
        <v>-0.000288</v>
      </c>
      <c r="AC656" s="30" t="n">
        <v>0.5618</v>
      </c>
      <c r="AD656" s="24" t="inlineStr">
        <is>
          <t>2026-09-13T04:33:29.112758Z</t>
        </is>
      </c>
      <c r="AE656" s="31" t="inlineStr">
        <is>
          <t>Poisson-DC rates 1.58 (home) / 1.18 (away) from EWMA attack/defense strengths. Executable ask 0.6400 (tsc-mls-stl-min-2026-09-12-2pt5).</t>
        </is>
      </c>
      <c r="AF656" s="31" t="inlineStr">
        <is>
          <t>Research-only soccer score model; draw-aware, but not yet locked-holdout qualified.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Minnesota United FC</t>
        </is>
      </c>
      <c r="AQ656" s="24" t="inlineStr">
        <is>
          <t>Minnesota United FC</t>
        </is>
      </c>
      <c r="AR656" s="24" t="inlineStr">
        <is>
          <t>Minnesota United FC</t>
        </is>
      </c>
      <c r="AS656" s="24" t="inlineStr">
        <is>
          <t>St. Louis CITY SC</t>
        </is>
      </c>
      <c r="AT656" s="24" t="inlineStr">
        <is>
          <t>St. Louis CITY SC</t>
        </is>
      </c>
      <c r="AU656" s="24" t="inlineStr">
        <is>
          <t>St. Louis CITY SC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3d16277c2cfc0628d7ec79d04feee92735e5c503a3be195cb225c7c52d024308</t>
        </is>
      </c>
      <c r="BB656" s="24" t="inlineStr">
        <is>
          <t>poisson_dixon_coles</t>
        </is>
      </c>
      <c r="BC656" s="24" t="inlineStr">
        <is>
          <t>soccer-poisson-dc-v1</t>
        </is>
      </c>
      <c r="BD656" s="24" t="inlineStr">
        <is>
          <t>3d16277c2cfc0628d7ec79d04feee92735e5c503a3be195cb225c7c52d024308</t>
        </is>
      </c>
      <c r="BE656" s="24" t="inlineStr">
        <is>
          <t>soccer-poisson-dc-v1</t>
        </is>
      </c>
      <c r="BF656" s="24" t="inlineStr">
        <is>
          <t>1</t>
        </is>
      </c>
      <c r="BG656" s="24" t="inlineStr">
        <is>
          <t>3d16277c2cfc0628d7ec79d04feee92735e5c503a3be195cb225c7c52d024308</t>
        </is>
      </c>
      <c r="BH656" s="24" t="inlineStr">
        <is>
          <t>2026-09-12T16:06:13.287775Z</t>
        </is>
      </c>
      <c r="BI656" s="24" t="inlineStr">
        <is>
          <t>["same_event","same_team_same_day","same_league_same_day"]</t>
        </is>
      </c>
      <c r="BJ656" s="25" t="n">
        <v>2.5</v>
      </c>
      <c r="BK656" s="26" t="n">
        <v>-178</v>
      </c>
      <c r="BL656" s="27" t="n">
        <v>1.561798</v>
      </c>
      <c r="BM656" s="28" t="n">
        <v>0.640288</v>
      </c>
      <c r="BN656" s="28" t="n"/>
      <c r="BO656" s="28" t="n"/>
      <c r="BP656" s="25" t="n"/>
      <c r="BQ656" s="27" t="n">
        <v>1.561798</v>
      </c>
      <c r="BR656" s="28" t="n">
        <v>0.64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0.640288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44d4be7a21134dcd</t>
        </is>
      </c>
      <c r="B657" s="24" t="inlineStr">
        <is>
          <t>2026-09-12T22:41:45.616998Z</t>
        </is>
      </c>
      <c r="C657" s="24" t="inlineStr">
        <is>
          <t>2026-09-13T01:30Z</t>
        </is>
      </c>
      <c r="D657" s="24" t="inlineStr">
        <is>
          <t>761809</t>
        </is>
      </c>
      <c r="E657" s="24" t="inlineStr">
        <is>
          <t>SOCCER</t>
        </is>
      </c>
      <c r="F657" s="24" t="inlineStr">
        <is>
          <t>New York City FC</t>
        </is>
      </c>
      <c r="G657" s="24" t="inlineStr">
        <is>
          <t>Real Salt Lake</t>
        </is>
      </c>
      <c r="H657" s="24" t="inlineStr">
        <is>
          <t>total</t>
        </is>
      </c>
      <c r="I657" s="24" t="inlineStr">
        <is>
          <t>over</t>
        </is>
      </c>
      <c r="J657" s="25" t="n">
        <v>2.5</v>
      </c>
      <c r="K657" s="24" t="inlineStr">
        <is>
          <t>polymarket_us</t>
        </is>
      </c>
      <c r="L657" s="26" t="n">
        <v>-156</v>
      </c>
      <c r="M657" s="27" t="n">
        <v>1.641026</v>
      </c>
      <c r="N657" s="28" t="n">
        <v>0.609375</v>
      </c>
      <c r="O657" s="28" t="n">
        <v>0.550659</v>
      </c>
      <c r="P657" s="28" t="n">
        <v>0.04</v>
      </c>
      <c r="Q657" s="28" t="n">
        <v>-0.058716</v>
      </c>
      <c r="R657" s="26" t="n">
        <v>0</v>
      </c>
      <c r="S657" s="29" t="n">
        <v>1</v>
      </c>
      <c r="T657" s="24" t="inlineStr">
        <is>
          <t>soccer-poisson-dc-v1</t>
        </is>
      </c>
      <c r="U657" s="24" t="inlineStr">
        <is>
          <t>settled</t>
        </is>
      </c>
      <c r="V657" s="24" t="inlineStr">
        <is>
          <t>loss</t>
        </is>
      </c>
      <c r="W657" s="26" t="n">
        <v>2</v>
      </c>
      <c r="X657" s="26" t="n">
        <v>0</v>
      </c>
      <c r="Y657" s="25" t="n"/>
      <c r="Z657" s="26" t="n">
        <v>-156</v>
      </c>
      <c r="AA657" s="28" t="n">
        <v>0.61</v>
      </c>
      <c r="AB657" s="28" t="n">
        <v>0.000625</v>
      </c>
      <c r="AC657" s="30" t="n">
        <v>-1</v>
      </c>
      <c r="AD657" s="24" t="inlineStr">
        <is>
          <t>2026-09-13T04:33:29.689896Z</t>
        </is>
      </c>
      <c r="AE657" s="31" t="inlineStr">
        <is>
          <t>Poisson-DC rates 1.67 (home) / 1.21 (away) from EWMA attack/defense strengths. Executable ask 0.6100 (tsc-mls-rsl-nyc-2026-09-12-2pt5).</t>
        </is>
      </c>
      <c r="AF657" s="31" t="inlineStr">
        <is>
          <t>Research-only soccer score model; draw-aware, but not yet locked-holdout qualified.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New York City FC</t>
        </is>
      </c>
      <c r="AQ657" s="24" t="inlineStr">
        <is>
          <t>New York City FC</t>
        </is>
      </c>
      <c r="AR657" s="24" t="inlineStr">
        <is>
          <t>New York City FC</t>
        </is>
      </c>
      <c r="AS657" s="24" t="inlineStr">
        <is>
          <t>Real Salt Lake</t>
        </is>
      </c>
      <c r="AT657" s="24" t="inlineStr">
        <is>
          <t>Real Salt Lake</t>
        </is>
      </c>
      <c r="AU657" s="24" t="inlineStr">
        <is>
          <t>Real Salt Lake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3d16277c2cfc0628d7ec79d04feee92735e5c503a3be195cb225c7c52d024308</t>
        </is>
      </c>
      <c r="BB657" s="24" t="inlineStr">
        <is>
          <t>poisson_dixon_coles</t>
        </is>
      </c>
      <c r="BC657" s="24" t="inlineStr">
        <is>
          <t>soccer-poisson-dc-v1</t>
        </is>
      </c>
      <c r="BD657" s="24" t="inlineStr">
        <is>
          <t>3d16277c2cfc0628d7ec79d04feee92735e5c503a3be195cb225c7c52d024308</t>
        </is>
      </c>
      <c r="BE657" s="24" t="inlineStr">
        <is>
          <t>soccer-poisson-dc-v1</t>
        </is>
      </c>
      <c r="BF657" s="24" t="inlineStr">
        <is>
          <t>1</t>
        </is>
      </c>
      <c r="BG657" s="24" t="inlineStr">
        <is>
          <t>3d16277c2cfc0628d7ec79d04feee92735e5c503a3be195cb225c7c52d024308</t>
        </is>
      </c>
      <c r="BH657" s="24" t="inlineStr">
        <is>
          <t>2026-09-12T16:06:13.424023Z</t>
        </is>
      </c>
      <c r="BI657" s="24" t="inlineStr">
        <is>
          <t>["same_event","same_team_same_day","same_league_same_day"]</t>
        </is>
      </c>
      <c r="BJ657" s="25" t="n">
        <v>2.5</v>
      </c>
      <c r="BK657" s="26" t="n">
        <v>-156</v>
      </c>
      <c r="BL657" s="27" t="n">
        <v>1.641026</v>
      </c>
      <c r="BM657" s="28" t="n">
        <v>0.609375</v>
      </c>
      <c r="BN657" s="28" t="n"/>
      <c r="BO657" s="28" t="n"/>
      <c r="BP657" s="25" t="n"/>
      <c r="BQ657" s="27" t="n">
        <v>1.641026</v>
      </c>
      <c r="BR657" s="28" t="n">
        <v>0.61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0.609375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6d093f03e85b4c9b</t>
        </is>
      </c>
      <c r="B658" s="24" t="inlineStr">
        <is>
          <t>2026-09-12T22:41:45.616998Z</t>
        </is>
      </c>
      <c r="C658" s="24" t="inlineStr">
        <is>
          <t>2026-09-13T02:30Z</t>
        </is>
      </c>
      <c r="D658" s="24" t="inlineStr">
        <is>
          <t>761811</t>
        </is>
      </c>
      <c r="E658" s="24" t="inlineStr">
        <is>
          <t>SOCCER</t>
        </is>
      </c>
      <c r="F658" s="24" t="inlineStr">
        <is>
          <t>Seattle Sounders FC</t>
        </is>
      </c>
      <c r="G658" s="24" t="inlineStr">
        <is>
          <t>LA Galaxy</t>
        </is>
      </c>
      <c r="H658" s="24" t="inlineStr">
        <is>
          <t>total</t>
        </is>
      </c>
      <c r="I658" s="24" t="inlineStr">
        <is>
          <t>over</t>
        </is>
      </c>
      <c r="J658" s="25" t="n">
        <v>2.5</v>
      </c>
      <c r="K658" s="24" t="inlineStr">
        <is>
          <t>polymarket_us</t>
        </is>
      </c>
      <c r="L658" s="26" t="n">
        <v>-186</v>
      </c>
      <c r="M658" s="27" t="n">
        <v>1.537634</v>
      </c>
      <c r="N658" s="28" t="n">
        <v>0.65035</v>
      </c>
      <c r="O658" s="28" t="n">
        <v>0.550041</v>
      </c>
      <c r="P658" s="28" t="n">
        <v>0.04</v>
      </c>
      <c r="Q658" s="28" t="n">
        <v>-0.100309</v>
      </c>
      <c r="R658" s="26" t="n">
        <v>0</v>
      </c>
      <c r="S658" s="29" t="n">
        <v>1</v>
      </c>
      <c r="T658" s="24" t="inlineStr">
        <is>
          <t>soccer-poisson-dc-v1</t>
        </is>
      </c>
      <c r="U658" s="24" t="inlineStr">
        <is>
          <t>settled</t>
        </is>
      </c>
      <c r="V658" s="24" t="inlineStr">
        <is>
          <t>loss</t>
        </is>
      </c>
      <c r="W658" s="26" t="n">
        <v>1</v>
      </c>
      <c r="X658" s="26" t="n">
        <v>1</v>
      </c>
      <c r="Y658" s="25" t="n"/>
      <c r="Z658" s="26" t="n">
        <v>-186</v>
      </c>
      <c r="AA658" s="28" t="n">
        <v>0.65</v>
      </c>
      <c r="AB658" s="28" t="n">
        <v>-0.00035</v>
      </c>
      <c r="AC658" s="30" t="n">
        <v>-1</v>
      </c>
      <c r="AD658" s="24" t="inlineStr">
        <is>
          <t>2026-09-13T10:00:30.072083Z</t>
        </is>
      </c>
      <c r="AE658" s="31" t="inlineStr">
        <is>
          <t>Poisson-DC rates 1.53 (home) / 1.35 (away) from EWMA attack/defense strengths. Executable ask 0.6500 (tsc-mls-lag-sea-2026-09-12-2pt5).</t>
        </is>
      </c>
      <c r="AF658" s="31" t="inlineStr">
        <is>
          <t>Research-only soccer score model; draw-aware, but not yet locked-holdout qualified.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Seattle Sounders FC</t>
        </is>
      </c>
      <c r="AQ658" s="24" t="inlineStr">
        <is>
          <t>Seattle Sounders FC</t>
        </is>
      </c>
      <c r="AR658" s="24" t="inlineStr">
        <is>
          <t>Seattle Sounders FC</t>
        </is>
      </c>
      <c r="AS658" s="24" t="inlineStr">
        <is>
          <t>LA Galaxy</t>
        </is>
      </c>
      <c r="AT658" s="24" t="inlineStr">
        <is>
          <t>LA Galaxy</t>
        </is>
      </c>
      <c r="AU658" s="24" t="inlineStr">
        <is>
          <t>LA Galaxy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3d16277c2cfc0628d7ec79d04feee92735e5c503a3be195cb225c7c52d024308</t>
        </is>
      </c>
      <c r="BB658" s="24" t="inlineStr">
        <is>
          <t>poisson_dixon_coles</t>
        </is>
      </c>
      <c r="BC658" s="24" t="inlineStr">
        <is>
          <t>soccer-poisson-dc-v1</t>
        </is>
      </c>
      <c r="BD658" s="24" t="inlineStr">
        <is>
          <t>3d16277c2cfc0628d7ec79d04feee92735e5c503a3be195cb225c7c52d024308</t>
        </is>
      </c>
      <c r="BE658" s="24" t="inlineStr">
        <is>
          <t>soccer-poisson-dc-v1</t>
        </is>
      </c>
      <c r="BF658" s="24" t="inlineStr">
        <is>
          <t>1</t>
        </is>
      </c>
      <c r="BG658" s="24" t="inlineStr">
        <is>
          <t>3d16277c2cfc0628d7ec79d04feee92735e5c503a3be195cb225c7c52d024308</t>
        </is>
      </c>
      <c r="BH658" s="24" t="inlineStr">
        <is>
          <t>2026-09-12T16:06:13.527387Z</t>
        </is>
      </c>
      <c r="BI658" s="24" t="inlineStr">
        <is>
          <t>["same_event","same_team_same_day","same_league_same_day"]</t>
        </is>
      </c>
      <c r="BJ658" s="25" t="n">
        <v>2.5</v>
      </c>
      <c r="BK658" s="26" t="n">
        <v>-186</v>
      </c>
      <c r="BL658" s="27" t="n">
        <v>1.537634</v>
      </c>
      <c r="BM658" s="28" t="n">
        <v>0.65035</v>
      </c>
      <c r="BN658" s="28" t="n"/>
      <c r="BO658" s="28" t="n"/>
      <c r="BP658" s="25" t="n"/>
      <c r="BQ658" s="27" t="n">
        <v>1.537634</v>
      </c>
      <c r="BR658" s="28" t="n">
        <v>0.65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0.65035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f8fd9bc7fd9b4477</t>
        </is>
      </c>
      <c r="B659" s="24" t="inlineStr">
        <is>
          <t>2026-09-12T22:41:45.616998Z</t>
        </is>
      </c>
      <c r="C659" s="24" t="inlineStr">
        <is>
          <t>2026-09-13T02:30Z</t>
        </is>
      </c>
      <c r="D659" s="24" t="inlineStr">
        <is>
          <t>761810</t>
        </is>
      </c>
      <c r="E659" s="24" t="inlineStr">
        <is>
          <t>SOCCER</t>
        </is>
      </c>
      <c r="F659" s="24" t="inlineStr">
        <is>
          <t>Houston Dynamo FC</t>
        </is>
      </c>
      <c r="G659" s="24" t="inlineStr">
        <is>
          <t>San Jose Earthquakes</t>
        </is>
      </c>
      <c r="H659" s="24" t="inlineStr">
        <is>
          <t>total</t>
        </is>
      </c>
      <c r="I659" s="24" t="inlineStr">
        <is>
          <t>over</t>
        </is>
      </c>
      <c r="J659" s="25" t="n">
        <v>2.5</v>
      </c>
      <c r="K659" s="24" t="inlineStr">
        <is>
          <t>polymarket_us</t>
        </is>
      </c>
      <c r="L659" s="26" t="n">
        <v>-144</v>
      </c>
      <c r="M659" s="27" t="n">
        <v>1.694444</v>
      </c>
      <c r="N659" s="28" t="n">
        <v>0.590164</v>
      </c>
      <c r="O659" s="28" t="n">
        <v>0.662552</v>
      </c>
      <c r="P659" s="28" t="n">
        <v>0.04</v>
      </c>
      <c r="Q659" s="28" t="n">
        <v>0.07238799999999999</v>
      </c>
      <c r="R659" s="26" t="n">
        <v>62</v>
      </c>
      <c r="S659" s="29" t="n">
        <v>1.25</v>
      </c>
      <c r="T659" s="24" t="inlineStr">
        <is>
          <t>soccer-poisson-dc-v1</t>
        </is>
      </c>
      <c r="U659" s="24" t="inlineStr">
        <is>
          <t>settled</t>
        </is>
      </c>
      <c r="V659" s="24" t="inlineStr">
        <is>
          <t>loss</t>
        </is>
      </c>
      <c r="W659" s="26" t="n">
        <v>0</v>
      </c>
      <c r="X659" s="26" t="n">
        <v>1</v>
      </c>
      <c r="Y659" s="25" t="n"/>
      <c r="Z659" s="26" t="n">
        <v>-144</v>
      </c>
      <c r="AA659" s="28" t="n">
        <v>0.59</v>
      </c>
      <c r="AB659" s="28" t="n">
        <v>-0.000164</v>
      </c>
      <c r="AC659" s="30" t="n">
        <v>-1.25</v>
      </c>
      <c r="AD659" s="24" t="inlineStr">
        <is>
          <t>2026-09-13T10:00:30.620659Z</t>
        </is>
      </c>
      <c r="AE659" s="31" t="inlineStr">
        <is>
          <t>Poisson-DC rates 2.31 (home) / 1.10 (away) from EWMA attack/defense strengths. Executable ask 0.5900 (tsc-mls-sje-hou-2026-09-12-2pt5).</t>
        </is>
      </c>
      <c r="AF659" s="31" t="inlineStr">
        <is>
          <t>Research-only soccer score model; draw-aware, but not yet locked-holdout qualified.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Houston Dynamo FC</t>
        </is>
      </c>
      <c r="AQ659" s="24" t="inlineStr">
        <is>
          <t>Houston Dynamo FC</t>
        </is>
      </c>
      <c r="AR659" s="24" t="inlineStr">
        <is>
          <t>Houston Dynamo FC</t>
        </is>
      </c>
      <c r="AS659" s="24" t="inlineStr">
        <is>
          <t>San Jose Earthquakes</t>
        </is>
      </c>
      <c r="AT659" s="24" t="inlineStr">
        <is>
          <t>San Jose Earthquakes</t>
        </is>
      </c>
      <c r="AU659" s="24" t="inlineStr">
        <is>
          <t>San Jose Earthquakes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3d16277c2cfc0628d7ec79d04feee92735e5c503a3be195cb225c7c52d024308</t>
        </is>
      </c>
      <c r="BB659" s="24" t="inlineStr">
        <is>
          <t>poisson_dixon_coles</t>
        </is>
      </c>
      <c r="BC659" s="24" t="inlineStr">
        <is>
          <t>soccer-poisson-dc-v1</t>
        </is>
      </c>
      <c r="BD659" s="24" t="inlineStr">
        <is>
          <t>3d16277c2cfc0628d7ec79d04feee92735e5c503a3be195cb225c7c52d024308</t>
        </is>
      </c>
      <c r="BE659" s="24" t="inlineStr">
        <is>
          <t>soccer-poisson-dc-v1</t>
        </is>
      </c>
      <c r="BF659" s="24" t="inlineStr">
        <is>
          <t>1</t>
        </is>
      </c>
      <c r="BG659" s="24" t="inlineStr">
        <is>
          <t>3d16277c2cfc0628d7ec79d04feee92735e5c503a3be195cb225c7c52d024308</t>
        </is>
      </c>
      <c r="BH659" s="24" t="inlineStr">
        <is>
          <t>2026-09-12T16:06:13.716051Z</t>
        </is>
      </c>
      <c r="BI659" s="24" t="inlineStr">
        <is>
          <t>["same_event","same_team_same_day","same_league_same_day"]</t>
        </is>
      </c>
      <c r="BJ659" s="25" t="n">
        <v>2.5</v>
      </c>
      <c r="BK659" s="26" t="n">
        <v>-144</v>
      </c>
      <c r="BL659" s="27" t="n">
        <v>1.694444</v>
      </c>
      <c r="BM659" s="28" t="n">
        <v>0.590164</v>
      </c>
      <c r="BN659" s="28" t="n"/>
      <c r="BO659" s="28" t="n"/>
      <c r="BP659" s="25" t="n"/>
      <c r="BQ659" s="27" t="n">
        <v>1.694444</v>
      </c>
      <c r="BR659" s="28" t="n">
        <v>0.59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0.590164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31315aadd9e64cfd</t>
        </is>
      </c>
      <c r="B660" s="24" t="inlineStr">
        <is>
          <t>2026-09-12T22:41:45.616998Z</t>
        </is>
      </c>
      <c r="C660" s="24" t="inlineStr">
        <is>
          <t>2026-09-12T23:30Z</t>
        </is>
      </c>
      <c r="D660" s="24" t="inlineStr">
        <is>
          <t>761803</t>
        </is>
      </c>
      <c r="E660" s="24" t="inlineStr">
        <is>
          <t>SOCCER</t>
        </is>
      </c>
      <c r="F660" s="24" t="inlineStr">
        <is>
          <t>Atlanta United FC</t>
        </is>
      </c>
      <c r="G660" s="24" t="inlineStr">
        <is>
          <t>D.C. United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127</v>
      </c>
      <c r="M660" s="27" t="n">
        <v>2.27</v>
      </c>
      <c r="N660" s="28" t="n">
        <v>0.440529</v>
      </c>
      <c r="O660" s="28" t="n">
        <v>0.507068</v>
      </c>
      <c r="P660" s="28" t="n">
        <v>0.04</v>
      </c>
      <c r="Q660" s="28" t="n">
        <v>0.066539</v>
      </c>
      <c r="R660" s="26" t="n">
        <v>59</v>
      </c>
      <c r="S660" s="29" t="n">
        <v>1.25</v>
      </c>
      <c r="T660" s="24" t="inlineStr">
        <is>
          <t>soccer-poisson-dc-v1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0</v>
      </c>
      <c r="Y660" s="25" t="n"/>
      <c r="Z660" s="26" t="n">
        <v>127</v>
      </c>
      <c r="AA660" s="28" t="n">
        <v>0.44</v>
      </c>
      <c r="AB660" s="28" t="n">
        <v>-0.000529</v>
      </c>
      <c r="AC660" s="30" t="n">
        <v>-1.25</v>
      </c>
      <c r="AD660" s="24" t="inlineStr">
        <is>
          <t>2026-09-13T04:33:30.279135Z</t>
        </is>
      </c>
      <c r="AE660" s="31" t="inlineStr">
        <is>
          <t>Poisson-DC rates 1.68 (home) / 1.06 (away) from EWMA attack/defense strengths. Executable ask 0.4400 (atc-mls-dcu-atl-2026-09-12-dcu).</t>
        </is>
      </c>
      <c r="AF660" s="31" t="inlineStr">
        <is>
          <t>Research-only soccer score model; draw-aware, but not yet locked-holdout qualified.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Atlanta United FC</t>
        </is>
      </c>
      <c r="AQ660" s="24" t="inlineStr">
        <is>
          <t>Atlanta United FC</t>
        </is>
      </c>
      <c r="AR660" s="24" t="inlineStr">
        <is>
          <t>Atlanta United FC</t>
        </is>
      </c>
      <c r="AS660" s="24" t="inlineStr">
        <is>
          <t>D.C. United</t>
        </is>
      </c>
      <c r="AT660" s="24" t="inlineStr">
        <is>
          <t>D.C. United</t>
        </is>
      </c>
      <c r="AU660" s="24" t="inlineStr">
        <is>
          <t>D.C. United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3d16277c2cfc0628d7ec79d04feee92735e5c503a3be195cb225c7c52d024308</t>
        </is>
      </c>
      <c r="BB660" s="24" t="inlineStr">
        <is>
          <t>poisson_dixon_coles</t>
        </is>
      </c>
      <c r="BC660" s="24" t="inlineStr">
        <is>
          <t>soccer-poisson-dc-v1</t>
        </is>
      </c>
      <c r="BD660" s="24" t="inlineStr">
        <is>
          <t>3d16277c2cfc0628d7ec79d04feee92735e5c503a3be195cb225c7c52d024308</t>
        </is>
      </c>
      <c r="BE660" s="24" t="inlineStr">
        <is>
          <t>soccer-poisson-dc-v1</t>
        </is>
      </c>
      <c r="BF660" s="24" t="inlineStr">
        <is>
          <t>1</t>
        </is>
      </c>
      <c r="BG660" s="24" t="inlineStr">
        <is>
          <t>3d16277c2cfc0628d7ec79d04feee92735e5c503a3be195cb225c7c52d024308</t>
        </is>
      </c>
      <c r="BH660" s="24" t="inlineStr">
        <is>
          <t>2026-09-12T16:06:12.014269Z</t>
        </is>
      </c>
      <c r="BI660" s="24" t="inlineStr">
        <is>
          <t>["same_event","same_team_same_day","same_league_same_day"]</t>
        </is>
      </c>
      <c r="BJ660" s="25" t="n"/>
      <c r="BK660" s="26" t="n">
        <v>127</v>
      </c>
      <c r="BL660" s="27" t="n">
        <v>2.27</v>
      </c>
      <c r="BM660" s="28" t="n">
        <v>0.440529</v>
      </c>
      <c r="BN660" s="28" t="n"/>
      <c r="BO660" s="28" t="n"/>
      <c r="BP660" s="25" t="n"/>
      <c r="BQ660" s="27" t="n">
        <v>2.27</v>
      </c>
      <c r="BR660" s="28" t="n">
        <v>0.44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0.440529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"3d16277c2cfc0628d7ec79d04feee92735e5c503a3be195cb225c7c52d024308", "away_team": "Atlanta United FC", "event_id": "761803", "event_start_utc": "2026-09-12T23:30Z", "features": {"away_goal_rate": 1.0599, "history_games": 9181, "home_goal_rate": 1.6795, "league_goals_per_team": 1.5536, "min_team_games": 83.0}, "historical_source_observation_times_verified": false, "home_team": "D.C. United", "inference_inputs": {"away_rate": 1.0599312973609378, "code_sha256": {"models/soccer.py": "3d16277c2cfc0628d7ec79d04feee92735e5c503a3be195cb225c7c52d024308"}, "home_rate": 1.679490148885852, "sport": "SOCCER"}, "market_type": "moneyline", "model_version": "soccer-poisson-dc-v1", "observed_at_utc": "2026-09-12T22:41:44.815507+00:00", "probabilities": {"away": 0.227792, "draw": 0.26514, "home": 0.507068}, "replay_scope": "Exact full-precision serving state and rounding; upstream historical observation times are not certified.", "schema": "coded-moneyline-replay-v1", "snapshot_hash": "cfff2131891b5b13c4a796cd8753e97a76104e443be2d14412c09b962dc3be4c", "sport": "SOCCER"}</t>
        </is>
      </c>
    </row>
    <row r="661" ht="36" customHeight="1">
      <c r="A661" s="24" t="inlineStr">
        <is>
          <t>66266f2622084c86</t>
        </is>
      </c>
      <c r="B661" s="24" t="inlineStr">
        <is>
          <t>2026-09-12T22:41:45.616998Z</t>
        </is>
      </c>
      <c r="C661" s="24" t="inlineStr">
        <is>
          <t>2026-09-12T23:30Z</t>
        </is>
      </c>
      <c r="D661" s="24" t="inlineStr">
        <is>
          <t>761802</t>
        </is>
      </c>
      <c r="E661" s="24" t="inlineStr">
        <is>
          <t>SOCCER</t>
        </is>
      </c>
      <c r="F661" s="24" t="inlineStr">
        <is>
          <t>Charlotte FC</t>
        </is>
      </c>
      <c r="G661" s="24" t="inlineStr">
        <is>
          <t>FC Cincinnati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113</v>
      </c>
      <c r="M661" s="27" t="n">
        <v>2.13</v>
      </c>
      <c r="N661" s="28" t="n">
        <v>0.469484</v>
      </c>
      <c r="O661" s="28" t="n">
        <v>0.495896</v>
      </c>
      <c r="P661" s="28" t="n">
        <v>0.04</v>
      </c>
      <c r="Q661" s="28" t="n">
        <v>0.026412</v>
      </c>
      <c r="R661" s="26" t="n">
        <v>39</v>
      </c>
      <c r="S661" s="29" t="n">
        <v>1</v>
      </c>
      <c r="T661" s="24" t="inlineStr">
        <is>
          <t>soccer-poisson-dc-v1</t>
        </is>
      </c>
      <c r="U661" s="24" t="inlineStr">
        <is>
          <t>settled</t>
        </is>
      </c>
      <c r="V661" s="24" t="inlineStr">
        <is>
          <t>loss</t>
        </is>
      </c>
      <c r="W661" s="26" t="n">
        <v>3</v>
      </c>
      <c r="X661" s="26" t="n">
        <v>3</v>
      </c>
      <c r="Y661" s="25" t="n"/>
      <c r="Z661" s="26" t="n">
        <v>113</v>
      </c>
      <c r="AA661" s="28" t="n">
        <v>0.47</v>
      </c>
      <c r="AB661" s="28" t="n">
        <v>0.000516</v>
      </c>
      <c r="AC661" s="30" t="n">
        <v>-1</v>
      </c>
      <c r="AD661" s="24" t="inlineStr">
        <is>
          <t>2026-09-13T04:33:30.852573Z</t>
        </is>
      </c>
      <c r="AE661" s="31" t="inlineStr">
        <is>
          <t>Poisson-DC rates 2.28 (home) / 1.74 (away) from EWMA attack/defense strengths. Executable ask 0.4700 (atc-mls-fcc-clt-2026-09-12-fcc).</t>
        </is>
      </c>
      <c r="AF661" s="31" t="inlineStr">
        <is>
          <t>Research-only soccer score model; draw-aware, but not yet locked-holdout qualified.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Charlotte FC</t>
        </is>
      </c>
      <c r="AQ661" s="24" t="inlineStr">
        <is>
          <t>Charlotte FC</t>
        </is>
      </c>
      <c r="AR661" s="24" t="inlineStr">
        <is>
          <t>Charlotte FC</t>
        </is>
      </c>
      <c r="AS661" s="24" t="inlineStr">
        <is>
          <t>FC Cincinnati</t>
        </is>
      </c>
      <c r="AT661" s="24" t="inlineStr">
        <is>
          <t>FC Cincinnati</t>
        </is>
      </c>
      <c r="AU661" s="24" t="inlineStr">
        <is>
          <t>FC Cincinnati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3d16277c2cfc0628d7ec79d04feee92735e5c503a3be195cb225c7c52d024308</t>
        </is>
      </c>
      <c r="BB661" s="24" t="inlineStr">
        <is>
          <t>poisson_dixon_coles</t>
        </is>
      </c>
      <c r="BC661" s="24" t="inlineStr">
        <is>
          <t>soccer-poisson-dc-v1</t>
        </is>
      </c>
      <c r="BD661" s="24" t="inlineStr">
        <is>
          <t>3d16277c2cfc0628d7ec79d04feee92735e5c503a3be195cb225c7c52d024308</t>
        </is>
      </c>
      <c r="BE661" s="24" t="inlineStr">
        <is>
          <t>soccer-poisson-dc-v1</t>
        </is>
      </c>
      <c r="BF661" s="24" t="inlineStr">
        <is>
          <t>1</t>
        </is>
      </c>
      <c r="BG661" s="24" t="inlineStr">
        <is>
          <t>3d16277c2cfc0628d7ec79d04feee92735e5c503a3be195cb225c7c52d024308</t>
        </is>
      </c>
      <c r="BH661" s="24" t="inlineStr">
        <is>
          <t>2026-09-12T16:06:12.150595Z</t>
        </is>
      </c>
      <c r="BI661" s="24" t="inlineStr">
        <is>
          <t>["same_event","same_team_same_day","same_league_same_day"]</t>
        </is>
      </c>
      <c r="BJ661" s="25" t="n"/>
      <c r="BK661" s="26" t="n">
        <v>113</v>
      </c>
      <c r="BL661" s="27" t="n">
        <v>2.13</v>
      </c>
      <c r="BM661" s="28" t="n">
        <v>0.469484</v>
      </c>
      <c r="BN661" s="28" t="n"/>
      <c r="BO661" s="28" t="n"/>
      <c r="BP661" s="25" t="n"/>
      <c r="BQ661" s="27" t="n">
        <v>2.13</v>
      </c>
      <c r="BR661" s="28" t="n">
        <v>0.47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0.469484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"3d16277c2cfc0628d7ec79d04feee92735e5c503a3be195cb225c7c52d024308", "away_team": "Charlotte FC", "event_id": "761802", "event_start_utc": "2026-09-12T23:30Z", "features": {"away_goal_rate": 1.7414, "history_games": 9181, "home_goal_rate": 2.2819, "league_goals_per_team": 1.5536, "min_team_games": 89.0}, "historical_source_observation_times_verified": false, "home_team": "FC Cincinnati", "inference_inputs": {"away_rate": 1.7414312861755674, "code_sha256": {"models/soccer.py": "3d16277c2cfc0628d7ec79d04feee92735e5c503a3be195cb225c7c52d024308"}, "home_rate": 2.281860695577067, "sport": "SOCCER"}, "market_type": "moneyline", "model_version": "soccer-poisson-dc-v1", "observed_at_utc": "2026-09-12T22:41:44.815507+00:00", "probabilities": {"away": 0.289926, "draw": 0.214177, "home": 0.495896}, "replay_scope": "Exact full-precision serving state and rounding; upstream historical observation times are not certified.", "schema": "coded-moneyline-replay-v1", "snapshot_hash": "30826ac83237a4681f6591abd67930a7cf0e3fa89634dae0f7afe795ccdc1ca7", "sport": "SOCCER"}</t>
        </is>
      </c>
    </row>
    <row r="662" ht="36" customHeight="1">
      <c r="A662" s="24" t="inlineStr">
        <is>
          <t>5091e2cea82742a1</t>
        </is>
      </c>
      <c r="B662" s="24" t="inlineStr">
        <is>
          <t>2026-09-12T22:41:45.616998Z</t>
        </is>
      </c>
      <c r="C662" s="24" t="inlineStr">
        <is>
          <t>2026-09-12T23:30Z</t>
        </is>
      </c>
      <c r="D662" s="24" t="inlineStr">
        <is>
          <t>761800</t>
        </is>
      </c>
      <c r="E662" s="24" t="inlineStr">
        <is>
          <t>SOCCER</t>
        </is>
      </c>
      <c r="F662" s="24" t="inlineStr">
        <is>
          <t>Nashville SC</t>
        </is>
      </c>
      <c r="G662" s="24" t="inlineStr">
        <is>
          <t>Inter Miami CF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113</v>
      </c>
      <c r="M662" s="27" t="n">
        <v>2.13</v>
      </c>
      <c r="N662" s="28" t="n">
        <v>0.469484</v>
      </c>
      <c r="O662" s="28" t="n">
        <v>0.508525</v>
      </c>
      <c r="P662" s="28" t="n">
        <v>0.04</v>
      </c>
      <c r="Q662" s="28" t="n">
        <v>0.039041</v>
      </c>
      <c r="R662" s="26" t="n">
        <v>46</v>
      </c>
      <c r="S662" s="29" t="n">
        <v>1</v>
      </c>
      <c r="T662" s="24" t="inlineStr">
        <is>
          <t>soccer-poisson-dc-v1</t>
        </is>
      </c>
      <c r="U662" s="24" t="inlineStr">
        <is>
          <t>settled</t>
        </is>
      </c>
      <c r="V662" s="24" t="inlineStr">
        <is>
          <t>loss</t>
        </is>
      </c>
      <c r="W662" s="26" t="n">
        <v>2</v>
      </c>
      <c r="X662" s="26" t="n">
        <v>2</v>
      </c>
      <c r="Y662" s="25" t="n"/>
      <c r="Z662" s="26" t="n">
        <v>113</v>
      </c>
      <c r="AA662" s="28" t="n">
        <v>0.47</v>
      </c>
      <c r="AB662" s="28" t="n">
        <v>0.000516</v>
      </c>
      <c r="AC662" s="30" t="n">
        <v>-1</v>
      </c>
      <c r="AD662" s="24" t="inlineStr">
        <is>
          <t>2026-09-13T04:33:31.440061Z</t>
        </is>
      </c>
      <c r="AE662" s="31" t="inlineStr">
        <is>
          <t>Poisson-DC rates 2.40 (home) / 1.80 (away) from EWMA attack/defense strengths. Executable ask 0.4700 (atc-mls-mia-nas-2026-09-12-mia).</t>
        </is>
      </c>
      <c r="AF662" s="31" t="inlineStr">
        <is>
          <t>Research-only soccer score model; draw-aware, but not yet locked-holdout qualified.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Nashville SC</t>
        </is>
      </c>
      <c r="AQ662" s="24" t="inlineStr">
        <is>
          <t>Nashville SC</t>
        </is>
      </c>
      <c r="AR662" s="24" t="inlineStr">
        <is>
          <t>Nashville SC</t>
        </is>
      </c>
      <c r="AS662" s="24" t="inlineStr">
        <is>
          <t>Inter Miami CF</t>
        </is>
      </c>
      <c r="AT662" s="24" t="inlineStr">
        <is>
          <t>Inter Miami CF</t>
        </is>
      </c>
      <c r="AU662" s="24" t="inlineStr">
        <is>
          <t>Inter Miami CF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3d16277c2cfc0628d7ec79d04feee92735e5c503a3be195cb225c7c52d024308</t>
        </is>
      </c>
      <c r="BB662" s="24" t="inlineStr">
        <is>
          <t>poisson_dixon_coles</t>
        </is>
      </c>
      <c r="BC662" s="24" t="inlineStr">
        <is>
          <t>soccer-poisson-dc-v1</t>
        </is>
      </c>
      <c r="BD662" s="24" t="inlineStr">
        <is>
          <t>3d16277c2cfc0628d7ec79d04feee92735e5c503a3be195cb225c7c52d024308</t>
        </is>
      </c>
      <c r="BE662" s="24" t="inlineStr">
        <is>
          <t>soccer-poisson-dc-v1</t>
        </is>
      </c>
      <c r="BF662" s="24" t="inlineStr">
        <is>
          <t>1</t>
        </is>
      </c>
      <c r="BG662" s="24" t="inlineStr">
        <is>
          <t>3d16277c2cfc0628d7ec79d04feee92735e5c503a3be195cb225c7c52d024308</t>
        </is>
      </c>
      <c r="BH662" s="24" t="inlineStr">
        <is>
          <t>2026-09-12T16:06:12.237664Z</t>
        </is>
      </c>
      <c r="BI662" s="24" t="inlineStr">
        <is>
          <t>["same_event","same_team_same_day","same_league_same_day"]</t>
        </is>
      </c>
      <c r="BJ662" s="25" t="n"/>
      <c r="BK662" s="26" t="n">
        <v>113</v>
      </c>
      <c r="BL662" s="27" t="n">
        <v>2.13</v>
      </c>
      <c r="BM662" s="28" t="n">
        <v>0.469484</v>
      </c>
      <c r="BN662" s="28" t="n"/>
      <c r="BO662" s="28" t="n"/>
      <c r="BP662" s="25" t="n"/>
      <c r="BQ662" s="27" t="n">
        <v>2.13</v>
      </c>
      <c r="BR662" s="28" t="n">
        <v>0.47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0.469484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"3d16277c2cfc0628d7ec79d04feee92735e5c503a3be195cb225c7c52d024308", "away_team": "Nashville SC", "event_id": "761800", "event_start_utc": "2026-09-12T23:30Z", "features": {"away_goal_rate": 1.8018, "history_games": 9181, "home_goal_rate": 2.4029, "league_goals_per_team": 1.5536, "min_team_games": 86.0}, "historical_source_observation_times_verified": false, "home_team": "Inter Miami CF", "inference_inputs": {"away_rate": 1.8018161920095082, "code_sha256": {"models/soccer.py": "3d16277c2cfc0628d7ec79d04feee92735e5c503a3be195cb225c7c52d024308"}, "home_rate": 2.4028671787250384, "sport": "SOCCER"}, "market_type": "moneyline", "model_version": "soccer-poisson-dc-v1", "observed_at_utc": "2026-09-12T22:41:44.815507+00:00", "probabilities": {"away": 0.284516, "draw": 0.20696, "home": 0.508525}, "replay_scope": "Exact full-precision serving state and rounding; upstream historical observation times are not certified.", "schema": "coded-moneyline-replay-v1", "snapshot_hash": "7fdb55cab25b526f67b9898afbfb2089bce8ff42d7d74578c72c56e3ab80ea41", "sport": "SOCCER"}</t>
        </is>
      </c>
    </row>
    <row r="663" ht="36" customHeight="1">
      <c r="A663" s="24" t="inlineStr">
        <is>
          <t>abdd0d3b2a89458f</t>
        </is>
      </c>
      <c r="B663" s="24" t="inlineStr">
        <is>
          <t>2026-09-12T22:41:45.616998Z</t>
        </is>
      </c>
      <c r="C663" s="24" t="inlineStr">
        <is>
          <t>2026-09-12T23:30Z</t>
        </is>
      </c>
      <c r="D663" s="24" t="inlineStr">
        <is>
          <t>761801</t>
        </is>
      </c>
      <c r="E663" s="24" t="inlineStr">
        <is>
          <t>SOCCER</t>
        </is>
      </c>
      <c r="F663" s="24" t="inlineStr">
        <is>
          <t>Toronto FC</t>
        </is>
      </c>
      <c r="G663" s="24" t="inlineStr">
        <is>
          <t>Orlando City SC</t>
        </is>
      </c>
      <c r="H663" s="24" t="inlineStr">
        <is>
          <t>moneyline</t>
        </is>
      </c>
      <c r="I663" s="24" t="inlineStr">
        <is>
          <t>home</t>
        </is>
      </c>
      <c r="J663" s="25" t="n"/>
      <c r="K663" s="24" t="inlineStr">
        <is>
          <t>polymarket_us</t>
        </is>
      </c>
      <c r="L663" s="26" t="n">
        <v>-113</v>
      </c>
      <c r="M663" s="27" t="n">
        <v>1.884956</v>
      </c>
      <c r="N663" s="28" t="n">
        <v>0.530516</v>
      </c>
      <c r="O663" s="28" t="n">
        <v>0.451619</v>
      </c>
      <c r="P663" s="28" t="n">
        <v>0.04</v>
      </c>
      <c r="Q663" s="28" t="n">
        <v>-0.07889699999999999</v>
      </c>
      <c r="R663" s="26" t="n">
        <v>0</v>
      </c>
      <c r="S663" s="29" t="n">
        <v>1</v>
      </c>
      <c r="T663" s="24" t="inlineStr">
        <is>
          <t>soccer-poisson-dc-v1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3</v>
      </c>
      <c r="Y663" s="25" t="n"/>
      <c r="Z663" s="26" t="n">
        <v>-113</v>
      </c>
      <c r="AA663" s="28" t="n">
        <v>0.53</v>
      </c>
      <c r="AB663" s="28" t="n">
        <v>-0.000516</v>
      </c>
      <c r="AC663" s="30" t="n">
        <v>0.885</v>
      </c>
      <c r="AD663" s="24" t="inlineStr">
        <is>
          <t>2026-09-13T04:33:32.026162Z</t>
        </is>
      </c>
      <c r="AE663" s="31" t="inlineStr">
        <is>
          <t>Poisson-DC rates 2.14 (home) / 1.82 (away) from EWMA attack/defense strengths. Executable ask 0.5300 (atc-mls-orl-tor-2026-09-12-orl).</t>
        </is>
      </c>
      <c r="AF663" s="31" t="inlineStr">
        <is>
          <t>Research-only soccer score model; draw-aware, but not yet locked-holdout qualified.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Toronto FC</t>
        </is>
      </c>
      <c r="AQ663" s="24" t="inlineStr">
        <is>
          <t>Toronto FC</t>
        </is>
      </c>
      <c r="AR663" s="24" t="inlineStr">
        <is>
          <t>Toronto FC</t>
        </is>
      </c>
      <c r="AS663" s="24" t="inlineStr">
        <is>
          <t>Orlando City SC</t>
        </is>
      </c>
      <c r="AT663" s="24" t="inlineStr">
        <is>
          <t>Orlando City SC</t>
        </is>
      </c>
      <c r="AU663" s="24" t="inlineStr">
        <is>
          <t>Orlando City SC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3d16277c2cfc0628d7ec79d04feee92735e5c503a3be195cb225c7c52d024308</t>
        </is>
      </c>
      <c r="BB663" s="24" t="inlineStr">
        <is>
          <t>poisson_dixon_coles</t>
        </is>
      </c>
      <c r="BC663" s="24" t="inlineStr">
        <is>
          <t>soccer-poisson-dc-v1</t>
        </is>
      </c>
      <c r="BD663" s="24" t="inlineStr">
        <is>
          <t>3d16277c2cfc0628d7ec79d04feee92735e5c503a3be195cb225c7c52d024308</t>
        </is>
      </c>
      <c r="BE663" s="24" t="inlineStr">
        <is>
          <t>soccer-poisson-dc-v1</t>
        </is>
      </c>
      <c r="BF663" s="24" t="inlineStr">
        <is>
          <t>1</t>
        </is>
      </c>
      <c r="BG663" s="24" t="inlineStr">
        <is>
          <t>3d16277c2cfc0628d7ec79d04feee92735e5c503a3be195cb225c7c52d024308</t>
        </is>
      </c>
      <c r="BH663" s="24" t="inlineStr">
        <is>
          <t>2026-09-12T16:06:12.333396Z</t>
        </is>
      </c>
      <c r="BI663" s="24" t="inlineStr">
        <is>
          <t>["same_event","same_team_same_day","same_league_same_day"]</t>
        </is>
      </c>
      <c r="BJ663" s="25" t="n"/>
      <c r="BK663" s="26" t="n">
        <v>-113</v>
      </c>
      <c r="BL663" s="27" t="n">
        <v>1.884956</v>
      </c>
      <c r="BM663" s="28" t="n">
        <v>0.530516</v>
      </c>
      <c r="BN663" s="28" t="n"/>
      <c r="BO663" s="28" t="n"/>
      <c r="BP663" s="25" t="n"/>
      <c r="BQ663" s="27" t="n">
        <v>1.884956</v>
      </c>
      <c r="BR663" s="28" t="n">
        <v>0.53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0.530516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"3d16277c2cfc0628d7ec79d04feee92735e5c503a3be195cb225c7c52d024308", "away_team": "Toronto FC", "event_id": "761801", "event_start_utc": "2026-09-12T23:30Z", "features": {"away_goal_rate": 1.8167, "history_games": 9181, "home_goal_rate": 2.1378, "league_goals_per_team": 1.5536, "min_team_games": 83.0}, "historical_source_observation_times_verified": false, "home_team": "Orlando City SC", "inference_inputs": {"away_rate": 1.816683150807469, "code_sha256": {"models/soccer.py": "3d16277c2cfc0628d7ec79d04feee92735e5c503a3be195cb225c7c52d024308"}, "home_rate": 2.1377877918324777, "sport": "SOCCER"}, "market_type": "moneyline", "model_version": "soccer-poisson-dc-v1", "observed_at_utc": "2026-09-12T22:41:44.815507+00:00", "probabilities": {"away": 0.327517, "draw": 0.220864, "home": 0.451619}, "replay_scope": "Exact full-precision serving state and rounding; upstream historical observation times are not certified.", "schema": "coded-moneyline-replay-v1", "snapshot_hash": "a3a197f928dfd730a8b6d6ae4847538165fc7691cd02ffaf4004dd6074204720", "sport": "SOCCER"}</t>
        </is>
      </c>
    </row>
    <row r="664" ht="36" customHeight="1">
      <c r="A664" s="24" t="inlineStr">
        <is>
          <t>cba495621f7a4809</t>
        </is>
      </c>
      <c r="B664" s="24" t="inlineStr">
        <is>
          <t>2026-09-12T22:41:45.616998Z</t>
        </is>
      </c>
      <c r="C664" s="24" t="inlineStr">
        <is>
          <t>2026-09-13T00:30Z</t>
        </is>
      </c>
      <c r="D664" s="24" t="inlineStr">
        <is>
          <t>761805</t>
        </is>
      </c>
      <c r="E664" s="24" t="inlineStr">
        <is>
          <t>SOCCER</t>
        </is>
      </c>
      <c r="F664" s="24" t="inlineStr">
        <is>
          <t>Portland Timbers</t>
        </is>
      </c>
      <c r="G664" s="24" t="inlineStr">
        <is>
          <t>FC Dallas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-117</v>
      </c>
      <c r="M664" s="27" t="n">
        <v>1.854701</v>
      </c>
      <c r="N664" s="28" t="n">
        <v>0.539171</v>
      </c>
      <c r="O664" s="28" t="n">
        <v>0.593112</v>
      </c>
      <c r="P664" s="28" t="n">
        <v>0.04</v>
      </c>
      <c r="Q664" s="28" t="n">
        <v>0.053941</v>
      </c>
      <c r="R664" s="26" t="n">
        <v>53</v>
      </c>
      <c r="S664" s="29" t="n">
        <v>1</v>
      </c>
      <c r="T664" s="24" t="inlineStr">
        <is>
          <t>soccer-poisson-dc-v1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2</v>
      </c>
      <c r="Y664" s="25" t="n"/>
      <c r="Z664" s="26" t="n">
        <v>-117</v>
      </c>
      <c r="AA664" s="28" t="n">
        <v>0.54</v>
      </c>
      <c r="AB664" s="28" t="n">
        <v>0.000829</v>
      </c>
      <c r="AC664" s="30" t="n">
        <v>0.8547</v>
      </c>
      <c r="AD664" s="24" t="inlineStr">
        <is>
          <t>2026-09-13T04:33:32.613147Z</t>
        </is>
      </c>
      <c r="AE664" s="31" t="inlineStr">
        <is>
          <t>Poisson-DC rates 2.41 (home) / 1.39 (away) from EWMA attack/defense strengths. Executable ask 0.5400 (atc-mls-dal-por-2026-09-12-dal).</t>
        </is>
      </c>
      <c r="AF664" s="31" t="inlineStr">
        <is>
          <t>Research-only soccer score model; draw-aware, but not yet locked-holdout qualified.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Portland Timbers</t>
        </is>
      </c>
      <c r="AQ664" s="24" t="inlineStr">
        <is>
          <t>Portland Timbers</t>
        </is>
      </c>
      <c r="AR664" s="24" t="inlineStr">
        <is>
          <t>Portland Timbers</t>
        </is>
      </c>
      <c r="AS664" s="24" t="inlineStr">
        <is>
          <t>FC Dallas</t>
        </is>
      </c>
      <c r="AT664" s="24" t="inlineStr">
        <is>
          <t>FC Dallas</t>
        </is>
      </c>
      <c r="AU664" s="24" t="inlineStr">
        <is>
          <t>FC Dallas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3d16277c2cfc0628d7ec79d04feee92735e5c503a3be195cb225c7c52d024308</t>
        </is>
      </c>
      <c r="BB664" s="24" t="inlineStr">
        <is>
          <t>poisson_dixon_coles</t>
        </is>
      </c>
      <c r="BC664" s="24" t="inlineStr">
        <is>
          <t>soccer-poisson-dc-v1</t>
        </is>
      </c>
      <c r="BD664" s="24" t="inlineStr">
        <is>
          <t>3d16277c2cfc0628d7ec79d04feee92735e5c503a3be195cb225c7c52d024308</t>
        </is>
      </c>
      <c r="BE664" s="24" t="inlineStr">
        <is>
          <t>soccer-poisson-dc-v1</t>
        </is>
      </c>
      <c r="BF664" s="24" t="inlineStr">
        <is>
          <t>1</t>
        </is>
      </c>
      <c r="BG664" s="24" t="inlineStr">
        <is>
          <t>3d16277c2cfc0628d7ec79d04feee92735e5c503a3be195cb225c7c52d024308</t>
        </is>
      </c>
      <c r="BH664" s="24" t="inlineStr">
        <is>
          <t>2026-09-12T16:06:12.454975Z</t>
        </is>
      </c>
      <c r="BI664" s="24" t="inlineStr">
        <is>
          <t>["same_event","same_team_same_day","same_league_same_day"]</t>
        </is>
      </c>
      <c r="BJ664" s="25" t="n"/>
      <c r="BK664" s="26" t="n">
        <v>-117</v>
      </c>
      <c r="BL664" s="27" t="n">
        <v>1.854701</v>
      </c>
      <c r="BM664" s="28" t="n">
        <v>0.539171</v>
      </c>
      <c r="BN664" s="28" t="n"/>
      <c r="BO664" s="28" t="n"/>
      <c r="BP664" s="25" t="n"/>
      <c r="BQ664" s="27" t="n">
        <v>1.854701</v>
      </c>
      <c r="BR664" s="28" t="n">
        <v>0.54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0.539171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"3d16277c2cfc0628d7ec79d04feee92735e5c503a3be195cb225c7c52d024308", "away_team": "Portland Timbers", "event_id": "761805", "event_start_utc": "2026-09-13T00:30Z", "features": {"away_goal_rate": 1.3897, "history_games": 9181, "home_goal_rate": 2.4122, "league_goals_per_team": 1.5536, "min_team_games": 85.0}, "historical_source_observation_times_verified": false, "home_team": "FC Dallas", "inference_inputs": {"away_rate": 1.3897322511673298, "code_sha256": {"models/soccer.py": "3d16277c2cfc0628d7ec79d04feee92735e5c503a3be195cb225c7c52d024308"}, "home_rate": 2.4122351299445546, "sport": "SOCCER"}, "market_type": "moneyline", "model_version": "soccer-poisson-dc-v1", "observed_at_utc": "2026-09-12T22:41:44.815507+00:00", "probabilities": {"away": 0.203023, "draw": 0.203865, "home": 0.593112}, "replay_scope": "Exact full-precision serving state and rounding; upstream historical observation times are not certified.", "schema": "coded-moneyline-replay-v1", "snapshot_hash": "b4c7264e6a24fb184c630214733a4a86e86b4834eda1f1897406639a5e316079", "sport": "SOCCER"}</t>
        </is>
      </c>
    </row>
    <row r="665" ht="36" customHeight="1">
      <c r="A665" s="24" t="inlineStr">
        <is>
          <t>90adfdc5a9a84f68</t>
        </is>
      </c>
      <c r="B665" s="24" t="inlineStr">
        <is>
          <t>2026-09-12T22:41:45.616998Z</t>
        </is>
      </c>
      <c r="C665" s="24" t="inlineStr">
        <is>
          <t>2026-09-13T00:30Z</t>
        </is>
      </c>
      <c r="D665" s="24" t="inlineStr">
        <is>
          <t>761807</t>
        </is>
      </c>
      <c r="E665" s="24" t="inlineStr">
        <is>
          <t>SOCCER</t>
        </is>
      </c>
      <c r="F665" s="24" t="inlineStr">
        <is>
          <t>Minnesota United FC</t>
        </is>
      </c>
      <c r="G665" s="24" t="inlineStr">
        <is>
          <t>St. Louis CITY SC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108</v>
      </c>
      <c r="M665" s="27" t="n">
        <v>2.08</v>
      </c>
      <c r="N665" s="28" t="n">
        <v>0.480769</v>
      </c>
      <c r="O665" s="28" t="n">
        <v>0.454619</v>
      </c>
      <c r="P665" s="28" t="n">
        <v>0.04</v>
      </c>
      <c r="Q665" s="28" t="n">
        <v>-0.02615</v>
      </c>
      <c r="R665" s="26" t="n">
        <v>13</v>
      </c>
      <c r="S665" s="29" t="n">
        <v>1</v>
      </c>
      <c r="T665" s="24" t="inlineStr">
        <is>
          <t>soccer-poisson-dc-v1</t>
        </is>
      </c>
      <c r="U665" s="24" t="inlineStr">
        <is>
          <t>settled</t>
        </is>
      </c>
      <c r="V665" s="24" t="inlineStr">
        <is>
          <t>win</t>
        </is>
      </c>
      <c r="W665" s="26" t="n">
        <v>2</v>
      </c>
      <c r="X665" s="26" t="n">
        <v>4</v>
      </c>
      <c r="Y665" s="25" t="n"/>
      <c r="Z665" s="26" t="n">
        <v>108</v>
      </c>
      <c r="AA665" s="28" t="n">
        <v>0.48</v>
      </c>
      <c r="AB665" s="28" t="n">
        <v>-0.000769</v>
      </c>
      <c r="AC665" s="30" t="n">
        <v>1.08</v>
      </c>
      <c r="AD665" s="24" t="inlineStr">
        <is>
          <t>2026-09-13T04:33:33.191591Z</t>
        </is>
      </c>
      <c r="AE665" s="31" t="inlineStr">
        <is>
          <t>Poisson-DC rates 1.58 (home) / 1.18 (away) from EWMA attack/defense strengths. Executable ask 0.4800 (atc-mls-stl-min-2026-09-12-stl).</t>
        </is>
      </c>
      <c r="AF665" s="31" t="inlineStr">
        <is>
          <t>Research-only soccer score model; draw-aware, but not yet locked-holdout qualified.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Minnesota United FC</t>
        </is>
      </c>
      <c r="AQ665" s="24" t="inlineStr">
        <is>
          <t>Minnesota United FC</t>
        </is>
      </c>
      <c r="AR665" s="24" t="inlineStr">
        <is>
          <t>Minnesota United FC</t>
        </is>
      </c>
      <c r="AS665" s="24" t="inlineStr">
        <is>
          <t>St. Louis CITY SC</t>
        </is>
      </c>
      <c r="AT665" s="24" t="inlineStr">
        <is>
          <t>St. Louis CITY SC</t>
        </is>
      </c>
      <c r="AU665" s="24" t="inlineStr">
        <is>
          <t>St. Louis CITY SC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3d16277c2cfc0628d7ec79d04feee92735e5c503a3be195cb225c7c52d024308</t>
        </is>
      </c>
      <c r="BB665" s="24" t="inlineStr">
        <is>
          <t>poisson_dixon_coles</t>
        </is>
      </c>
      <c r="BC665" s="24" t="inlineStr">
        <is>
          <t>soccer-poisson-dc-v1</t>
        </is>
      </c>
      <c r="BD665" s="24" t="inlineStr">
        <is>
          <t>3d16277c2cfc0628d7ec79d04feee92735e5c503a3be195cb225c7c52d024308</t>
        </is>
      </c>
      <c r="BE665" s="24" t="inlineStr">
        <is>
          <t>soccer-poisson-dc-v1</t>
        </is>
      </c>
      <c r="BF665" s="24" t="inlineStr">
        <is>
          <t>1</t>
        </is>
      </c>
      <c r="BG665" s="24" t="inlineStr">
        <is>
          <t>3d16277c2cfc0628d7ec79d04feee92735e5c503a3be195cb225c7c52d024308</t>
        </is>
      </c>
      <c r="BH665" s="24" t="inlineStr">
        <is>
          <t>2026-09-12T16:06:13.235010Z</t>
        </is>
      </c>
      <c r="BI665" s="24" t="inlineStr">
        <is>
          <t>["same_event","same_team_same_day","same_league_same_day"]</t>
        </is>
      </c>
      <c r="BJ665" s="25" t="n"/>
      <c r="BK665" s="26" t="n">
        <v>108</v>
      </c>
      <c r="BL665" s="27" t="n">
        <v>2.08</v>
      </c>
      <c r="BM665" s="28" t="n">
        <v>0.480769</v>
      </c>
      <c r="BN665" s="28" t="n"/>
      <c r="BO665" s="28" t="n"/>
      <c r="BP665" s="25" t="n"/>
      <c r="BQ665" s="27" t="n">
        <v>2.08</v>
      </c>
      <c r="BR665" s="28" t="n">
        <v>0.48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0.480769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"3d16277c2cfc0628d7ec79d04feee92735e5c503a3be195cb225c7c52d024308", "away_team": "Minnesota United FC", "event_id": "761807", "event_start_utc": "2026-09-13T00:30Z", "features": {"away_goal_rate": 1.1804, "history_games": 9181, "home_goal_rate": 1.5815, "league_goals_per_team": 1.5536, "min_team_games": 83.0}, "historical_source_observation_times_verified": false, "home_team": "St. Louis CITY SC", "inference_inputs": {"away_rate": 1.1804311659581292, "code_sha256": {"models/soccer.py": "3d16277c2cfc0628d7ec79d04feee92735e5c503a3be195cb225c7c52d024308"}, "home_rate": 1.5815224323599357, "sport": "SOCCER"}, "market_type": "moneyline", "model_version": "soccer-poisson-dc-v1", "observed_at_utc": "2026-09-12T22:41:44.815507+00:00", "probabilities": {"away": 0.272807, "draw": 0.272574, "home": 0.454619}, "replay_scope": "Exact full-precision serving state and rounding; upstream historical observation times are not certified.", "schema": "coded-moneyline-replay-v1", "snapshot_hash": "59692043eef1cbba25783b39d11059ace481ca9f00e4063965f7ce83b4dc87f1", "sport": "SOCCER"}</t>
        </is>
      </c>
    </row>
    <row r="666" ht="36" customHeight="1">
      <c r="A666" s="24" t="inlineStr">
        <is>
          <t>ff1ac2b5729f4788</t>
        </is>
      </c>
      <c r="B666" s="24" t="inlineStr">
        <is>
          <t>2026-09-12T22:41:45.616998Z</t>
        </is>
      </c>
      <c r="C666" s="24" t="inlineStr">
        <is>
          <t>2026-09-13T01:30Z</t>
        </is>
      </c>
      <c r="D666" s="24" t="inlineStr">
        <is>
          <t>761809</t>
        </is>
      </c>
      <c r="E666" s="24" t="inlineStr">
        <is>
          <t>SOCCER</t>
        </is>
      </c>
      <c r="F666" s="24" t="inlineStr">
        <is>
          <t>New York City FC</t>
        </is>
      </c>
      <c r="G666" s="24" t="inlineStr">
        <is>
          <t>Real Salt Lake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113</v>
      </c>
      <c r="M666" s="27" t="n">
        <v>2.13</v>
      </c>
      <c r="N666" s="28" t="n">
        <v>0.469484</v>
      </c>
      <c r="O666" s="28" t="n">
        <v>0.469901</v>
      </c>
      <c r="P666" s="28" t="n">
        <v>0.04</v>
      </c>
      <c r="Q666" s="28" t="n">
        <v>0.000417</v>
      </c>
      <c r="R666" s="26" t="n">
        <v>26</v>
      </c>
      <c r="S666" s="29" t="n">
        <v>1</v>
      </c>
      <c r="T666" s="24" t="inlineStr">
        <is>
          <t>soccer-poisson-dc-v1</t>
        </is>
      </c>
      <c r="U666" s="24" t="inlineStr">
        <is>
          <t>settled</t>
        </is>
      </c>
      <c r="V666" s="24" t="inlineStr">
        <is>
          <t>loss</t>
        </is>
      </c>
      <c r="W666" s="26" t="n">
        <v>2</v>
      </c>
      <c r="X666" s="26" t="n">
        <v>0</v>
      </c>
      <c r="Y666" s="25" t="n"/>
      <c r="Z666" s="26" t="n">
        <v>113</v>
      </c>
      <c r="AA666" s="28" t="n">
        <v>0.47</v>
      </c>
      <c r="AB666" s="28" t="n">
        <v>0.000516</v>
      </c>
      <c r="AC666" s="30" t="n">
        <v>-1</v>
      </c>
      <c r="AD666" s="24" t="inlineStr">
        <is>
          <t>2026-09-13T04:33:33.774978Z</t>
        </is>
      </c>
      <c r="AE666" s="31" t="inlineStr">
        <is>
          <t>Poisson-DC rates 1.67 (home) / 1.21 (away) from EWMA attack/defense strengths. Executable ask 0.4700 (atc-mls-rsl-nyc-2026-09-12-rsl).</t>
        </is>
      </c>
      <c r="AF666" s="31" t="inlineStr">
        <is>
          <t>Research-only soccer score model; draw-aware, but not yet locked-holdout qualified.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New York City FC</t>
        </is>
      </c>
      <c r="AQ666" s="24" t="inlineStr">
        <is>
          <t>New York City FC</t>
        </is>
      </c>
      <c r="AR666" s="24" t="inlineStr">
        <is>
          <t>New York City FC</t>
        </is>
      </c>
      <c r="AS666" s="24" t="inlineStr">
        <is>
          <t>Real Salt Lake</t>
        </is>
      </c>
      <c r="AT666" s="24" t="inlineStr">
        <is>
          <t>Real Salt Lake</t>
        </is>
      </c>
      <c r="AU666" s="24" t="inlineStr">
        <is>
          <t>Real Salt Lake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3d16277c2cfc0628d7ec79d04feee92735e5c503a3be195cb225c7c52d024308</t>
        </is>
      </c>
      <c r="BB666" s="24" t="inlineStr">
        <is>
          <t>poisson_dixon_coles</t>
        </is>
      </c>
      <c r="BC666" s="24" t="inlineStr">
        <is>
          <t>soccer-poisson-dc-v1</t>
        </is>
      </c>
      <c r="BD666" s="24" t="inlineStr">
        <is>
          <t>3d16277c2cfc0628d7ec79d04feee92735e5c503a3be195cb225c7c52d024308</t>
        </is>
      </c>
      <c r="BE666" s="24" t="inlineStr">
        <is>
          <t>soccer-poisson-dc-v1</t>
        </is>
      </c>
      <c r="BF666" s="24" t="inlineStr">
        <is>
          <t>1</t>
        </is>
      </c>
      <c r="BG666" s="24" t="inlineStr">
        <is>
          <t>3d16277c2cfc0628d7ec79d04feee92735e5c503a3be195cb225c7c52d024308</t>
        </is>
      </c>
      <c r="BH666" s="24" t="inlineStr">
        <is>
          <t>2026-09-12T16:06:13.406954Z</t>
        </is>
      </c>
      <c r="BI666" s="24" t="inlineStr">
        <is>
          <t>["same_event","same_team_same_day","same_league_same_day"]</t>
        </is>
      </c>
      <c r="BJ666" s="25" t="n"/>
      <c r="BK666" s="26" t="n">
        <v>113</v>
      </c>
      <c r="BL666" s="27" t="n">
        <v>2.13</v>
      </c>
      <c r="BM666" s="28" t="n">
        <v>0.469484</v>
      </c>
      <c r="BN666" s="28" t="n"/>
      <c r="BO666" s="28" t="n"/>
      <c r="BP666" s="25" t="n"/>
      <c r="BQ666" s="27" t="n">
        <v>2.13</v>
      </c>
      <c r="BR666" s="28" t="n">
        <v>0.47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0.469484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"3d16277c2cfc0628d7ec79d04feee92735e5c503a3be195cb225c7c52d024308", "away_team": "New York City FC", "event_id": "761809", "event_start_utc": "2026-09-13T01:30Z", "features": {"away_goal_rate": 1.2132, "history_games": 9181, "home_goal_rate": 1.6723, "league_goals_per_team": 1.5536, "min_team_games": 85.0}, "historical_source_observation_times_verified": false, "home_team": "Real Salt Lake", "inference_inputs": {"away_rate": 1.2131788676833177, "code_sha256": {"models/soccer.py": "3d16277c2cfc0628d7ec79d04feee92735e5c503a3be195cb225c7c52d024308"}, "home_rate": 1.6722562009474258, "sport": "SOCCER"}, "market_type": "moneyline", "model_version": "soccer-poisson-dc-v1", "observed_at_utc": "2026-09-12T22:41:44.815507+00:00", "probabilities": {"away": 0.26617, "draw": 0.263929, "home": 0.469901}, "replay_scope": "Exact full-precision serving state and rounding; upstream historical observation times are not certified.", "schema": "coded-moneyline-replay-v1", "snapshot_hash": "01e4a694d23a7e0c858537f5e8544ac76eed3f3eba6457ec14ed47bfa552fec9", "sport": "SOCCER"}</t>
        </is>
      </c>
    </row>
    <row r="667" ht="36" customHeight="1">
      <c r="A667" s="24" t="inlineStr">
        <is>
          <t>765d1fbab29446be</t>
        </is>
      </c>
      <c r="B667" s="24" t="inlineStr">
        <is>
          <t>2026-09-12T22:41:45.616998Z</t>
        </is>
      </c>
      <c r="C667" s="24" t="inlineStr">
        <is>
          <t>2026-09-13T02:30Z</t>
        </is>
      </c>
      <c r="D667" s="24" t="inlineStr">
        <is>
          <t>761811</t>
        </is>
      </c>
      <c r="E667" s="24" t="inlineStr">
        <is>
          <t>SOCCER</t>
        </is>
      </c>
      <c r="F667" s="24" t="inlineStr">
        <is>
          <t>Seattle Sounders FC</t>
        </is>
      </c>
      <c r="G667" s="24" t="inlineStr">
        <is>
          <t>LA Galaxy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127</v>
      </c>
      <c r="M667" s="27" t="n">
        <v>2.27</v>
      </c>
      <c r="N667" s="28" t="n">
        <v>0.440529</v>
      </c>
      <c r="O667" s="28" t="n">
        <v>0.405918</v>
      </c>
      <c r="P667" s="28" t="n">
        <v>0.04</v>
      </c>
      <c r="Q667" s="28" t="n">
        <v>-0.034611</v>
      </c>
      <c r="R667" s="26" t="n">
        <v>9</v>
      </c>
      <c r="S667" s="29" t="n">
        <v>1</v>
      </c>
      <c r="T667" s="24" t="inlineStr">
        <is>
          <t>soccer-poisson-dc-v1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1</v>
      </c>
      <c r="Y667" s="25" t="n"/>
      <c r="Z667" s="26" t="n">
        <v>127</v>
      </c>
      <c r="AA667" s="28" t="n">
        <v>0.44</v>
      </c>
      <c r="AB667" s="28" t="n">
        <v>-0.000529</v>
      </c>
      <c r="AC667" s="30" t="n">
        <v>-1</v>
      </c>
      <c r="AD667" s="24" t="inlineStr">
        <is>
          <t>2026-09-13T10:00:31.178105Z</t>
        </is>
      </c>
      <c r="AE667" s="31" t="inlineStr">
        <is>
          <t>Poisson-DC rates 1.53 (home) / 1.35 (away) from EWMA attack/defense strengths. Executable ask 0.4400 (atc-mls-lag-sea-2026-09-12-lag).</t>
        </is>
      </c>
      <c r="AF667" s="31" t="inlineStr">
        <is>
          <t>Research-only soccer score model; draw-aware, but not yet locked-holdout qualified.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Seattle Sounders FC</t>
        </is>
      </c>
      <c r="AQ667" s="24" t="inlineStr">
        <is>
          <t>Seattle Sounders FC</t>
        </is>
      </c>
      <c r="AR667" s="24" t="inlineStr">
        <is>
          <t>Seattle Sounders FC</t>
        </is>
      </c>
      <c r="AS667" s="24" t="inlineStr">
        <is>
          <t>LA Galaxy</t>
        </is>
      </c>
      <c r="AT667" s="24" t="inlineStr">
        <is>
          <t>LA Galaxy</t>
        </is>
      </c>
      <c r="AU667" s="24" t="inlineStr">
        <is>
          <t>LA Galaxy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3d16277c2cfc0628d7ec79d04feee92735e5c503a3be195cb225c7c52d024308</t>
        </is>
      </c>
      <c r="BB667" s="24" t="inlineStr">
        <is>
          <t>poisson_dixon_coles</t>
        </is>
      </c>
      <c r="BC667" s="24" t="inlineStr">
        <is>
          <t>soccer-poisson-dc-v1</t>
        </is>
      </c>
      <c r="BD667" s="24" t="inlineStr">
        <is>
          <t>3d16277c2cfc0628d7ec79d04feee92735e5c503a3be195cb225c7c52d024308</t>
        </is>
      </c>
      <c r="BE667" s="24" t="inlineStr">
        <is>
          <t>soccer-poisson-dc-v1</t>
        </is>
      </c>
      <c r="BF667" s="24" t="inlineStr">
        <is>
          <t>1</t>
        </is>
      </c>
      <c r="BG667" s="24" t="inlineStr">
        <is>
          <t>3d16277c2cfc0628d7ec79d04feee92735e5c503a3be195cb225c7c52d024308</t>
        </is>
      </c>
      <c r="BH667" s="24" t="inlineStr">
        <is>
          <t>2026-09-12T16:06:13.504825Z</t>
        </is>
      </c>
      <c r="BI667" s="24" t="inlineStr">
        <is>
          <t>["same_event","same_team_same_day","same_league_same_day"]</t>
        </is>
      </c>
      <c r="BJ667" s="25" t="n"/>
      <c r="BK667" s="26" t="n">
        <v>127</v>
      </c>
      <c r="BL667" s="27" t="n">
        <v>2.27</v>
      </c>
      <c r="BM667" s="28" t="n">
        <v>0.440529</v>
      </c>
      <c r="BN667" s="28" t="n"/>
      <c r="BO667" s="28" t="n"/>
      <c r="BP667" s="25" t="n"/>
      <c r="BQ667" s="27" t="n">
        <v>2.27</v>
      </c>
      <c r="BR667" s="28" t="n">
        <v>0.44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0.440529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"3d16277c2cfc0628d7ec79d04feee92735e5c503a3be195cb225c7c52d024308", "away_team": "Seattle Sounders FC", "event_id": "761811", "event_start_utc": "2026-09-13T02:30Z", "features": {"away_goal_rate": 1.3492, "history_games": 9181, "home_goal_rate": 1.5336, "league_goals_per_team": 1.5536, "min_team_games": 89.0}, "historical_source_observation_times_verified": false, "home_team": "LA Galaxy", "inference_inputs": {"away_rate": 1.3492027348672515, "code_sha256": {"models/soccer.py": "3d16277c2cfc0628d7ec79d04feee92735e5c503a3be195cb225c7c52d024308"}, "home_rate": 1.5335730221885397, "sport": "SOCCER"}, "market_type": "moneyline", "model_version": "soccer-poisson-dc-v1", "observed_at_utc": "2026-09-12T22:41:44.815507+00:00", "probabilities": {"away": 0.323485, "draw": 0.270597, "home": 0.405918}, "replay_scope": "Exact full-precision serving state and rounding; upstream historical observation times are not certified.", "schema": "coded-moneyline-replay-v1", "snapshot_hash": "c657f2f485e5b71eddb76efa059be3f059b92cccd0948b836c56373e68786de3", "sport": "SOCCER"}</t>
        </is>
      </c>
    </row>
    <row r="668" ht="36" customHeight="1">
      <c r="A668" s="24" t="inlineStr">
        <is>
          <t>8f7edda63cfa4bb4</t>
        </is>
      </c>
      <c r="B668" s="24" t="inlineStr">
        <is>
          <t>2026-09-12T22:41:45.616998Z</t>
        </is>
      </c>
      <c r="C668" s="24" t="inlineStr">
        <is>
          <t>2026-09-13T02:30Z</t>
        </is>
      </c>
      <c r="D668" s="24" t="inlineStr">
        <is>
          <t>761810</t>
        </is>
      </c>
      <c r="E668" s="24" t="inlineStr">
        <is>
          <t>SOCCER</t>
        </is>
      </c>
      <c r="F668" s="24" t="inlineStr">
        <is>
          <t>Houston Dynamo FC</t>
        </is>
      </c>
      <c r="G668" s="24" t="inlineStr">
        <is>
          <t>San Jose Earthquakes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150</v>
      </c>
      <c r="M668" s="27" t="n">
        <v>2.5</v>
      </c>
      <c r="N668" s="28" t="n">
        <v>0.4</v>
      </c>
      <c r="O668" s="28" t="n">
        <v>0.635307</v>
      </c>
      <c r="P668" s="28" t="n">
        <v>0.04</v>
      </c>
      <c r="Q668" s="28" t="n">
        <v>0.235307</v>
      </c>
      <c r="R668" s="26" t="n">
        <v>100</v>
      </c>
      <c r="S668" s="29" t="n">
        <v>2</v>
      </c>
      <c r="T668" s="24" t="inlineStr">
        <is>
          <t>soccer-poisson-dc-v1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150</v>
      </c>
      <c r="AA668" s="28" t="n">
        <v>0.4</v>
      </c>
      <c r="AB668" s="28" t="n">
        <v>0</v>
      </c>
      <c r="AC668" s="30" t="n">
        <v>3</v>
      </c>
      <c r="AD668" s="24" t="inlineStr">
        <is>
          <t>2026-09-13T10:00:31.723814Z</t>
        </is>
      </c>
      <c r="AE668" s="31" t="inlineStr">
        <is>
          <t>Poisson-DC rates 2.31 (home) / 1.10 (away) from EWMA attack/defense strengths. Executable ask 0.4000 (atc-mls-sje-hou-2026-09-12-sje).</t>
        </is>
      </c>
      <c r="AF668" s="31" t="inlineStr">
        <is>
          <t>Research-only soccer score model; draw-aware, but not yet locked-holdout qualified.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Houston Dynamo FC</t>
        </is>
      </c>
      <c r="AQ668" s="24" t="inlineStr">
        <is>
          <t>Houston Dynamo FC</t>
        </is>
      </c>
      <c r="AR668" s="24" t="inlineStr">
        <is>
          <t>Houston Dynamo FC</t>
        </is>
      </c>
      <c r="AS668" s="24" t="inlineStr">
        <is>
          <t>San Jose Earthquakes</t>
        </is>
      </c>
      <c r="AT668" s="24" t="inlineStr">
        <is>
          <t>San Jose Earthquakes</t>
        </is>
      </c>
      <c r="AU668" s="24" t="inlineStr">
        <is>
          <t>San Jose Earthquakes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3d16277c2cfc0628d7ec79d04feee92735e5c503a3be195cb225c7c52d024308</t>
        </is>
      </c>
      <c r="BB668" s="24" t="inlineStr">
        <is>
          <t>poisson_dixon_coles</t>
        </is>
      </c>
      <c r="BC668" s="24" t="inlineStr">
        <is>
          <t>soccer-poisson-dc-v1</t>
        </is>
      </c>
      <c r="BD668" s="24" t="inlineStr">
        <is>
          <t>3d16277c2cfc0628d7ec79d04feee92735e5c503a3be195cb225c7c52d024308</t>
        </is>
      </c>
      <c r="BE668" s="24" t="inlineStr">
        <is>
          <t>soccer-poisson-dc-v1</t>
        </is>
      </c>
      <c r="BF668" s="24" t="inlineStr">
        <is>
          <t>1</t>
        </is>
      </c>
      <c r="BG668" s="24" t="inlineStr">
        <is>
          <t>3d16277c2cfc0628d7ec79d04feee92735e5c503a3be195cb225c7c52d024308</t>
        </is>
      </c>
      <c r="BH668" s="24" t="inlineStr">
        <is>
          <t>2026-09-12T16:06:13.591085Z</t>
        </is>
      </c>
      <c r="BI668" s="24" t="inlineStr">
        <is>
          <t>["same_event","same_team_same_day","same_league_same_day"]</t>
        </is>
      </c>
      <c r="BJ668" s="25" t="n"/>
      <c r="BK668" s="26" t="n">
        <v>150</v>
      </c>
      <c r="BL668" s="27" t="n">
        <v>2.5</v>
      </c>
      <c r="BM668" s="28" t="n">
        <v>0.4</v>
      </c>
      <c r="BN668" s="28" t="n"/>
      <c r="BO668" s="28" t="n"/>
      <c r="BP668" s="25" t="n"/>
      <c r="BQ668" s="27" t="n">
        <v>2.5</v>
      </c>
      <c r="BR668" s="28" t="n">
        <v>0.4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0.4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"3d16277c2cfc0628d7ec79d04feee92735e5c503a3be195cb225c7c52d024308", "away_team": "Houston Dynamo FC", "event_id": "761810", "event_start_utc": "2026-09-13T02:30Z", "features": {"away_goal_rate": 1.1026, "history_games": 9181, "home_goal_rate": 2.3094, "league_goals_per_team": 1.5536, "min_team_games": 83.0}, "historical_source_observation_times_verified": false, "home_team": "San Jose Earthquakes", "inference_inputs": {"away_rate": 1.1025736948075622, "code_sha256": {"models/soccer.py": "3d16277c2cfc0628d7ec79d04feee92735e5c503a3be195cb225c7c52d024308"}, "home_rate": 2.309388575889806, "sport": "SOCCER"}, "market_type": "moneyline", "model_version": "soccer-poisson-dc-v1", "observed_at_utc": "2026-09-12T22:41:44.815507+00:00", "probabilities": {"away": 0.159707, "draw": 0.204986, "home": 0.635307}, "replay_scope": "Exact full-precision serving state and rounding; upstream historical observation times are not certified.", "schema": "coded-moneyline-replay-v1", "snapshot_hash": "d110b39401518bd572fdadc9fc42834d8643c19e94bc57f55a5a4fd15f6fe946", "sport": "SOCCER"}</t>
        </is>
      </c>
    </row>
    <row r="669" ht="36" customHeight="1">
      <c r="A669" s="24" t="inlineStr">
        <is>
          <t>27de6176cdc14bce</t>
        </is>
      </c>
      <c r="B669" s="24" t="inlineStr">
        <is>
          <t>2026-09-12T22:41:45.616998Z</t>
        </is>
      </c>
      <c r="C669" s="24" t="inlineStr">
        <is>
          <t>2026-09-12T23:30Z</t>
        </is>
      </c>
      <c r="D669" s="24" t="inlineStr">
        <is>
          <t>401841229</t>
        </is>
      </c>
      <c r="E669" s="24" t="inlineStr">
        <is>
          <t>SOCCER</t>
        </is>
      </c>
      <c r="F669" s="24" t="inlineStr">
        <is>
          <t>Red Bull Bragantino</t>
        </is>
      </c>
      <c r="G669" s="24" t="inlineStr">
        <is>
          <t>Botafogo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144</v>
      </c>
      <c r="M669" s="27" t="n">
        <v>2.44</v>
      </c>
      <c r="N669" s="28" t="n">
        <v>0.409836</v>
      </c>
      <c r="O669" s="28" t="n">
        <v>0.456135</v>
      </c>
      <c r="P669" s="28" t="n">
        <v>0.2</v>
      </c>
      <c r="Q669" s="28" t="n">
        <v>0.046299</v>
      </c>
      <c r="R669" s="26" t="n">
        <v>0</v>
      </c>
      <c r="S669" s="29" t="n">
        <v>1</v>
      </c>
      <c r="T669" s="24" t="inlineStr">
        <is>
          <t>soccer-poisson-dc-v1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1</v>
      </c>
      <c r="Y669" s="25" t="n"/>
      <c r="Z669" s="26" t="n">
        <v>144</v>
      </c>
      <c r="AA669" s="28" t="n">
        <v>0.41</v>
      </c>
      <c r="AB669" s="28" t="n">
        <v>0.000164</v>
      </c>
      <c r="AC669" s="30" t="n">
        <v>-1</v>
      </c>
      <c r="AD669" s="24" t="inlineStr">
        <is>
          <t>2026-09-13T04:33:34.351681Z</t>
        </is>
      </c>
      <c r="AE669" s="31" t="inlineStr">
        <is>
          <t>Poisson-DC rates 1.64 (home) / 1.24 (away) from EWMA attack/defense strengths. Executable ask 0.4100 (atc-bra-bot-bra-2026-09-12-bot).</t>
        </is>
      </c>
      <c r="AF669" s="31" t="inlineStr">
        <is>
          <t>Research-only soccer score model; draw-aware, but not yet locked-holdout qualified.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PAPER_CALL_MODEL_UNVALIDATED</t>
        </is>
      </c>
      <c r="AP669" s="24" t="inlineStr">
        <is>
          <t>Red Bull Bragantino</t>
        </is>
      </c>
      <c r="AQ669" s="24" t="inlineStr">
        <is>
          <t>Red Bull Bragantino</t>
        </is>
      </c>
      <c r="AR669" s="24" t="inlineStr">
        <is>
          <t>Red Bull Bragantino</t>
        </is>
      </c>
      <c r="AS669" s="24" t="inlineStr">
        <is>
          <t>Botafogo</t>
        </is>
      </c>
      <c r="AT669" s="24" t="inlineStr">
        <is>
          <t>Botafogo</t>
        </is>
      </c>
      <c r="AU669" s="24" t="inlineStr">
        <is>
          <t>Botafogo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3d16277c2cfc0628d7ec79d04feee92735e5c503a3be195cb225c7c52d024308</t>
        </is>
      </c>
      <c r="BB669" s="24" t="inlineStr">
        <is>
          <t>poisson_dixon_coles</t>
        </is>
      </c>
      <c r="BC669" s="24" t="inlineStr">
        <is>
          <t>soccer-poisson-dc-v1</t>
        </is>
      </c>
      <c r="BD669" s="24" t="inlineStr">
        <is>
          <t>3d16277c2cfc0628d7ec79d04feee92735e5c503a3be195cb225c7c52d024308</t>
        </is>
      </c>
      <c r="BE669" s="24" t="inlineStr">
        <is>
          <t>soccer-poisson-dc-v1</t>
        </is>
      </c>
      <c r="BF669" s="24" t="inlineStr">
        <is>
          <t>1</t>
        </is>
      </c>
      <c r="BG669" s="24" t="inlineStr">
        <is>
          <t>3d16277c2cfc0628d7ec79d04feee92735e5c503a3be195cb225c7c52d024308</t>
        </is>
      </c>
      <c r="BH669" s="24" t="inlineStr">
        <is>
          <t>2026-09-12T16:06:14.346258Z</t>
        </is>
      </c>
      <c r="BI669" s="24" t="inlineStr">
        <is>
          <t>["same_event","same_team_same_day","same_league_same_day"]</t>
        </is>
      </c>
      <c r="BJ669" s="25" t="n"/>
      <c r="BK669" s="26" t="n">
        <v>144</v>
      </c>
      <c r="BL669" s="27" t="n">
        <v>2.44</v>
      </c>
      <c r="BM669" s="28" t="n">
        <v>0.409836</v>
      </c>
      <c r="BN669" s="28" t="n"/>
      <c r="BO669" s="28" t="n"/>
      <c r="BP669" s="25" t="n"/>
      <c r="BQ669" s="27" t="n">
        <v>2.44</v>
      </c>
      <c r="BR669" s="28" t="n">
        <v>0.41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0.409836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"3d16277c2cfc0628d7ec79d04feee92735e5c503a3be195cb225c7c52d024308", "away_team": "Red Bull Bragantino", "event_id": "401841229", "event_start_utc": "2026-09-12T23:30Z", "features": {"away_goal_rate": 1.2418, "history_games": 9181, "home_goal_rate": 1.6423, "league_goals_per_team": 1.4281, "min_team_games": 0.0}, "historical_source_observation_times_verified": false, "home_team": "Botafogo",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"5c3c70449c7cf3356e12c075dd2d32a351582d6b98e9998526b148698a77b4ac", "sport": "SOCCER"}</t>
        </is>
      </c>
    </row>
    <row r="670" ht="36" customHeight="1">
      <c r="A670" s="24" t="inlineStr">
        <is>
          <t>f440c8a287084eb7</t>
        </is>
      </c>
      <c r="B670" s="24" t="inlineStr">
        <is>
          <t>2026-09-12T22:41:45.616998Z</t>
        </is>
      </c>
      <c r="C670" s="24" t="inlineStr">
        <is>
          <t>2026-09-13T00:00Z</t>
        </is>
      </c>
      <c r="D670" s="24" t="inlineStr">
        <is>
          <t>401841233</t>
        </is>
      </c>
      <c r="E670" s="24" t="inlineStr">
        <is>
          <t>SOCCER</t>
        </is>
      </c>
      <c r="F670" s="24" t="inlineStr">
        <is>
          <t>Cruzeiro</t>
        </is>
      </c>
      <c r="G670" s="24" t="inlineStr">
        <is>
          <t>Santos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186</v>
      </c>
      <c r="M670" s="27" t="n">
        <v>2.86</v>
      </c>
      <c r="N670" s="28" t="n">
        <v>0.34965</v>
      </c>
      <c r="O670" s="28" t="n">
        <v>0.456135</v>
      </c>
      <c r="P670" s="28" t="n">
        <v>0.2</v>
      </c>
      <c r="Q670" s="28" t="n">
        <v>0.106485</v>
      </c>
      <c r="R670" s="26" t="n">
        <v>0</v>
      </c>
      <c r="S670" s="29" t="n">
        <v>1</v>
      </c>
      <c r="T670" s="24" t="inlineStr">
        <is>
          <t>soccer-poisson-dc-v1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2</v>
      </c>
      <c r="Y670" s="25" t="n"/>
      <c r="Z670" s="26" t="n">
        <v>186</v>
      </c>
      <c r="AA670" s="28" t="n">
        <v>0.35</v>
      </c>
      <c r="AB670" s="28" t="n">
        <v>0.00035</v>
      </c>
      <c r="AC670" s="30" t="n">
        <v>1.86</v>
      </c>
      <c r="AD670" s="24" t="inlineStr">
        <is>
          <t>2026-09-13T04:33:34.933807Z</t>
        </is>
      </c>
      <c r="AE670" s="31" t="inlineStr">
        <is>
          <t>Poisson-DC rates 1.64 (home) / 1.24 (away) from EWMA attack/defense strengths. Executable ask 0.3500 (atc-bra-san-cru-2026-09-12-san).</t>
        </is>
      </c>
      <c r="AF670" s="31" t="inlineStr">
        <is>
          <t>Research-only soccer score model; draw-aware, but not yet locked-holdout qualified.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PAPER_CALL_MODEL_UNVALIDATED</t>
        </is>
      </c>
      <c r="AP670" s="24" t="inlineStr">
        <is>
          <t>Cruzeiro</t>
        </is>
      </c>
      <c r="AQ670" s="24" t="inlineStr">
        <is>
          <t>Cruzeiro</t>
        </is>
      </c>
      <c r="AR670" s="24" t="inlineStr">
        <is>
          <t>Cruzeiro</t>
        </is>
      </c>
      <c r="AS670" s="24" t="inlineStr">
        <is>
          <t>Santos</t>
        </is>
      </c>
      <c r="AT670" s="24" t="inlineStr">
        <is>
          <t>Santos</t>
        </is>
      </c>
      <c r="AU670" s="24" t="inlineStr">
        <is>
          <t>Santos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3d16277c2cfc0628d7ec79d04feee92735e5c503a3be195cb225c7c52d024308</t>
        </is>
      </c>
      <c r="BB670" s="24" t="inlineStr">
        <is>
          <t>poisson_dixon_coles</t>
        </is>
      </c>
      <c r="BC670" s="24" t="inlineStr">
        <is>
          <t>soccer-poisson-dc-v1</t>
        </is>
      </c>
      <c r="BD670" s="24" t="inlineStr">
        <is>
          <t>3d16277c2cfc0628d7ec79d04feee92735e5c503a3be195cb225c7c52d024308</t>
        </is>
      </c>
      <c r="BE670" s="24" t="inlineStr">
        <is>
          <t>soccer-poisson-dc-v1</t>
        </is>
      </c>
      <c r="BF670" s="24" t="inlineStr">
        <is>
          <t>1</t>
        </is>
      </c>
      <c r="BG670" s="24" t="inlineStr">
        <is>
          <t>3d16277c2cfc0628d7ec79d04feee92735e5c503a3be195cb225c7c52d024308</t>
        </is>
      </c>
      <c r="BH670" s="24" t="inlineStr">
        <is>
          <t>2026-09-12T16:06:14.384301Z</t>
        </is>
      </c>
      <c r="BI670" s="24" t="inlineStr">
        <is>
          <t>["same_event","same_team_same_day","same_league_same_day"]</t>
        </is>
      </c>
      <c r="BJ670" s="25" t="n"/>
      <c r="BK670" s="26" t="n">
        <v>186</v>
      </c>
      <c r="BL670" s="27" t="n">
        <v>2.86</v>
      </c>
      <c r="BM670" s="28" t="n">
        <v>0.34965</v>
      </c>
      <c r="BN670" s="28" t="n"/>
      <c r="BO670" s="28" t="n"/>
      <c r="BP670" s="25" t="n"/>
      <c r="BQ670" s="27" t="n">
        <v>2.86</v>
      </c>
      <c r="BR670" s="28" t="n">
        <v>0.35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0.34965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"3d16277c2cfc0628d7ec79d04feee92735e5c503a3be195cb225c7c52d024308", "away_team": "Cruzeiro", "event_id": "401841233", "event_start_utc": "2026-09-13T00:00Z", "features": {"away_goal_rate": 1.2418, "history_games": 9181, "home_goal_rate": 1.6423, "league_goals_per_team": 1.4281, "min_team_games": 0.0}, "historical_source_observation_times_verified": false, "home_team": "Santos",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"a24d9723056792db986f4175ddf906b824a083858812efc5596bd91b8f08b327", "sport": "SOCCER"}</t>
        </is>
      </c>
    </row>
    <row r="671" ht="36" customHeight="1">
      <c r="A671" s="24" t="inlineStr">
        <is>
          <t>8b4b8c40e05040c1</t>
        </is>
      </c>
      <c r="B671" s="24" t="inlineStr">
        <is>
          <t>2026-09-12T22:41:45.616998Z</t>
        </is>
      </c>
      <c r="C671" s="24" t="inlineStr">
        <is>
          <t>2026-09-13T01:00Z</t>
        </is>
      </c>
      <c r="D671" s="24" t="inlineStr">
        <is>
          <t>401886202</t>
        </is>
      </c>
      <c r="E671" s="24" t="inlineStr">
        <is>
          <t>SOCCER</t>
        </is>
      </c>
      <c r="F671" s="24" t="inlineStr">
        <is>
          <t>Universitario</t>
        </is>
      </c>
      <c r="G671" s="24" t="inlineStr">
        <is>
          <t>Alianza Lima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144</v>
      </c>
      <c r="M671" s="27" t="n">
        <v>2.44</v>
      </c>
      <c r="N671" s="28" t="n">
        <v>0.409836</v>
      </c>
      <c r="O671" s="28" t="n">
        <v>0.430486</v>
      </c>
      <c r="P671" s="28" t="n">
        <v>0.2</v>
      </c>
      <c r="Q671" s="28" t="n">
        <v>0.02065</v>
      </c>
      <c r="R671" s="26" t="n">
        <v>0</v>
      </c>
      <c r="S671" s="29" t="n">
        <v>1</v>
      </c>
      <c r="T671" s="24" t="inlineStr">
        <is>
          <t>soccer-poisson-dc-v1</t>
        </is>
      </c>
      <c r="U671" s="24" t="inlineStr">
        <is>
          <t>settled</t>
        </is>
      </c>
      <c r="V671" s="24" t="inlineStr">
        <is>
          <t>loss</t>
        </is>
      </c>
      <c r="W671" s="26" t="n">
        <v>2</v>
      </c>
      <c r="X671" s="26" t="n">
        <v>1</v>
      </c>
      <c r="Y671" s="25" t="n"/>
      <c r="Z671" s="26" t="n">
        <v>144</v>
      </c>
      <c r="AA671" s="28" t="n">
        <v>0.41</v>
      </c>
      <c r="AB671" s="28" t="n">
        <v>0.000164</v>
      </c>
      <c r="AC671" s="30" t="n">
        <v>-1</v>
      </c>
      <c r="AD671" s="24" t="inlineStr">
        <is>
          <t>2026-09-13T04:33:35.515519Z</t>
        </is>
      </c>
      <c r="AE671" s="31" t="inlineStr">
        <is>
          <t>Poisson-DC rates 1.59 (home) / 1.30 (away) from EWMA attack/defense strengths. Executable ask 0.4100 (atc-pl1-ali-uni-2026-09-12-ali).</t>
        </is>
      </c>
      <c r="AF671" s="31" t="inlineStr">
        <is>
          <t>Research-only soccer score model; draw-aware, but not yet locked-holdout qualified.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PAPER_CALL_MODEL_UNVALIDATED</t>
        </is>
      </c>
      <c r="AP671" s="24" t="inlineStr">
        <is>
          <t>Universitario</t>
        </is>
      </c>
      <c r="AQ671" s="24" t="inlineStr">
        <is>
          <t>Universitario</t>
        </is>
      </c>
      <c r="AR671" s="24" t="inlineStr">
        <is>
          <t>Universitario</t>
        </is>
      </c>
      <c r="AS671" s="24" t="inlineStr">
        <is>
          <t>Alianza Lima</t>
        </is>
      </c>
      <c r="AT671" s="24" t="inlineStr">
        <is>
          <t>Alianza Lima</t>
        </is>
      </c>
      <c r="AU671" s="24" t="inlineStr">
        <is>
          <t>Alianza Lima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3d16277c2cfc0628d7ec79d04feee92735e5c503a3be195cb225c7c52d024308</t>
        </is>
      </c>
      <c r="BB671" s="24" t="inlineStr">
        <is>
          <t>poisson_dixon_coles</t>
        </is>
      </c>
      <c r="BC671" s="24" t="inlineStr">
        <is>
          <t>soccer-poisson-dc-v1</t>
        </is>
      </c>
      <c r="BD671" s="24" t="inlineStr">
        <is>
          <t>3d16277c2cfc0628d7ec79d04feee92735e5c503a3be195cb225c7c52d024308</t>
        </is>
      </c>
      <c r="BE671" s="24" t="inlineStr">
        <is>
          <t>soccer-poisson-dc-v1</t>
        </is>
      </c>
      <c r="BF671" s="24" t="inlineStr">
        <is>
          <t>1</t>
        </is>
      </c>
      <c r="BG671" s="24" t="inlineStr">
        <is>
          <t>3d16277c2cfc0628d7ec79d04feee92735e5c503a3be195cb225c7c52d024308</t>
        </is>
      </c>
      <c r="BH671" s="24" t="inlineStr">
        <is>
          <t>2026-09-12T16:06:14.711057Z</t>
        </is>
      </c>
      <c r="BI671" s="24" t="inlineStr">
        <is>
          <t>["same_event","same_team_same_day","same_league_same_day"]</t>
        </is>
      </c>
      <c r="BJ671" s="25" t="n"/>
      <c r="BK671" s="26" t="n">
        <v>144</v>
      </c>
      <c r="BL671" s="27" t="n">
        <v>2.44</v>
      </c>
      <c r="BM671" s="28" t="n">
        <v>0.409836</v>
      </c>
      <c r="BN671" s="28" t="n"/>
      <c r="BO671" s="28" t="n"/>
      <c r="BP671" s="25" t="n"/>
      <c r="BQ671" s="27" t="n">
        <v>2.44</v>
      </c>
      <c r="BR671" s="28" t="n">
        <v>0.41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0.409836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"3d16277c2cfc0628d7ec79d04feee92735e5c503a3be195cb225c7c52d024308", "away_team": "Universitario", "event_id": "401886202", "event_start_utc": "2026-09-13T01:00Z", "features": {"away_goal_rate": 1.297, "history_games": 9181, "home_goal_rate": 1.5876, "league_goals_per_team": 1.4281, "min_team_games": 0.0}, "historical_source_observation_times_verified": false, "home_team": "Alianza Lima",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"2026-09-12T22:41:44.815507+00:00", "probabilities": {"away": 0.30089, "draw": 0.268624, "home": 0.430486}, "replay_scope": "Exact full-precision serving state and rounding; upstream historical observation times are not certified.", "schema": "coded-moneyline-replay-v1", "snapshot_hash": "612c250d09ac0d9507d3ab320dcd4740864e0f6464ab30ca105c8580866fc459", "sport": "SOCCER"}</t>
        </is>
      </c>
    </row>
    <row r="672" ht="36" customHeight="1">
      <c r="A672" s="24" t="inlineStr">
        <is>
          <t>5a47302c6ce247b5</t>
        </is>
      </c>
      <c r="B672" s="24" t="inlineStr">
        <is>
          <t>2026-09-13T10:26:30.359399Z</t>
        </is>
      </c>
      <c r="C672" s="24" t="inlineStr">
        <is>
          <t>2026-09-13T13:00Z</t>
        </is>
      </c>
      <c r="D672" s="24" t="inlineStr">
        <is>
          <t>401874936</t>
        </is>
      </c>
      <c r="E672" s="24" t="inlineStr">
        <is>
          <t>SOCCER</t>
        </is>
      </c>
      <c r="F672" s="24" t="inlineStr">
        <is>
          <t>Monza</t>
        </is>
      </c>
      <c r="G672" s="24" t="inlineStr">
        <is>
          <t>Lecce</t>
        </is>
      </c>
      <c r="H672" s="24" t="inlineStr">
        <is>
          <t>total</t>
        </is>
      </c>
      <c r="I672" s="24" t="inlineStr">
        <is>
          <t>under</t>
        </is>
      </c>
      <c r="J672" s="25" t="n">
        <v>2.5</v>
      </c>
      <c r="K672" s="24" t="inlineStr">
        <is>
          <t>polymarket_us</t>
        </is>
      </c>
      <c r="L672" s="26" t="n">
        <v>-9900</v>
      </c>
      <c r="M672" s="27" t="n">
        <v>1.010101</v>
      </c>
      <c r="N672" s="28" t="n">
        <v>0.99</v>
      </c>
      <c r="O672" s="28" t="n">
        <v>0.633481</v>
      </c>
      <c r="P672" s="28" t="n">
        <v>0.04</v>
      </c>
      <c r="Q672" s="28" t="n">
        <v>-0.356519</v>
      </c>
      <c r="R672" s="26" t="n">
        <v>0</v>
      </c>
      <c r="S672" s="29" t="n">
        <v>1</v>
      </c>
      <c r="T672" s="24" t="inlineStr">
        <is>
          <t>soccer-poisson-dc-v1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3</v>
      </c>
      <c r="Y672" s="25" t="n"/>
      <c r="Z672" s="26" t="n">
        <v>-9900</v>
      </c>
      <c r="AA672" s="28" t="n">
        <v>0.99</v>
      </c>
      <c r="AB672" s="28" t="n">
        <v>0</v>
      </c>
      <c r="AC672" s="30" t="n">
        <v>-1</v>
      </c>
      <c r="AD672" s="24" t="inlineStr">
        <is>
          <t>2026-09-13T16:00:19.125381Z</t>
        </is>
      </c>
      <c r="AE672" s="31" t="inlineStr">
        <is>
          <t>Poisson-DC rates 1.53 (home) / 0.63 (away) from EWMA attack/defense strengths. Executable ask 0.9900 (tsc-sea-lec-mon-2026-09-13-sh-2pt5).</t>
        </is>
      </c>
      <c r="AF672" s="31" t="inlineStr">
        <is>
          <t>Research-only soccer score model; draw-aware, but not yet locked-holdout qualified.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Monza</t>
        </is>
      </c>
      <c r="AQ672" s="24" t="inlineStr">
        <is>
          <t>Monza</t>
        </is>
      </c>
      <c r="AR672" s="24" t="inlineStr">
        <is>
          <t>Monza</t>
        </is>
      </c>
      <c r="AS672" s="24" t="inlineStr">
        <is>
          <t>Lecce</t>
        </is>
      </c>
      <c r="AT672" s="24" t="inlineStr">
        <is>
          <t>Lecce</t>
        </is>
      </c>
      <c r="AU672" s="24" t="inlineStr">
        <is>
          <t>Lecce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3d16277c2cfc0628d7ec79d04feee92735e5c503a3be195cb225c7c52d024308</t>
        </is>
      </c>
      <c r="BB672" s="24" t="inlineStr">
        <is>
          <t>poisson_dixon_coles</t>
        </is>
      </c>
      <c r="BC672" s="24" t="inlineStr">
        <is>
          <t>soccer-poisson-dc-v1</t>
        </is>
      </c>
      <c r="BD672" s="24" t="inlineStr">
        <is>
          <t>3d16277c2cfc0628d7ec79d04feee92735e5c503a3be195cb225c7c52d024308</t>
        </is>
      </c>
      <c r="BE672" s="24" t="inlineStr">
        <is>
          <t>soccer-poisson-dc-v1</t>
        </is>
      </c>
      <c r="BF672" s="24" t="inlineStr">
        <is>
          <t>1</t>
        </is>
      </c>
      <c r="BG672" s="24" t="inlineStr">
        <is>
          <t>3d16277c2cfc0628d7ec79d04feee92735e5c503a3be195cb225c7c52d024308</t>
        </is>
      </c>
      <c r="BH672" s="24" t="inlineStr">
        <is>
          <t>2026-09-13T10:21:48.293296Z</t>
        </is>
      </c>
      <c r="BI672" s="24" t="inlineStr">
        <is>
          <t>["same_event","same_team_same_day","same_league_same_day"]</t>
        </is>
      </c>
      <c r="BJ672" s="25" t="n">
        <v>2.5</v>
      </c>
      <c r="BK672" s="26" t="n">
        <v>-9900</v>
      </c>
      <c r="BL672" s="27" t="n">
        <v>1.010101</v>
      </c>
      <c r="BM672" s="28" t="n">
        <v>0.99</v>
      </c>
      <c r="BN672" s="28" t="n"/>
      <c r="BO672" s="28" t="n"/>
      <c r="BP672" s="25" t="n"/>
      <c r="BQ672" s="27" t="n">
        <v>1.010101</v>
      </c>
      <c r="BR672" s="28" t="n">
        <v>0.99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0.99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0a9ebbbedd154969</t>
        </is>
      </c>
      <c r="B673" s="24" t="inlineStr">
        <is>
          <t>2026-09-13T10:26:30.359399Z</t>
        </is>
      </c>
      <c r="C673" s="24" t="inlineStr">
        <is>
          <t>2026-09-13T14:15Z</t>
        </is>
      </c>
      <c r="D673" s="24" t="inlineStr">
        <is>
          <t>401882883</t>
        </is>
      </c>
      <c r="E673" s="24" t="inlineStr">
        <is>
          <t>SOCCER</t>
        </is>
      </c>
      <c r="F673" s="24" t="inlineStr">
        <is>
          <t>Barcelona</t>
        </is>
      </c>
      <c r="G673" s="24" t="inlineStr">
        <is>
          <t>Levante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-567</v>
      </c>
      <c r="M673" s="27" t="n">
        <v>1.176367</v>
      </c>
      <c r="N673" s="28" t="n">
        <v>0.850075</v>
      </c>
      <c r="O673" s="28" t="n">
        <v>0.5914970000000001</v>
      </c>
      <c r="P673" s="28" t="n">
        <v>0.04</v>
      </c>
      <c r="Q673" s="28" t="n">
        <v>-0.258578</v>
      </c>
      <c r="R673" s="26" t="n">
        <v>0</v>
      </c>
      <c r="S673" s="29" t="n">
        <v>1</v>
      </c>
      <c r="T673" s="24" t="inlineStr">
        <is>
          <t>soccer-poisson-dc-v1</t>
        </is>
      </c>
      <c r="U673" s="24" t="inlineStr">
        <is>
          <t>settled</t>
        </is>
      </c>
      <c r="V673" s="24" t="inlineStr">
        <is>
          <t>win</t>
        </is>
      </c>
      <c r="W673" s="26" t="n">
        <v>4</v>
      </c>
      <c r="X673" s="26" t="n">
        <v>2</v>
      </c>
      <c r="Y673" s="25" t="n"/>
      <c r="Z673" s="26" t="n">
        <v>525</v>
      </c>
      <c r="AA673" s="28" t="n">
        <v>0.16</v>
      </c>
      <c r="AB673" s="28" t="n">
        <v>-0.690075</v>
      </c>
      <c r="AC673" s="30" t="n">
        <v>0.1764</v>
      </c>
      <c r="AD673" s="24" t="inlineStr">
        <is>
          <t>2026-09-13T22:01:10.390686Z</t>
        </is>
      </c>
      <c r="AE673" s="31" t="inlineStr">
        <is>
          <t>Poisson-DC rates 1.14 (home) / 2.13 (away) from EWMA attack/defense strengths. Executable ask 0.8500 (atc-lal-lev-fcb-2026-09-13-fcb).</t>
        </is>
      </c>
      <c r="AF673" s="31" t="inlineStr">
        <is>
          <t>Research-only soccer score model; draw-aware, but not yet locked-holdout qualified.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Barcelona</t>
        </is>
      </c>
      <c r="AQ673" s="24" t="inlineStr">
        <is>
          <t>Barcelona</t>
        </is>
      </c>
      <c r="AR673" s="24" t="inlineStr">
        <is>
          <t>Barcelona</t>
        </is>
      </c>
      <c r="AS673" s="24" t="inlineStr">
        <is>
          <t>Levante</t>
        </is>
      </c>
      <c r="AT673" s="24" t="inlineStr">
        <is>
          <t>Levante</t>
        </is>
      </c>
      <c r="AU673" s="24" t="inlineStr">
        <is>
          <t>Levante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3d16277c2cfc0628d7ec79d04feee92735e5c503a3be195cb225c7c52d024308</t>
        </is>
      </c>
      <c r="BB673" s="24" t="inlineStr">
        <is>
          <t>poisson_dixon_coles</t>
        </is>
      </c>
      <c r="BC673" s="24" t="inlineStr">
        <is>
          <t>soccer-poisson-dc-v1</t>
        </is>
      </c>
      <c r="BD673" s="24" t="inlineStr">
        <is>
          <t>3d16277c2cfc0628d7ec79d04feee92735e5c503a3be195cb225c7c52d024308</t>
        </is>
      </c>
      <c r="BE673" s="24" t="inlineStr">
        <is>
          <t>soccer-poisson-dc-v1</t>
        </is>
      </c>
      <c r="BF673" s="24" t="inlineStr">
        <is>
          <t>1</t>
        </is>
      </c>
      <c r="BG673" s="24" t="inlineStr">
        <is>
          <t>3d16277c2cfc0628d7ec79d04feee92735e5c503a3be195cb225c7c52d024308</t>
        </is>
      </c>
      <c r="BH673" s="24" t="inlineStr">
        <is>
          <t>2026-09-13T10:21:15.131054Z</t>
        </is>
      </c>
      <c r="BI673" s="24" t="inlineStr">
        <is>
          <t>["same_event","same_team_same_day","same_league_same_day"]</t>
        </is>
      </c>
      <c r="BJ673" s="25" t="n"/>
      <c r="BK673" s="26" t="n">
        <v>-567</v>
      </c>
      <c r="BL673" s="27" t="n">
        <v>1.176367</v>
      </c>
      <c r="BM673" s="28" t="n">
        <v>0.850075</v>
      </c>
      <c r="BN673" s="28" t="n"/>
      <c r="BO673" s="28" t="n"/>
      <c r="BP673" s="25" t="n"/>
      <c r="BQ673" s="27" t="n">
        <v>6.25</v>
      </c>
      <c r="BR673" s="28" t="n">
        <v>0.16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0.850075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"3d16277c2cfc0628d7ec79d04feee92735e5c503a3be195cb225c7c52d024308", "away_team": "Barcelona", "event_id": "401882883", "event_start_utc": "2026-09-13T14:15Z", "features": {"away_goal_rate": 2.1333, "history_games": 9181, "home_goal_rate": 1.1401, "league_goals_per_team": 1.325, "min_team_games": 38.0}, "historical_source_observation_times_verified": false, "home_team": "Levante", "inference_inputs": {"away_rate": 2.1333355935767804, "code_sha256": {"models/soccer.py": "3d16277c2cfc0628d7ec79d04feee92735e5c503a3be195cb225c7c52d024308"}, "home_rate": 1.1401242543090682, "sport": "SOCCER"}, "market_type": "moneyline", "model_version": "soccer-poisson-dc-v1", "observed_at_utc": "2026-09-13T10:26:29.598641+00:00", "probabilities": {"away": 0.591497, "draw": 0.222122, "home": 0.186381}, "replay_scope": "Exact full-precision serving state and rounding; upstream historical observation times are not certified.", "schema": "coded-moneyline-replay-v1", "snapshot_hash": "52a85397e80c758e29b466290802549753c75f4feae2f8da0b55d636c50cc06d", "sport": "SOCCER"}</t>
        </is>
      </c>
    </row>
    <row r="674" ht="36" customHeight="1">
      <c r="A674" s="24" t="inlineStr">
        <is>
          <t>5ec6b46fede64dee</t>
        </is>
      </c>
      <c r="B674" s="24" t="inlineStr">
        <is>
          <t>2026-09-13T10:26:30.359399Z</t>
        </is>
      </c>
      <c r="C674" s="24" t="inlineStr">
        <is>
          <t>2026-09-13T13:00Z</t>
        </is>
      </c>
      <c r="D674" s="24" t="inlineStr">
        <is>
          <t>401916230</t>
        </is>
      </c>
      <c r="E674" s="24" t="inlineStr">
        <is>
          <t>SOCCER</t>
        </is>
      </c>
      <c r="F674" s="24" t="inlineStr">
        <is>
          <t>Cerro</t>
        </is>
      </c>
      <c r="G674" s="24" t="inlineStr">
        <is>
          <t>Progreso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150</v>
      </c>
      <c r="M674" s="27" t="n">
        <v>2.5</v>
      </c>
      <c r="N674" s="28" t="n">
        <v>0.4</v>
      </c>
      <c r="O674" s="28" t="n">
        <v>0.459261</v>
      </c>
      <c r="P674" s="28" t="n">
        <v>0.2</v>
      </c>
      <c r="Q674" s="28" t="n">
        <v>0.059261</v>
      </c>
      <c r="R674" s="26" t="n">
        <v>0</v>
      </c>
      <c r="S674" s="29" t="n">
        <v>1</v>
      </c>
      <c r="T674" s="24" t="inlineStr">
        <is>
          <t>soccer-poisson-dc-v1</t>
        </is>
      </c>
      <c r="U674" s="24" t="inlineStr">
        <is>
          <t>settled</t>
        </is>
      </c>
      <c r="V674" s="24" t="inlineStr">
        <is>
          <t>loss</t>
        </is>
      </c>
      <c r="W674" s="26" t="n">
        <v>3</v>
      </c>
      <c r="X674" s="26" t="n">
        <v>1</v>
      </c>
      <c r="Y674" s="25" t="n"/>
      <c r="Z674" s="26" t="n">
        <v>150</v>
      </c>
      <c r="AA674" s="28" t="n">
        <v>0.4</v>
      </c>
      <c r="AB674" s="28" t="n">
        <v>0</v>
      </c>
      <c r="AC674" s="30" t="n">
        <v>-1</v>
      </c>
      <c r="AD674" s="24" t="inlineStr">
        <is>
          <t>2026-09-13T16:00:19.695872Z</t>
        </is>
      </c>
      <c r="AE674" s="31" t="inlineStr">
        <is>
          <t>Poisson-DC rates 1.43 (home) / 0.99 (away) from EWMA attack/defense strengths. Executable ask 0.4000 (atc-uru1-pro-cer-2026-09-13-pro).</t>
        </is>
      </c>
      <c r="AF674" s="31" t="inlineStr">
        <is>
          <t>Research-only soccer score model; draw-aware, but not yet locked-holdout qualified.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PAPER_CALL_MODEL_UNVALIDATED</t>
        </is>
      </c>
      <c r="AP674" s="24" t="inlineStr">
        <is>
          <t>Cerro</t>
        </is>
      </c>
      <c r="AQ674" s="24" t="inlineStr">
        <is>
          <t>Cerro</t>
        </is>
      </c>
      <c r="AR674" s="24" t="inlineStr">
        <is>
          <t>Cerro</t>
        </is>
      </c>
      <c r="AS674" s="24" t="inlineStr">
        <is>
          <t>Progreso</t>
        </is>
      </c>
      <c r="AT674" s="24" t="inlineStr">
        <is>
          <t>Progreso</t>
        </is>
      </c>
      <c r="AU674" s="24" t="inlineStr">
        <is>
          <t>Progreso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3d16277c2cfc0628d7ec79d04feee92735e5c503a3be195cb225c7c52d024308</t>
        </is>
      </c>
      <c r="BB674" s="24" t="inlineStr">
        <is>
          <t>poisson_dixon_coles</t>
        </is>
      </c>
      <c r="BC674" s="24" t="inlineStr">
        <is>
          <t>soccer-poisson-dc-v1</t>
        </is>
      </c>
      <c r="BD674" s="24" t="inlineStr">
        <is>
          <t>3d16277c2cfc0628d7ec79d04feee92735e5c503a3be195cb225c7c52d024308</t>
        </is>
      </c>
      <c r="BE674" s="24" t="inlineStr">
        <is>
          <t>soccer-poisson-dc-v1</t>
        </is>
      </c>
      <c r="BF674" s="24" t="inlineStr">
        <is>
          <t>1</t>
        </is>
      </c>
      <c r="BG674" s="24" t="inlineStr">
        <is>
          <t>3d16277c2cfc0628d7ec79d04feee92735e5c503a3be195cb225c7c52d024308</t>
        </is>
      </c>
      <c r="BH674" s="24" t="inlineStr">
        <is>
          <t>2026-09-13T10:23:05.094588Z</t>
        </is>
      </c>
      <c r="BI674" s="24" t="inlineStr">
        <is>
          <t>["same_event","same_team_same_day","same_league_same_day"]</t>
        </is>
      </c>
      <c r="BJ674" s="25" t="n"/>
      <c r="BK674" s="26" t="n">
        <v>150</v>
      </c>
      <c r="BL674" s="27" t="n">
        <v>2.5</v>
      </c>
      <c r="BM674" s="28" t="n">
        <v>0.4</v>
      </c>
      <c r="BN674" s="28" t="n"/>
      <c r="BO674" s="28" t="n"/>
      <c r="BP674" s="25" t="n"/>
      <c r="BQ674" s="27" t="n">
        <v>2.5</v>
      </c>
      <c r="BR674" s="28" t="n">
        <v>0.4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0.4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"3d16277c2cfc0628d7ec79d04feee92735e5c503a3be195cb225c7c52d024308", "away_team": "Cerro", "event_id": "401916230", "event_start_utc": "2026-09-13T13:00Z", "features": {"away_goal_rate": 0.9934, "history_games": 9181, "home_goal_rate": 1.4328, "league_goals_per_team": 1.4281, "min_team_games": 0.0}, "historical_source_observation_times_verified": false, "home_team": "Progreso", "inference_inputs": {"away_rate": 0.9934316144400299, "code_sha256": {"models/soccer.py": "3d16277c2cfc0628d7ec79d04feee92735e5c503a3be195cb225c7c52d024308"}, "home_rate": 1.432797311408342, "sport": "SOCCER"}, "market_type": "moneyline", "model_version": "soccer-poisson-dc-v1", "observed_at_utc": "2026-09-13T10:26:29.598641+00:00", "probabilities": {"away": 0.248923, "draw": 0.291816, "home": 0.459261}, "replay_scope": "Exact full-precision serving state and rounding; upstream historical observation times are not certified.", "schema": "coded-moneyline-replay-v1", "snapshot_hash": "bd5e152f0f76323540df639ba5543389728b93a29fe7e61ba6867bf117ecf962", "sport": "SOCCER"}</t>
        </is>
      </c>
    </row>
    <row r="675" ht="36" customHeight="1">
      <c r="A675" s="24" t="inlineStr">
        <is>
          <t>c89d1f89c6474b07</t>
        </is>
      </c>
      <c r="B675" s="24" t="inlineStr">
        <is>
          <t>2026-09-13T16:24:41.631534Z</t>
        </is>
      </c>
      <c r="C675" s="24" t="inlineStr">
        <is>
          <t>2026-09-13T16:30Z</t>
        </is>
      </c>
      <c r="D675" s="24" t="inlineStr">
        <is>
          <t>401882884</t>
        </is>
      </c>
      <c r="E675" s="24" t="inlineStr">
        <is>
          <t>SOCCER</t>
        </is>
      </c>
      <c r="F675" s="24" t="inlineStr">
        <is>
          <t>Deportivo</t>
        </is>
      </c>
      <c r="G675" s="24" t="inlineStr">
        <is>
          <t>Getafe</t>
        </is>
      </c>
      <c r="H675" s="24" t="inlineStr">
        <is>
          <t>total</t>
        </is>
      </c>
      <c r="I675" s="24" t="inlineStr">
        <is>
          <t>under</t>
        </is>
      </c>
      <c r="J675" s="25" t="n">
        <v>2.5</v>
      </c>
      <c r="K675" s="24" t="inlineStr">
        <is>
          <t>polymarket_us</t>
        </is>
      </c>
      <c r="L675" s="26" t="n">
        <v>-233</v>
      </c>
      <c r="M675" s="27" t="n">
        <v>1.429185</v>
      </c>
      <c r="N675" s="28" t="n">
        <v>0.6997</v>
      </c>
      <c r="O675" s="28" t="n">
        <v>0.726234</v>
      </c>
      <c r="P675" s="28" t="n">
        <v>0.2</v>
      </c>
      <c r="Q675" s="28" t="n">
        <v>0.026534</v>
      </c>
      <c r="R675" s="26" t="n">
        <v>0</v>
      </c>
      <c r="S675" s="29" t="n">
        <v>1</v>
      </c>
      <c r="T675" s="24" t="inlineStr">
        <is>
          <t>soccer-poisson-dc-v1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1</v>
      </c>
      <c r="Y675" s="25" t="n"/>
      <c r="Z675" s="26" t="n">
        <v>-233</v>
      </c>
      <c r="AA675" s="28" t="n">
        <v>0.7</v>
      </c>
      <c r="AB675" s="28" t="n">
        <v>0.0003</v>
      </c>
      <c r="AC675" s="30" t="n">
        <v>0.4292</v>
      </c>
      <c r="AD675" s="24" t="inlineStr">
        <is>
          <t>2026-09-13T22:01:33.299198Z</t>
        </is>
      </c>
      <c r="AE675" s="31" t="inlineStr">
        <is>
          <t>Poisson-DC rates 1.02 (home) / 0.80 (away) from EWMA attack/defense strengths. Executable ask 0.7000 (tsc-lal-get-dep-2026-09-13-2pt5).</t>
        </is>
      </c>
      <c r="AF675" s="31" t="inlineStr">
        <is>
          <t>Research-only soccer score model; draw-aware, but not yet locked-holdout qualified.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PAPER_CALL_MODEL_UNVALIDATED</t>
        </is>
      </c>
      <c r="AP675" s="24" t="inlineStr">
        <is>
          <t>Deportivo</t>
        </is>
      </c>
      <c r="AQ675" s="24" t="inlineStr">
        <is>
          <t>Deportivo</t>
        </is>
      </c>
      <c r="AR675" s="24" t="inlineStr">
        <is>
          <t>Deportivo</t>
        </is>
      </c>
      <c r="AS675" s="24" t="inlineStr">
        <is>
          <t>Getafe</t>
        </is>
      </c>
      <c r="AT675" s="24" t="inlineStr">
        <is>
          <t>Getafe</t>
        </is>
      </c>
      <c r="AU675" s="24" t="inlineStr">
        <is>
          <t>Getafe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3d16277c2cfc0628d7ec79d04feee92735e5c503a3be195cb225c7c52d024308</t>
        </is>
      </c>
      <c r="BB675" s="24" t="inlineStr">
        <is>
          <t>poisson_dixon_coles</t>
        </is>
      </c>
      <c r="BC675" s="24" t="inlineStr">
        <is>
          <t>soccer-poisson-dc-v1</t>
        </is>
      </c>
      <c r="BD675" s="24" t="inlineStr">
        <is>
          <t>3d16277c2cfc0628d7ec79d04feee92735e5c503a3be195cb225c7c52d024308</t>
        </is>
      </c>
      <c r="BE675" s="24" t="inlineStr">
        <is>
          <t>soccer-poisson-dc-v1</t>
        </is>
      </c>
      <c r="BF675" s="24" t="inlineStr">
        <is>
          <t>1</t>
        </is>
      </c>
      <c r="BG675" s="24" t="inlineStr">
        <is>
          <t>3d16277c2cfc0628d7ec79d04feee92735e5c503a3be195cb225c7c52d024308</t>
        </is>
      </c>
      <c r="BH675" s="24" t="inlineStr">
        <is>
          <t>2026-09-13T04:55:13.551604Z</t>
        </is>
      </c>
      <c r="BI675" s="24" t="inlineStr">
        <is>
          <t>["same_event","same_team_same_day","same_league_same_day"]</t>
        </is>
      </c>
      <c r="BJ675" s="25" t="n">
        <v>2.5</v>
      </c>
      <c r="BK675" s="26" t="n">
        <v>-233</v>
      </c>
      <c r="BL675" s="27" t="n">
        <v>1.429185</v>
      </c>
      <c r="BM675" s="28" t="n">
        <v>0.6997</v>
      </c>
      <c r="BN675" s="28" t="n"/>
      <c r="BO675" s="28" t="n"/>
      <c r="BP675" s="25" t="n"/>
      <c r="BQ675" s="27" t="n">
        <v>1.429185</v>
      </c>
      <c r="BR675" s="28" t="n">
        <v>0.7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0.6997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0c15232221224e59</t>
        </is>
      </c>
      <c r="B676" s="24" t="inlineStr">
        <is>
          <t>2026-09-13T16:24:41.631534Z</t>
        </is>
      </c>
      <c r="C676" s="24" t="inlineStr">
        <is>
          <t>2026-09-13T21:30Z</t>
        </is>
      </c>
      <c r="D676" s="24" t="inlineStr">
        <is>
          <t>401860341</t>
        </is>
      </c>
      <c r="E676" s="24" t="inlineStr">
        <is>
          <t>SOCCER</t>
        </is>
      </c>
      <c r="F676" s="24" t="inlineStr">
        <is>
          <t>Ceará</t>
        </is>
      </c>
      <c r="G676" s="24" t="inlineStr">
        <is>
          <t>Fortaleza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100</v>
      </c>
      <c r="M676" s="27" t="n">
        <v>2</v>
      </c>
      <c r="N676" s="28" t="n">
        <v>0.5</v>
      </c>
      <c r="O676" s="28" t="n">
        <v>0.456135</v>
      </c>
      <c r="P676" s="28" t="n">
        <v>0.2</v>
      </c>
      <c r="Q676" s="28" t="n">
        <v>-0.043865</v>
      </c>
      <c r="R676" s="26" t="n">
        <v>0</v>
      </c>
      <c r="S676" s="29" t="n">
        <v>1</v>
      </c>
      <c r="T676" s="24" t="inlineStr">
        <is>
          <t>soccer-poisson-dc-v1</t>
        </is>
      </c>
      <c r="U676" s="24" t="inlineStr">
        <is>
          <t>settled</t>
        </is>
      </c>
      <c r="V676" s="24" t="inlineStr">
        <is>
          <t>loss</t>
        </is>
      </c>
      <c r="W676" s="26" t="n">
        <v>1</v>
      </c>
      <c r="X676" s="26" t="n">
        <v>1</v>
      </c>
      <c r="Y676" s="25" t="n"/>
      <c r="Z676" s="26" t="n">
        <v>100</v>
      </c>
      <c r="AA676" s="28" t="n">
        <v>0.5</v>
      </c>
      <c r="AB676" s="28" t="n">
        <v>0</v>
      </c>
      <c r="AC676" s="30" t="n">
        <v>-1</v>
      </c>
      <c r="AD676" s="24" t="inlineStr">
        <is>
          <t>2026-09-14T04:33:32.452053Z</t>
        </is>
      </c>
      <c r="AE676" s="31" t="inlineStr">
        <is>
          <t>Poisson-DC rates 1.64 (home) / 1.24 (away) from EWMA attack/defense strengths. Executable ask 0.5000 (atc-brb-fec-csc-2026-09-13-fec).</t>
        </is>
      </c>
      <c r="AF676" s="31" t="inlineStr">
        <is>
          <t>Research-only soccer score model; draw-aware, but not yet locked-holdout qualified.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Ceará</t>
        </is>
      </c>
      <c r="AQ676" s="24" t="inlineStr">
        <is>
          <t>Ceará</t>
        </is>
      </c>
      <c r="AR676" s="24" t="inlineStr">
        <is>
          <t>Ceará</t>
        </is>
      </c>
      <c r="AS676" s="24" t="inlineStr">
        <is>
          <t>Fortaleza</t>
        </is>
      </c>
      <c r="AT676" s="24" t="inlineStr">
        <is>
          <t>Fortaleza</t>
        </is>
      </c>
      <c r="AU676" s="24" t="inlineStr">
        <is>
          <t>Fortaleza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3d16277c2cfc0628d7ec79d04feee92735e5c503a3be195cb225c7c52d024308</t>
        </is>
      </c>
      <c r="BB676" s="24" t="inlineStr">
        <is>
          <t>poisson_dixon_coles</t>
        </is>
      </c>
      <c r="BC676" s="24" t="inlineStr">
        <is>
          <t>soccer-poisson-dc-v1</t>
        </is>
      </c>
      <c r="BD676" s="24" t="inlineStr">
        <is>
          <t>3d16277c2cfc0628d7ec79d04feee92735e5c503a3be195cb225c7c52d024308</t>
        </is>
      </c>
      <c r="BE676" s="24" t="inlineStr">
        <is>
          <t>soccer-poisson-dc-v1</t>
        </is>
      </c>
      <c r="BF676" s="24" t="inlineStr">
        <is>
          <t>1</t>
        </is>
      </c>
      <c r="BG676" s="24" t="inlineStr">
        <is>
          <t>3d16277c2cfc0628d7ec79d04feee92735e5c503a3be195cb225c7c52d024308</t>
        </is>
      </c>
      <c r="BH676" s="24" t="inlineStr">
        <is>
          <t>2026-09-13T16:21:44.279198Z</t>
        </is>
      </c>
      <c r="BI676" s="24" t="inlineStr">
        <is>
          <t>["same_event","same_team_same_day","same_league_same_day"]</t>
        </is>
      </c>
      <c r="BJ676" s="25" t="n"/>
      <c r="BK676" s="26" t="n">
        <v>100</v>
      </c>
      <c r="BL676" s="27" t="n">
        <v>2</v>
      </c>
      <c r="BM676" s="28" t="n">
        <v>0.5</v>
      </c>
      <c r="BN676" s="28" t="n"/>
      <c r="BO676" s="28" t="n"/>
      <c r="BP676" s="25" t="n"/>
      <c r="BQ676" s="27" t="n">
        <v>2</v>
      </c>
      <c r="BR676" s="28" t="n">
        <v>0.5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"3d16277c2cfc0628d7ec79d04feee92735e5c503a3be195cb225c7c52d024308", "away_team": "Cear\u00e1", "event_id": "401860341", "event_start_utc": "2026-09-13T21:30Z", "features": {"away_goal_rate": 1.2418, "history_games": 9181, "home_goal_rate": 1.6423, "league_goals_per_team": 1.4281, "min_team_games": 0.0}, "historical_source_observation_times_verified": false, "home_team": "Fortaleza",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"c7242cf5e28b397add5aff8144a6e94102fb2653e0a0c683191a7679443cab47", "sport": "SOCCER"}</t>
        </is>
      </c>
    </row>
    <row r="677" ht="36" customHeight="1">
      <c r="A677" s="24" t="inlineStr">
        <is>
          <t>92ab700407f24e53</t>
        </is>
      </c>
      <c r="B677" s="24" t="inlineStr">
        <is>
          <t>2026-09-13T16:24:41.631534Z</t>
        </is>
      </c>
      <c r="C677" s="24" t="inlineStr">
        <is>
          <t>2026-09-13T20:00Z</t>
        </is>
      </c>
      <c r="D677" s="24" t="inlineStr">
        <is>
          <t>401841560</t>
        </is>
      </c>
      <c r="E677" s="24" t="inlineStr">
        <is>
          <t>SOCCER</t>
        </is>
      </c>
      <c r="F677" s="24" t="inlineStr">
        <is>
          <t>Gimnasia La Plata</t>
        </is>
      </c>
      <c r="G677" s="24" t="inlineStr">
        <is>
          <t>Argentinos Juniors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-122</v>
      </c>
      <c r="M677" s="27" t="n">
        <v>1.819672</v>
      </c>
      <c r="N677" s="28" t="n">
        <v>0.54955</v>
      </c>
      <c r="O677" s="28" t="n">
        <v>0.456135</v>
      </c>
      <c r="P677" s="28" t="n">
        <v>0.2</v>
      </c>
      <c r="Q677" s="28" t="n">
        <v>-0.093415</v>
      </c>
      <c r="R677" s="26" t="n">
        <v>0</v>
      </c>
      <c r="S677" s="29" t="n">
        <v>1</v>
      </c>
      <c r="T677" s="24" t="inlineStr">
        <is>
          <t>soccer-poisson-dc-v1</t>
        </is>
      </c>
      <c r="U677" s="24" t="inlineStr">
        <is>
          <t>settled</t>
        </is>
      </c>
      <c r="V677" s="24" t="inlineStr">
        <is>
          <t>loss</t>
        </is>
      </c>
      <c r="W677" s="26" t="n">
        <v>1</v>
      </c>
      <c r="X677" s="26" t="n">
        <v>1</v>
      </c>
      <c r="Y677" s="25" t="n"/>
      <c r="Z677" s="26" t="n">
        <v>-122</v>
      </c>
      <c r="AA677" s="28" t="n">
        <v>0.55</v>
      </c>
      <c r="AB677" s="28" t="n">
        <v>0.00045</v>
      </c>
      <c r="AC677" s="30" t="n">
        <v>-1</v>
      </c>
      <c r="AD677" s="24" t="inlineStr">
        <is>
          <t>2026-09-13T22:01:33.857737Z</t>
        </is>
      </c>
      <c r="AE677" s="31" t="inlineStr">
        <is>
          <t>Poisson-DC rates 1.64 (home) / 1.24 (away) from EWMA attack/defense strengths. Executable ask 0.5500 (atc-lpa-aaj-gim-2026-09-13-aaj).</t>
        </is>
      </c>
      <c r="AF677" s="31" t="inlineStr">
        <is>
          <t>Research-only soccer score model; draw-aware, but not yet locked-holdout qualified.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PAPER_CALL_MODEL_UNVALIDATED</t>
        </is>
      </c>
      <c r="AP677" s="24" t="inlineStr">
        <is>
          <t>Gimnasia La Plata</t>
        </is>
      </c>
      <c r="AQ677" s="24" t="inlineStr">
        <is>
          <t>Gimnasia La Plata</t>
        </is>
      </c>
      <c r="AR677" s="24" t="inlineStr">
        <is>
          <t>Gimnasia La Plata</t>
        </is>
      </c>
      <c r="AS677" s="24" t="inlineStr">
        <is>
          <t>Argentinos Juniors</t>
        </is>
      </c>
      <c r="AT677" s="24" t="inlineStr">
        <is>
          <t>Argentinos Juniors</t>
        </is>
      </c>
      <c r="AU677" s="24" t="inlineStr">
        <is>
          <t>Argentinos Juniors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3d16277c2cfc0628d7ec79d04feee92735e5c503a3be195cb225c7c52d024308</t>
        </is>
      </c>
      <c r="BB677" s="24" t="inlineStr">
        <is>
          <t>poisson_dixon_coles</t>
        </is>
      </c>
      <c r="BC677" s="24" t="inlineStr">
        <is>
          <t>soccer-poisson-dc-v1</t>
        </is>
      </c>
      <c r="BD677" s="24" t="inlineStr">
        <is>
          <t>3d16277c2cfc0628d7ec79d04feee92735e5c503a3be195cb225c7c52d024308</t>
        </is>
      </c>
      <c r="BE677" s="24" t="inlineStr">
        <is>
          <t>soccer-poisson-dc-v1</t>
        </is>
      </c>
      <c r="BF677" s="24" t="inlineStr">
        <is>
          <t>1</t>
        </is>
      </c>
      <c r="BG677" s="24" t="inlineStr">
        <is>
          <t>3d16277c2cfc0628d7ec79d04feee92735e5c503a3be195cb225c7c52d024308</t>
        </is>
      </c>
      <c r="BH677" s="24" t="inlineStr">
        <is>
          <t>2026-09-13T16:21:44.548475Z</t>
        </is>
      </c>
      <c r="BI677" s="24" t="inlineStr">
        <is>
          <t>["same_event","same_team_same_day","same_league_same_day"]</t>
        </is>
      </c>
      <c r="BJ677" s="25" t="n"/>
      <c r="BK677" s="26" t="n">
        <v>-122</v>
      </c>
      <c r="BL677" s="27" t="n">
        <v>1.819672</v>
      </c>
      <c r="BM677" s="28" t="n">
        <v>0.54955</v>
      </c>
      <c r="BN677" s="28" t="n"/>
      <c r="BO677" s="28" t="n"/>
      <c r="BP677" s="25" t="n"/>
      <c r="BQ677" s="27" t="n">
        <v>1.819672</v>
      </c>
      <c r="BR677" s="28" t="n">
        <v>0.55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0.54955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"3d16277c2cfc0628d7ec79d04feee92735e5c503a3be195cb225c7c52d024308", "away_team": "Gimnasia La Plata", "event_id": "401841560", "event_start_utc": "2026-09-13T20:00Z", "features": {"away_goal_rate": 1.2418, "history_games": 9181, "home_goal_rate": 1.6423, "league_goals_per_team": 1.4281, "min_team_games": 0.0}, "historical_source_observation_times_verified": false, "home_team": "Argentinos Juniors",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"646a68f381953f8ce65faad396a903f905ac8ac8c6843f924d97d762d228e450", "sport": "SOCCER"}</t>
        </is>
      </c>
    </row>
    <row r="678" ht="36" customHeight="1">
      <c r="A678" s="24" t="inlineStr">
        <is>
          <t>5854078dde884c55</t>
        </is>
      </c>
      <c r="B678" s="24" t="inlineStr">
        <is>
          <t>2026-09-13T16:24:41.631534Z</t>
        </is>
      </c>
      <c r="C678" s="24" t="inlineStr">
        <is>
          <t>2026-09-13T19:00Z</t>
        </is>
      </c>
      <c r="D678" s="24" t="inlineStr">
        <is>
          <t>401844132</t>
        </is>
      </c>
      <c r="E678" s="24" t="inlineStr">
        <is>
          <t>SOCCER</t>
        </is>
      </c>
      <c r="F678" s="24" t="inlineStr">
        <is>
          <t>Chaco For Ever</t>
        </is>
      </c>
      <c r="G678" s="24" t="inlineStr">
        <is>
          <t>Mitre (Santiago del Estero)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122</v>
      </c>
      <c r="M678" s="27" t="n">
        <v>2.22</v>
      </c>
      <c r="N678" s="28" t="n">
        <v>0.45045</v>
      </c>
      <c r="O678" s="28" t="n">
        <v>0.456135</v>
      </c>
      <c r="P678" s="28" t="n">
        <v>0.2</v>
      </c>
      <c r="Q678" s="28" t="n">
        <v>0.005685</v>
      </c>
      <c r="R678" s="26" t="n">
        <v>0</v>
      </c>
      <c r="S678" s="29" t="n">
        <v>1</v>
      </c>
      <c r="T678" s="24" t="inlineStr">
        <is>
          <t>soccer-poisson-dc-v1</t>
        </is>
      </c>
      <c r="U678" s="24" t="inlineStr">
        <is>
          <t>settled</t>
        </is>
      </c>
      <c r="V678" s="24" t="inlineStr">
        <is>
          <t>loss</t>
        </is>
      </c>
      <c r="W678" s="26" t="n">
        <v>0</v>
      </c>
      <c r="X678" s="26" t="n">
        <v>0</v>
      </c>
      <c r="Y678" s="25" t="n"/>
      <c r="Z678" s="26" t="n">
        <v>122</v>
      </c>
      <c r="AA678" s="28" t="n">
        <v>0.45</v>
      </c>
      <c r="AB678" s="28" t="n">
        <v>-0.00045</v>
      </c>
      <c r="AC678" s="30" t="n">
        <v>-1</v>
      </c>
      <c r="AD678" s="24" t="inlineStr">
        <is>
          <t>2026-09-13T22:01:34.418197Z</t>
        </is>
      </c>
      <c r="AE678" s="31" t="inlineStr">
        <is>
          <t>Poisson-DC rates 1.64 (home) / 1.24 (away) from EWMA attack/defense strengths. Executable ask 0.4500 (atc-arg2-cam-cfe-2026-09-12-cam).</t>
        </is>
      </c>
      <c r="AF678" s="31" t="inlineStr">
        <is>
          <t>Research-only soccer score model; draw-aware, but not yet locked-holdout qualified.</t>
        </is>
      </c>
      <c r="AG678" s="24" t="inlineStr">
        <is>
          <t>review_required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Chaco For Ever</t>
        </is>
      </c>
      <c r="AQ678" s="24" t="inlineStr">
        <is>
          <t>Chaco For Ever</t>
        </is>
      </c>
      <c r="AR678" s="24" t="inlineStr">
        <is>
          <t>Chaco For Ever</t>
        </is>
      </c>
      <c r="AS678" s="24" t="inlineStr">
        <is>
          <t>Mitre (Santiago del Estero)</t>
        </is>
      </c>
      <c r="AT678" s="24" t="inlineStr">
        <is>
          <t>Mitre (Santiago del Estero)</t>
        </is>
      </c>
      <c r="AU678" s="24" t="inlineStr">
        <is>
          <t>Mitre (Santiago del Estero)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3d16277c2cfc0628d7ec79d04feee92735e5c503a3be195cb225c7c52d024308</t>
        </is>
      </c>
      <c r="BB678" s="24" t="inlineStr">
        <is>
          <t>poisson_dixon_coles</t>
        </is>
      </c>
      <c r="BC678" s="24" t="inlineStr">
        <is>
          <t>soccer-poisson-dc-v1</t>
        </is>
      </c>
      <c r="BD678" s="24" t="inlineStr">
        <is>
          <t>3d16277c2cfc0628d7ec79d04feee92735e5c503a3be195cb225c7c52d024308</t>
        </is>
      </c>
      <c r="BE678" s="24" t="inlineStr">
        <is>
          <t>soccer-poisson-dc-v1</t>
        </is>
      </c>
      <c r="BF678" s="24" t="inlineStr">
        <is>
          <t>1</t>
        </is>
      </c>
      <c r="BG678" s="24" t="inlineStr">
        <is>
          <t>3d16277c2cfc0628d7ec79d04feee92735e5c503a3be195cb225c7c52d024308</t>
        </is>
      </c>
      <c r="BH678" s="24" t="inlineStr">
        <is>
          <t>2026-09-13T04:56:44.330832Z</t>
        </is>
      </c>
      <c r="BI678" s="24" t="inlineStr">
        <is>
          <t>["same_event","same_team_same_day","same_league_same_day"]</t>
        </is>
      </c>
      <c r="BJ678" s="25" t="n"/>
      <c r="BK678" s="26" t="n">
        <v>122</v>
      </c>
      <c r="BL678" s="27" t="n">
        <v>2.22</v>
      </c>
      <c r="BM678" s="28" t="n">
        <v>0.45045</v>
      </c>
      <c r="BN678" s="28" t="n"/>
      <c r="BO678" s="28" t="n"/>
      <c r="BP678" s="25" t="n"/>
      <c r="BQ678" s="27" t="n">
        <v>2.22</v>
      </c>
      <c r="BR678" s="28" t="n">
        <v>0.45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0.45045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"3d16277c2cfc0628d7ec79d04feee92735e5c503a3be195cb225c7c52d024308", "away_team": "Chaco For Ever", "event_id": "401844132", "event_start_utc": "2026-09-13T19:00Z", "features": {"away_goal_rate": 1.2418, "history_games": 9181, "home_goal_rate": 1.6423, "league_goals_per_team": 1.4281, "min_team_games": 0.0}, "historical_source_observation_times_verified": false, "home_team": "Mitre (Santiago del Estero)",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"ce00f1487363420c935fadd9d1aca60ed2968d77afeb9dd93baee65f75c3fa9b", "sport": "SOCCER"}</t>
        </is>
      </c>
    </row>
    <row r="679" ht="36" customHeight="1">
      <c r="A679" s="24" t="inlineStr">
        <is>
          <t>9ab442d021584025</t>
        </is>
      </c>
      <c r="B679" s="24" t="inlineStr">
        <is>
          <t>2026-09-13T16:24:41.631534Z</t>
        </is>
      </c>
      <c r="C679" s="24" t="inlineStr">
        <is>
          <t>2026-09-13T18:00Z</t>
        </is>
      </c>
      <c r="D679" s="24" t="inlineStr">
        <is>
          <t>401850656</t>
        </is>
      </c>
      <c r="E679" s="24" t="inlineStr">
        <is>
          <t>SOCCER</t>
        </is>
      </c>
      <c r="F679" s="24" t="inlineStr">
        <is>
          <t>Universidad de Chile</t>
        </is>
      </c>
      <c r="G679" s="24" t="inlineStr">
        <is>
          <t>La Serena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317</v>
      </c>
      <c r="M679" s="27" t="n">
        <v>4.17</v>
      </c>
      <c r="N679" s="28" t="n">
        <v>0.239808</v>
      </c>
      <c r="O679" s="28" t="n">
        <v>0.451659</v>
      </c>
      <c r="P679" s="28" t="n">
        <v>0.2</v>
      </c>
      <c r="Q679" s="28" t="n">
        <v>0.211851</v>
      </c>
      <c r="R679" s="26" t="n">
        <v>36</v>
      </c>
      <c r="S679" s="29" t="n">
        <v>1</v>
      </c>
      <c r="T679" s="24" t="inlineStr">
        <is>
          <t>soccer-poisson-dc-v1</t>
        </is>
      </c>
      <c r="U679" s="24" t="inlineStr">
        <is>
          <t>settled</t>
        </is>
      </c>
      <c r="V679" s="24" t="inlineStr">
        <is>
          <t>loss</t>
        </is>
      </c>
      <c r="W679" s="26" t="n">
        <v>3</v>
      </c>
      <c r="X679" s="26" t="n">
        <v>0</v>
      </c>
      <c r="Y679" s="25" t="n"/>
      <c r="Z679" s="26" t="n">
        <v>317</v>
      </c>
      <c r="AA679" s="28" t="n">
        <v>0.24</v>
      </c>
      <c r="AB679" s="28" t="n">
        <v>0.000192</v>
      </c>
      <c r="AC679" s="30" t="n">
        <v>-1</v>
      </c>
      <c r="AD679" s="24" t="inlineStr">
        <is>
          <t>2026-09-13T22:01:34.977634Z</t>
        </is>
      </c>
      <c r="AE679" s="31" t="inlineStr">
        <is>
          <t>Poisson-DC rates 1.59 (home) / 1.20 (away) from EWMA attack/defense strengths. Executable ask 0.2400 (atc-pdc-ser-unc-2026-09-13-ser).</t>
        </is>
      </c>
      <c r="AF679" s="31" t="inlineStr">
        <is>
          <t>Research-only soccer score model; draw-aware, but not yet locked-holdout qualified.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PAPER_CALL_MODEL_UNVALIDATED</t>
        </is>
      </c>
      <c r="AP679" s="24" t="inlineStr">
        <is>
          <t>Universidad de Chile</t>
        </is>
      </c>
      <c r="AQ679" s="24" t="inlineStr">
        <is>
          <t>Universidad de Chile</t>
        </is>
      </c>
      <c r="AR679" s="24" t="inlineStr">
        <is>
          <t>Universidad de Chile</t>
        </is>
      </c>
      <c r="AS679" s="24" t="inlineStr">
        <is>
          <t>La Serena</t>
        </is>
      </c>
      <c r="AT679" s="24" t="inlineStr">
        <is>
          <t>La Serena</t>
        </is>
      </c>
      <c r="AU679" s="24" t="inlineStr">
        <is>
          <t>La Serena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3d16277c2cfc0628d7ec79d04feee92735e5c503a3be195cb225c7c52d024308</t>
        </is>
      </c>
      <c r="BB679" s="24" t="inlineStr">
        <is>
          <t>poisson_dixon_coles</t>
        </is>
      </c>
      <c r="BC679" s="24" t="inlineStr">
        <is>
          <t>soccer-poisson-dc-v1</t>
        </is>
      </c>
      <c r="BD679" s="24" t="inlineStr">
        <is>
          <t>3d16277c2cfc0628d7ec79d04feee92735e5c503a3be195cb225c7c52d024308</t>
        </is>
      </c>
      <c r="BE679" s="24" t="inlineStr">
        <is>
          <t>soccer-poisson-dc-v1</t>
        </is>
      </c>
      <c r="BF679" s="24" t="inlineStr">
        <is>
          <t>1</t>
        </is>
      </c>
      <c r="BG679" s="24" t="inlineStr">
        <is>
          <t>3d16277c2cfc0628d7ec79d04feee92735e5c503a3be195cb225c7c52d024308</t>
        </is>
      </c>
      <c r="BH679" s="24" t="inlineStr">
        <is>
          <t>2026-09-13T16:21:55.250366Z</t>
        </is>
      </c>
      <c r="BI679" s="24" t="inlineStr">
        <is>
          <t>["same_event","same_team_same_day","same_league_same_day"]</t>
        </is>
      </c>
      <c r="BJ679" s="25" t="n"/>
      <c r="BK679" s="26" t="n">
        <v>317</v>
      </c>
      <c r="BL679" s="27" t="n">
        <v>4.17</v>
      </c>
      <c r="BM679" s="28" t="n">
        <v>0.239808</v>
      </c>
      <c r="BN679" s="28" t="n"/>
      <c r="BO679" s="28" t="n"/>
      <c r="BP679" s="25" t="n"/>
      <c r="BQ679" s="27" t="n">
        <v>4.17</v>
      </c>
      <c r="BR679" s="28" t="n">
        <v>0.24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0.239808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"3d16277c2cfc0628d7ec79d04feee92735e5c503a3be195cb225c7c52d024308", "away_team": "Universidad de Chile", "event_id": "401850656", "event_start_utc": "2026-09-13T18:00Z", "features": {"away_goal_rate": 1.2004, "history_games": 9181, "home_goal_rate": 1.5876, "league_goals_per_team": 1.4281, "min_team_games": 0.0}, "historical_source_observation_times_verified": false, "home_team": "La Serena",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"2026-09-13T16:24:40.604119+00:00", "probabilities": {"away": 0.276813, "draw": 0.271528, "home": 0.451659}, "replay_scope": "Exact full-precision serving state and rounding; upstream historical observation times are not certified.", "schema": "coded-moneyline-replay-v1", "snapshot_hash": "ffb797480d5d6f37d60d2562569eef016fb2f6de6ff87904b158564470596dd0", "sport": "SOCCER"}</t>
        </is>
      </c>
    </row>
    <row r="680" ht="36" customHeight="1">
      <c r="A680" s="24" t="inlineStr">
        <is>
          <t>7354e5a9ea354276</t>
        </is>
      </c>
      <c r="B680" s="24" t="inlineStr">
        <is>
          <t>2026-09-13T22:10:06.507952Z</t>
        </is>
      </c>
      <c r="C680" s="24" t="inlineStr">
        <is>
          <t>2026-09-13T22:30Z</t>
        </is>
      </c>
      <c r="D680" s="24" t="inlineStr">
        <is>
          <t>761813</t>
        </is>
      </c>
      <c r="E680" s="24" t="inlineStr">
        <is>
          <t>SOCCER</t>
        </is>
      </c>
      <c r="F680" s="24" t="inlineStr">
        <is>
          <t>Austin FC</t>
        </is>
      </c>
      <c r="G680" s="24" t="inlineStr">
        <is>
          <t>Vancouver Whitecaps</t>
        </is>
      </c>
      <c r="H680" s="24" t="inlineStr">
        <is>
          <t>total</t>
        </is>
      </c>
      <c r="I680" s="24" t="inlineStr">
        <is>
          <t>over</t>
        </is>
      </c>
      <c r="J680" s="25" t="n">
        <v>2.5</v>
      </c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0.7569900000000001</v>
      </c>
      <c r="P680" s="28" t="n">
        <v>0.04</v>
      </c>
      <c r="Q680" s="28" t="n">
        <v>0.06658799999999999</v>
      </c>
      <c r="R680" s="26" t="n">
        <v>59</v>
      </c>
      <c r="S680" s="29" t="n">
        <v>1.25</v>
      </c>
      <c r="T680" s="24" t="inlineStr">
        <is>
          <t>soccer-poisson-dc-v1</t>
        </is>
      </c>
      <c r="U680" s="24" t="inlineStr">
        <is>
          <t>settled</t>
        </is>
      </c>
      <c r="V680" s="24" t="inlineStr">
        <is>
          <t>win</t>
        </is>
      </c>
      <c r="W680" s="26" t="n">
        <v>2</v>
      </c>
      <c r="X680" s="26" t="n">
        <v>1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0.5605</v>
      </c>
      <c r="AD680" s="24" t="inlineStr">
        <is>
          <t>2026-09-14T04:33:38.739409Z</t>
        </is>
      </c>
      <c r="AE680" s="31" t="inlineStr">
        <is>
          <t>Poisson-DC rates 3.18 (home) / 0.79 (away) from EWMA attack/defense strengths. Executable ask 0.6900 (tsc-mls-vwh-aus-2026-09-13-2pt5).</t>
        </is>
      </c>
      <c r="AF680" s="31" t="inlineStr">
        <is>
          <t>Research-only soccer score model; draw-aware, but not yet locked-holdout qualified.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model_qualified</t>
        </is>
      </c>
      <c r="AL680" s="26" t="n">
        <v>4</v>
      </c>
      <c r="AM680" s="24" t="inlineStr">
        <is>
          <t>QUALIFIED_SHADOW_CALL</t>
        </is>
      </c>
      <c r="AN680" s="24" t="inlineStr">
        <is>
          <t>CALL</t>
        </is>
      </c>
      <c r="AO680" s="24" t="inlineStr">
        <is>
          <t>QUALIFIED</t>
        </is>
      </c>
      <c r="AP680" s="24" t="inlineStr">
        <is>
          <t>Austin FC</t>
        </is>
      </c>
      <c r="AQ680" s="24" t="inlineStr">
        <is>
          <t>Austin FC</t>
        </is>
      </c>
      <c r="AR680" s="24" t="inlineStr">
        <is>
          <t>Austin FC</t>
        </is>
      </c>
      <c r="AS680" s="24" t="inlineStr">
        <is>
          <t>Vancouver Whitecaps</t>
        </is>
      </c>
      <c r="AT680" s="24" t="inlineStr">
        <is>
          <t>Vancouver Whitecaps</t>
        </is>
      </c>
      <c r="AU680" s="24" t="inlineStr">
        <is>
          <t>Vancouver Whitecaps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3d16277c2cfc0628d7ec79d04feee92735e5c503a3be195cb225c7c52d024308</t>
        </is>
      </c>
      <c r="BB680" s="24" t="inlineStr">
        <is>
          <t>poisson_dixon_coles</t>
        </is>
      </c>
      <c r="BC680" s="24" t="inlineStr">
        <is>
          <t>soccer-poisson-dc-v1</t>
        </is>
      </c>
      <c r="BD680" s="24" t="inlineStr">
        <is>
          <t>3d16277c2cfc0628d7ec79d04feee92735e5c503a3be195cb225c7c52d024308</t>
        </is>
      </c>
      <c r="BE680" s="24" t="inlineStr">
        <is>
          <t>soccer-poisson-dc-v1</t>
        </is>
      </c>
      <c r="BF680" s="24" t="inlineStr">
        <is>
          <t>1</t>
        </is>
      </c>
      <c r="BG680" s="24" t="inlineStr">
        <is>
          <t>3d16277c2cfc0628d7ec79d04feee92735e5c503a3be195cb225c7c52d024308</t>
        </is>
      </c>
      <c r="BH680" s="24" t="inlineStr">
        <is>
          <t>2026-09-13T16:21:33.005694Z</t>
        </is>
      </c>
      <c r="BI680" s="24" t="inlineStr">
        <is>
          <t>["same_event","same_team_same_day","same_league_same_day"]</t>
        </is>
      </c>
      <c r="BJ680" s="25" t="n">
        <v>2.5</v>
      </c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a01766adb1ad449b</t>
        </is>
      </c>
      <c r="B681" s="24" t="inlineStr">
        <is>
          <t>2026-09-13T22:10:06.507952Z</t>
        </is>
      </c>
      <c r="C681" s="24" t="inlineStr">
        <is>
          <t>2026-09-14T01:00Z</t>
        </is>
      </c>
      <c r="D681" s="24" t="inlineStr">
        <is>
          <t>761814</t>
        </is>
      </c>
      <c r="E681" s="24" t="inlineStr">
        <is>
          <t>SOCCER</t>
        </is>
      </c>
      <c r="F681" s="24" t="inlineStr">
        <is>
          <t>Philadelphia Union</t>
        </is>
      </c>
      <c r="G681" s="24" t="inlineStr">
        <is>
          <t>San Diego FC</t>
        </is>
      </c>
      <c r="H681" s="24" t="inlineStr">
        <is>
          <t>moneyline</t>
        </is>
      </c>
      <c r="I681" s="24" t="inlineStr">
        <is>
          <t>home</t>
        </is>
      </c>
      <c r="J681" s="25" t="n"/>
      <c r="K681" s="24" t="inlineStr">
        <is>
          <t>polymarket_us</t>
        </is>
      </c>
      <c r="L681" s="26" t="n">
        <v>178</v>
      </c>
      <c r="M681" s="27" t="n">
        <v>2.78</v>
      </c>
      <c r="N681" s="28" t="n">
        <v>0.359712</v>
      </c>
      <c r="O681" s="28" t="n">
        <v>0.619491</v>
      </c>
      <c r="P681" s="28" t="n">
        <v>0.04</v>
      </c>
      <c r="Q681" s="28" t="n">
        <v>0.259779</v>
      </c>
      <c r="R681" s="26" t="n">
        <v>100</v>
      </c>
      <c r="S681" s="29" t="n">
        <v>2</v>
      </c>
      <c r="T681" s="24" t="inlineStr">
        <is>
          <t>soccer-poisson-dc-v1</t>
        </is>
      </c>
      <c r="U681" s="24" t="inlineStr">
        <is>
          <t>settled</t>
        </is>
      </c>
      <c r="V681" s="24" t="inlineStr">
        <is>
          <t>loss</t>
        </is>
      </c>
      <c r="W681" s="26" t="n">
        <v>5</v>
      </c>
      <c r="X681" s="26" t="n">
        <v>0</v>
      </c>
      <c r="Y681" s="25" t="n"/>
      <c r="Z681" s="26" t="n">
        <v>178</v>
      </c>
      <c r="AA681" s="28" t="n">
        <v>0.36</v>
      </c>
      <c r="AB681" s="28" t="n">
        <v>0.000288</v>
      </c>
      <c r="AC681" s="30" t="n">
        <v>-2</v>
      </c>
      <c r="AD681" s="24" t="inlineStr">
        <is>
          <t>2026-09-14T04:33:39.285464Z</t>
        </is>
      </c>
      <c r="AE681" s="31" t="inlineStr">
        <is>
          <t>Poisson-DC rates 2.55 (home) / 1.38 (away) from EWMA attack/defense strengths. Executable ask 0.3600 (atc-mls-sdg-phi-2026-09-13-sdg).</t>
        </is>
      </c>
      <c r="AF681" s="31" t="inlineStr">
        <is>
          <t>Research-only soccer score model; draw-aware, but not yet locked-holdout qualified.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Philadelphia Union</t>
        </is>
      </c>
      <c r="AQ681" s="24" t="inlineStr">
        <is>
          <t>Philadelphia Union</t>
        </is>
      </c>
      <c r="AR681" s="24" t="inlineStr">
        <is>
          <t>Philadelphia Union</t>
        </is>
      </c>
      <c r="AS681" s="24" t="inlineStr">
        <is>
          <t>San Diego FC</t>
        </is>
      </c>
      <c r="AT681" s="24" t="inlineStr">
        <is>
          <t>San Diego FC</t>
        </is>
      </c>
      <c r="AU681" s="24" t="inlineStr">
        <is>
          <t>San Diego FC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3d16277c2cfc0628d7ec79d04feee92735e5c503a3be195cb225c7c52d024308</t>
        </is>
      </c>
      <c r="BB681" s="24" t="inlineStr">
        <is>
          <t>poisson_dixon_coles</t>
        </is>
      </c>
      <c r="BC681" s="24" t="inlineStr">
        <is>
          <t>soccer-poisson-dc-v1</t>
        </is>
      </c>
      <c r="BD681" s="24" t="inlineStr">
        <is>
          <t>3d16277c2cfc0628d7ec79d04feee92735e5c503a3be195cb225c7c52d024308</t>
        </is>
      </c>
      <c r="BE681" s="24" t="inlineStr">
        <is>
          <t>soccer-poisson-dc-v1</t>
        </is>
      </c>
      <c r="BF681" s="24" t="inlineStr">
        <is>
          <t>1</t>
        </is>
      </c>
      <c r="BG681" s="24" t="inlineStr">
        <is>
          <t>3d16277c2cfc0628d7ec79d04feee92735e5c503a3be195cb225c7c52d024308</t>
        </is>
      </c>
      <c r="BH681" s="24" t="inlineStr">
        <is>
          <t>2026-09-13T22:08:59.224786Z</t>
        </is>
      </c>
      <c r="BI681" s="24" t="inlineStr">
        <is>
          <t>["same_event","same_team_same_day","same_league_same_day"]</t>
        </is>
      </c>
      <c r="BJ681" s="25" t="n"/>
      <c r="BK681" s="26" t="n">
        <v>178</v>
      </c>
      <c r="BL681" s="27" t="n">
        <v>2.78</v>
      </c>
      <c r="BM681" s="28" t="n">
        <v>0.359712</v>
      </c>
      <c r="BN681" s="28" t="n"/>
      <c r="BO681" s="28" t="n"/>
      <c r="BP681" s="25" t="n"/>
      <c r="BQ681" s="27" t="n">
        <v>2.78</v>
      </c>
      <c r="BR681" s="28" t="n">
        <v>0.36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0.359712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"3d16277c2cfc0628d7ec79d04feee92735e5c503a3be195cb225c7c52d024308", "away_team": "Philadelphia Union", "event_id": "761814", "event_start_utc": "2026-09-14T01:00Z", "features": {"away_goal_rate": 1.3837, "history_games": 9181, "home_goal_rate": 2.5455, "league_goals_per_team": 1.5536, "min_team_games": 54.0}, "historical_source_observation_times_verified": false, "home_team": "San Diego FC", "inference_inputs": {"away_rate": 1.3837322376978194, "code_sha256": {"models/soccer.py": "3d16277c2cfc0628d7ec79d04feee92735e5c503a3be195cb225c7c52d024308"}, "home_rate": 2.5455089270512454, "sport": "SOCCER"}, "market_type": "moneyline", "model_version": "soccer-poisson-dc-v1", "observed_at_utc": "2026-09-13T22:10:05.646802+00:00", "probabilities": {"away": 0.186836, "draw": 0.193674, "home": 0.619491}, "replay_scope": "Exact full-precision serving state and rounding; upstream historical observation times are not certified.", "schema": "coded-moneyline-replay-v1", "snapshot_hash": "07d062e4c077882817553a7a9508aa09cec5954acec8d641292ac7c659873f7f", "sport": "SOCCER"}</t>
        </is>
      </c>
    </row>
    <row r="682" ht="36" customHeight="1">
      <c r="A682" s="24" t="inlineStr">
        <is>
          <t>74af8b909cd944ee</t>
        </is>
      </c>
      <c r="B682" s="24" t="inlineStr">
        <is>
          <t>2026-09-14T16:13:41.796560Z</t>
        </is>
      </c>
      <c r="C682" s="24" t="inlineStr">
        <is>
          <t>2026-09-14T19:00Z</t>
        </is>
      </c>
      <c r="D682" s="24" t="inlineStr">
        <is>
          <t>401879280</t>
        </is>
      </c>
      <c r="E682" s="24" t="inlineStr">
        <is>
          <t>SOCCER</t>
        </is>
      </c>
      <c r="F682" s="24" t="inlineStr">
        <is>
          <t>Newcastle United</t>
        </is>
      </c>
      <c r="G682" s="24" t="inlineStr">
        <is>
          <t>Leeds United</t>
        </is>
      </c>
      <c r="H682" s="24" t="inlineStr">
        <is>
          <t>total</t>
        </is>
      </c>
      <c r="I682" s="24" t="inlineStr">
        <is>
          <t>under</t>
        </is>
      </c>
      <c r="J682" s="25" t="n">
        <v>2.5</v>
      </c>
      <c r="K682" s="24" t="inlineStr">
        <is>
          <t>polymarket_us</t>
        </is>
      </c>
      <c r="L682" s="26" t="n">
        <v>117</v>
      </c>
      <c r="M682" s="27" t="n">
        <v>2.17</v>
      </c>
      <c r="N682" s="28" t="n">
        <v>0.460829</v>
      </c>
      <c r="O682" s="28" t="n">
        <v>0.507695</v>
      </c>
      <c r="P682" s="28" t="n">
        <v>0.04</v>
      </c>
      <c r="Q682" s="28" t="n">
        <v>0.046866</v>
      </c>
      <c r="R682" s="26" t="n">
        <v>49</v>
      </c>
      <c r="S682" s="29" t="n">
        <v>1</v>
      </c>
      <c r="T682" s="24" t="inlineStr">
        <is>
          <t>soccer-poisson-dc-v1</t>
        </is>
      </c>
      <c r="U682" s="24" t="inlineStr">
        <is>
          <t>settled</t>
        </is>
      </c>
      <c r="V682" s="24" t="inlineStr">
        <is>
          <t>loss</t>
        </is>
      </c>
      <c r="W682" s="26" t="n">
        <v>1</v>
      </c>
      <c r="X682" s="26" t="n">
        <v>4</v>
      </c>
      <c r="Y682" s="25" t="n"/>
      <c r="Z682" s="26" t="n">
        <v>117</v>
      </c>
      <c r="AA682" s="28" t="n">
        <v>0.46</v>
      </c>
      <c r="AB682" s="28" t="n">
        <v>-0.000829</v>
      </c>
      <c r="AC682" s="30" t="n">
        <v>-1</v>
      </c>
      <c r="AD682" s="24" t="inlineStr">
        <is>
          <t>2026-09-14T22:00:31.794757Z</t>
        </is>
      </c>
      <c r="AE682" s="31" t="inlineStr">
        <is>
          <t>Poisson-DC rates 1.53 (home) / 1.11 (away) from EWMA attack/defense strengths. Executable ask 0.4600 (tsc-epl-lee-new-2026-09-14-2pt5).</t>
        </is>
      </c>
      <c r="AF682" s="31" t="inlineStr">
        <is>
          <t>Research-only soccer score model; draw-aware, but not yet locked-holdout qualified.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Newcastle United</t>
        </is>
      </c>
      <c r="AQ682" s="24" t="inlineStr">
        <is>
          <t>Newcastle United</t>
        </is>
      </c>
      <c r="AR682" s="24" t="inlineStr">
        <is>
          <t>Newcastle United</t>
        </is>
      </c>
      <c r="AS682" s="24" t="inlineStr">
        <is>
          <t>Leeds United</t>
        </is>
      </c>
      <c r="AT682" s="24" t="inlineStr">
        <is>
          <t>Leeds United</t>
        </is>
      </c>
      <c r="AU682" s="24" t="inlineStr">
        <is>
          <t>Leeds United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3d16277c2cfc0628d7ec79d04feee92735e5c503a3be195cb225c7c52d024308</t>
        </is>
      </c>
      <c r="BB682" s="24" t="inlineStr">
        <is>
          <t>poisson_dixon_coles</t>
        </is>
      </c>
      <c r="BC682" s="24" t="inlineStr">
        <is>
          <t>soccer-poisson-dc-v1</t>
        </is>
      </c>
      <c r="BD682" s="24" t="inlineStr">
        <is>
          <t>3d16277c2cfc0628d7ec79d04feee92735e5c503a3be195cb225c7c52d024308</t>
        </is>
      </c>
      <c r="BE682" s="24" t="inlineStr">
        <is>
          <t>soccer-poisson-dc-v1</t>
        </is>
      </c>
      <c r="BF682" s="24" t="inlineStr">
        <is>
          <t>1</t>
        </is>
      </c>
      <c r="BG682" s="24" t="inlineStr">
        <is>
          <t>3d16277c2cfc0628d7ec79d04feee92735e5c503a3be195cb225c7c52d024308</t>
        </is>
      </c>
      <c r="BH682" s="24" t="inlineStr">
        <is>
          <t>2026-09-14T10:04:10.160841Z</t>
        </is>
      </c>
      <c r="BI682" s="24" t="inlineStr">
        <is>
          <t>["same_event","same_team_same_day","same_league_same_day"]</t>
        </is>
      </c>
      <c r="BJ682" s="25" t="n">
        <v>2.5</v>
      </c>
      <c r="BK682" s="26" t="n">
        <v>117</v>
      </c>
      <c r="BL682" s="27" t="n">
        <v>2.17</v>
      </c>
      <c r="BM682" s="28" t="n">
        <v>0.460829</v>
      </c>
      <c r="BN682" s="28" t="n"/>
      <c r="BO682" s="28" t="n"/>
      <c r="BP682" s="25" t="n"/>
      <c r="BQ682" s="27" t="n">
        <v>2.17</v>
      </c>
      <c r="BR682" s="28" t="n">
        <v>0.46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0.460829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c2b56374bd4e429f</t>
        </is>
      </c>
      <c r="B683" s="24" t="inlineStr">
        <is>
          <t>2026-09-14T16:13:41.796560Z</t>
        </is>
      </c>
      <c r="C683" s="24" t="inlineStr">
        <is>
          <t>2026-09-14T19:00Z</t>
        </is>
      </c>
      <c r="D683" s="24" t="inlineStr">
        <is>
          <t>401882877</t>
        </is>
      </c>
      <c r="E683" s="24" t="inlineStr">
        <is>
          <t>SOCCER</t>
        </is>
      </c>
      <c r="F683" s="24" t="inlineStr">
        <is>
          <t>Real Betis</t>
        </is>
      </c>
      <c r="G683" s="24" t="inlineStr">
        <is>
          <t>Villarreal</t>
        </is>
      </c>
      <c r="H683" s="24" t="inlineStr">
        <is>
          <t>total</t>
        </is>
      </c>
      <c r="I683" s="24" t="inlineStr">
        <is>
          <t>over</t>
        </is>
      </c>
      <c r="J683" s="25" t="n">
        <v>2.5</v>
      </c>
      <c r="K683" s="24" t="inlineStr">
        <is>
          <t>polymarket_us</t>
        </is>
      </c>
      <c r="L683" s="26" t="n">
        <v>-203</v>
      </c>
      <c r="M683" s="27" t="n">
        <v>1.492611</v>
      </c>
      <c r="N683" s="28" t="n">
        <v>0.669967</v>
      </c>
      <c r="O683" s="28" t="n">
        <v>0.6915210000000001</v>
      </c>
      <c r="P683" s="28" t="n">
        <v>0.04</v>
      </c>
      <c r="Q683" s="28" t="n">
        <v>0.021554</v>
      </c>
      <c r="R683" s="26" t="n">
        <v>37</v>
      </c>
      <c r="S683" s="29" t="n">
        <v>1</v>
      </c>
      <c r="T683" s="24" t="inlineStr">
        <is>
          <t>soccer-poisson-dc-v1</t>
        </is>
      </c>
      <c r="U683" s="24" t="inlineStr">
        <is>
          <t>settled</t>
        </is>
      </c>
      <c r="V683" s="24" t="inlineStr">
        <is>
          <t>win</t>
        </is>
      </c>
      <c r="W683" s="26" t="n">
        <v>2</v>
      </c>
      <c r="X683" s="26" t="n">
        <v>1</v>
      </c>
      <c r="Y683" s="25" t="n"/>
      <c r="Z683" s="26" t="n">
        <v>-203</v>
      </c>
      <c r="AA683" s="28" t="n">
        <v>0.67</v>
      </c>
      <c r="AB683" s="28" t="n">
        <v>3.3e-05</v>
      </c>
      <c r="AC683" s="30" t="n">
        <v>0.4926</v>
      </c>
      <c r="AD683" s="24" t="inlineStr">
        <is>
          <t>2026-09-14T22:00:32.988404Z</t>
        </is>
      </c>
      <c r="AE683" s="31" t="inlineStr">
        <is>
          <t>Poisson-DC rates 2.20 (home) / 1.36 (away) from EWMA attack/defense strengths. Executable ask 0.6700 (tsc-lal-vil-bet-2026-09-14-2pt5).</t>
        </is>
      </c>
      <c r="AF683" s="31" t="inlineStr">
        <is>
          <t>Research-only soccer score model; draw-aware, but not yet locked-holdout qualified.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Real Betis</t>
        </is>
      </c>
      <c r="AQ683" s="24" t="inlineStr">
        <is>
          <t>Real Betis</t>
        </is>
      </c>
      <c r="AR683" s="24" t="inlineStr">
        <is>
          <t>Real Betis</t>
        </is>
      </c>
      <c r="AS683" s="24" t="inlineStr">
        <is>
          <t>Villarreal</t>
        </is>
      </c>
      <c r="AT683" s="24" t="inlineStr">
        <is>
          <t>Villarreal</t>
        </is>
      </c>
      <c r="AU683" s="24" t="inlineStr">
        <is>
          <t>Villarreal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3d16277c2cfc0628d7ec79d04feee92735e5c503a3be195cb225c7c52d024308</t>
        </is>
      </c>
      <c r="BB683" s="24" t="inlineStr">
        <is>
          <t>poisson_dixon_coles</t>
        </is>
      </c>
      <c r="BC683" s="24" t="inlineStr">
        <is>
          <t>soccer-poisson-dc-v1</t>
        </is>
      </c>
      <c r="BD683" s="24" t="inlineStr">
        <is>
          <t>3d16277c2cfc0628d7ec79d04feee92735e5c503a3be195cb225c7c52d024308</t>
        </is>
      </c>
      <c r="BE683" s="24" t="inlineStr">
        <is>
          <t>soccer-poisson-dc-v1</t>
        </is>
      </c>
      <c r="BF683" s="24" t="inlineStr">
        <is>
          <t>1</t>
        </is>
      </c>
      <c r="BG683" s="24" t="inlineStr">
        <is>
          <t>3d16277c2cfc0628d7ec79d04feee92735e5c503a3be195cb225c7c52d024308</t>
        </is>
      </c>
      <c r="BH683" s="24" t="inlineStr">
        <is>
          <t>2026-09-14T16:08:45.982178Z</t>
        </is>
      </c>
      <c r="BI683" s="24" t="inlineStr">
        <is>
          <t>["same_event","same_team_same_day","same_league_same_day"]</t>
        </is>
      </c>
      <c r="BJ683" s="25" t="n">
        <v>2.5</v>
      </c>
      <c r="BK683" s="26" t="n">
        <v>-203</v>
      </c>
      <c r="BL683" s="27" t="n">
        <v>1.492611</v>
      </c>
      <c r="BM683" s="28" t="n">
        <v>0.669967</v>
      </c>
      <c r="BN683" s="28" t="n"/>
      <c r="BO683" s="28" t="n"/>
      <c r="BP683" s="25" t="n"/>
      <c r="BQ683" s="27" t="n">
        <v>1.492611</v>
      </c>
      <c r="BR683" s="28" t="n">
        <v>0.67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0.669967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74222d8289d54785</t>
        </is>
      </c>
      <c r="B684" s="24" t="inlineStr">
        <is>
          <t>2026-09-14T16:13:41.796560Z</t>
        </is>
      </c>
      <c r="C684" s="24" t="inlineStr">
        <is>
          <t>2026-09-14T16:30Z</t>
        </is>
      </c>
      <c r="D684" s="24" t="inlineStr">
        <is>
          <t>401874933</t>
        </is>
      </c>
      <c r="E684" s="24" t="inlineStr">
        <is>
          <t>SOCCER</t>
        </is>
      </c>
      <c r="F684" s="24" t="inlineStr">
        <is>
          <t>Parma</t>
        </is>
      </c>
      <c r="G684" s="24" t="inlineStr">
        <is>
          <t>Como</t>
        </is>
      </c>
      <c r="H684" s="24" t="inlineStr">
        <is>
          <t>total</t>
        </is>
      </c>
      <c r="I684" s="24" t="inlineStr">
        <is>
          <t>under</t>
        </is>
      </c>
      <c r="J684" s="25" t="n">
        <v>2.5</v>
      </c>
      <c r="K684" s="24" t="inlineStr">
        <is>
          <t>polymarket_us</t>
        </is>
      </c>
      <c r="L684" s="26" t="n">
        <v>-4900</v>
      </c>
      <c r="M684" s="27" t="n">
        <v>1.020408</v>
      </c>
      <c r="N684" s="28" t="n">
        <v>0.98</v>
      </c>
      <c r="O684" s="28" t="n">
        <v>0.563163</v>
      </c>
      <c r="P684" s="28" t="n">
        <v>0.04</v>
      </c>
      <c r="Q684" s="28" t="n">
        <v>-0.416837</v>
      </c>
      <c r="R684" s="26" t="n">
        <v>0</v>
      </c>
      <c r="S684" s="29" t="n">
        <v>1</v>
      </c>
      <c r="T684" s="24" t="inlineStr">
        <is>
          <t>soccer-poisson-dc-v1</t>
        </is>
      </c>
      <c r="U684" s="24" t="inlineStr">
        <is>
          <t>settled</t>
        </is>
      </c>
      <c r="V684" s="24" t="inlineStr">
        <is>
          <t>loss</t>
        </is>
      </c>
      <c r="W684" s="26" t="n">
        <v>1</v>
      </c>
      <c r="X684" s="26" t="n">
        <v>2</v>
      </c>
      <c r="Y684" s="25" t="n"/>
      <c r="Z684" s="26" t="n">
        <v>-4900</v>
      </c>
      <c r="AA684" s="28" t="n">
        <v>0.98</v>
      </c>
      <c r="AB684" s="28" t="n">
        <v>0</v>
      </c>
      <c r="AC684" s="30" t="n">
        <v>-1</v>
      </c>
      <c r="AD684" s="24" t="inlineStr">
        <is>
          <t>2026-09-14T22:00:34.159539Z</t>
        </is>
      </c>
      <c r="AE684" s="31" t="inlineStr">
        <is>
          <t>Poisson-DC rates 1.94 (home) / 0.48 (away) from EWMA attack/defense strengths. Executable ask 0.9800 (tsc-sea-com-par-2026-09-14-sh-2pt5).</t>
        </is>
      </c>
      <c r="AF684" s="31" t="inlineStr">
        <is>
          <t>Research-only soccer score model; draw-aware, but not yet locked-holdout qualified.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Parma</t>
        </is>
      </c>
      <c r="AQ684" s="24" t="inlineStr">
        <is>
          <t>Parma</t>
        </is>
      </c>
      <c r="AR684" s="24" t="inlineStr">
        <is>
          <t>Parma</t>
        </is>
      </c>
      <c r="AS684" s="24" t="inlineStr">
        <is>
          <t>Como</t>
        </is>
      </c>
      <c r="AT684" s="24" t="inlineStr">
        <is>
          <t>Como</t>
        </is>
      </c>
      <c r="AU684" s="24" t="inlineStr">
        <is>
          <t>Como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3d16277c2cfc0628d7ec79d04feee92735e5c503a3be195cb225c7c52d024308</t>
        </is>
      </c>
      <c r="BB684" s="24" t="inlineStr">
        <is>
          <t>poisson_dixon_coles</t>
        </is>
      </c>
      <c r="BC684" s="24" t="inlineStr">
        <is>
          <t>soccer-poisson-dc-v1</t>
        </is>
      </c>
      <c r="BD684" s="24" t="inlineStr">
        <is>
          <t>3d16277c2cfc0628d7ec79d04feee92735e5c503a3be195cb225c7c52d024308</t>
        </is>
      </c>
      <c r="BE684" s="24" t="inlineStr">
        <is>
          <t>soccer-poisson-dc-v1</t>
        </is>
      </c>
      <c r="BF684" s="24" t="inlineStr">
        <is>
          <t>1</t>
        </is>
      </c>
      <c r="BG684" s="24" t="inlineStr">
        <is>
          <t>3d16277c2cfc0628d7ec79d04feee92735e5c503a3be195cb225c7c52d024308</t>
        </is>
      </c>
      <c r="BH684" s="24" t="inlineStr">
        <is>
          <t>2026-09-14T16:08:46.049720Z</t>
        </is>
      </c>
      <c r="BI684" s="24" t="inlineStr">
        <is>
          <t>["same_event","same_team_same_day","same_league_same_day"]</t>
        </is>
      </c>
      <c r="BJ684" s="25" t="n">
        <v>2.5</v>
      </c>
      <c r="BK684" s="26" t="n">
        <v>-4900</v>
      </c>
      <c r="BL684" s="27" t="n">
        <v>1.020408</v>
      </c>
      <c r="BM684" s="28" t="n">
        <v>0.98</v>
      </c>
      <c r="BN684" s="28" t="n"/>
      <c r="BO684" s="28" t="n"/>
      <c r="BP684" s="25" t="n"/>
      <c r="BQ684" s="27" t="n">
        <v>1.020408</v>
      </c>
      <c r="BR684" s="28" t="n">
        <v>0.98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0.98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ae7ed54a343f45b9</t>
        </is>
      </c>
      <c r="B685" s="24" t="inlineStr">
        <is>
          <t>2026-09-14T16:13:41.796560Z</t>
        </is>
      </c>
      <c r="C685" s="24" t="inlineStr">
        <is>
          <t>2026-09-14T16:30Z</t>
        </is>
      </c>
      <c r="D685" s="24" t="inlineStr">
        <is>
          <t>401874950</t>
        </is>
      </c>
      <c r="E685" s="24" t="inlineStr">
        <is>
          <t>SOCCER</t>
        </is>
      </c>
      <c r="F685" s="24" t="inlineStr">
        <is>
          <t>AS Roma</t>
        </is>
      </c>
      <c r="G685" s="24" t="inlineStr">
        <is>
          <t>Torino</t>
        </is>
      </c>
      <c r="H685" s="24" t="inlineStr">
        <is>
          <t>total</t>
        </is>
      </c>
      <c r="I685" s="24" t="inlineStr">
        <is>
          <t>over</t>
        </is>
      </c>
      <c r="J685" s="25" t="n">
        <v>2.5</v>
      </c>
      <c r="K685" s="24" t="inlineStr">
        <is>
          <t>polymarket_us</t>
        </is>
      </c>
      <c r="L685" s="26" t="n">
        <v>-127</v>
      </c>
      <c r="M685" s="27" t="n">
        <v>1.787402</v>
      </c>
      <c r="N685" s="28" t="n">
        <v>0.5594710000000001</v>
      </c>
      <c r="O685" s="28" t="n">
        <v>0.571242</v>
      </c>
      <c r="P685" s="28" t="n">
        <v>0.04</v>
      </c>
      <c r="Q685" s="28" t="n">
        <v>0.011771</v>
      </c>
      <c r="R685" s="26" t="n">
        <v>32</v>
      </c>
      <c r="S685" s="29" t="n">
        <v>1</v>
      </c>
      <c r="T685" s="24" t="inlineStr">
        <is>
          <t>soccer-poisson-dc-v1</t>
        </is>
      </c>
      <c r="U685" s="24" t="inlineStr">
        <is>
          <t>settled</t>
        </is>
      </c>
      <c r="V685" s="24" t="inlineStr">
        <is>
          <t>loss</t>
        </is>
      </c>
      <c r="W685" s="26" t="n">
        <v>2</v>
      </c>
      <c r="X685" s="26" t="n">
        <v>0</v>
      </c>
      <c r="Y685" s="25" t="n"/>
      <c r="Z685" s="26" t="n">
        <v>-127</v>
      </c>
      <c r="AA685" s="28" t="n">
        <v>0.5600000000000001</v>
      </c>
      <c r="AB685" s="28" t="n">
        <v>0.000529</v>
      </c>
      <c r="AC685" s="30" t="n">
        <v>-1</v>
      </c>
      <c r="AD685" s="24" t="inlineStr">
        <is>
          <t>2026-09-14T22:00:35.302877Z</t>
        </is>
      </c>
      <c r="AE685" s="31" t="inlineStr">
        <is>
          <t>Poisson-DC rates 1.05 (home) / 1.92 (away) from EWMA attack/defense strengths. Executable ask 0.5600 (tsc-sea-tor-rom-2026-09-14-2pt5).</t>
        </is>
      </c>
      <c r="AF685" s="31" t="inlineStr">
        <is>
          <t>Research-only soccer score model; draw-aware, but not yet locked-holdout qualified.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AS Roma</t>
        </is>
      </c>
      <c r="AQ685" s="24" t="inlineStr">
        <is>
          <t>AS Roma</t>
        </is>
      </c>
      <c r="AR685" s="24" t="inlineStr">
        <is>
          <t>AS Roma</t>
        </is>
      </c>
      <c r="AS685" s="24" t="inlineStr">
        <is>
          <t>Torino</t>
        </is>
      </c>
      <c r="AT685" s="24" t="inlineStr">
        <is>
          <t>Torino</t>
        </is>
      </c>
      <c r="AU685" s="24" t="inlineStr">
        <is>
          <t>Torino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3d16277c2cfc0628d7ec79d04feee92735e5c503a3be195cb225c7c52d024308</t>
        </is>
      </c>
      <c r="BB685" s="24" t="inlineStr">
        <is>
          <t>poisson_dixon_coles</t>
        </is>
      </c>
      <c r="BC685" s="24" t="inlineStr">
        <is>
          <t>soccer-poisson-dc-v1</t>
        </is>
      </c>
      <c r="BD685" s="24" t="inlineStr">
        <is>
          <t>3d16277c2cfc0628d7ec79d04feee92735e5c503a3be195cb225c7c52d024308</t>
        </is>
      </c>
      <c r="BE685" s="24" t="inlineStr">
        <is>
          <t>soccer-poisson-dc-v1</t>
        </is>
      </c>
      <c r="BF685" s="24" t="inlineStr">
        <is>
          <t>1</t>
        </is>
      </c>
      <c r="BG685" s="24" t="inlineStr">
        <is>
          <t>3d16277c2cfc0628d7ec79d04feee92735e5c503a3be195cb225c7c52d024308</t>
        </is>
      </c>
      <c r="BH685" s="24" t="inlineStr">
        <is>
          <t>2026-09-14T16:08:57.218379Z</t>
        </is>
      </c>
      <c r="BI685" s="24" t="inlineStr">
        <is>
          <t>["same_event","same_team_same_day","same_league_same_day"]</t>
        </is>
      </c>
      <c r="BJ685" s="25" t="n">
        <v>2.5</v>
      </c>
      <c r="BK685" s="26" t="n">
        <v>-127</v>
      </c>
      <c r="BL685" s="27" t="n">
        <v>1.787402</v>
      </c>
      <c r="BM685" s="28" t="n">
        <v>0.5594710000000001</v>
      </c>
      <c r="BN685" s="28" t="n"/>
      <c r="BO685" s="28" t="n"/>
      <c r="BP685" s="25" t="n"/>
      <c r="BQ685" s="27" t="n">
        <v>1.787402</v>
      </c>
      <c r="BR685" s="28" t="n">
        <v>0.5600000000000001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0.559471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3a278d63bdc84540</t>
        </is>
      </c>
      <c r="B686" s="24" t="inlineStr">
        <is>
          <t>2026-09-15T00:16:39.677622Z</t>
        </is>
      </c>
      <c r="C686" s="24" t="inlineStr">
        <is>
          <t>2026-09-15T00:30Z</t>
        </is>
      </c>
      <c r="D686" s="24" t="inlineStr">
        <is>
          <t>401860333</t>
        </is>
      </c>
      <c r="E686" s="24" t="inlineStr">
        <is>
          <t>SOCCER</t>
        </is>
      </c>
      <c r="F686" s="24" t="inlineStr">
        <is>
          <t>Vila Nova</t>
        </is>
      </c>
      <c r="G686" s="24" t="inlineStr">
        <is>
          <t>Avaí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170</v>
      </c>
      <c r="M686" s="27" t="n">
        <v>2.7</v>
      </c>
      <c r="N686" s="28" t="n">
        <v>0.37037</v>
      </c>
      <c r="O686" s="28" t="n">
        <v>0.486715</v>
      </c>
      <c r="P686" s="28" t="n">
        <v>0.19</v>
      </c>
      <c r="Q686" s="28" t="n">
        <v>0.116345</v>
      </c>
      <c r="R686" s="26" t="n">
        <v>0</v>
      </c>
      <c r="S686" s="29" t="n">
        <v>1</v>
      </c>
      <c r="T686" s="24" t="inlineStr">
        <is>
          <t>soccer-poisson-dc-v1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1</v>
      </c>
      <c r="Y686" s="25" t="n"/>
      <c r="Z686" s="26" t="n">
        <v>170</v>
      </c>
      <c r="AA686" s="28" t="n">
        <v>0.37</v>
      </c>
      <c r="AB686" s="28" t="n">
        <v>-0.00037</v>
      </c>
      <c r="AC686" s="30" t="n">
        <v>-1</v>
      </c>
      <c r="AD686" s="24" t="inlineStr">
        <is>
          <t>2026-09-15T04:31:03.222313Z</t>
        </is>
      </c>
      <c r="AE686" s="31" t="inlineStr">
        <is>
          <t>Poisson-DC rates 1.52 (home) / 0.98 (away) from EWMA attack/defense strengths. Executable ask 0.3700 (atc-brb-ava-vln-2026-09-14-ava).</t>
        </is>
      </c>
      <c r="AF686" s="31" t="inlineStr">
        <is>
          <t>Research-only soccer score model; draw-aware, but not yet locked-holdout qualified.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Vila Nova</t>
        </is>
      </c>
      <c r="AQ686" s="24" t="inlineStr">
        <is>
          <t>Vila Nova</t>
        </is>
      </c>
      <c r="AR686" s="24" t="inlineStr">
        <is>
          <t>Vila Nova</t>
        </is>
      </c>
      <c r="AS686" s="24" t="inlineStr">
        <is>
          <t>Avaí</t>
        </is>
      </c>
      <c r="AT686" s="24" t="inlineStr">
        <is>
          <t>Avaí</t>
        </is>
      </c>
      <c r="AU686" s="24" t="inlineStr">
        <is>
          <t>Avaí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3d16277c2cfc0628d7ec79d04feee92735e5c503a3be195cb225c7c52d024308</t>
        </is>
      </c>
      <c r="BB686" s="24" t="inlineStr">
        <is>
          <t>poisson_dixon_coles</t>
        </is>
      </c>
      <c r="BC686" s="24" t="inlineStr">
        <is>
          <t>soccer-poisson-dc-v1</t>
        </is>
      </c>
      <c r="BD686" s="24" t="inlineStr">
        <is>
          <t>3d16277c2cfc0628d7ec79d04feee92735e5c503a3be195cb225c7c52d024308</t>
        </is>
      </c>
      <c r="BE686" s="24" t="inlineStr">
        <is>
          <t>soccer-poisson-dc-v1</t>
        </is>
      </c>
      <c r="BF686" s="24" t="inlineStr">
        <is>
          <t>1</t>
        </is>
      </c>
      <c r="BG686" s="24" t="inlineStr">
        <is>
          <t>3d16277c2cfc0628d7ec79d04feee92735e5c503a3be195cb225c7c52d024308</t>
        </is>
      </c>
      <c r="BH686" s="24" t="inlineStr">
        <is>
          <t>2026-09-15T00:07:04.652643Z</t>
        </is>
      </c>
      <c r="BI686" s="24" t="inlineStr">
        <is>
          <t>["same_event","same_team_same_day","same_league_same_day"]</t>
        </is>
      </c>
      <c r="BJ686" s="25" t="n"/>
      <c r="BK686" s="26" t="n">
        <v>170</v>
      </c>
      <c r="BL686" s="27" t="n">
        <v>2.7</v>
      </c>
      <c r="BM686" s="28" t="n">
        <v>0.37037</v>
      </c>
      <c r="BN686" s="28" t="n"/>
      <c r="BO686" s="28" t="n"/>
      <c r="BP686" s="25" t="n"/>
      <c r="BQ686" s="27" t="n">
        <v>2.7</v>
      </c>
      <c r="BR686" s="28" t="n">
        <v>0.37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0.37037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"3d16277c2cfc0628d7ec79d04feee92735e5c503a3be195cb225c7c52d024308", "away_team": "Vila Nova", "event_id": "401860333", "event_start_utc": "2026-09-15T00:30Z", "features": {"away_goal_rate": 0.9812, "history_games": 9181, "home_goal_rate": 1.5248, "league_goals_per_team": 1.4281, "min_team_games": 1.0}, "historical_source_observation_times_verified": false, "home_team": "Ava\u00ed", "inference_inputs": {"away_rate": 0.9811670266074368, "code_sha256": {"models/soccer.py": "3d16277c2cfc0628d7ec79d04feee92735e5c503a3be195cb225c7c52d024308"}, "home_rate": 1.5247538865154955, "sport": "SOCCER"}, "market_type": "moneyline", "model_version": "soccer-poisson-dc-v1", "observed_at_utc": "2026-09-15T00:16:38.766652+00:00", "probabilities": {"away": 0.23119, "draw": 0.282095, "home": 0.486715}, "replay_scope": "Exact full-precision serving state and rounding; upstream historical observation times are not certified.", "schema": "coded-moneyline-replay-v1", "snapshot_hash": "c12afe4e142a84435fdc4dbfff81ffb230d4be5d5a23bf2b9bc8f455d03c38c6", "sport": "SOCCER"}</t>
        </is>
      </c>
    </row>
    <row r="687" ht="36" customHeight="1">
      <c r="A687" s="24" t="inlineStr">
        <is>
          <t>e0fab279fa714934</t>
        </is>
      </c>
      <c r="B687" s="24" t="inlineStr">
        <is>
          <t>2026-09-15T16:12:40.391410Z</t>
        </is>
      </c>
      <c r="C687" s="24" t="inlineStr">
        <is>
          <t>2026-09-15T17:00Z</t>
        </is>
      </c>
      <c r="D687" s="24" t="inlineStr">
        <is>
          <t>401882868</t>
        </is>
      </c>
      <c r="E687" s="24" t="inlineStr">
        <is>
          <t>SOCCER</t>
        </is>
      </c>
      <c r="F687" s="24" t="inlineStr">
        <is>
          <t>Espanyol</t>
        </is>
      </c>
      <c r="G687" s="24" t="inlineStr">
        <is>
          <t>Rayo Vallecano</t>
        </is>
      </c>
      <c r="H687" s="24" t="inlineStr">
        <is>
          <t>moneyline</t>
        </is>
      </c>
      <c r="I687" s="24" t="inlineStr">
        <is>
          <t>home</t>
        </is>
      </c>
      <c r="J687" s="25" t="n"/>
      <c r="K687" s="24" t="inlineStr">
        <is>
          <t>polymarket_us</t>
        </is>
      </c>
      <c r="L687" s="26" t="n">
        <v>138</v>
      </c>
      <c r="M687" s="27" t="n">
        <v>2.38</v>
      </c>
      <c r="N687" s="28" t="n">
        <v>0.420168</v>
      </c>
      <c r="O687" s="28" t="n">
        <v>0.549996</v>
      </c>
      <c r="P687" s="28" t="n">
        <v>0.04</v>
      </c>
      <c r="Q687" s="28" t="n">
        <v>0.129828</v>
      </c>
      <c r="R687" s="26" t="n">
        <v>91</v>
      </c>
      <c r="S687" s="29" t="n">
        <v>1.5</v>
      </c>
      <c r="T687" s="24" t="inlineStr">
        <is>
          <t>soccer-poisson-dc-v1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2</v>
      </c>
      <c r="Y687" s="25" t="n"/>
      <c r="Z687" s="26" t="n">
        <v>138</v>
      </c>
      <c r="AA687" s="28" t="n">
        <v>0.42</v>
      </c>
      <c r="AB687" s="28" t="n">
        <v>-0.000168</v>
      </c>
      <c r="AC687" s="30" t="n">
        <v>2.07</v>
      </c>
      <c r="AD687" s="24" t="inlineStr">
        <is>
          <t>2026-09-15T22:07:22.632097Z</t>
        </is>
      </c>
      <c r="AE687" s="31" t="inlineStr">
        <is>
          <t>Poisson-DC rates 1.57 (home) / 0.78 (away) from EWMA attack/defense strengths. Executable ask 0.4200 (atc-lal-ray-esp-2026-09-15-ray).</t>
        </is>
      </c>
      <c r="AF687" s="31" t="inlineStr">
        <is>
          <t>Research-only soccer score model; draw-aware, but not yet locked-holdout qualified.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Espanyol</t>
        </is>
      </c>
      <c r="AQ687" s="24" t="inlineStr">
        <is>
          <t>Espanyol</t>
        </is>
      </c>
      <c r="AR687" s="24" t="inlineStr">
        <is>
          <t>Espanyol</t>
        </is>
      </c>
      <c r="AS687" s="24" t="inlineStr">
        <is>
          <t>Rayo Vallecano</t>
        </is>
      </c>
      <c r="AT687" s="24" t="inlineStr">
        <is>
          <t>Rayo Vallecano</t>
        </is>
      </c>
      <c r="AU687" s="24" t="inlineStr">
        <is>
          <t>Rayo Vallecano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3d16277c2cfc0628d7ec79d04feee92735e5c503a3be195cb225c7c52d024308</t>
        </is>
      </c>
      <c r="BB687" s="24" t="inlineStr">
        <is>
          <t>poisson_dixon_coles</t>
        </is>
      </c>
      <c r="BC687" s="24" t="inlineStr">
        <is>
          <t>soccer-poisson-dc-v1</t>
        </is>
      </c>
      <c r="BD687" s="24" t="inlineStr">
        <is>
          <t>3d16277c2cfc0628d7ec79d04feee92735e5c503a3be195cb225c7c52d024308</t>
        </is>
      </c>
      <c r="BE687" s="24" t="inlineStr">
        <is>
          <t>soccer-poisson-dc-v1</t>
        </is>
      </c>
      <c r="BF687" s="24" t="inlineStr">
        <is>
          <t>1</t>
        </is>
      </c>
      <c r="BG687" s="24" t="inlineStr">
        <is>
          <t>3d16277c2cfc0628d7ec79d04feee92735e5c503a3be195cb225c7c52d024308</t>
        </is>
      </c>
      <c r="BH687" s="24" t="inlineStr">
        <is>
          <t>2026-09-15T10:04:24.327640Z</t>
        </is>
      </c>
      <c r="BI687" s="24" t="inlineStr">
        <is>
          <t>["same_event","same_team_same_day","same_league_same_day"]</t>
        </is>
      </c>
      <c r="BJ687" s="25" t="n"/>
      <c r="BK687" s="26" t="n">
        <v>138</v>
      </c>
      <c r="BL687" s="27" t="n">
        <v>2.38</v>
      </c>
      <c r="BM687" s="28" t="n">
        <v>0.420168</v>
      </c>
      <c r="BN687" s="28" t="n"/>
      <c r="BO687" s="28" t="n"/>
      <c r="BP687" s="25" t="n"/>
      <c r="BQ687" s="27" t="n">
        <v>2.38</v>
      </c>
      <c r="BR687" s="28" t="n">
        <v>0.42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0.420168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"3d16277c2cfc0628d7ec79d04feee92735e5c503a3be195cb225c7c52d024308", "away_team": "Espanyol", "event_id": "401882868", "event_start_utc": "2026-09-15T17:00Z", "features": {"away_goal_rate": 0.7791, "history_games": 9181, "home_goal_rate": 1.5701, "league_goals_per_team": 1.325, "min_team_games": 76.0}, "historical_source_observation_times_verified": false, "home_team": "Rayo Vallecano", "inference_inputs": {"away_rate": 0.7790914209228635, "code_sha256": {"models/soccer.py": "3d16277c2cfc0628d7ec79d04feee92735e5c503a3be195cb225c7c52d024308"}, "home_rate": 1.5700507542893771, "sport": "SOCCER"}, "market_type": "moneyline", "model_version": "soccer-poisson-dc-v1", "observed_at_utc": "2026-09-15T16:12:39.118690+00:00", "probabilities": {"away": 0.173497, "draw": 0.276507, "home": 0.549996}, "replay_scope": "Exact full-precision serving state and rounding; upstream historical observation times are not certified.", "schema": "coded-moneyline-replay-v1", "snapshot_hash": "442e7893e2c60ef26b4393825f3fe5b2ca7235593b058f20f8d80a21e37e680c", "sport": "SOCCER"}</t>
        </is>
      </c>
    </row>
    <row r="688" ht="36" customHeight="1">
      <c r="A688" s="24" t="inlineStr">
        <is>
          <t>f7dd51aa18954d0e</t>
        </is>
      </c>
      <c r="B688" s="24" t="inlineStr">
        <is>
          <t>2026-09-15T16:12:40.391410Z</t>
        </is>
      </c>
      <c r="C688" s="24" t="inlineStr">
        <is>
          <t>2026-09-15T19:30Z</t>
        </is>
      </c>
      <c r="D688" s="24" t="inlineStr">
        <is>
          <t>401882872</t>
        </is>
      </c>
      <c r="E688" s="24" t="inlineStr">
        <is>
          <t>SOCCER</t>
        </is>
      </c>
      <c r="F688" s="24" t="inlineStr">
        <is>
          <t>Real Madrid</t>
        </is>
      </c>
      <c r="G688" s="24" t="inlineStr">
        <is>
          <t>Elche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-456</v>
      </c>
      <c r="M688" s="27" t="n">
        <v>1.219298</v>
      </c>
      <c r="N688" s="28" t="n">
        <v>0.820144</v>
      </c>
      <c r="O688" s="28" t="n">
        <v>0.536281</v>
      </c>
      <c r="P688" s="28" t="n">
        <v>0.04</v>
      </c>
      <c r="Q688" s="28" t="n">
        <v>-0.283863</v>
      </c>
      <c r="R688" s="26" t="n">
        <v>0</v>
      </c>
      <c r="S688" s="29" t="n">
        <v>1</v>
      </c>
      <c r="T688" s="24" t="inlineStr">
        <is>
          <t>soccer-poisson-dc-v1</t>
        </is>
      </c>
      <c r="U688" s="24" t="inlineStr">
        <is>
          <t>settled</t>
        </is>
      </c>
      <c r="V688" s="24" t="inlineStr">
        <is>
          <t>win</t>
        </is>
      </c>
      <c r="W688" s="26" t="n">
        <v>3</v>
      </c>
      <c r="X688" s="26" t="n">
        <v>2</v>
      </c>
      <c r="Y688" s="25" t="n"/>
      <c r="Z688" s="26" t="n">
        <v>426</v>
      </c>
      <c r="AA688" s="28" t="n">
        <v>0.19</v>
      </c>
      <c r="AB688" s="28" t="n">
        <v>-0.630144</v>
      </c>
      <c r="AC688" s="30" t="n">
        <v>0.2193</v>
      </c>
      <c r="AD688" s="24" t="inlineStr">
        <is>
          <t>2026-09-15T22:07:23.802682Z</t>
        </is>
      </c>
      <c r="AE688" s="31" t="inlineStr">
        <is>
          <t>Poisson-DC rates 1.11 (home) / 1.85 (away) from EWMA attack/defense strengths. Executable ask 0.8200 (atc-lal-elc-rma-2026-09-15-rma).</t>
        </is>
      </c>
      <c r="AF688" s="31" t="inlineStr">
        <is>
          <t>Research-only soccer score model; draw-aware, but not yet locked-holdout qualified.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Real Madrid</t>
        </is>
      </c>
      <c r="AQ688" s="24" t="inlineStr">
        <is>
          <t>Real Madrid</t>
        </is>
      </c>
      <c r="AR688" s="24" t="inlineStr">
        <is>
          <t>Real Madrid</t>
        </is>
      </c>
      <c r="AS688" s="24" t="inlineStr">
        <is>
          <t>Elche</t>
        </is>
      </c>
      <c r="AT688" s="24" t="inlineStr">
        <is>
          <t>Elche</t>
        </is>
      </c>
      <c r="AU688" s="24" t="inlineStr">
        <is>
          <t>Elche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3d16277c2cfc0628d7ec79d04feee92735e5c503a3be195cb225c7c52d024308</t>
        </is>
      </c>
      <c r="BB688" s="24" t="inlineStr">
        <is>
          <t>poisson_dixon_coles</t>
        </is>
      </c>
      <c r="BC688" s="24" t="inlineStr">
        <is>
          <t>soccer-poisson-dc-v1</t>
        </is>
      </c>
      <c r="BD688" s="24" t="inlineStr">
        <is>
          <t>3d16277c2cfc0628d7ec79d04feee92735e5c503a3be195cb225c7c52d024308</t>
        </is>
      </c>
      <c r="BE688" s="24" t="inlineStr">
        <is>
          <t>soccer-poisson-dc-v1</t>
        </is>
      </c>
      <c r="BF688" s="24" t="inlineStr">
        <is>
          <t>1</t>
        </is>
      </c>
      <c r="BG688" s="24" t="inlineStr">
        <is>
          <t>3d16277c2cfc0628d7ec79d04feee92735e5c503a3be195cb225c7c52d024308</t>
        </is>
      </c>
      <c r="BH688" s="24" t="inlineStr">
        <is>
          <t>2026-09-15T16:08:16.418251Z</t>
        </is>
      </c>
      <c r="BI688" s="24" t="inlineStr">
        <is>
          <t>["same_event","same_team_same_day","same_league_same_day"]</t>
        </is>
      </c>
      <c r="BJ688" s="25" t="n"/>
      <c r="BK688" s="26" t="n">
        <v>-456</v>
      </c>
      <c r="BL688" s="27" t="n">
        <v>1.219298</v>
      </c>
      <c r="BM688" s="28" t="n">
        <v>0.820144</v>
      </c>
      <c r="BN688" s="28" t="n"/>
      <c r="BO688" s="28" t="n"/>
      <c r="BP688" s="25" t="n"/>
      <c r="BQ688" s="27" t="n">
        <v>5.26</v>
      </c>
      <c r="BR688" s="28" t="n">
        <v>0.19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0.820144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"3d16277c2cfc0628d7ec79d04feee92735e5c503a3be195cb225c7c52d024308", "away_team": "Real Madrid", "event_id": "401882872", "event_start_utc": "2026-09-15T19:30Z", "features": {"away_goal_rate": 1.8477, "history_games": 9181, "home_goal_rate": 1.1068, "league_goals_per_team": 1.325, "min_team_games": 38.0}, "historical_source_observation_times_verified": false, "home_team": "Elche", "inference_inputs": {"away_rate": 1.8477043172663954, "code_sha256": {"models/soccer.py": "3d16277c2cfc0628d7ec79d04feee92735e5c503a3be195cb225c7c52d024308"}, "home_rate": 1.1068025573488665, "sport": "SOCCER"}, "market_type": "moneyline", "model_version": "soccer-poisson-dc-v1", "observed_at_utc": "2026-09-15T16:12:39.118690+00:00", "probabilities": {"away": 0.536281, "draw": 0.248548, "home": 0.215171}, "replay_scope": "Exact full-precision serving state and rounding; upstream historical observation times are not certified.", "schema": "coded-moneyline-replay-v1", "snapshot_hash": "32672294e8bfb761e4fc5054a928bd74077cd6c2ee919042c66fbae19f0c1387", "sport": "SOCCER"}</t>
        </is>
      </c>
    </row>
    <row r="689" ht="36" customHeight="1">
      <c r="A689" s="24" t="inlineStr">
        <is>
          <t>34a1eec250764bbf</t>
        </is>
      </c>
      <c r="B689" s="24" t="inlineStr">
        <is>
          <t>2026-09-15T16:12:40.391410Z</t>
        </is>
      </c>
      <c r="C689" s="24" t="inlineStr">
        <is>
          <t>2026-09-15T22:30Z</t>
        </is>
      </c>
      <c r="D689" s="24" t="inlineStr">
        <is>
          <t>401860339</t>
        </is>
      </c>
      <c r="E689" s="24" t="inlineStr">
        <is>
          <t>SOCCER</t>
        </is>
      </c>
      <c r="F689" s="24" t="inlineStr">
        <is>
          <t>Ponte Preta</t>
        </is>
      </c>
      <c r="G689" s="24" t="inlineStr">
        <is>
          <t>Londrina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polymarket_us</t>
        </is>
      </c>
      <c r="L689" s="26" t="n">
        <v>-285</v>
      </c>
      <c r="M689" s="27" t="n">
        <v>1.350877</v>
      </c>
      <c r="N689" s="28" t="n">
        <v>0.74026</v>
      </c>
      <c r="O689" s="28" t="n">
        <v>0.483295</v>
      </c>
      <c r="P689" s="28" t="n">
        <v>0.2</v>
      </c>
      <c r="Q689" s="28" t="n">
        <v>-0.256965</v>
      </c>
      <c r="R689" s="26" t="n">
        <v>0</v>
      </c>
      <c r="S689" s="29" t="n">
        <v>1</v>
      </c>
      <c r="T689" s="24" t="inlineStr">
        <is>
          <t>soccer-poisson-dc-v1</t>
        </is>
      </c>
      <c r="U689" s="24" t="inlineStr">
        <is>
          <t>settled</t>
        </is>
      </c>
      <c r="V689" s="24" t="inlineStr">
        <is>
          <t>win</t>
        </is>
      </c>
      <c r="W689" s="26" t="n">
        <v>0</v>
      </c>
      <c r="X689" s="26" t="n">
        <v>6</v>
      </c>
      <c r="Y689" s="25" t="n"/>
      <c r="Z689" s="26" t="n">
        <v>-285</v>
      </c>
      <c r="AA689" s="28" t="n">
        <v>0.74</v>
      </c>
      <c r="AB689" s="28" t="n">
        <v>-0.00026</v>
      </c>
      <c r="AC689" s="30" t="n">
        <v>0.3509</v>
      </c>
      <c r="AD689" s="24" t="inlineStr">
        <is>
          <t>2026-09-16T04:42:25.629794Z</t>
        </is>
      </c>
      <c r="AE689" s="31" t="inlineStr">
        <is>
          <t>Poisson-DC rates 1.72 (home) / 1.20 (away) from EWMA attack/defense strengths. Executable ask 0.7400 (atc-brb-lon-pop-2026-09-15-lon).</t>
        </is>
      </c>
      <c r="AF689" s="31" t="inlineStr">
        <is>
          <t>Research-only soccer score model; draw-aware, but not yet locked-holdout qualified.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PAPER_CALL_MODEL_UNVALIDATED</t>
        </is>
      </c>
      <c r="AP689" s="24" t="inlineStr">
        <is>
          <t>Ponte Preta</t>
        </is>
      </c>
      <c r="AQ689" s="24" t="inlineStr">
        <is>
          <t>Ponte Preta</t>
        </is>
      </c>
      <c r="AR689" s="24" t="inlineStr">
        <is>
          <t>Ponte Preta</t>
        </is>
      </c>
      <c r="AS689" s="24" t="inlineStr">
        <is>
          <t>Londrina</t>
        </is>
      </c>
      <c r="AT689" s="24" t="inlineStr">
        <is>
          <t>Londrina</t>
        </is>
      </c>
      <c r="AU689" s="24" t="inlineStr">
        <is>
          <t>Londrina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3d16277c2cfc0628d7ec79d04feee92735e5c503a3be195cb225c7c52d024308</t>
        </is>
      </c>
      <c r="BB689" s="24" t="inlineStr">
        <is>
          <t>poisson_dixon_coles</t>
        </is>
      </c>
      <c r="BC689" s="24" t="inlineStr">
        <is>
          <t>soccer-poisson-dc-v1</t>
        </is>
      </c>
      <c r="BD689" s="24" t="inlineStr">
        <is>
          <t>3d16277c2cfc0628d7ec79d04feee92735e5c503a3be195cb225c7c52d024308</t>
        </is>
      </c>
      <c r="BE689" s="24" t="inlineStr">
        <is>
          <t>soccer-poisson-dc-v1</t>
        </is>
      </c>
      <c r="BF689" s="24" t="inlineStr">
        <is>
          <t>1</t>
        </is>
      </c>
      <c r="BG689" s="24" t="inlineStr">
        <is>
          <t>3d16277c2cfc0628d7ec79d04feee92735e5c503a3be195cb225c7c52d024308</t>
        </is>
      </c>
      <c r="BH689" s="24" t="inlineStr">
        <is>
          <t>2026-09-15T16:08:28.096609Z</t>
        </is>
      </c>
      <c r="BI689" s="24" t="inlineStr">
        <is>
          <t>["same_event","same_team_same_day","same_league_same_day"]</t>
        </is>
      </c>
      <c r="BJ689" s="25" t="n"/>
      <c r="BK689" s="26" t="n">
        <v>-285</v>
      </c>
      <c r="BL689" s="27" t="n">
        <v>1.350877</v>
      </c>
      <c r="BM689" s="28" t="n">
        <v>0.74026</v>
      </c>
      <c r="BN689" s="28" t="n"/>
      <c r="BO689" s="28" t="n"/>
      <c r="BP689" s="25" t="n"/>
      <c r="BQ689" s="27" t="n">
        <v>1.350877</v>
      </c>
      <c r="BR689" s="28" t="n">
        <v>0.74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False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0.74026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"3d16277c2cfc0628d7ec79d04feee92735e5c503a3be195cb225c7c52d024308", "away_team": "Ponte Preta", "event_id": "401860339", "event_start_utc": "2026-09-15T22:30Z", "features": {"away_goal_rate": 1.2004, "history_games": 9181, "home_goal_rate": 1.7153, "league_goals_per_team": 1.4281, "min_team_games": 0.0}, "historical_source_observation_times_verified": false, "home_team": "Londrina",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"2026-09-15T16:12:39.118690+00:00", "probabilities": {"away": 0.256322, "draw": 0.260383, "home": 0.483295}, "replay_scope": "Exact full-precision serving state and rounding; upstream historical observation times are not certified.", "schema": "coded-moneyline-replay-v1", "snapshot_hash": "6e8fe7d953cd4d6bc071f5b51a141f5055a28dd2a14e9309d874b4dd6f26195a", "sport": "SOCCER"}</t>
        </is>
      </c>
    </row>
    <row r="690" ht="36" customHeight="1">
      <c r="A690" s="24" t="inlineStr">
        <is>
          <t>c133c637685945ed</t>
        </is>
      </c>
      <c r="B690" s="24" t="inlineStr">
        <is>
          <t>2026-09-16T16:24:04.737545Z</t>
        </is>
      </c>
      <c r="C690" s="24" t="inlineStr">
        <is>
          <t>2026-09-16T17:00Z</t>
        </is>
      </c>
      <c r="D690" s="24" t="inlineStr">
        <is>
          <t>401882873</t>
        </is>
      </c>
      <c r="E690" s="24" t="inlineStr">
        <is>
          <t>SOCCER</t>
        </is>
      </c>
      <c r="F690" s="24" t="inlineStr">
        <is>
          <t>Sevilla</t>
        </is>
      </c>
      <c r="G690" s="24" t="inlineStr">
        <is>
          <t>Deportivo</t>
        </is>
      </c>
      <c r="H690" s="24" t="inlineStr">
        <is>
          <t>total</t>
        </is>
      </c>
      <c r="I690" s="24" t="inlineStr">
        <is>
          <t>over</t>
        </is>
      </c>
      <c r="J690" s="25" t="n">
        <v>2.5</v>
      </c>
      <c r="K690" s="24" t="inlineStr">
        <is>
          <t>polymarket_us</t>
        </is>
      </c>
      <c r="L690" s="26" t="n">
        <v>525</v>
      </c>
      <c r="M690" s="27" t="n">
        <v>6.25</v>
      </c>
      <c r="N690" s="28" t="n">
        <v>0.16</v>
      </c>
      <c r="O690" s="28" t="n">
        <v>0.502997</v>
      </c>
      <c r="P690" s="28" t="n">
        <v>0.2</v>
      </c>
      <c r="Q690" s="28" t="n">
        <v>0.342997</v>
      </c>
      <c r="R690" s="26" t="n">
        <v>100</v>
      </c>
      <c r="S690" s="29" t="n">
        <v>2</v>
      </c>
      <c r="T690" s="24" t="inlineStr">
        <is>
          <t>soccer-poisson-dc-v1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525</v>
      </c>
      <c r="AA690" s="28" t="n">
        <v>0.16</v>
      </c>
      <c r="AB690" s="28" t="n">
        <v>0</v>
      </c>
      <c r="AC690" s="30" t="n">
        <v>-2</v>
      </c>
      <c r="AD690" s="24" t="inlineStr">
        <is>
          <t>2026-09-16T22:01:12.104709Z</t>
        </is>
      </c>
      <c r="AE690" s="31" t="inlineStr">
        <is>
          <t>Poisson-DC rates 1.72 (home) / 0.97 (away) from EWMA attack/defense strengths. Executable ask 0.1600 (tsc-lal-dep-sev-2026-09-16-sh-2pt5).</t>
        </is>
      </c>
      <c r="AF690" s="31" t="inlineStr">
        <is>
          <t>Research-only soccer score model; draw-aware, but not yet locked-holdout qualified.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Sevilla</t>
        </is>
      </c>
      <c r="AQ690" s="24" t="inlineStr">
        <is>
          <t>Sevilla</t>
        </is>
      </c>
      <c r="AR690" s="24" t="inlineStr">
        <is>
          <t>Sevilla</t>
        </is>
      </c>
      <c r="AS690" s="24" t="inlineStr">
        <is>
          <t>Deportivo</t>
        </is>
      </c>
      <c r="AT690" s="24" t="inlineStr">
        <is>
          <t>Deportivo</t>
        </is>
      </c>
      <c r="AU690" s="24" t="inlineStr">
        <is>
          <t>Deportivo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3d16277c2cfc0628d7ec79d04feee92735e5c503a3be195cb225c7c52d024308</t>
        </is>
      </c>
      <c r="BB690" s="24" t="inlineStr">
        <is>
          <t>poisson_dixon_coles</t>
        </is>
      </c>
      <c r="BC690" s="24" t="inlineStr">
        <is>
          <t>soccer-poisson-dc-v1</t>
        </is>
      </c>
      <c r="BD690" s="24" t="inlineStr">
        <is>
          <t>3d16277c2cfc0628d7ec79d04feee92735e5c503a3be195cb225c7c52d024308</t>
        </is>
      </c>
      <c r="BE690" s="24" t="inlineStr">
        <is>
          <t>soccer-poisson-dc-v1</t>
        </is>
      </c>
      <c r="BF690" s="24" t="inlineStr">
        <is>
          <t>1</t>
        </is>
      </c>
      <c r="BG690" s="24" t="inlineStr">
        <is>
          <t>3d16277c2cfc0628d7ec79d04feee92735e5c503a3be195cb225c7c52d024308</t>
        </is>
      </c>
      <c r="BH690" s="24" t="inlineStr">
        <is>
          <t>2026-09-16T16:18:44.100386Z</t>
        </is>
      </c>
      <c r="BI690" s="24" t="inlineStr">
        <is>
          <t>["same_event","same_team_same_day","same_league_same_day"]</t>
        </is>
      </c>
      <c r="BJ690" s="25" t="n">
        <v>2.5</v>
      </c>
      <c r="BK690" s="26" t="n">
        <v>525</v>
      </c>
      <c r="BL690" s="27" t="n">
        <v>6.25</v>
      </c>
      <c r="BM690" s="28" t="n">
        <v>0.16</v>
      </c>
      <c r="BN690" s="28" t="n"/>
      <c r="BO690" s="28" t="n"/>
      <c r="BP690" s="25" t="n"/>
      <c r="BQ690" s="27" t="n">
        <v>6.25</v>
      </c>
      <c r="BR690" s="28" t="n">
        <v>0.16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0.16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3d0746a4caf1408e</t>
        </is>
      </c>
      <c r="B691" s="24" t="inlineStr">
        <is>
          <t>2026-09-16T16:24:04.737545Z</t>
        </is>
      </c>
      <c r="C691" s="24" t="inlineStr">
        <is>
          <t>2026-09-16T19:30Z</t>
        </is>
      </c>
      <c r="D691" s="24" t="inlineStr">
        <is>
          <t>401882870</t>
        </is>
      </c>
      <c r="E691" s="24" t="inlineStr">
        <is>
          <t>SOCCER</t>
        </is>
      </c>
      <c r="F691" s="24" t="inlineStr">
        <is>
          <t>Athletic Club</t>
        </is>
      </c>
      <c r="G691" s="24" t="inlineStr">
        <is>
          <t>Levante</t>
        </is>
      </c>
      <c r="H691" s="24" t="inlineStr">
        <is>
          <t>total</t>
        </is>
      </c>
      <c r="I691" s="24" t="inlineStr">
        <is>
          <t>over</t>
        </is>
      </c>
      <c r="J691" s="25" t="n">
        <v>2.5</v>
      </c>
      <c r="K691" s="24" t="inlineStr">
        <is>
          <t>polymarket_us</t>
        </is>
      </c>
      <c r="L691" s="26" t="n">
        <v>300</v>
      </c>
      <c r="M691" s="27" t="n">
        <v>4</v>
      </c>
      <c r="N691" s="28" t="n">
        <v>0.25</v>
      </c>
      <c r="O691" s="28" t="n">
        <v>0.602436</v>
      </c>
      <c r="P691" s="28" t="n">
        <v>0.04</v>
      </c>
      <c r="Q691" s="28" t="n">
        <v>0.352436</v>
      </c>
      <c r="R691" s="26" t="n">
        <v>100</v>
      </c>
      <c r="S691" s="29" t="n">
        <v>2</v>
      </c>
      <c r="T691" s="24" t="inlineStr">
        <is>
          <t>soccer-poisson-dc-v1</t>
        </is>
      </c>
      <c r="U691" s="24" t="inlineStr">
        <is>
          <t>settled</t>
        </is>
      </c>
      <c r="V691" s="24" t="inlineStr">
        <is>
          <t>loss</t>
        </is>
      </c>
      <c r="W691" s="26" t="n">
        <v>2</v>
      </c>
      <c r="X691" s="26" t="n">
        <v>0</v>
      </c>
      <c r="Y691" s="25" t="n"/>
      <c r="Z691" s="26" t="n">
        <v>300</v>
      </c>
      <c r="AA691" s="28" t="n">
        <v>0.25</v>
      </c>
      <c r="AB691" s="28" t="n">
        <v>0</v>
      </c>
      <c r="AC691" s="30" t="n">
        <v>-2</v>
      </c>
      <c r="AD691" s="24" t="inlineStr">
        <is>
          <t>2026-09-16T22:01:14.822930Z</t>
        </is>
      </c>
      <c r="AE691" s="31" t="inlineStr">
        <is>
          <t>Poisson-DC rates 1.92 (home) / 1.20 (away) from EWMA attack/defense strengths. Executable ask 0.2500 (tsc-lal-lev-ath-2026-09-16-sh-2pt5).</t>
        </is>
      </c>
      <c r="AF691" s="31" t="inlineStr">
        <is>
          <t>Research-only soccer score model; draw-aware, but not yet locked-holdout qualified.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Athletic Club</t>
        </is>
      </c>
      <c r="AQ691" s="24" t="inlineStr">
        <is>
          <t>Athletic Club</t>
        </is>
      </c>
      <c r="AR691" s="24" t="inlineStr">
        <is>
          <t>Athletic Club</t>
        </is>
      </c>
      <c r="AS691" s="24" t="inlineStr">
        <is>
          <t>Levante</t>
        </is>
      </c>
      <c r="AT691" s="24" t="inlineStr">
        <is>
          <t>Levante</t>
        </is>
      </c>
      <c r="AU691" s="24" t="inlineStr">
        <is>
          <t>Levante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3d16277c2cfc0628d7ec79d04feee92735e5c503a3be195cb225c7c52d024308</t>
        </is>
      </c>
      <c r="BB691" s="24" t="inlineStr">
        <is>
          <t>poisson_dixon_coles</t>
        </is>
      </c>
      <c r="BC691" s="24" t="inlineStr">
        <is>
          <t>soccer-poisson-dc-v1</t>
        </is>
      </c>
      <c r="BD691" s="24" t="inlineStr">
        <is>
          <t>3d16277c2cfc0628d7ec79d04feee92735e5c503a3be195cb225c7c52d024308</t>
        </is>
      </c>
      <c r="BE691" s="24" t="inlineStr">
        <is>
          <t>soccer-poisson-dc-v1</t>
        </is>
      </c>
      <c r="BF691" s="24" t="inlineStr">
        <is>
          <t>1</t>
        </is>
      </c>
      <c r="BG691" s="24" t="inlineStr">
        <is>
          <t>3d16277c2cfc0628d7ec79d04feee92735e5c503a3be195cb225c7c52d024308</t>
        </is>
      </c>
      <c r="BH691" s="24" t="inlineStr">
        <is>
          <t>2026-09-16T16:19:06.115786Z</t>
        </is>
      </c>
      <c r="BI691" s="24" t="inlineStr">
        <is>
          <t>["same_event","same_team_same_day","same_league_same_day"]</t>
        </is>
      </c>
      <c r="BJ691" s="25" t="n">
        <v>2.5</v>
      </c>
      <c r="BK691" s="26" t="n">
        <v>300</v>
      </c>
      <c r="BL691" s="27" t="n">
        <v>4</v>
      </c>
      <c r="BM691" s="28" t="n">
        <v>0.25</v>
      </c>
      <c r="BN691" s="28" t="n"/>
      <c r="BO691" s="28" t="n"/>
      <c r="BP691" s="25" t="n"/>
      <c r="BQ691" s="27" t="n">
        <v>4</v>
      </c>
      <c r="BR691" s="28" t="n">
        <v>0.25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0.25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8d9ce04a42d84dcb</t>
        </is>
      </c>
      <c r="B692" s="24" t="inlineStr">
        <is>
          <t>2026-09-17T16:16:35.715975Z</t>
        </is>
      </c>
      <c r="C692" s="24" t="inlineStr">
        <is>
          <t>2026-09-17T17:00Z</t>
        </is>
      </c>
      <c r="D692" s="24" t="inlineStr">
        <is>
          <t>401882874</t>
        </is>
      </c>
      <c r="E692" s="24" t="inlineStr">
        <is>
          <t>SOCCER</t>
        </is>
      </c>
      <c r="F692" s="24" t="inlineStr">
        <is>
          <t>Getafe</t>
        </is>
      </c>
      <c r="G692" s="24" t="inlineStr">
        <is>
          <t>Real Betis</t>
        </is>
      </c>
      <c r="H692" s="24" t="inlineStr">
        <is>
          <t>total</t>
        </is>
      </c>
      <c r="I692" s="24" t="inlineStr">
        <is>
          <t>under</t>
        </is>
      </c>
      <c r="J692" s="25" t="n">
        <v>2.5</v>
      </c>
      <c r="K692" s="24" t="inlineStr">
        <is>
          <t>polymarket_us</t>
        </is>
      </c>
      <c r="L692" s="26" t="n">
        <v>-2400</v>
      </c>
      <c r="M692" s="27" t="n">
        <v>1.041667</v>
      </c>
      <c r="N692" s="28" t="n">
        <v>0.96</v>
      </c>
      <c r="O692" s="28" t="n">
        <v>0.673515</v>
      </c>
      <c r="P692" s="28" t="n">
        <v>0.04</v>
      </c>
      <c r="Q692" s="28" t="n">
        <v>-0.286485</v>
      </c>
      <c r="R692" s="26" t="n">
        <v>0</v>
      </c>
      <c r="S692" s="29" t="n">
        <v>1</v>
      </c>
      <c r="T692" s="24" t="inlineStr">
        <is>
          <t>soccer-poisson-dc-v1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-2400</v>
      </c>
      <c r="AA692" s="28" t="n">
        <v>0.96</v>
      </c>
      <c r="AB692" s="28" t="n">
        <v>0</v>
      </c>
      <c r="AC692" s="30" t="n">
        <v>0.0417</v>
      </c>
      <c r="AD692" s="24" t="inlineStr">
        <is>
          <t>2026-09-17T22:00:42.026011Z</t>
        </is>
      </c>
      <c r="AE692" s="31" t="inlineStr">
        <is>
          <t>Poisson-DC rates 1.24 (home) / 0.77 (away) from EWMA attack/defense strengths. Executable ask 0.9600 (tsc-lal-bet-get-2026-09-17-sh-2pt5).</t>
        </is>
      </c>
      <c r="AF692" s="31" t="inlineStr">
        <is>
          <t>Research-only soccer score model; draw-aware, but not yet locked-holdout qualified.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Getafe</t>
        </is>
      </c>
      <c r="AQ692" s="24" t="inlineStr">
        <is>
          <t>Getafe</t>
        </is>
      </c>
      <c r="AR692" s="24" t="inlineStr">
        <is>
          <t>Getafe</t>
        </is>
      </c>
      <c r="AS692" s="24" t="inlineStr">
        <is>
          <t>Real Betis</t>
        </is>
      </c>
      <c r="AT692" s="24" t="inlineStr">
        <is>
          <t>Real Betis</t>
        </is>
      </c>
      <c r="AU692" s="24" t="inlineStr">
        <is>
          <t>Real Betis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3d16277c2cfc0628d7ec79d04feee92735e5c503a3be195cb225c7c52d024308</t>
        </is>
      </c>
      <c r="BB692" s="24" t="inlineStr">
        <is>
          <t>poisson_dixon_coles</t>
        </is>
      </c>
      <c r="BC692" s="24" t="inlineStr">
        <is>
          <t>soccer-poisson-dc-v1</t>
        </is>
      </c>
      <c r="BD692" s="24" t="inlineStr">
        <is>
          <t>3d16277c2cfc0628d7ec79d04feee92735e5c503a3be195cb225c7c52d024308</t>
        </is>
      </c>
      <c r="BE692" s="24" t="inlineStr">
        <is>
          <t>soccer-poisson-dc-v1</t>
        </is>
      </c>
      <c r="BF692" s="24" t="inlineStr">
        <is>
          <t>1</t>
        </is>
      </c>
      <c r="BG692" s="24" t="inlineStr">
        <is>
          <t>3d16277c2cfc0628d7ec79d04feee92735e5c503a3be195cb225c7c52d024308</t>
        </is>
      </c>
      <c r="BH692" s="24" t="inlineStr">
        <is>
          <t>2026-09-17T10:05:58.135099Z</t>
        </is>
      </c>
      <c r="BI692" s="24" t="inlineStr">
        <is>
          <t>["same_event","same_team_same_day","same_league_same_day"]</t>
        </is>
      </c>
      <c r="BJ692" s="25" t="n">
        <v>2.5</v>
      </c>
      <c r="BK692" s="26" t="n">
        <v>-2400</v>
      </c>
      <c r="BL692" s="27" t="n">
        <v>1.041667</v>
      </c>
      <c r="BM692" s="28" t="n">
        <v>0.96</v>
      </c>
      <c r="BN692" s="28" t="n"/>
      <c r="BO692" s="28" t="n"/>
      <c r="BP692" s="25" t="n"/>
      <c r="BQ692" s="27" t="n">
        <v>1.041667</v>
      </c>
      <c r="BR692" s="28" t="n">
        <v>0.96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0.96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6dd52a4cb66b46be</t>
        </is>
      </c>
      <c r="B693" s="24" t="inlineStr">
        <is>
          <t>2026-09-18T17:55:01.283929Z</t>
        </is>
      </c>
      <c r="C693" s="24" t="inlineStr">
        <is>
          <t>2026-09-18T18:45Z</t>
        </is>
      </c>
      <c r="D693" s="24" t="inlineStr">
        <is>
          <t>401874756</t>
        </is>
      </c>
      <c r="E693" s="24" t="inlineStr">
        <is>
          <t>SOCCER</t>
        </is>
      </c>
      <c r="F693" s="24" t="inlineStr">
        <is>
          <t>Sassuolo</t>
        </is>
      </c>
      <c r="G693" s="24" t="inlineStr">
        <is>
          <t>Monza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170</v>
      </c>
      <c r="M693" s="27" t="n">
        <v>2.7</v>
      </c>
      <c r="N693" s="28" t="n">
        <v>0.37037</v>
      </c>
      <c r="O693" s="28" t="n">
        <v>0.526677</v>
      </c>
      <c r="P693" s="28" t="n">
        <v>0.04</v>
      </c>
      <c r="Q693" s="28" t="n">
        <v>0.156307</v>
      </c>
      <c r="R693" s="26" t="n">
        <v>100</v>
      </c>
      <c r="S693" s="29" t="n">
        <v>1.75</v>
      </c>
      <c r="T693" s="24" t="inlineStr">
        <is>
          <t>soccer-poisson-dc-v1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2</v>
      </c>
      <c r="Y693" s="25" t="n"/>
      <c r="Z693" s="26" t="n">
        <v>-178</v>
      </c>
      <c r="AA693" s="28" t="n">
        <v>0.64</v>
      </c>
      <c r="AB693" s="28" t="n">
        <v>0.26963</v>
      </c>
      <c r="AC693" s="30" t="n">
        <v>-1.75</v>
      </c>
      <c r="AD693" s="24" t="inlineStr">
        <is>
          <t>2026-09-18T22:00:14.625927Z</t>
        </is>
      </c>
      <c r="AE693" s="31" t="inlineStr">
        <is>
          <t>Poisson-DC rates 0.89 (home) / 1.59 (away) from EWMA attack/defense strengths. Executable ask 0.3700 (atc-sea-mon-sas-2026-09-18-sas).</t>
        </is>
      </c>
      <c r="AF693" s="31" t="inlineStr">
        <is>
          <t>Research-only soccer score model; draw-aware, but not yet locked-holdout qualified.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Sassuolo</t>
        </is>
      </c>
      <c r="AQ693" s="24" t="inlineStr">
        <is>
          <t>Sassuolo</t>
        </is>
      </c>
      <c r="AR693" s="24" t="inlineStr">
        <is>
          <t>Sassuolo</t>
        </is>
      </c>
      <c r="AS693" s="24" t="inlineStr">
        <is>
          <t>Monza</t>
        </is>
      </c>
      <c r="AT693" s="24" t="inlineStr">
        <is>
          <t>Monza</t>
        </is>
      </c>
      <c r="AU693" s="24" t="inlineStr">
        <is>
          <t>Monza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3d16277c2cfc0628d7ec79d04feee92735e5c503a3be195cb225c7c52d024308</t>
        </is>
      </c>
      <c r="BB693" s="24" t="inlineStr">
        <is>
          <t>poisson_dixon_coles</t>
        </is>
      </c>
      <c r="BC693" s="24" t="inlineStr">
        <is>
          <t>soccer-poisson-dc-v1</t>
        </is>
      </c>
      <c r="BD693" s="24" t="inlineStr">
        <is>
          <t>3d16277c2cfc0628d7ec79d04feee92735e5c503a3be195cb225c7c52d024308</t>
        </is>
      </c>
      <c r="BE693" s="24" t="inlineStr">
        <is>
          <t>soccer-poisson-dc-v1</t>
        </is>
      </c>
      <c r="BF693" s="24" t="inlineStr">
        <is>
          <t>1</t>
        </is>
      </c>
      <c r="BG693" s="24" t="inlineStr">
        <is>
          <t>3d16277c2cfc0628d7ec79d04feee92735e5c503a3be195cb225c7c52d024308</t>
        </is>
      </c>
      <c r="BH693" s="24" t="inlineStr">
        <is>
          <t>2026-09-18T17:09:09.310347Z</t>
        </is>
      </c>
      <c r="BI693" s="24" t="inlineStr">
        <is>
          <t>["same_event","same_team_same_day","same_league_same_day"]</t>
        </is>
      </c>
      <c r="BJ693" s="25" t="n"/>
      <c r="BK693" s="26" t="n">
        <v>170</v>
      </c>
      <c r="BL693" s="27" t="n">
        <v>2.7</v>
      </c>
      <c r="BM693" s="28" t="n">
        <v>0.37037</v>
      </c>
      <c r="BN693" s="28" t="n"/>
      <c r="BO693" s="28" t="n"/>
      <c r="BP693" s="25" t="n"/>
      <c r="BQ693" s="27" t="n">
        <v>1.561798</v>
      </c>
      <c r="BR693" s="28" t="n">
        <v>0.64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0.37037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"3d16277c2cfc0628d7ec79d04feee92735e5c503a3be195cb225c7c52d024308", "away_team": "Sassuolo", "event_id": "401874756", "event_start_utc": "2026-09-18T18:45Z", "features": {"away_goal_rate": 1.5927, "history_games": 9181, "home_goal_rate": 0.8913, "league_goals_per_team": 1.2703, "min_team_games": 58.0}, "historical_source_observation_times_verified": false, "home_team": "Monza", "inference_inputs": {"away_rate": 1.5927172595406545, "code_sha256": {"models/soccer.py": "3d16277c2cfc0628d7ec79d04feee92735e5c503a3be195cb225c7c52d024308"}, "home_rate": 0.8913317751721037, "sport": "SOCCER"}, "market_type": "moneyline", "model_version": "soccer-poisson-dc-v1", "observed_at_utc": "2026-09-18T17:55:00.247936+00:00", "probabilities": {"away": 0.526677, "draw": 0.274765, "home": 0.198558}, "replay_scope": "Exact full-precision serving state and rounding; upstream historical observation times are not certified.", "schema": "coded-moneyline-replay-v1", "snapshot_hash": "b541db6b6abc07d5457ba6898f20ab3aa67970971f3b877ad077986521a58ffc", "sport": "SOCCER"}</t>
        </is>
      </c>
    </row>
    <row r="694" ht="36" customHeight="1">
      <c r="A694" s="24" t="inlineStr">
        <is>
          <t>0548c19acd9b4a23</t>
        </is>
      </c>
      <c r="B694" s="24" t="inlineStr">
        <is>
          <t>2026-09-18T22:08:31.407710Z</t>
        </is>
      </c>
      <c r="C694" s="24" t="inlineStr">
        <is>
          <t>2026-09-18T23:30Z</t>
        </is>
      </c>
      <c r="D694" s="24" t="inlineStr">
        <is>
          <t>401860343</t>
        </is>
      </c>
      <c r="E694" s="24" t="inlineStr">
        <is>
          <t>SOCCER</t>
        </is>
      </c>
      <c r="F694" s="24" t="inlineStr">
        <is>
          <t>Novorizontino</t>
        </is>
      </c>
      <c r="G694" s="24" t="inlineStr">
        <is>
          <t>Ceará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212</v>
      </c>
      <c r="M694" s="27" t="n">
        <v>3.12</v>
      </c>
      <c r="N694" s="28" t="n">
        <v>0.320513</v>
      </c>
      <c r="O694" s="28" t="n">
        <v>0.456135</v>
      </c>
      <c r="P694" s="28" t="n">
        <v>0.2</v>
      </c>
      <c r="Q694" s="28" t="n">
        <v>0.135622</v>
      </c>
      <c r="R694" s="26" t="n">
        <v>0</v>
      </c>
      <c r="S694" s="29" t="n">
        <v>1</v>
      </c>
      <c r="T694" s="24" t="inlineStr">
        <is>
          <t>soccer-poisson-dc-v1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2</v>
      </c>
      <c r="Y694" s="25" t="n"/>
      <c r="Z694" s="26" t="n">
        <v>212</v>
      </c>
      <c r="AA694" s="28" t="n">
        <v>0.32</v>
      </c>
      <c r="AB694" s="28" t="n">
        <v>-0.000513</v>
      </c>
      <c r="AC694" s="30" t="n">
        <v>2.12</v>
      </c>
      <c r="AD694" s="24" t="inlineStr">
        <is>
          <t>2026-09-19T04:31:48.424661Z</t>
        </is>
      </c>
      <c r="AE694" s="31" t="inlineStr">
        <is>
          <t>Poisson-DC rates 1.64 (home) / 1.24 (away) from EWMA attack/defense strengths. Executable ask 0.3200 (atc-brb-csc-nov-2026-09-18-csc).</t>
        </is>
      </c>
      <c r="AF694" s="31" t="inlineStr">
        <is>
          <t>Research-only soccer score model; draw-aware, but not yet locked-holdout qualified.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Novorizontino</t>
        </is>
      </c>
      <c r="AQ694" s="24" t="inlineStr">
        <is>
          <t>Novorizontino</t>
        </is>
      </c>
      <c r="AR694" s="24" t="inlineStr">
        <is>
          <t>Novorizontino</t>
        </is>
      </c>
      <c r="AS694" s="24" t="inlineStr">
        <is>
          <t>Ceará</t>
        </is>
      </c>
      <c r="AT694" s="24" t="inlineStr">
        <is>
          <t>Ceará</t>
        </is>
      </c>
      <c r="AU694" s="24" t="inlineStr">
        <is>
          <t>Ceará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3d16277c2cfc0628d7ec79d04feee92735e5c503a3be195cb225c7c52d024308</t>
        </is>
      </c>
      <c r="BB694" s="24" t="inlineStr">
        <is>
          <t>poisson_dixon_coles</t>
        </is>
      </c>
      <c r="BC694" s="24" t="inlineStr">
        <is>
          <t>soccer-poisson-dc-v1</t>
        </is>
      </c>
      <c r="BD694" s="24" t="inlineStr">
        <is>
          <t>3d16277c2cfc0628d7ec79d04feee92735e5c503a3be195cb225c7c52d024308</t>
        </is>
      </c>
      <c r="BE694" s="24" t="inlineStr">
        <is>
          <t>soccer-poisson-dc-v1</t>
        </is>
      </c>
      <c r="BF694" s="24" t="inlineStr">
        <is>
          <t>1</t>
        </is>
      </c>
      <c r="BG694" s="24" t="inlineStr">
        <is>
          <t>3d16277c2cfc0628d7ec79d04feee92735e5c503a3be195cb225c7c52d024308</t>
        </is>
      </c>
      <c r="BH694" s="24" t="inlineStr">
        <is>
          <t>2026-09-18T07:22:50.145746Z</t>
        </is>
      </c>
      <c r="BI694" s="24" t="inlineStr">
        <is>
          <t>["same_event","same_team_same_day","same_league_same_day"]</t>
        </is>
      </c>
      <c r="BJ694" s="25" t="n"/>
      <c r="BK694" s="26" t="n">
        <v>212</v>
      </c>
      <c r="BL694" s="27" t="n">
        <v>3.12</v>
      </c>
      <c r="BM694" s="28" t="n">
        <v>0.320513</v>
      </c>
      <c r="BN694" s="28" t="n"/>
      <c r="BO694" s="28" t="n"/>
      <c r="BP694" s="25" t="n"/>
      <c r="BQ694" s="27" t="n">
        <v>3.12</v>
      </c>
      <c r="BR694" s="28" t="n">
        <v>0.32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0.320513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"3d16277c2cfc0628d7ec79d04feee92735e5c503a3be195cb225c7c52d024308", "away_team": "Novorizontino", "event_id": "401860343", "event_start_utc": "2026-09-18T23:30Z", "features": {"away_goal_rate": 1.2418, "history_games": 9181, "home_goal_rate": 1.6423, "league_goals_per_team": 1.4281, "min_team_games": 0.0}, "historical_source_observation_times_verified": false, "home_team": "Cear\u00e1",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"2026-09-18T22:08:30.699494+00:00", "probabilities": {"away": 0.278015, "draw": 0.265851, "home": 0.456135}, "replay_scope": "Exact full-precision serving state and rounding; upstream historical observation times are not certified.", "schema": "coded-moneyline-replay-v1", "snapshot_hash": "43727f3ba79377bb0792f1cda69fff51818956f540d2b287f10d6d20fe96acec", "sport": "SOCCER"}</t>
        </is>
      </c>
    </row>
    <row r="695" ht="36" customHeight="1">
      <c r="A695" s="24" t="inlineStr">
        <is>
          <t>7c4072b6688140c7</t>
        </is>
      </c>
      <c r="B695" s="24" t="inlineStr">
        <is>
          <t>2026-09-19T11:12:56.904467Z</t>
        </is>
      </c>
      <c r="C695" s="24" t="inlineStr">
        <is>
          <t>2026-09-19T14:00Z</t>
        </is>
      </c>
      <c r="D695" s="24" t="inlineStr">
        <is>
          <t>401879274</t>
        </is>
      </c>
      <c r="E695" s="24" t="inlineStr">
        <is>
          <t>SOCCER</t>
        </is>
      </c>
      <c r="F695" s="24" t="inlineStr">
        <is>
          <t>Arsenal</t>
        </is>
      </c>
      <c r="G695" s="24" t="inlineStr">
        <is>
          <t>Brighton &amp; Hove Albion</t>
        </is>
      </c>
      <c r="H695" s="24" t="inlineStr">
        <is>
          <t>total</t>
        </is>
      </c>
      <c r="I695" s="24" t="inlineStr">
        <is>
          <t>under</t>
        </is>
      </c>
      <c r="J695" s="25" t="n">
        <v>2.5</v>
      </c>
      <c r="K695" s="24" t="inlineStr">
        <is>
          <t>polymarket_us</t>
        </is>
      </c>
      <c r="L695" s="26" t="n">
        <v>113</v>
      </c>
      <c r="M695" s="27" t="n">
        <v>2.13</v>
      </c>
      <c r="N695" s="28" t="n">
        <v>0.469484</v>
      </c>
      <c r="O695" s="28" t="n">
        <v>0.6498969999999999</v>
      </c>
      <c r="P695" s="28" t="n">
        <v>0.04</v>
      </c>
      <c r="Q695" s="28" t="n">
        <v>0.180413</v>
      </c>
      <c r="R695" s="26" t="n">
        <v>100</v>
      </c>
      <c r="S695" s="29" t="n">
        <v>2</v>
      </c>
      <c r="T695" s="24" t="inlineStr">
        <is>
          <t>soccer-poisson-dc-v1</t>
        </is>
      </c>
      <c r="U695" s="24" t="inlineStr">
        <is>
          <t>settled</t>
        </is>
      </c>
      <c r="V695" s="24" t="inlineStr">
        <is>
          <t>loss</t>
        </is>
      </c>
      <c r="W695" s="26" t="n">
        <v>0</v>
      </c>
      <c r="X695" s="26" t="n">
        <v>3</v>
      </c>
      <c r="Y695" s="25" t="n"/>
      <c r="Z695" s="26" t="n">
        <v>113</v>
      </c>
      <c r="AA695" s="28" t="n">
        <v>0.47</v>
      </c>
      <c r="AB695" s="28" t="n">
        <v>0.000516</v>
      </c>
      <c r="AC695" s="30" t="n">
        <v>-2</v>
      </c>
      <c r="AD695" s="24" t="inlineStr">
        <is>
          <t>2026-09-19T16:00:19.519702Z</t>
        </is>
      </c>
      <c r="AE695" s="31" t="inlineStr">
        <is>
          <t>Poisson-DC rates 0.83 (home) / 1.26 (away) from EWMA attack/defense strengths. Executable ask 0.4700 (tsc-epl-bha-ars-2026-09-19-2pt5).</t>
        </is>
      </c>
      <c r="AF695" s="31" t="inlineStr">
        <is>
          <t>Research-only soccer score model; draw-aware, but not yet locked-holdout qualified.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Arsenal</t>
        </is>
      </c>
      <c r="AQ695" s="24" t="inlineStr">
        <is>
          <t>Arsenal</t>
        </is>
      </c>
      <c r="AR695" s="24" t="inlineStr">
        <is>
          <t>Arsenal</t>
        </is>
      </c>
      <c r="AS695" s="24" t="inlineStr">
        <is>
          <t>Brighton &amp; Hove Albion</t>
        </is>
      </c>
      <c r="AT695" s="24" t="inlineStr">
        <is>
          <t>Brighton &amp; Hove Albion</t>
        </is>
      </c>
      <c r="AU695" s="24" t="inlineStr">
        <is>
          <t>Brighton &amp; Hove Albion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3d16277c2cfc0628d7ec79d04feee92735e5c503a3be195cb225c7c52d024308</t>
        </is>
      </c>
      <c r="BB695" s="24" t="inlineStr">
        <is>
          <t>poisson_dixon_coles</t>
        </is>
      </c>
      <c r="BC695" s="24" t="inlineStr">
        <is>
          <t>soccer-poisson-dc-v1</t>
        </is>
      </c>
      <c r="BD695" s="24" t="inlineStr">
        <is>
          <t>3d16277c2cfc0628d7ec79d04feee92735e5c503a3be195cb225c7c52d024308</t>
        </is>
      </c>
      <c r="BE695" s="24" t="inlineStr">
        <is>
          <t>soccer-poisson-dc-v1</t>
        </is>
      </c>
      <c r="BF695" s="24" t="inlineStr">
        <is>
          <t>1</t>
        </is>
      </c>
      <c r="BG695" s="24" t="inlineStr">
        <is>
          <t>3d16277c2cfc0628d7ec79d04feee92735e5c503a3be195cb225c7c52d024308</t>
        </is>
      </c>
      <c r="BH695" s="24" t="inlineStr">
        <is>
          <t>2026-09-19T11:04:56.033980Z</t>
        </is>
      </c>
      <c r="BI695" s="24" t="inlineStr">
        <is>
          <t>["same_event","same_team_same_day","same_league_same_day"]</t>
        </is>
      </c>
      <c r="BJ695" s="25" t="n">
        <v>2.5</v>
      </c>
      <c r="BK695" s="26" t="n">
        <v>113</v>
      </c>
      <c r="BL695" s="27" t="n">
        <v>2.13</v>
      </c>
      <c r="BM695" s="28" t="n">
        <v>0.469484</v>
      </c>
      <c r="BN695" s="28" t="n"/>
      <c r="BO695" s="28" t="n"/>
      <c r="BP695" s="25" t="n"/>
      <c r="BQ695" s="27" t="n">
        <v>2.13</v>
      </c>
      <c r="BR695" s="28" t="n">
        <v>0.47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0.469484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257b42c266b24003</t>
        </is>
      </c>
      <c r="B696" s="24" t="inlineStr">
        <is>
          <t>2026-09-19T11:12:56.904467Z</t>
        </is>
      </c>
      <c r="C696" s="24" t="inlineStr">
        <is>
          <t>2026-09-19T14:00Z</t>
        </is>
      </c>
      <c r="D696" s="24" t="inlineStr">
        <is>
          <t>401878778</t>
        </is>
      </c>
      <c r="E696" s="24" t="inlineStr">
        <is>
          <t>SOCCER</t>
        </is>
      </c>
      <c r="F696" s="24" t="inlineStr">
        <is>
          <t>Ipswich Town</t>
        </is>
      </c>
      <c r="G696" s="24" t="inlineStr">
        <is>
          <t>Everton</t>
        </is>
      </c>
      <c r="H696" s="24" t="inlineStr">
        <is>
          <t>total</t>
        </is>
      </c>
      <c r="I696" s="24" t="inlineStr">
        <is>
          <t>over</t>
        </is>
      </c>
      <c r="J696" s="25" t="n">
        <v>2.5</v>
      </c>
      <c r="K696" s="24" t="inlineStr">
        <is>
          <t>polymarket_us</t>
        </is>
      </c>
      <c r="L696" s="26" t="n">
        <v>-127</v>
      </c>
      <c r="M696" s="27" t="n">
        <v>1.787402</v>
      </c>
      <c r="N696" s="28" t="n">
        <v>0.5594710000000001</v>
      </c>
      <c r="O696" s="28" t="n">
        <v>0.605098</v>
      </c>
      <c r="P696" s="28" t="n">
        <v>0.04</v>
      </c>
      <c r="Q696" s="28" t="n">
        <v>0.045627</v>
      </c>
      <c r="R696" s="26" t="n">
        <v>49</v>
      </c>
      <c r="S696" s="29" t="n">
        <v>1</v>
      </c>
      <c r="T696" s="24" t="inlineStr">
        <is>
          <t>soccer-poisson-dc-v1</t>
        </is>
      </c>
      <c r="U696" s="24" t="inlineStr">
        <is>
          <t>settled</t>
        </is>
      </c>
      <c r="V696" s="24" t="inlineStr">
        <is>
          <t>loss</t>
        </is>
      </c>
      <c r="W696" s="26" t="n">
        <v>0</v>
      </c>
      <c r="X696" s="26" t="n">
        <v>1</v>
      </c>
      <c r="Y696" s="25" t="n"/>
      <c r="Z696" s="26" t="n">
        <v>-127</v>
      </c>
      <c r="AA696" s="28" t="n">
        <v>0.5600000000000001</v>
      </c>
      <c r="AB696" s="28" t="n">
        <v>0.000529</v>
      </c>
      <c r="AC696" s="30" t="n">
        <v>-1</v>
      </c>
      <c r="AD696" s="24" t="inlineStr">
        <is>
          <t>2026-09-19T16:00:20.062856Z</t>
        </is>
      </c>
      <c r="AE696" s="31" t="inlineStr">
        <is>
          <t>Poisson-DC rates 2.24 (home) / 0.88 (away) from EWMA attack/defense strengths. Executable ask 0.5600 (tsc-epl-eve-ips-2026-09-19-2pt5).</t>
        </is>
      </c>
      <c r="AF696" s="31" t="inlineStr">
        <is>
          <t>Research-only soccer score model; draw-aware, but not yet locked-holdout qualified.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Ipswich Town</t>
        </is>
      </c>
      <c r="AQ696" s="24" t="inlineStr">
        <is>
          <t>Ipswich Town</t>
        </is>
      </c>
      <c r="AR696" s="24" t="inlineStr">
        <is>
          <t>Ipswich Town</t>
        </is>
      </c>
      <c r="AS696" s="24" t="inlineStr">
        <is>
          <t>Everton</t>
        </is>
      </c>
      <c r="AT696" s="24" t="inlineStr">
        <is>
          <t>Everton</t>
        </is>
      </c>
      <c r="AU696" s="24" t="inlineStr">
        <is>
          <t>Everton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3d16277c2cfc0628d7ec79d04feee92735e5c503a3be195cb225c7c52d024308</t>
        </is>
      </c>
      <c r="BB696" s="24" t="inlineStr">
        <is>
          <t>poisson_dixon_coles</t>
        </is>
      </c>
      <c r="BC696" s="24" t="inlineStr">
        <is>
          <t>soccer-poisson-dc-v1</t>
        </is>
      </c>
      <c r="BD696" s="24" t="inlineStr">
        <is>
          <t>3d16277c2cfc0628d7ec79d04feee92735e5c503a3be195cb225c7c52d024308</t>
        </is>
      </c>
      <c r="BE696" s="24" t="inlineStr">
        <is>
          <t>soccer-poisson-dc-v1</t>
        </is>
      </c>
      <c r="BF696" s="24" t="inlineStr">
        <is>
          <t>1</t>
        </is>
      </c>
      <c r="BG696" s="24" t="inlineStr">
        <is>
          <t>3d16277c2cfc0628d7ec79d04feee92735e5c503a3be195cb225c7c52d024308</t>
        </is>
      </c>
      <c r="BH696" s="24" t="inlineStr">
        <is>
          <t>2026-09-19T05:36:22.036060Z</t>
        </is>
      </c>
      <c r="BI696" s="24" t="inlineStr">
        <is>
          <t>["same_event","same_team_same_day","same_league_same_day"]</t>
        </is>
      </c>
      <c r="BJ696" s="25" t="n">
        <v>2.5</v>
      </c>
      <c r="BK696" s="26" t="n">
        <v>-127</v>
      </c>
      <c r="BL696" s="27" t="n">
        <v>1.787402</v>
      </c>
      <c r="BM696" s="28" t="n">
        <v>0.5594710000000001</v>
      </c>
      <c r="BN696" s="28" t="n"/>
      <c r="BO696" s="28" t="n"/>
      <c r="BP696" s="25" t="n"/>
      <c r="BQ696" s="27" t="n">
        <v>1.787402</v>
      </c>
      <c r="BR696" s="28" t="n">
        <v>0.5600000000000001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0.559471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1781c4a8a9324361</t>
        </is>
      </c>
      <c r="B697" s="24" t="inlineStr">
        <is>
          <t>2026-09-19T11:12:56.904467Z</t>
        </is>
      </c>
      <c r="C697" s="24" t="inlineStr">
        <is>
          <t>2026-09-19T16:00Z</t>
        </is>
      </c>
      <c r="D697" s="24" t="inlineStr">
        <is>
          <t>401874753</t>
        </is>
      </c>
      <c r="E697" s="24" t="inlineStr">
        <is>
          <t>SOCCER</t>
        </is>
      </c>
      <c r="F697" s="24" t="inlineStr">
        <is>
          <t>Internazionale</t>
        </is>
      </c>
      <c r="G697" s="24" t="inlineStr">
        <is>
          <t>AS Roma</t>
        </is>
      </c>
      <c r="H697" s="24" t="inlineStr">
        <is>
          <t>total</t>
        </is>
      </c>
      <c r="I697" s="24" t="inlineStr">
        <is>
          <t>over</t>
        </is>
      </c>
      <c r="J697" s="25" t="n">
        <v>2.5</v>
      </c>
      <c r="K697" s="24" t="inlineStr">
        <is>
          <t>polymarket_us</t>
        </is>
      </c>
      <c r="L697" s="26" t="n">
        <v>300</v>
      </c>
      <c r="M697" s="27" t="n">
        <v>4</v>
      </c>
      <c r="N697" s="28" t="n">
        <v>0.25</v>
      </c>
      <c r="O697" s="28" t="n">
        <v>0.60218</v>
      </c>
      <c r="P697" s="28" t="n">
        <v>0.04</v>
      </c>
      <c r="Q697" s="28" t="n">
        <v>0.35218</v>
      </c>
      <c r="R697" s="26" t="n">
        <v>100</v>
      </c>
      <c r="S697" s="29" t="n">
        <v>2</v>
      </c>
      <c r="T697" s="24" t="inlineStr">
        <is>
          <t>soccer-poisson-dc-v1</t>
        </is>
      </c>
      <c r="U697" s="24" t="inlineStr">
        <is>
          <t>settled</t>
        </is>
      </c>
      <c r="V697" s="24" t="inlineStr">
        <is>
          <t>win</t>
        </is>
      </c>
      <c r="W697" s="26" t="n">
        <v>2</v>
      </c>
      <c r="X697" s="26" t="n">
        <v>2</v>
      </c>
      <c r="Y697" s="25" t="n"/>
      <c r="Z697" s="26" t="n">
        <v>300</v>
      </c>
      <c r="AA697" s="28" t="n">
        <v>0.25</v>
      </c>
      <c r="AB697" s="28" t="n">
        <v>0</v>
      </c>
      <c r="AC697" s="30" t="n">
        <v>6</v>
      </c>
      <c r="AD697" s="24" t="inlineStr">
        <is>
          <t>2026-09-19T22:00:43.109913Z</t>
        </is>
      </c>
      <c r="AE697" s="31" t="inlineStr">
        <is>
          <t>Poisson-DC rates 1.69 (home) / 1.43 (away) from EWMA attack/defense strengths. Executable ask 0.2500 (tsc-sea-rom-int-2026-09-19-sh-2pt5).</t>
        </is>
      </c>
      <c r="AF697" s="31" t="inlineStr">
        <is>
          <t>Research-only soccer score model; draw-aware, but not yet locked-holdout qualified.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Internazionale</t>
        </is>
      </c>
      <c r="AQ697" s="24" t="inlineStr">
        <is>
          <t>Internazionale</t>
        </is>
      </c>
      <c r="AR697" s="24" t="inlineStr">
        <is>
          <t>Internazionale</t>
        </is>
      </c>
      <c r="AS697" s="24" t="inlineStr">
        <is>
          <t>AS Roma</t>
        </is>
      </c>
      <c r="AT697" s="24" t="inlineStr">
        <is>
          <t>AS Roma</t>
        </is>
      </c>
      <c r="AU697" s="24" t="inlineStr">
        <is>
          <t>AS Roma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3d16277c2cfc0628d7ec79d04feee92735e5c503a3be195cb225c7c52d024308</t>
        </is>
      </c>
      <c r="BB697" s="24" t="inlineStr">
        <is>
          <t>poisson_dixon_coles</t>
        </is>
      </c>
      <c r="BC697" s="24" t="inlineStr">
        <is>
          <t>soccer-poisson-dc-v1</t>
        </is>
      </c>
      <c r="BD697" s="24" t="inlineStr">
        <is>
          <t>3d16277c2cfc0628d7ec79d04feee92735e5c503a3be195cb225c7c52d024308</t>
        </is>
      </c>
      <c r="BE697" s="24" t="inlineStr">
        <is>
          <t>soccer-poisson-dc-v1</t>
        </is>
      </c>
      <c r="BF697" s="24" t="inlineStr">
        <is>
          <t>1</t>
        </is>
      </c>
      <c r="BG697" s="24" t="inlineStr">
        <is>
          <t>3d16277c2cfc0628d7ec79d04feee92735e5c503a3be195cb225c7c52d024308</t>
        </is>
      </c>
      <c r="BH697" s="24" t="inlineStr">
        <is>
          <t>2026-09-19T11:06:34.301236Z</t>
        </is>
      </c>
      <c r="BI697" s="24" t="inlineStr">
        <is>
          <t>["same_event","same_team_same_day","same_league_same_day"]</t>
        </is>
      </c>
      <c r="BJ697" s="25" t="n">
        <v>2.5</v>
      </c>
      <c r="BK697" s="26" t="n">
        <v>300</v>
      </c>
      <c r="BL697" s="27" t="n">
        <v>4</v>
      </c>
      <c r="BM697" s="28" t="n">
        <v>0.25</v>
      </c>
      <c r="BN697" s="28" t="n"/>
      <c r="BO697" s="28" t="n"/>
      <c r="BP697" s="25" t="n"/>
      <c r="BQ697" s="27" t="n">
        <v>4</v>
      </c>
      <c r="BR697" s="28" t="n">
        <v>0.25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0.25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ba66d86259e046dc</t>
        </is>
      </c>
      <c r="B698" s="24" t="inlineStr">
        <is>
          <t>2026-09-19T11:12:56.904467Z</t>
        </is>
      </c>
      <c r="C698" s="24" t="inlineStr">
        <is>
          <t>2026-09-19T14:00Z</t>
        </is>
      </c>
      <c r="D698" s="24" t="inlineStr">
        <is>
          <t>401879271</t>
        </is>
      </c>
      <c r="E698" s="24" t="inlineStr">
        <is>
          <t>SOCCER</t>
        </is>
      </c>
      <c r="F698" s="24" t="inlineStr">
        <is>
          <t>Hull City</t>
        </is>
      </c>
      <c r="G698" s="24" t="inlineStr">
        <is>
          <t>Newcastle United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-150</v>
      </c>
      <c r="M698" s="27" t="n">
        <v>1.666667</v>
      </c>
      <c r="N698" s="28" t="n">
        <v>0.6</v>
      </c>
      <c r="O698" s="28" t="n">
        <v>0.44735</v>
      </c>
      <c r="P698" s="28" t="n">
        <v>0.2</v>
      </c>
      <c r="Q698" s="28" t="n">
        <v>-0.15265</v>
      </c>
      <c r="R698" s="26" t="n">
        <v>0</v>
      </c>
      <c r="S698" s="29" t="n">
        <v>1</v>
      </c>
      <c r="T698" s="24" t="inlineStr">
        <is>
          <t>soccer-poisson-dc-v1</t>
        </is>
      </c>
      <c r="U698" s="24" t="inlineStr">
        <is>
          <t>settled</t>
        </is>
      </c>
      <c r="V698" s="24" t="inlineStr">
        <is>
          <t>win</t>
        </is>
      </c>
      <c r="W698" s="26" t="n">
        <v>1</v>
      </c>
      <c r="X698" s="26" t="n">
        <v>2</v>
      </c>
      <c r="Y698" s="25" t="n"/>
      <c r="Z698" s="26" t="n">
        <v>-150</v>
      </c>
      <c r="AA698" s="28" t="n">
        <v>0.6</v>
      </c>
      <c r="AB698" s="28" t="n">
        <v>0</v>
      </c>
      <c r="AC698" s="30" t="n">
        <v>0.6667</v>
      </c>
      <c r="AD698" s="24" t="inlineStr">
        <is>
          <t>2026-09-19T16:00:20.592728Z</t>
        </is>
      </c>
      <c r="AE698" s="31" t="inlineStr">
        <is>
          <t>Poisson-DC rates 1.66 (home) / 1.30 (away) from EWMA attack/defense strengths. Executable ask 0.6000 (atc-epl-new-hul-2026-09-19-new).</t>
        </is>
      </c>
      <c r="AF698" s="31" t="inlineStr">
        <is>
          <t>Research-only soccer score model; draw-aware, but not yet locked-holdout qualified.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Hull City</t>
        </is>
      </c>
      <c r="AQ698" s="24" t="inlineStr">
        <is>
          <t>Hull City</t>
        </is>
      </c>
      <c r="AR698" s="24" t="inlineStr">
        <is>
          <t>Hull City</t>
        </is>
      </c>
      <c r="AS698" s="24" t="inlineStr">
        <is>
          <t>Newcastle United</t>
        </is>
      </c>
      <c r="AT698" s="24" t="inlineStr">
        <is>
          <t>Newcastle United</t>
        </is>
      </c>
      <c r="AU698" s="24" t="inlineStr">
        <is>
          <t>Newcastle United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3d16277c2cfc0628d7ec79d04feee92735e5c503a3be195cb225c7c52d024308</t>
        </is>
      </c>
      <c r="BB698" s="24" t="inlineStr">
        <is>
          <t>poisson_dixon_coles</t>
        </is>
      </c>
      <c r="BC698" s="24" t="inlineStr">
        <is>
          <t>soccer-poisson-dc-v1</t>
        </is>
      </c>
      <c r="BD698" s="24" t="inlineStr">
        <is>
          <t>3d16277c2cfc0628d7ec79d04feee92735e5c503a3be195cb225c7c52d024308</t>
        </is>
      </c>
      <c r="BE698" s="24" t="inlineStr">
        <is>
          <t>soccer-poisson-dc-v1</t>
        </is>
      </c>
      <c r="BF698" s="24" t="inlineStr">
        <is>
          <t>1</t>
        </is>
      </c>
      <c r="BG698" s="24" t="inlineStr">
        <is>
          <t>3d16277c2cfc0628d7ec79d04feee92735e5c503a3be195cb225c7c52d024308</t>
        </is>
      </c>
      <c r="BH698" s="24" t="inlineStr">
        <is>
          <t>2026-09-19T05:36:22.077082Z</t>
        </is>
      </c>
      <c r="BI698" s="24" t="inlineStr">
        <is>
          <t>["same_event","same_team_same_day","same_league_same_day"]</t>
        </is>
      </c>
      <c r="BJ698" s="25" t="n"/>
      <c r="BK698" s="26" t="n">
        <v>-150</v>
      </c>
      <c r="BL698" s="27" t="n">
        <v>1.666667</v>
      </c>
      <c r="BM698" s="28" t="n">
        <v>0.6</v>
      </c>
      <c r="BN698" s="28" t="n"/>
      <c r="BO698" s="28" t="n"/>
      <c r="BP698" s="25" t="n"/>
      <c r="BQ698" s="27" t="n">
        <v>1.666667</v>
      </c>
      <c r="BR698" s="28" t="n">
        <v>0.6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0.6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"3d16277c2cfc0628d7ec79d04feee92735e5c503a3be195cb225c7c52d024308", "away_team": "Hull City", "event_id": "401879271", "event_start_utc": "2026-09-19T14:00Z", "features": {"away_goal_rate": 1.2969, "history_games": 9181, "home_goal_rate": 1.6555, "league_goals_per_team": 1.4809, "min_team_games": 0.0}, "historical_source_observation_times_verified": false, "home_team": "Newcastle United", "inference_inputs": {"away_rate": 1.296906053331065, "code_sha256": {"models/soccer.py": "3d16277c2cfc0628d7ec79d04feee92735e5c503a3be195cb225c7c52d024308"}, "home_rate": 1.655544684940988, "sport": "SOCCER"}, "market_type": "moneyline", "model_version": "soccer-poisson-dc-v1", "observed_at_utc": "2026-09-19T11:12:55.938246+00:00", "probabilities": {"away": 0.289284, "draw": 0.263366, "home": 0.44735}, "replay_scope": "Exact full-precision serving state and rounding; upstream historical observation times are not certified.", "schema": "coded-moneyline-replay-v1", "snapshot_hash": "6877c29b7c72bd0527f16070eee6bbffd833af0f2b315de1c1ff4f910037bdf6", "sport": "SOCCER"}</t>
        </is>
      </c>
    </row>
    <row r="699" ht="36" customHeight="1">
      <c r="A699" s="24" t="inlineStr">
        <is>
          <t>db507e49e2434a4d</t>
        </is>
      </c>
      <c r="B699" s="24" t="inlineStr">
        <is>
          <t>2026-09-19T11:12:56.904467Z</t>
        </is>
      </c>
      <c r="C699" s="24" t="inlineStr">
        <is>
          <t>2026-09-19T13:30Z</t>
        </is>
      </c>
      <c r="D699" s="24" t="inlineStr">
        <is>
          <t>401884787</t>
        </is>
      </c>
      <c r="E699" s="24" t="inlineStr">
        <is>
          <t>SOCCER</t>
        </is>
      </c>
      <c r="F699" s="24" t="inlineStr">
        <is>
          <t>SC Freiburg</t>
        </is>
      </c>
      <c r="G699" s="24" t="inlineStr">
        <is>
          <t>Eintracht Frankfurt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156</v>
      </c>
      <c r="M699" s="27" t="n">
        <v>2.56</v>
      </c>
      <c r="N699" s="28" t="n">
        <v>0.390625</v>
      </c>
      <c r="O699" s="28" t="n">
        <v>0.481997</v>
      </c>
      <c r="P699" s="28" t="n">
        <v>0.04</v>
      </c>
      <c r="Q699" s="28" t="n">
        <v>0.09137199999999999</v>
      </c>
      <c r="R699" s="26" t="n">
        <v>72</v>
      </c>
      <c r="S699" s="29" t="n">
        <v>1.25</v>
      </c>
      <c r="T699" s="24" t="inlineStr">
        <is>
          <t>soccer-poisson-dc-v1</t>
        </is>
      </c>
      <c r="U699" s="24" t="inlineStr">
        <is>
          <t>settled</t>
        </is>
      </c>
      <c r="V699" s="24" t="inlineStr">
        <is>
          <t>loss</t>
        </is>
      </c>
      <c r="W699" s="26" t="n">
        <v>2</v>
      </c>
      <c r="X699" s="26" t="n">
        <v>2</v>
      </c>
      <c r="Y699" s="25" t="n"/>
      <c r="Z699" s="26" t="n">
        <v>156</v>
      </c>
      <c r="AA699" s="28" t="n">
        <v>0.39</v>
      </c>
      <c r="AB699" s="28" t="n">
        <v>-0.000625</v>
      </c>
      <c r="AC699" s="30" t="n">
        <v>-1.25</v>
      </c>
      <c r="AD699" s="24" t="inlineStr">
        <is>
          <t>2026-09-19T16:00:21.130804Z</t>
        </is>
      </c>
      <c r="AE699" s="31" t="inlineStr">
        <is>
          <t>Poisson-DC rates 1.99 (home) / 1.50 (away) from EWMA attack/defense strengths. Executable ask 0.3900 (atc-bun-fra-scf-2026-09-19-fra).</t>
        </is>
      </c>
      <c r="AF699" s="31" t="inlineStr">
        <is>
          <t>Research-only soccer score model; draw-aware, but not yet locked-holdout qualified.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SC Freiburg</t>
        </is>
      </c>
      <c r="AQ699" s="24" t="inlineStr">
        <is>
          <t>SC Freiburg</t>
        </is>
      </c>
      <c r="AR699" s="24" t="inlineStr">
        <is>
          <t>SC Freiburg</t>
        </is>
      </c>
      <c r="AS699" s="24" t="inlineStr">
        <is>
          <t>Eintracht Frankfurt</t>
        </is>
      </c>
      <c r="AT699" s="24" t="inlineStr">
        <is>
          <t>Eintracht Frankfurt</t>
        </is>
      </c>
      <c r="AU699" s="24" t="inlineStr">
        <is>
          <t>Eintracht Frankfurt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3d16277c2cfc0628d7ec79d04feee92735e5c503a3be195cb225c7c52d024308</t>
        </is>
      </c>
      <c r="BB699" s="24" t="inlineStr">
        <is>
          <t>poisson_dixon_coles</t>
        </is>
      </c>
      <c r="BC699" s="24" t="inlineStr">
        <is>
          <t>soccer-poisson-dc-v1</t>
        </is>
      </c>
      <c r="BD699" s="24" t="inlineStr">
        <is>
          <t>3d16277c2cfc0628d7ec79d04feee92735e5c503a3be195cb225c7c52d024308</t>
        </is>
      </c>
      <c r="BE699" s="24" t="inlineStr">
        <is>
          <t>soccer-poisson-dc-v1</t>
        </is>
      </c>
      <c r="BF699" s="24" t="inlineStr">
        <is>
          <t>1</t>
        </is>
      </c>
      <c r="BG699" s="24" t="inlineStr">
        <is>
          <t>3d16277c2cfc0628d7ec79d04feee92735e5c503a3be195cb225c7c52d024308</t>
        </is>
      </c>
      <c r="BH699" s="24" t="inlineStr">
        <is>
          <t>2026-09-19T11:05:40.191699Z</t>
        </is>
      </c>
      <c r="BI699" s="24" t="inlineStr">
        <is>
          <t>["same_event","same_team_same_day","same_league_same_day"]</t>
        </is>
      </c>
      <c r="BJ699" s="25" t="n"/>
      <c r="BK699" s="26" t="n">
        <v>156</v>
      </c>
      <c r="BL699" s="27" t="n">
        <v>2.56</v>
      </c>
      <c r="BM699" s="28" t="n">
        <v>0.390625</v>
      </c>
      <c r="BN699" s="28" t="n"/>
      <c r="BO699" s="28" t="n"/>
      <c r="BP699" s="25" t="n"/>
      <c r="BQ699" s="27" t="n">
        <v>2.56</v>
      </c>
      <c r="BR699" s="28" t="n">
        <v>0.39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0.390625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"3d16277c2cfc0628d7ec79d04feee92735e5c503a3be195cb225c7c52d024308", "away_team": "SC Freiburg", "event_id": "401884787", "event_start_utc": "2026-09-19T13:30Z", "features": {"away_goal_rate": 1.4962, "history_games": 9181, "home_goal_rate": 1.9851, "league_goals_per_team": 1.5832, "min_team_games": 86.0}, "historical_source_observation_times_verified": false, "home_team": "Eintracht Frankfurt", "inference_inputs": {"away_rate": 1.4961946975964486, "code_sha256": {"models/soccer.py": "3d16277c2cfc0628d7ec79d04feee92735e5c503a3be195cb225c7c52d024308"}, "home_rate": 1.9851297926161025, "sport": "SOCCER"}, "market_type": "moneyline", "model_version": "soccer-poisson-dc-v1", "observed_at_utc": "2026-09-19T11:12:55.938246+00:00", "probabilities": {"away": 0.282637, "draw": 0.235367, "home": 0.481997}, "replay_scope": "Exact full-precision serving state and rounding; upstream historical observation times are not certified.", "schema": "coded-moneyline-replay-v1", "snapshot_hash": "84ce05f21a0f6b306e29658d44ccde0cf3fa130eaea6ad7fb4a3296a46edbd1b", "sport": "SOCCER"}</t>
        </is>
      </c>
    </row>
    <row r="700" ht="36" customHeight="1">
      <c r="A700" s="24" t="inlineStr">
        <is>
          <t>1b61feea8f3f411c</t>
        </is>
      </c>
      <c r="B700" s="24" t="inlineStr">
        <is>
          <t>2026-09-19T11:12:56.904467Z</t>
        </is>
      </c>
      <c r="C700" s="24" t="inlineStr">
        <is>
          <t>2026-09-19T16:00Z</t>
        </is>
      </c>
      <c r="D700" s="24" t="inlineStr">
        <is>
          <t>401874753</t>
        </is>
      </c>
      <c r="E700" s="24" t="inlineStr">
        <is>
          <t>SOCCER</t>
        </is>
      </c>
      <c r="F700" s="24" t="inlineStr">
        <is>
          <t>Internazionale</t>
        </is>
      </c>
      <c r="G700" s="24" t="inlineStr">
        <is>
          <t>AS Roma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178</v>
      </c>
      <c r="M700" s="27" t="n">
        <v>2.78</v>
      </c>
      <c r="N700" s="28" t="n">
        <v>0.359712</v>
      </c>
      <c r="O700" s="28" t="n">
        <v>0.427265</v>
      </c>
      <c r="P700" s="28" t="n">
        <v>0.04</v>
      </c>
      <c r="Q700" s="28" t="n">
        <v>0.067553</v>
      </c>
      <c r="R700" s="26" t="n">
        <v>60</v>
      </c>
      <c r="S700" s="29" t="n">
        <v>1.25</v>
      </c>
      <c r="T700" s="24" t="inlineStr">
        <is>
          <t>soccer-poisson-dc-v1</t>
        </is>
      </c>
      <c r="U700" s="24" t="inlineStr">
        <is>
          <t>settled</t>
        </is>
      </c>
      <c r="V700" s="24" t="inlineStr">
        <is>
          <t>loss</t>
        </is>
      </c>
      <c r="W700" s="26" t="n">
        <v>2</v>
      </c>
      <c r="X700" s="26" t="n">
        <v>2</v>
      </c>
      <c r="Y700" s="25" t="n"/>
      <c r="Z700" s="26" t="n">
        <v>178</v>
      </c>
      <c r="AA700" s="28" t="n">
        <v>0.36</v>
      </c>
      <c r="AB700" s="28" t="n">
        <v>0.000288</v>
      </c>
      <c r="AC700" s="30" t="n">
        <v>-1.25</v>
      </c>
      <c r="AD700" s="24" t="inlineStr">
        <is>
          <t>2026-09-19T22:00:43.695886Z</t>
        </is>
      </c>
      <c r="AE700" s="31" t="inlineStr">
        <is>
          <t>Poisson-DC rates 1.69 (home) / 1.43 (away) from EWMA attack/defense strengths. Executable ask 0.3600 (atc-sea-rom-int-2026-09-19-rom).</t>
        </is>
      </c>
      <c r="AF700" s="31" t="inlineStr">
        <is>
          <t>Research-only soccer score model; draw-aware, but not yet locked-holdout qualified.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Internazionale</t>
        </is>
      </c>
      <c r="AQ700" s="24" t="inlineStr">
        <is>
          <t>Internazionale</t>
        </is>
      </c>
      <c r="AR700" s="24" t="inlineStr">
        <is>
          <t>Internazionale</t>
        </is>
      </c>
      <c r="AS700" s="24" t="inlineStr">
        <is>
          <t>AS Roma</t>
        </is>
      </c>
      <c r="AT700" s="24" t="inlineStr">
        <is>
          <t>AS Roma</t>
        </is>
      </c>
      <c r="AU700" s="24" t="inlineStr">
        <is>
          <t>AS Roma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3d16277c2cfc0628d7ec79d04feee92735e5c503a3be195cb225c7c52d024308</t>
        </is>
      </c>
      <c r="BB700" s="24" t="inlineStr">
        <is>
          <t>poisson_dixon_coles</t>
        </is>
      </c>
      <c r="BC700" s="24" t="inlineStr">
        <is>
          <t>soccer-poisson-dc-v1</t>
        </is>
      </c>
      <c r="BD700" s="24" t="inlineStr">
        <is>
          <t>3d16277c2cfc0628d7ec79d04feee92735e5c503a3be195cb225c7c52d024308</t>
        </is>
      </c>
      <c r="BE700" s="24" t="inlineStr">
        <is>
          <t>soccer-poisson-dc-v1</t>
        </is>
      </c>
      <c r="BF700" s="24" t="inlineStr">
        <is>
          <t>1</t>
        </is>
      </c>
      <c r="BG700" s="24" t="inlineStr">
        <is>
          <t>3d16277c2cfc0628d7ec79d04feee92735e5c503a3be195cb225c7c52d024308</t>
        </is>
      </c>
      <c r="BH700" s="24" t="inlineStr">
        <is>
          <t>2026-09-19T05:37:50.043973Z</t>
        </is>
      </c>
      <c r="BI700" s="24" t="inlineStr">
        <is>
          <t>["same_event","same_team_same_day","same_league_same_day"]</t>
        </is>
      </c>
      <c r="BJ700" s="25" t="n"/>
      <c r="BK700" s="26" t="n">
        <v>178</v>
      </c>
      <c r="BL700" s="27" t="n">
        <v>2.78</v>
      </c>
      <c r="BM700" s="28" t="n">
        <v>0.359712</v>
      </c>
      <c r="BN700" s="28" t="n"/>
      <c r="BO700" s="28" t="n"/>
      <c r="BP700" s="25" t="n"/>
      <c r="BQ700" s="27" t="n">
        <v>2.78</v>
      </c>
      <c r="BR700" s="28" t="n">
        <v>0.36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0.359712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"3d16277c2cfc0628d7ec79d04feee92735e5c503a3be195cb225c7c52d024308", "away_team": "Internazionale", "event_id": "401874753", "event_start_utc": "2026-09-19T16:00Z", "features": {"away_goal_rate": 1.4283, "history_games": 9181, "home_goal_rate": 1.6872, "league_goals_per_team": 1.2703, "min_team_games": 96.0}, "historical_source_observation_times_verified": false, "home_team": "AS Roma", "inference_inputs": {"away_rate": 1.4283052480670408, "code_sha256": {"models/soccer.py": "3d16277c2cfc0628d7ec79d04feee92735e5c503a3be195cb225c7c52d024308"}, "home_rate": 1.6871839610639243, "sport": "SOCCER"}, "market_type": "moneyline", "model_version": "soccer-poisson-dc-v1", "observed_at_utc": "2026-09-19T11:12:55.938246+00:00", "probabilities": {"away": 0.315603, "draw": 0.257132, "home": 0.427265}, "replay_scope": "Exact full-precision serving state and rounding; upstream historical observation times are not certified.", "schema": "coded-moneyline-replay-v1", "snapshot_hash": "518d39c841cb2cdd43edc25d013cf4cb1b8edbc64fe1a14d3ae18ea2083f54e4", "sport": "SOCCER"}</t>
        </is>
      </c>
    </row>
    <row r="701" ht="36" customHeight="1">
      <c r="A701" s="24" t="inlineStr">
        <is>
          <t>2710ca0e7a104000</t>
        </is>
      </c>
      <c r="B701" s="24" t="inlineStr">
        <is>
          <t>2026-09-19T11:12:56.904467Z</t>
        </is>
      </c>
      <c r="C701" s="24" t="inlineStr">
        <is>
          <t>2026-09-19T15:00Z</t>
        </is>
      </c>
      <c r="D701" s="24" t="inlineStr">
        <is>
          <t>401921405</t>
        </is>
      </c>
      <c r="E701" s="24" t="inlineStr">
        <is>
          <t>SOCCER</t>
        </is>
      </c>
      <c r="F701" s="24" t="inlineStr">
        <is>
          <t>Progreso</t>
        </is>
      </c>
      <c r="G701" s="24" t="inlineStr">
        <is>
          <t>Boston River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317</v>
      </c>
      <c r="M701" s="27" t="n">
        <v>4.17</v>
      </c>
      <c r="N701" s="28" t="n">
        <v>0.239808</v>
      </c>
      <c r="O701" s="28" t="n">
        <v>0.359782</v>
      </c>
      <c r="P701" s="28" t="n">
        <v>0.19</v>
      </c>
      <c r="Q701" s="28" t="n">
        <v>0.119974</v>
      </c>
      <c r="R701" s="26" t="n">
        <v>0</v>
      </c>
      <c r="S701" s="29" t="n">
        <v>1</v>
      </c>
      <c r="T701" s="24" t="inlineStr">
        <is>
          <t>soccer-poisson-dc-v1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1</v>
      </c>
      <c r="Y701" s="25" t="n"/>
      <c r="Z701" s="26" t="n">
        <v>-355</v>
      </c>
      <c r="AA701" s="28" t="n">
        <v>0.78</v>
      </c>
      <c r="AB701" s="28" t="n">
        <v>0.540192</v>
      </c>
      <c r="AC701" s="30" t="n">
        <v>3.17</v>
      </c>
      <c r="AD701" s="24" t="inlineStr">
        <is>
          <t>2026-09-19T22:00:44.239567Z</t>
        </is>
      </c>
      <c r="AE701" s="31" t="inlineStr">
        <is>
          <t>Poisson-DC rates 1.17 (home) / 1.22 (away) from EWMA attack/defense strengths. Executable ask 0.2400 (atc-uru1-bri-pro-2026-09-19-pro).</t>
        </is>
      </c>
      <c r="AF701" s="31" t="inlineStr">
        <is>
          <t>Research-only soccer score model; draw-aware, but not yet locked-holdout qualified.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PAPER_CALL_MODEL_UNVALIDATED</t>
        </is>
      </c>
      <c r="AP701" s="24" t="inlineStr">
        <is>
          <t>Progreso</t>
        </is>
      </c>
      <c r="AQ701" s="24" t="inlineStr">
        <is>
          <t>Progreso</t>
        </is>
      </c>
      <c r="AR701" s="24" t="inlineStr">
        <is>
          <t>Progreso</t>
        </is>
      </c>
      <c r="AS701" s="24" t="inlineStr">
        <is>
          <t>Boston River</t>
        </is>
      </c>
      <c r="AT701" s="24" t="inlineStr">
        <is>
          <t>Boston River</t>
        </is>
      </c>
      <c r="AU701" s="24" t="inlineStr">
        <is>
          <t>Boston River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3d16277c2cfc0628d7ec79d04feee92735e5c503a3be195cb225c7c52d024308</t>
        </is>
      </c>
      <c r="BB701" s="24" t="inlineStr">
        <is>
          <t>poisson_dixon_coles</t>
        </is>
      </c>
      <c r="BC701" s="24" t="inlineStr">
        <is>
          <t>soccer-poisson-dc-v1</t>
        </is>
      </c>
      <c r="BD701" s="24" t="inlineStr">
        <is>
          <t>3d16277c2cfc0628d7ec79d04feee92735e5c503a3be195cb225c7c52d024308</t>
        </is>
      </c>
      <c r="BE701" s="24" t="inlineStr">
        <is>
          <t>soccer-poisson-dc-v1</t>
        </is>
      </c>
      <c r="BF701" s="24" t="inlineStr">
        <is>
          <t>1</t>
        </is>
      </c>
      <c r="BG701" s="24" t="inlineStr">
        <is>
          <t>3d16277c2cfc0628d7ec79d04feee92735e5c503a3be195cb225c7c52d024308</t>
        </is>
      </c>
      <c r="BH701" s="24" t="inlineStr">
        <is>
          <t>2026-09-19T11:08:58.405770Z</t>
        </is>
      </c>
      <c r="BI701" s="24" t="inlineStr">
        <is>
          <t>["same_event","same_team_same_day","same_league_same_day"]</t>
        </is>
      </c>
      <c r="BJ701" s="25" t="n"/>
      <c r="BK701" s="26" t="n">
        <v>317</v>
      </c>
      <c r="BL701" s="27" t="n">
        <v>4.17</v>
      </c>
      <c r="BM701" s="28" t="n">
        <v>0.239808</v>
      </c>
      <c r="BN701" s="28" t="n"/>
      <c r="BO701" s="28" t="n"/>
      <c r="BP701" s="25" t="n"/>
      <c r="BQ701" s="27" t="n">
        <v>1.28169</v>
      </c>
      <c r="BR701" s="28" t="n">
        <v>0.78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0.239808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"3d16277c2cfc0628d7ec79d04feee92735e5c503a3be195cb225c7c52d024308", "away_team": "Progreso", "event_id": "401921405", "event_start_utc": "2026-09-19T15:00Z", "features": {"away_goal_rate": 1.2159, "history_games": 9181, "home_goal_rate": 1.1678, "league_goals_per_team": 1.4281, "min_team_games": 1.0}, "historical_source_observation_times_verified": false, "home_team": "Boston River", "inference_inputs": {"away_rate": 1.2159071403307247, "code_sha256": {"models/soccer.py": "3d16277c2cfc0628d7ec79d04feee92735e5c503a3be195cb225c7c52d024308"}, "home_rate": 1.1678340534195017, "sport": "SOCCER"}, "market_type": "moneyline", "model_version": "soccer-poisson-dc-v1", "observed_at_utc": "2026-09-19T11:12:55.938246+00:00", "probabilities": {"away": 0.359782, "draw": 0.303821, "home": 0.336396}, "replay_scope": "Exact full-precision serving state and rounding; upstream historical observation times are not certified.", "schema": "coded-moneyline-replay-v1", "snapshot_hash": "5fc998bbdeaeabe6d506299496d5ca6b8ab3d125943cc5fef25fbd135b321aa6", "sport": "SOCCER"}</t>
        </is>
      </c>
    </row>
    <row r="702" ht="36" customHeight="1">
      <c r="A702" s="24" t="inlineStr">
        <is>
          <t>de6a40bafbc446a5</t>
        </is>
      </c>
      <c r="B702" s="24" t="inlineStr">
        <is>
          <t>2026-09-19T17:08:23.369947Z</t>
        </is>
      </c>
      <c r="C702" s="24" t="inlineStr">
        <is>
          <t>2026-09-19T17:30Z</t>
        </is>
      </c>
      <c r="D702" s="24" t="inlineStr">
        <is>
          <t>401841573</t>
        </is>
      </c>
      <c r="E702" s="24" t="inlineStr">
        <is>
          <t>SOCCER</t>
        </is>
      </c>
      <c r="F702" s="24" t="inlineStr">
        <is>
          <t>Banfield</t>
        </is>
      </c>
      <c r="G702" s="24" t="inlineStr">
        <is>
          <t>Gimnasia La Plata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-138</v>
      </c>
      <c r="M702" s="27" t="n">
        <v>1.724638</v>
      </c>
      <c r="N702" s="28" t="n">
        <v>0.579832</v>
      </c>
      <c r="O702" s="28" t="n">
        <v>0.456135</v>
      </c>
      <c r="P702" s="28" t="n">
        <v>0.2</v>
      </c>
      <c r="Q702" s="28" t="n">
        <v>-0.123697</v>
      </c>
      <c r="R702" s="26" t="n">
        <v>0</v>
      </c>
      <c r="S702" s="29" t="n">
        <v>1</v>
      </c>
      <c r="T702" s="24" t="inlineStr">
        <is>
          <t>soccer-poisson-dc-v1</t>
        </is>
      </c>
      <c r="U702" s="24" t="inlineStr">
        <is>
          <t>settled</t>
        </is>
      </c>
      <c r="V702" s="24" t="inlineStr">
        <is>
          <t>loss</t>
        </is>
      </c>
      <c r="W702" s="26" t="n">
        <v>2</v>
      </c>
      <c r="X702" s="26" t="n">
        <v>2</v>
      </c>
      <c r="Y702" s="25" t="n"/>
      <c r="Z702" s="26" t="n">
        <v>-138</v>
      </c>
      <c r="AA702" s="28" t="n">
        <v>0.58</v>
      </c>
      <c r="AB702" s="28" t="n">
        <v>0.000168</v>
      </c>
      <c r="AC702" s="30" t="n">
        <v>-1</v>
      </c>
      <c r="AD702" s="24" t="inlineStr">
        <is>
          <t>2026-09-19T22:00:59.892459Z</t>
        </is>
      </c>
      <c r="AE702" s="31" t="inlineStr">
        <is>
          <t>Poisson-DC rates 1.64 (home) / 1.24 (away) from EWMA attack/defense strengths. Executable ask 0.5800 (atc-lpa-gim-ban-2026-09-19-gim).</t>
        </is>
      </c>
      <c r="AF702" s="31" t="inlineStr">
        <is>
          <t>Research-only soccer score model; draw-aware, but not yet locked-holdout qualified.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Banfield</t>
        </is>
      </c>
      <c r="AQ702" s="24" t="inlineStr">
        <is>
          <t>Banfield</t>
        </is>
      </c>
      <c r="AR702" s="24" t="inlineStr">
        <is>
          <t>Banfield</t>
        </is>
      </c>
      <c r="AS702" s="24" t="inlineStr">
        <is>
          <t>Gimnasia La Plata</t>
        </is>
      </c>
      <c r="AT702" s="24" t="inlineStr">
        <is>
          <t>Gimnasia La Plata</t>
        </is>
      </c>
      <c r="AU702" s="24" t="inlineStr">
        <is>
          <t>Gimnasia La Plata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3d16277c2cfc0628d7ec79d04feee92735e5c503a3be195cb225c7c52d024308</t>
        </is>
      </c>
      <c r="BB702" s="24" t="inlineStr">
        <is>
          <t>poisson_dixon_coles</t>
        </is>
      </c>
      <c r="BC702" s="24" t="inlineStr">
        <is>
          <t>soccer-poisson-dc-v1</t>
        </is>
      </c>
      <c r="BD702" s="24" t="inlineStr">
        <is>
          <t>3d16277c2cfc0628d7ec79d04feee92735e5c503a3be195cb225c7c52d024308</t>
        </is>
      </c>
      <c r="BE702" s="24" t="inlineStr">
        <is>
          <t>soccer-poisson-dc-v1</t>
        </is>
      </c>
      <c r="BF702" s="24" t="inlineStr">
        <is>
          <t>1</t>
        </is>
      </c>
      <c r="BG702" s="24" t="inlineStr">
        <is>
          <t>3d16277c2cfc0628d7ec79d04feee92735e5c503a3be195cb225c7c52d024308</t>
        </is>
      </c>
      <c r="BH702" s="24" t="inlineStr">
        <is>
          <t>2026-09-19T17:05:19.433312Z</t>
        </is>
      </c>
      <c r="BI702" s="24" t="inlineStr">
        <is>
          <t>["same_event","same_team_same_day","same_league_same_day"]</t>
        </is>
      </c>
      <c r="BJ702" s="25" t="n"/>
      <c r="BK702" s="26" t="n">
        <v>-138</v>
      </c>
      <c r="BL702" s="27" t="n">
        <v>1.724638</v>
      </c>
      <c r="BM702" s="28" t="n">
        <v>0.579832</v>
      </c>
      <c r="BN702" s="28" t="n"/>
      <c r="BO702" s="28" t="n"/>
      <c r="BP702" s="25" t="n"/>
      <c r="BQ702" s="27" t="n">
        <v>1.724638</v>
      </c>
      <c r="BR702" s="28" t="n">
        <v>0.58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0.579832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"3d16277c2cfc0628d7ec79d04feee92735e5c503a3be195cb225c7c52d024308", "away_team": "Banfield", "event_id": "401841573", "event_start_utc": "2026-09-19T17:30Z", "features": {"away_goal_rate": 1.2418, "history_games": 9181, "home_goal_rate": 1.6423, "league_goals_per_team": 1.4281, "min_team_games": 0.0}, "historical_source_observation_times_verified": false, "home_team": "Gimnasia La Plata",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"2026-09-19T17:08:22.436487+00:00", "probabilities": {"away": 0.278015, "draw": 0.265851, "home": 0.456135}, "replay_scope": "Exact full-precision serving state and rounding; upstream historical observation times are not certified.", "schema": "coded-moneyline-replay-v1", "snapshot_hash": "9ed1a05adfb1f5a45c23669b8f685983fdc4ab3f7e05d4d01cac3bf809fc6063", "sport": "SOCCER"}</t>
        </is>
      </c>
    </row>
    <row r="703" ht="36" customHeight="1">
      <c r="A703" s="24" t="inlineStr">
        <is>
          <t>dfcff6b56ec242ca</t>
        </is>
      </c>
      <c r="B703" s="24" t="inlineStr">
        <is>
          <t>2026-09-19T17:08:23.369947Z</t>
        </is>
      </c>
      <c r="C703" s="24" t="inlineStr">
        <is>
          <t>2026-09-19T21:05Z</t>
        </is>
      </c>
      <c r="D703" s="24" t="inlineStr">
        <is>
          <t>401877842</t>
        </is>
      </c>
      <c r="E703" s="24" t="inlineStr">
        <is>
          <t>SOCCER</t>
        </is>
      </c>
      <c r="F703" s="24" t="inlineStr">
        <is>
          <t>Independiente Santa Fe</t>
        </is>
      </c>
      <c r="G703" s="24" t="inlineStr">
        <is>
          <t>Alianza FC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194</v>
      </c>
      <c r="M703" s="27" t="n">
        <v>2.94</v>
      </c>
      <c r="N703" s="28" t="n">
        <v>0.340136</v>
      </c>
      <c r="O703" s="28" t="n">
        <v>0.440521</v>
      </c>
      <c r="P703" s="28" t="n">
        <v>0.2</v>
      </c>
      <c r="Q703" s="28" t="n">
        <v>0.100385</v>
      </c>
      <c r="R703" s="26" t="n">
        <v>0</v>
      </c>
      <c r="S703" s="29" t="n">
        <v>1</v>
      </c>
      <c r="T703" s="24" t="inlineStr">
        <is>
          <t>soccer-poisson-dc-v1</t>
        </is>
      </c>
      <c r="U703" s="24" t="inlineStr">
        <is>
          <t>settled</t>
        </is>
      </c>
      <c r="V703" s="24" t="inlineStr">
        <is>
          <t>loss</t>
        </is>
      </c>
      <c r="W703" s="26" t="n">
        <v>4</v>
      </c>
      <c r="X703" s="26" t="n">
        <v>1</v>
      </c>
      <c r="Y703" s="25" t="n"/>
      <c r="Z703" s="26" t="n">
        <v>194</v>
      </c>
      <c r="AA703" s="28" t="n">
        <v>0.34</v>
      </c>
      <c r="AB703" s="28" t="n">
        <v>-0.000136</v>
      </c>
      <c r="AC703" s="30" t="n">
        <v>-1</v>
      </c>
      <c r="AD703" s="24" t="inlineStr">
        <is>
          <t>2026-09-20T04:32:32.340802Z</t>
        </is>
      </c>
      <c r="AE703" s="31" t="inlineStr">
        <is>
          <t>Poisson-DC rates 1.46 (home) / 1.10 (away) from EWMA attack/defense strengths. Executable ask 0.3400 (atc-lco-alp-san-2026-09-19-alp).</t>
        </is>
      </c>
      <c r="AF703" s="31" t="inlineStr">
        <is>
          <t>Research-only soccer score model; draw-aware, but not yet locked-holdout qualified.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Independiente Santa Fe</t>
        </is>
      </c>
      <c r="AQ703" s="24" t="inlineStr">
        <is>
          <t>Independiente Santa Fe</t>
        </is>
      </c>
      <c r="AR703" s="24" t="inlineStr">
        <is>
          <t>Independiente Santa Fe</t>
        </is>
      </c>
      <c r="AS703" s="24" t="inlineStr">
        <is>
          <t>Alianza FC</t>
        </is>
      </c>
      <c r="AT703" s="24" t="inlineStr">
        <is>
          <t>Alianza FC</t>
        </is>
      </c>
      <c r="AU703" s="24" t="inlineStr">
        <is>
          <t>Alianza FC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3d16277c2cfc0628d7ec79d04feee92735e5c503a3be195cb225c7c52d024308</t>
        </is>
      </c>
      <c r="BB703" s="24" t="inlineStr">
        <is>
          <t>poisson_dixon_coles</t>
        </is>
      </c>
      <c r="BC703" s="24" t="inlineStr">
        <is>
          <t>soccer-poisson-dc-v1</t>
        </is>
      </c>
      <c r="BD703" s="24" t="inlineStr">
        <is>
          <t>3d16277c2cfc0628d7ec79d04feee92735e5c503a3be195cb225c7c52d024308</t>
        </is>
      </c>
      <c r="BE703" s="24" t="inlineStr">
        <is>
          <t>soccer-poisson-dc-v1</t>
        </is>
      </c>
      <c r="BF703" s="24" t="inlineStr">
        <is>
          <t>1</t>
        </is>
      </c>
      <c r="BG703" s="24" t="inlineStr">
        <is>
          <t>3d16277c2cfc0628d7ec79d04feee92735e5c503a3be195cb225c7c52d024308</t>
        </is>
      </c>
      <c r="BH703" s="24" t="inlineStr">
        <is>
          <t>2026-09-19T11:08:58.411781Z</t>
        </is>
      </c>
      <c r="BI703" s="24" t="inlineStr">
        <is>
          <t>["same_event","same_team_same_day","same_league_same_day"]</t>
        </is>
      </c>
      <c r="BJ703" s="25" t="n"/>
      <c r="BK703" s="26" t="n">
        <v>194</v>
      </c>
      <c r="BL703" s="27" t="n">
        <v>2.94</v>
      </c>
      <c r="BM703" s="28" t="n">
        <v>0.340136</v>
      </c>
      <c r="BN703" s="28" t="n"/>
      <c r="BO703" s="28" t="n"/>
      <c r="BP703" s="25" t="n"/>
      <c r="BQ703" s="27" t="n">
        <v>2.94</v>
      </c>
      <c r="BR703" s="28" t="n">
        <v>0.34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0.340136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"3d16277c2cfc0628d7ec79d04feee92735e5c503a3be195cb225c7c52d024308", "away_team": "Independiente Santa Fe", "event_id": "401877842", "event_start_utc": "2026-09-19T21:05Z", "features": {"away_goal_rate": 1.1038, "history_games": 9181, "home_goal_rate": 1.4598, "league_goals_per_team": 1.4281, "min_team_games": 0.0}, "historical_source_observation_times_verified": false, "home_team": "Alianza FC",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"2026-09-19T17:08:22.436487+00:00", "probabilities": {"away": 0.273602, "draw": 0.285877, "home": 0.440521}, "replay_scope": "Exact full-precision serving state and rounding; upstream historical observation times are not certified.", "schema": "coded-moneyline-replay-v1", "snapshot_hash": "8ca1e126880a270ed458bbbc9e5360c2b2473ebfc2cb04ae313346f59bd80ef7", "sport": "SOCCER"}</t>
        </is>
      </c>
    </row>
    <row r="704" ht="36" customHeight="1">
      <c r="A704" s="24" t="inlineStr">
        <is>
          <t>95309a60a2ca4942</t>
        </is>
      </c>
      <c r="B704" s="24" t="inlineStr">
        <is>
          <t>2026-09-19T22:46:24.294324Z</t>
        </is>
      </c>
      <c r="C704" s="24" t="inlineStr">
        <is>
          <t>2026-09-19T23:30Z</t>
        </is>
      </c>
      <c r="D704" s="24" t="inlineStr">
        <is>
          <t>761816</t>
        </is>
      </c>
      <c r="E704" s="24" t="inlineStr">
        <is>
          <t>SOCCER</t>
        </is>
      </c>
      <c r="F704" s="24" t="inlineStr">
        <is>
          <t>Orlando City SC</t>
        </is>
      </c>
      <c r="G704" s="24" t="inlineStr">
        <is>
          <t>New England Revolution</t>
        </is>
      </c>
      <c r="H704" s="24" t="inlineStr">
        <is>
          <t>total</t>
        </is>
      </c>
      <c r="I704" s="24" t="inlineStr">
        <is>
          <t>over</t>
        </is>
      </c>
      <c r="J704" s="25" t="n">
        <v>2.5</v>
      </c>
      <c r="K704" s="24" t="inlineStr">
        <is>
          <t>polymarket_us</t>
        </is>
      </c>
      <c r="L704" s="26" t="n">
        <v>-245</v>
      </c>
      <c r="M704" s="27" t="n">
        <v>1.408163</v>
      </c>
      <c r="N704" s="28" t="n">
        <v>0.710145</v>
      </c>
      <c r="O704" s="28" t="n">
        <v>0.747335</v>
      </c>
      <c r="P704" s="28" t="n">
        <v>0.04</v>
      </c>
      <c r="Q704" s="28" t="n">
        <v>0.03719</v>
      </c>
      <c r="R704" s="26" t="n">
        <v>45</v>
      </c>
      <c r="S704" s="29" t="n">
        <v>1</v>
      </c>
      <c r="T704" s="24" t="inlineStr">
        <is>
          <t>soccer-poisson-dc-v1</t>
        </is>
      </c>
      <c r="U704" s="24" t="inlineStr">
        <is>
          <t>settled</t>
        </is>
      </c>
      <c r="V704" s="24" t="inlineStr">
        <is>
          <t>win</t>
        </is>
      </c>
      <c r="W704" s="26" t="n">
        <v>2</v>
      </c>
      <c r="X704" s="26" t="n">
        <v>4</v>
      </c>
      <c r="Y704" s="25" t="n"/>
      <c r="Z704" s="26" t="n">
        <v>-245</v>
      </c>
      <c r="AA704" s="28" t="n">
        <v>0.71</v>
      </c>
      <c r="AB704" s="28" t="n">
        <v>-0.000145</v>
      </c>
      <c r="AC704" s="30" t="n">
        <v>0.4082</v>
      </c>
      <c r="AD704" s="24" t="inlineStr">
        <is>
          <t>2026-09-20T04:33:08.691433Z</t>
        </is>
      </c>
      <c r="AE704" s="31" t="inlineStr">
        <is>
          <t>Poisson-DC rates 2.54 (home) / 1.37 (away) from EWMA attack/defense strengths. Executable ask 0.7100 (tsc-mls-ner-orl-2026-09-19-2pt5).</t>
        </is>
      </c>
      <c r="AF704" s="31" t="inlineStr">
        <is>
          <t>Research-only soccer score model; draw-aware, but not yet locked-holdout qualified.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Orlando City SC</t>
        </is>
      </c>
      <c r="AQ704" s="24" t="inlineStr">
        <is>
          <t>Orlando City SC</t>
        </is>
      </c>
      <c r="AR704" s="24" t="inlineStr">
        <is>
          <t>Orlando City SC</t>
        </is>
      </c>
      <c r="AS704" s="24" t="inlineStr">
        <is>
          <t>New England Revolution</t>
        </is>
      </c>
      <c r="AT704" s="24" t="inlineStr">
        <is>
          <t>New England Revolution</t>
        </is>
      </c>
      <c r="AU704" s="24" t="inlineStr">
        <is>
          <t>New England Revolution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3d16277c2cfc0628d7ec79d04feee92735e5c503a3be195cb225c7c52d024308</t>
        </is>
      </c>
      <c r="BB704" s="24" t="inlineStr">
        <is>
          <t>poisson_dixon_coles</t>
        </is>
      </c>
      <c r="BC704" s="24" t="inlineStr">
        <is>
          <t>soccer-poisson-dc-v1</t>
        </is>
      </c>
      <c r="BD704" s="24" t="inlineStr">
        <is>
          <t>3d16277c2cfc0628d7ec79d04feee92735e5c503a3be195cb225c7c52d024308</t>
        </is>
      </c>
      <c r="BE704" s="24" t="inlineStr">
        <is>
          <t>soccer-poisson-dc-v1</t>
        </is>
      </c>
      <c r="BF704" s="24" t="inlineStr">
        <is>
          <t>1</t>
        </is>
      </c>
      <c r="BG704" s="24" t="inlineStr">
        <is>
          <t>3d16277c2cfc0628d7ec79d04feee92735e5c503a3be195cb225c7c52d024308</t>
        </is>
      </c>
      <c r="BH704" s="24" t="inlineStr">
        <is>
          <t>2026-09-19T17:04:24.136187Z</t>
        </is>
      </c>
      <c r="BI704" s="24" t="inlineStr">
        <is>
          <t>["same_event","same_team_same_day","same_league_same_day"]</t>
        </is>
      </c>
      <c r="BJ704" s="25" t="n">
        <v>2.5</v>
      </c>
      <c r="BK704" s="26" t="n">
        <v>-245</v>
      </c>
      <c r="BL704" s="27" t="n">
        <v>1.408163</v>
      </c>
      <c r="BM704" s="28" t="n">
        <v>0.710145</v>
      </c>
      <c r="BN704" s="28" t="n"/>
      <c r="BO704" s="28" t="n"/>
      <c r="BP704" s="25" t="n"/>
      <c r="BQ704" s="27" t="n">
        <v>1.408163</v>
      </c>
      <c r="BR704" s="28" t="n">
        <v>0.71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0.710145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ef62cbb6d2b04e17</t>
        </is>
      </c>
      <c r="B705" s="24" t="inlineStr">
        <is>
          <t>2026-09-19T22:46:24.294324Z</t>
        </is>
      </c>
      <c r="C705" s="24" t="inlineStr">
        <is>
          <t>2026-09-19T23:30Z</t>
        </is>
      </c>
      <c r="D705" s="24" t="inlineStr">
        <is>
          <t>761819</t>
        </is>
      </c>
      <c r="E705" s="24" t="inlineStr">
        <is>
          <t>SOCCER</t>
        </is>
      </c>
      <c r="F705" s="24" t="inlineStr">
        <is>
          <t>Charlotte FC</t>
        </is>
      </c>
      <c r="G705" s="24" t="inlineStr">
        <is>
          <t>D.C. United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138</v>
      </c>
      <c r="M705" s="27" t="n">
        <v>2.38</v>
      </c>
      <c r="N705" s="28" t="n">
        <v>0.420168</v>
      </c>
      <c r="O705" s="28" t="n">
        <v>0.389257</v>
      </c>
      <c r="P705" s="28" t="n">
        <v>0.04</v>
      </c>
      <c r="Q705" s="28" t="n">
        <v>-0.030911</v>
      </c>
      <c r="R705" s="26" t="n">
        <v>11</v>
      </c>
      <c r="S705" s="29" t="n">
        <v>1</v>
      </c>
      <c r="T705" s="24" t="inlineStr">
        <is>
          <t>soccer-poisson-dc-v1</t>
        </is>
      </c>
      <c r="U705" s="24" t="inlineStr">
        <is>
          <t>settled</t>
        </is>
      </c>
      <c r="V705" s="24" t="inlineStr">
        <is>
          <t>win</t>
        </is>
      </c>
      <c r="W705" s="26" t="n">
        <v>2</v>
      </c>
      <c r="X705" s="26" t="n">
        <v>1</v>
      </c>
      <c r="Y705" s="25" t="n"/>
      <c r="Z705" s="26" t="n">
        <v>-144</v>
      </c>
      <c r="AA705" s="28" t="n">
        <v>0.59</v>
      </c>
      <c r="AB705" s="28" t="n">
        <v>0.169832</v>
      </c>
      <c r="AC705" s="30" t="n">
        <v>1.38</v>
      </c>
      <c r="AD705" s="24" t="inlineStr">
        <is>
          <t>2026-09-20T04:33:09.276263Z</t>
        </is>
      </c>
      <c r="AE705" s="31" t="inlineStr">
        <is>
          <t>Poisson-DC rates 1.45 (home) / 1.55 (away) from EWMA attack/defense strengths. Executable ask 0.4200 (atc-mls-dcu-clt-2026-09-19-clt).</t>
        </is>
      </c>
      <c r="AF705" s="31" t="inlineStr">
        <is>
          <t>Research-only soccer score model; draw-aware, but not yet locked-holdout qualified.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Charlotte FC</t>
        </is>
      </c>
      <c r="AQ705" s="24" t="inlineStr">
        <is>
          <t>Charlotte FC</t>
        </is>
      </c>
      <c r="AR705" s="24" t="inlineStr">
        <is>
          <t>Charlotte FC</t>
        </is>
      </c>
      <c r="AS705" s="24" t="inlineStr">
        <is>
          <t>D.C. United</t>
        </is>
      </c>
      <c r="AT705" s="24" t="inlineStr">
        <is>
          <t>D.C. United</t>
        </is>
      </c>
      <c r="AU705" s="24" t="inlineStr">
        <is>
          <t>D.C. United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3d16277c2cfc0628d7ec79d04feee92735e5c503a3be195cb225c7c52d024308</t>
        </is>
      </c>
      <c r="BB705" s="24" t="inlineStr">
        <is>
          <t>poisson_dixon_coles</t>
        </is>
      </c>
      <c r="BC705" s="24" t="inlineStr">
        <is>
          <t>soccer-poisson-dc-v1</t>
        </is>
      </c>
      <c r="BD705" s="24" t="inlineStr">
        <is>
          <t>3d16277c2cfc0628d7ec79d04feee92735e5c503a3be195cb225c7c52d024308</t>
        </is>
      </c>
      <c r="BE705" s="24" t="inlineStr">
        <is>
          <t>soccer-poisson-dc-v1</t>
        </is>
      </c>
      <c r="BF705" s="24" t="inlineStr">
        <is>
          <t>1</t>
        </is>
      </c>
      <c r="BG705" s="24" t="inlineStr">
        <is>
          <t>3d16277c2cfc0628d7ec79d04feee92735e5c503a3be195cb225c7c52d024308</t>
        </is>
      </c>
      <c r="BH705" s="24" t="inlineStr">
        <is>
          <t>2026-09-19T17:04:19.142451Z</t>
        </is>
      </c>
      <c r="BI705" s="24" t="inlineStr">
        <is>
          <t>["same_event","same_team_same_day","same_league_same_day"]</t>
        </is>
      </c>
      <c r="BJ705" s="25" t="n"/>
      <c r="BK705" s="26" t="n">
        <v>138</v>
      </c>
      <c r="BL705" s="27" t="n">
        <v>2.38</v>
      </c>
      <c r="BM705" s="28" t="n">
        <v>0.420168</v>
      </c>
      <c r="BN705" s="28" t="n"/>
      <c r="BO705" s="28" t="n"/>
      <c r="BP705" s="25" t="n"/>
      <c r="BQ705" s="27" t="n">
        <v>1.694444</v>
      </c>
      <c r="BR705" s="28" t="n">
        <v>0.59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0.420168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"3d16277c2cfc0628d7ec79d04feee92735e5c503a3be195cb225c7c52d024308", "away_team": "Charlotte FC", "event_id": "761819", "event_start_utc": "2026-09-19T23:30Z", "features": {"away_goal_rate": 1.5477, "history_games": 9181, "home_goal_rate": 1.4482, "league_goals_per_team": 1.5536, "min_team_games": 83.0}, "historical_source_observation_times_verified": false, "home_team": "D.C. United", "inference_inputs": {"away_rate": 1.5477167003098697, "code_sha256": {"models/soccer.py": "3d16277c2cfc0628d7ec79d04feee92735e5c503a3be195cb225c7c52d024308"}, "home_rate": 1.4481779537711246, "sport": "SOCCER"}, "market_type": "moneyline", "model_version": "soccer-poisson-dc-v1", "observed_at_utc": "2026-09-19T22:46:22.989562+00:00", "probabilities": {"away": 0.389257, "draw": 0.265275, "home": 0.345468}, "replay_scope": "Exact full-precision serving state and rounding; upstream historical observation times are not certified.", "schema": "coded-moneyline-replay-v1", "snapshot_hash": "01f1a4283fa5ceaef520e1f8cbdf1d019e6713ad9d6196e7b5cc2d4b134bbf3e", "sport": "SOCCER"}</t>
        </is>
      </c>
    </row>
    <row r="706" ht="36" customHeight="1">
      <c r="A706" s="24" t="inlineStr">
        <is>
          <t>2fe5a7fc135847c7</t>
        </is>
      </c>
      <c r="B706" s="24" t="inlineStr">
        <is>
          <t>2026-09-19T22:46:24.294324Z</t>
        </is>
      </c>
      <c r="C706" s="24" t="inlineStr">
        <is>
          <t>2026-09-19T23:30Z</t>
        </is>
      </c>
      <c r="D706" s="24" t="inlineStr">
        <is>
          <t>761816</t>
        </is>
      </c>
      <c r="E706" s="24" t="inlineStr">
        <is>
          <t>SOCCER</t>
        </is>
      </c>
      <c r="F706" s="24" t="inlineStr">
        <is>
          <t>Orlando City SC</t>
        </is>
      </c>
      <c r="G706" s="24" t="inlineStr">
        <is>
          <t>New England Revolution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-122</v>
      </c>
      <c r="M706" s="27" t="n">
        <v>1.819672</v>
      </c>
      <c r="N706" s="28" t="n">
        <v>0.54955</v>
      </c>
      <c r="O706" s="28" t="n">
        <v>0.621466</v>
      </c>
      <c r="P706" s="28" t="n">
        <v>0.04</v>
      </c>
      <c r="Q706" s="28" t="n">
        <v>0.07191599999999999</v>
      </c>
      <c r="R706" s="26" t="n">
        <v>62</v>
      </c>
      <c r="S706" s="29" t="n">
        <v>1.25</v>
      </c>
      <c r="T706" s="24" t="inlineStr">
        <is>
          <t>soccer-poisson-dc-v1</t>
        </is>
      </c>
      <c r="U706" s="24" t="inlineStr">
        <is>
          <t>settled</t>
        </is>
      </c>
      <c r="V706" s="24" t="inlineStr">
        <is>
          <t>win</t>
        </is>
      </c>
      <c r="W706" s="26" t="n">
        <v>2</v>
      </c>
      <c r="X706" s="26" t="n">
        <v>4</v>
      </c>
      <c r="Y706" s="25" t="n"/>
      <c r="Z706" s="26" t="n">
        <v>-122</v>
      </c>
      <c r="AA706" s="28" t="n">
        <v>0.55</v>
      </c>
      <c r="AB706" s="28" t="n">
        <v>0.00045</v>
      </c>
      <c r="AC706" s="30" t="n">
        <v>1.0246</v>
      </c>
      <c r="AD706" s="24" t="inlineStr">
        <is>
          <t>2026-09-20T04:33:09.893861Z</t>
        </is>
      </c>
      <c r="AE706" s="31" t="inlineStr">
        <is>
          <t>Poisson-DC rates 2.54 (home) / 1.37 (away) from EWMA attack/defense strengths. Executable ask 0.5500 (atc-mls-ner-orl-2026-09-19-ner).</t>
        </is>
      </c>
      <c r="AF706" s="31" t="inlineStr">
        <is>
          <t>Research-only soccer score model; draw-aware, but not yet locked-holdout qualified.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PAPER_CALL_LOW_EDGE</t>
        </is>
      </c>
      <c r="AP706" s="24" t="inlineStr">
        <is>
          <t>Orlando City SC</t>
        </is>
      </c>
      <c r="AQ706" s="24" t="inlineStr">
        <is>
          <t>Orlando City SC</t>
        </is>
      </c>
      <c r="AR706" s="24" t="inlineStr">
        <is>
          <t>Orlando City SC</t>
        </is>
      </c>
      <c r="AS706" s="24" t="inlineStr">
        <is>
          <t>New England Revolution</t>
        </is>
      </c>
      <c r="AT706" s="24" t="inlineStr">
        <is>
          <t>New England Revolution</t>
        </is>
      </c>
      <c r="AU706" s="24" t="inlineStr">
        <is>
          <t>New England Revolution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3d16277c2cfc0628d7ec79d04feee92735e5c503a3be195cb225c7c52d024308</t>
        </is>
      </c>
      <c r="BB706" s="24" t="inlineStr">
        <is>
          <t>poisson_dixon_coles</t>
        </is>
      </c>
      <c r="BC706" s="24" t="inlineStr">
        <is>
          <t>soccer-poisson-dc-v1</t>
        </is>
      </c>
      <c r="BD706" s="24" t="inlineStr">
        <is>
          <t>3d16277c2cfc0628d7ec79d04feee92735e5c503a3be195cb225c7c52d024308</t>
        </is>
      </c>
      <c r="BE706" s="24" t="inlineStr">
        <is>
          <t>soccer-poisson-dc-v1</t>
        </is>
      </c>
      <c r="BF706" s="24" t="inlineStr">
        <is>
          <t>1</t>
        </is>
      </c>
      <c r="BG706" s="24" t="inlineStr">
        <is>
          <t>3d16277c2cfc0628d7ec79d04feee92735e5c503a3be195cb225c7c52d024308</t>
        </is>
      </c>
      <c r="BH706" s="24" t="inlineStr">
        <is>
          <t>2026-09-19T05:39:06.984474Z</t>
        </is>
      </c>
      <c r="BI706" s="24" t="inlineStr">
        <is>
          <t>["same_event","same_team_same_day","same_league_same_day"]</t>
        </is>
      </c>
      <c r="BJ706" s="25" t="n"/>
      <c r="BK706" s="26" t="n">
        <v>-122</v>
      </c>
      <c r="BL706" s="27" t="n">
        <v>1.819672</v>
      </c>
      <c r="BM706" s="28" t="n">
        <v>0.54955</v>
      </c>
      <c r="BN706" s="28" t="n"/>
      <c r="BO706" s="28" t="n"/>
      <c r="BP706" s="25" t="n"/>
      <c r="BQ706" s="27" t="n">
        <v>1.819672</v>
      </c>
      <c r="BR706" s="28" t="n">
        <v>0.55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0.54955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"3d16277c2cfc0628d7ec79d04feee92735e5c503a3be195cb225c7c52d024308", "away_team": "Orlando City SC", "event_id": "761816", "event_start_utc": "2026-09-19T23:30Z", "features": {"away_goal_rate": 1.3664, "history_games": 9181, "home_goal_rate": 2.5367, "league_goals_per_team": 1.5536, "min_team_games": 82.0}, "historical_source_observation_times_verified": false, "home_team": "New England Revolution", "inference_inputs": {"away_rate": 1.3663637931686097, "code_sha256": {"models/soccer.py": "3d16277c2cfc0628d7ec79d04feee92735e5c503a3be195cb225c7c52d024308"}, "home_rate": 2.53674538488757, "sport": "SOCCER"}, "market_type": "moneyline", "model_version": "soccer-poisson-dc-v1", "observed_at_utc": "2026-09-19T22:46:22.989562+00:00", "probabilities": {"away": 0.18463, "draw": 0.193904, "home": 0.621466}, "replay_scope": "Exact full-precision serving state and rounding; upstream historical observation times are not certified.", "schema": "coded-moneyline-replay-v1", "snapshot_hash": "daf4092774e318f876379ab3662cd68fb83c146a089e645288d87ee4c8273080", "sport": "SOCCER"}</t>
        </is>
      </c>
    </row>
    <row r="707" ht="36" customHeight="1">
      <c r="A707" s="24" t="inlineStr">
        <is>
          <t>832d79f63aaa47ef</t>
        </is>
      </c>
      <c r="B707" s="24" t="inlineStr">
        <is>
          <t>2026-09-19T22:46:24.294324Z</t>
        </is>
      </c>
      <c r="C707" s="24" t="inlineStr">
        <is>
          <t>2026-09-20T00:30Z</t>
        </is>
      </c>
      <c r="D707" s="24" t="inlineStr">
        <is>
          <t>761822</t>
        </is>
      </c>
      <c r="E707" s="24" t="inlineStr">
        <is>
          <t>SOCCER</t>
        </is>
      </c>
      <c r="F707" s="24" t="inlineStr">
        <is>
          <t>Austin FC</t>
        </is>
      </c>
      <c r="G707" s="24" t="inlineStr">
        <is>
          <t>FC Dallas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-133</v>
      </c>
      <c r="M707" s="27" t="n">
        <v>1.75188</v>
      </c>
      <c r="N707" s="28" t="n">
        <v>0.570815</v>
      </c>
      <c r="O707" s="28" t="n">
        <v>0.712388</v>
      </c>
      <c r="P707" s="28" t="n">
        <v>0.04</v>
      </c>
      <c r="Q707" s="28" t="n">
        <v>0.141573</v>
      </c>
      <c r="R707" s="26" t="n">
        <v>97</v>
      </c>
      <c r="S707" s="29" t="n">
        <v>1.75</v>
      </c>
      <c r="T707" s="24" t="inlineStr">
        <is>
          <t>soccer-poisson-dc-v1</t>
        </is>
      </c>
      <c r="U707" s="24" t="inlineStr">
        <is>
          <t>settled</t>
        </is>
      </c>
      <c r="V707" s="24" t="inlineStr">
        <is>
          <t>loss</t>
        </is>
      </c>
      <c r="W707" s="26" t="n">
        <v>0</v>
      </c>
      <c r="X707" s="26" t="n">
        <v>0</v>
      </c>
      <c r="Y707" s="25" t="n"/>
      <c r="Z707" s="26" t="n">
        <v>-133</v>
      </c>
      <c r="AA707" s="28" t="n">
        <v>0.57</v>
      </c>
      <c r="AB707" s="28" t="n">
        <v>-0.000815</v>
      </c>
      <c r="AC707" s="30" t="n">
        <v>-1.75</v>
      </c>
      <c r="AD707" s="24" t="inlineStr">
        <is>
          <t>2026-09-20T04:33:10.475688Z</t>
        </is>
      </c>
      <c r="AE707" s="31" t="inlineStr">
        <is>
          <t>Poisson-DC rates 2.69 (home) / 1.05 (away) from EWMA attack/defense strengths. Executable ask 0.5700 (atc-mls-dal-aus-2026-09-19-dal).</t>
        </is>
      </c>
      <c r="AF707" s="31" t="inlineStr">
        <is>
          <t>Research-only soccer score model; draw-aware, but not yet locked-holdout qualified.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Austin FC</t>
        </is>
      </c>
      <c r="AQ707" s="24" t="inlineStr">
        <is>
          <t>Austin FC</t>
        </is>
      </c>
      <c r="AR707" s="24" t="inlineStr">
        <is>
          <t>Austin FC</t>
        </is>
      </c>
      <c r="AS707" s="24" t="inlineStr">
        <is>
          <t>FC Dallas</t>
        </is>
      </c>
      <c r="AT707" s="24" t="inlineStr">
        <is>
          <t>FC Dallas</t>
        </is>
      </c>
      <c r="AU707" s="24" t="inlineStr">
        <is>
          <t>FC Dallas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3d16277c2cfc0628d7ec79d04feee92735e5c503a3be195cb225c7c52d024308</t>
        </is>
      </c>
      <c r="BB707" s="24" t="inlineStr">
        <is>
          <t>poisson_dixon_coles</t>
        </is>
      </c>
      <c r="BC707" s="24" t="inlineStr">
        <is>
          <t>soccer-poisson-dc-v1</t>
        </is>
      </c>
      <c r="BD707" s="24" t="inlineStr">
        <is>
          <t>3d16277c2cfc0628d7ec79d04feee92735e5c503a3be195cb225c7c52d024308</t>
        </is>
      </c>
      <c r="BE707" s="24" t="inlineStr">
        <is>
          <t>soccer-poisson-dc-v1</t>
        </is>
      </c>
      <c r="BF707" s="24" t="inlineStr">
        <is>
          <t>1</t>
        </is>
      </c>
      <c r="BG707" s="24" t="inlineStr">
        <is>
          <t>3d16277c2cfc0628d7ec79d04feee92735e5c503a3be195cb225c7c52d024308</t>
        </is>
      </c>
      <c r="BH707" s="24" t="inlineStr">
        <is>
          <t>2026-09-19T05:39:15.968379Z</t>
        </is>
      </c>
      <c r="BI707" s="24" t="inlineStr">
        <is>
          <t>["same_event","same_team_same_day","same_league_same_day"]</t>
        </is>
      </c>
      <c r="BJ707" s="25" t="n"/>
      <c r="BK707" s="26" t="n">
        <v>-133</v>
      </c>
      <c r="BL707" s="27" t="n">
        <v>1.75188</v>
      </c>
      <c r="BM707" s="28" t="n">
        <v>0.570815</v>
      </c>
      <c r="BN707" s="28" t="n"/>
      <c r="BO707" s="28" t="n"/>
      <c r="BP707" s="25" t="n"/>
      <c r="BQ707" s="27" t="n">
        <v>1.75188</v>
      </c>
      <c r="BR707" s="28" t="n">
        <v>0.57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0.570815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"3d16277c2cfc0628d7ec79d04feee92735e5c503a3be195cb225c7c52d024308", "away_team": "Austin FC", "event_id": "761822", "event_start_utc": "2026-09-20T00:30Z", "features": {"away_goal_rate": 1.0533, "history_games": 9181, "home_goal_rate": 2.6853, "league_goals_per_team": 1.5536, "min_team_games": 85.0}, "historical_source_observation_times_verified": false, "home_team": "FC Dallas", "inference_inputs": {"away_rate": 1.0532678015203296, "code_sha256": {"models/soccer.py": "3d16277c2cfc0628d7ec79d04feee92735e5c503a3be195cb225c7c52d024308"}, "home_rate": 2.6852570771916895, "sport": "SOCCER"}, "market_type": "moneyline", "model_version": "soccer-poisson-dc-v1", "observed_at_utc": "2026-09-19T22:46:22.989562+00:00", "probabilities": {"away": 0.117573, "draw": 0.170039, "home": 0.712388}, "replay_scope": "Exact full-precision serving state and rounding; upstream historical observation times are not certified.", "schema": "coded-moneyline-replay-v1", "snapshot_hash": "3d3cc4f7fa4b4612c26398b95840cbeea0a35b427d9d9dbde56d5d990ff0a3d2", "sport": "SOCCER"}</t>
        </is>
      </c>
    </row>
    <row r="708" ht="36" customHeight="1">
      <c r="A708" s="24" t="inlineStr">
        <is>
          <t>b85b50c5075b4d3e</t>
        </is>
      </c>
      <c r="B708" s="24" t="inlineStr">
        <is>
          <t>2026-09-19T22:46:24.294324Z</t>
        </is>
      </c>
      <c r="C708" s="24" t="inlineStr">
        <is>
          <t>2026-09-20T01:30Z</t>
        </is>
      </c>
      <c r="D708" s="24" t="inlineStr">
        <is>
          <t>761826</t>
        </is>
      </c>
      <c r="E708" s="24" t="inlineStr">
        <is>
          <t>SOCCER</t>
        </is>
      </c>
      <c r="F708" s="24" t="inlineStr">
        <is>
          <t>Seattle Sounders FC</t>
        </is>
      </c>
      <c r="G708" s="24" t="inlineStr">
        <is>
          <t>Colorado Rapids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0.396706</v>
      </c>
      <c r="P708" s="28" t="n">
        <v>0.04</v>
      </c>
      <c r="Q708" s="28" t="n">
        <v>-0.122525</v>
      </c>
      <c r="R708" s="26" t="n">
        <v>0</v>
      </c>
      <c r="S708" s="29" t="n">
        <v>1</v>
      </c>
      <c r="T708" s="24" t="inlineStr">
        <is>
          <t>soccer-poisson-dc-v1</t>
        </is>
      </c>
      <c r="U708" s="24" t="inlineStr">
        <is>
          <t>settled</t>
        </is>
      </c>
      <c r="V708" s="24" t="inlineStr">
        <is>
          <t>loss</t>
        </is>
      </c>
      <c r="W708" s="26" t="n">
        <v>3</v>
      </c>
      <c r="X708" s="26" t="n">
        <v>3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-1</v>
      </c>
      <c r="AD708" s="24" t="inlineStr">
        <is>
          <t>2026-09-20T04:33:11.049882Z</t>
        </is>
      </c>
      <c r="AE708" s="31" t="inlineStr">
        <is>
          <t>Poisson-DC rates 1.52 (home) / 1.38 (away) from EWMA attack/defense strengths. Executable ask 0.5200 (atc-mls-col-sea-2026-09-19-col).</t>
        </is>
      </c>
      <c r="AF708" s="31" t="inlineStr">
        <is>
          <t>Research-only soccer score model; draw-aware, but not yet locked-holdout qualified.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Seattle Sounders FC</t>
        </is>
      </c>
      <c r="AQ708" s="24" t="inlineStr">
        <is>
          <t>Seattle Sounders FC</t>
        </is>
      </c>
      <c r="AR708" s="24" t="inlineStr">
        <is>
          <t>Seattle Sounders FC</t>
        </is>
      </c>
      <c r="AS708" s="24" t="inlineStr">
        <is>
          <t>Colorado Rapids</t>
        </is>
      </c>
      <c r="AT708" s="24" t="inlineStr">
        <is>
          <t>Colorado Rapids</t>
        </is>
      </c>
      <c r="AU708" s="24" t="inlineStr">
        <is>
          <t>Colorado Rapids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3d16277c2cfc0628d7ec79d04feee92735e5c503a3be195cb225c7c52d024308</t>
        </is>
      </c>
      <c r="BB708" s="24" t="inlineStr">
        <is>
          <t>poisson_dixon_coles</t>
        </is>
      </c>
      <c r="BC708" s="24" t="inlineStr">
        <is>
          <t>soccer-poisson-dc-v1</t>
        </is>
      </c>
      <c r="BD708" s="24" t="inlineStr">
        <is>
          <t>3d16277c2cfc0628d7ec79d04feee92735e5c503a3be195cb225c7c52d024308</t>
        </is>
      </c>
      <c r="BE708" s="24" t="inlineStr">
        <is>
          <t>soccer-poisson-dc-v1</t>
        </is>
      </c>
      <c r="BF708" s="24" t="inlineStr">
        <is>
          <t>1</t>
        </is>
      </c>
      <c r="BG708" s="24" t="inlineStr">
        <is>
          <t>3d16277c2cfc0628d7ec79d04feee92735e5c503a3be195cb225c7c52d024308</t>
        </is>
      </c>
      <c r="BH708" s="24" t="inlineStr">
        <is>
          <t>2026-09-19T05:39:39.133816Z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"3d16277c2cfc0628d7ec79d04feee92735e5c503a3be195cb225c7c52d024308", "away_team": "Seattle Sounders FC", "event_id": "761826", "event_start_utc": "2026-09-20T01:30Z", "features": {"away_goal_rate": 1.3781, "history_games": 9181, "home_goal_rate": 1.5207, "league_goals_per_team": 1.5536, "min_team_games": 85.0}, "historical_source_observation_times_verified": false, "home_team": "Colorado Rapids", "inference_inputs": {"away_rate": 1.3781431649981197, "code_sha256": {"models/soccer.py": "3d16277c2cfc0628d7ec79d04feee92735e5c503a3be195cb225c7c52d024308"}, "home_rate": 1.5207041931673015, "sport": "SOCCER"}, "market_type": "moneyline", "model_version": "soccer-poisson-dc-v1", "observed_at_utc": "2026-09-19T22:46:22.989562+00:00", "probabilities": {"away": 0.333088, "draw": 0.270206, "home": 0.396706}, "replay_scope": "Exact full-precision serving state and rounding; upstream historical observation times are not certified.", "schema": "coded-moneyline-replay-v1", "snapshot_hash": "fcf1726f90923dc834daff2717ca6cb7726a4eb5909d278debc7e3159fb90fdf", "sport": "SOCCER"}</t>
        </is>
      </c>
    </row>
    <row r="709" ht="36" customHeight="1">
      <c r="A709" s="24" t="inlineStr">
        <is>
          <t>eda1bcf1ee7a40ab</t>
        </is>
      </c>
      <c r="B709" s="24" t="inlineStr">
        <is>
          <t>2026-09-19T22:46:24.294324Z</t>
        </is>
      </c>
      <c r="C709" s="24" t="inlineStr">
        <is>
          <t>2026-09-20T02:30Z</t>
        </is>
      </c>
      <c r="D709" s="24" t="inlineStr">
        <is>
          <t>761828</t>
        </is>
      </c>
      <c r="E709" s="24" t="inlineStr">
        <is>
          <t>SOCCER</t>
        </is>
      </c>
      <c r="F709" s="24" t="inlineStr">
        <is>
          <t>Atlanta United FC</t>
        </is>
      </c>
      <c r="G709" s="24" t="inlineStr">
        <is>
          <t>Portland Timbers</t>
        </is>
      </c>
      <c r="H709" s="24" t="inlineStr">
        <is>
          <t>moneyline</t>
        </is>
      </c>
      <c r="I709" s="24" t="inlineStr">
        <is>
          <t>home</t>
        </is>
      </c>
      <c r="J709" s="25" t="n"/>
      <c r="K709" s="24" t="inlineStr">
        <is>
          <t>polymarket_us</t>
        </is>
      </c>
      <c r="L709" s="26" t="n">
        <v>100</v>
      </c>
      <c r="M709" s="27" t="n">
        <v>2</v>
      </c>
      <c r="N709" s="28" t="n">
        <v>0.5</v>
      </c>
      <c r="O709" s="28" t="n">
        <v>0.592638</v>
      </c>
      <c r="P709" s="28" t="n">
        <v>0.04</v>
      </c>
      <c r="Q709" s="28" t="n">
        <v>0.092638</v>
      </c>
      <c r="R709" s="26" t="n">
        <v>72</v>
      </c>
      <c r="S709" s="29" t="n">
        <v>1.25</v>
      </c>
      <c r="T709" s="24" t="inlineStr">
        <is>
          <t>soccer-poisson-dc-v1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0</v>
      </c>
      <c r="Y709" s="25" t="n"/>
      <c r="Z709" s="26" t="n">
        <v>100</v>
      </c>
      <c r="AA709" s="28" t="n">
        <v>0.5</v>
      </c>
      <c r="AB709" s="28" t="n">
        <v>0</v>
      </c>
      <c r="AC709" s="30" t="n">
        <v>-1.25</v>
      </c>
      <c r="AD709" s="24" t="inlineStr">
        <is>
          <t>2026-09-20T10:00:38.282242Z</t>
        </is>
      </c>
      <c r="AE709" s="31" t="inlineStr">
        <is>
          <t>Poisson-DC rates 2.00 (home) / 1.01 (away) from EWMA attack/defense strengths. Executable ask 0.5000 (atc-mls-por-atl-2026-09-19-por).</t>
        </is>
      </c>
      <c r="AF709" s="31" t="inlineStr">
        <is>
          <t>Research-only soccer score model; draw-aware, but not yet locked-holdout qualified.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Atlanta United FC</t>
        </is>
      </c>
      <c r="AQ709" s="24" t="inlineStr">
        <is>
          <t>Atlanta United FC</t>
        </is>
      </c>
      <c r="AR709" s="24" t="inlineStr">
        <is>
          <t>Atlanta United FC</t>
        </is>
      </c>
      <c r="AS709" s="24" t="inlineStr">
        <is>
          <t>Portland Timbers</t>
        </is>
      </c>
      <c r="AT709" s="24" t="inlineStr">
        <is>
          <t>Portland Timbers</t>
        </is>
      </c>
      <c r="AU709" s="24" t="inlineStr">
        <is>
          <t>Portland Timbers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3d16277c2cfc0628d7ec79d04feee92735e5c503a3be195cb225c7c52d024308</t>
        </is>
      </c>
      <c r="BB709" s="24" t="inlineStr">
        <is>
          <t>poisson_dixon_coles</t>
        </is>
      </c>
      <c r="BC709" s="24" t="inlineStr">
        <is>
          <t>soccer-poisson-dc-v1</t>
        </is>
      </c>
      <c r="BD709" s="24" t="inlineStr">
        <is>
          <t>3d16277c2cfc0628d7ec79d04feee92735e5c503a3be195cb225c7c52d024308</t>
        </is>
      </c>
      <c r="BE709" s="24" t="inlineStr">
        <is>
          <t>soccer-poisson-dc-v1</t>
        </is>
      </c>
      <c r="BF709" s="24" t="inlineStr">
        <is>
          <t>1</t>
        </is>
      </c>
      <c r="BG709" s="24" t="inlineStr">
        <is>
          <t>3d16277c2cfc0628d7ec79d04feee92735e5c503a3be195cb225c7c52d024308</t>
        </is>
      </c>
      <c r="BH709" s="24" t="inlineStr">
        <is>
          <t>2026-09-19T11:08:36.091308Z</t>
        </is>
      </c>
      <c r="BI709" s="24" t="inlineStr">
        <is>
          <t>["same_event","same_team_same_day","same_league_same_day"]</t>
        </is>
      </c>
      <c r="BJ709" s="25" t="n"/>
      <c r="BK709" s="26" t="n">
        <v>100</v>
      </c>
      <c r="BL709" s="27" t="n">
        <v>2</v>
      </c>
      <c r="BM709" s="28" t="n">
        <v>0.5</v>
      </c>
      <c r="BN709" s="28" t="n"/>
      <c r="BO709" s="28" t="n"/>
      <c r="BP709" s="25" t="n"/>
      <c r="BQ709" s="27" t="n">
        <v>2</v>
      </c>
      <c r="BR709" s="28" t="n">
        <v>0.5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"3d16277c2cfc0628d7ec79d04feee92735e5c503a3be195cb225c7c52d024308", "away_team": "Atlanta United FC", "event_id": "761828", "event_start_utc": "2026-09-20T02:30Z", "features": {"away_goal_rate": 1.0123, "history_games": 9181, "home_goal_rate": 1.9991, "league_goals_per_team": 1.5536, "min_team_games": 88.0}, "historical_source_observation_times_verified": false, "home_team": "Portland Timbers", "inference_inputs": {"away_rate": 1.0122643915476863, "code_sha256": {"models/soccer.py": "3d16277c2cfc0628d7ec79d04feee92735e5c503a3be195cb225c7c52d024308"}, "home_rate": 1.9991479897867737, "sport": "SOCCER"}, "market_type": "moneyline", "model_version": "soccer-poisson-dc-v1", "observed_at_utc": "2026-09-19T22:46:22.989562+00:00", "probabilities": {"away": 0.175326, "draw": 0.232036, "home": 0.592638}, "replay_scope": "Exact full-precision serving state and rounding; upstream historical observation times are not certified.", "schema": "coded-moneyline-replay-v1", "snapshot_hash": "1b8a392169de4a300efad12bb0cc564855952a8a021436256311fb2238b1d496", "sport": "SOCCER"}</t>
        </is>
      </c>
    </row>
    <row r="710" ht="36" customHeight="1">
      <c r="A710" s="24" t="inlineStr">
        <is>
          <t>38653f89a2334830</t>
        </is>
      </c>
      <c r="B710" s="24" t="inlineStr">
        <is>
          <t>2026-09-19T22:46:24.294324Z</t>
        </is>
      </c>
      <c r="C710" s="24" t="inlineStr">
        <is>
          <t>2026-09-19T23:30Z</t>
        </is>
      </c>
      <c r="D710" s="24" t="inlineStr">
        <is>
          <t>401841247</t>
        </is>
      </c>
      <c r="E710" s="24" t="inlineStr">
        <is>
          <t>SOCCER</t>
        </is>
      </c>
      <c r="F710" s="24" t="inlineStr">
        <is>
          <t>Coritiba</t>
        </is>
      </c>
      <c r="G710" s="24" t="inlineStr">
        <is>
          <t>Vasco da Gama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-245</v>
      </c>
      <c r="M710" s="27" t="n">
        <v>1.408163</v>
      </c>
      <c r="N710" s="28" t="n">
        <v>0.710145</v>
      </c>
      <c r="O710" s="28" t="n">
        <v>0.456135</v>
      </c>
      <c r="P710" s="28" t="n">
        <v>0.2</v>
      </c>
      <c r="Q710" s="28" t="n">
        <v>-0.25401</v>
      </c>
      <c r="R710" s="26" t="n">
        <v>0</v>
      </c>
      <c r="S710" s="29" t="n">
        <v>1</v>
      </c>
      <c r="T710" s="24" t="inlineStr">
        <is>
          <t>soccer-poisson-dc-v1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5</v>
      </c>
      <c r="Y710" s="25" t="n"/>
      <c r="Z710" s="26" t="n">
        <v>-245</v>
      </c>
      <c r="AA710" s="28" t="n">
        <v>0.71</v>
      </c>
      <c r="AB710" s="28" t="n">
        <v>-0.000145</v>
      </c>
      <c r="AC710" s="30" t="n">
        <v>0.4082</v>
      </c>
      <c r="AD710" s="24" t="inlineStr">
        <is>
          <t>2026-09-20T04:33:11.637440Z</t>
        </is>
      </c>
      <c r="AE710" s="31" t="inlineStr">
        <is>
          <t>Poisson-DC rates 1.64 (home) / 1.24 (away) from EWMA attack/defense strengths. Executable ask 0.7100 (atc-bra-vas-cor-2026-09-19-vas).</t>
        </is>
      </c>
      <c r="AF710" s="31" t="inlineStr">
        <is>
          <t>Research-only soccer score model; draw-aware, but not yet locked-holdout qualified.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Coritiba</t>
        </is>
      </c>
      <c r="AQ710" s="24" t="inlineStr">
        <is>
          <t>Coritiba</t>
        </is>
      </c>
      <c r="AR710" s="24" t="inlineStr">
        <is>
          <t>Coritiba</t>
        </is>
      </c>
      <c r="AS710" s="24" t="inlineStr">
        <is>
          <t>Vasco da Gama</t>
        </is>
      </c>
      <c r="AT710" s="24" t="inlineStr">
        <is>
          <t>Vasco da Gama</t>
        </is>
      </c>
      <c r="AU710" s="24" t="inlineStr">
        <is>
          <t>Vasco da Gama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3d16277c2cfc0628d7ec79d04feee92735e5c503a3be195cb225c7c52d024308</t>
        </is>
      </c>
      <c r="BB710" s="24" t="inlineStr">
        <is>
          <t>poisson_dixon_coles</t>
        </is>
      </c>
      <c r="BC710" s="24" t="inlineStr">
        <is>
          <t>soccer-poisson-dc-v1</t>
        </is>
      </c>
      <c r="BD710" s="24" t="inlineStr">
        <is>
          <t>3d16277c2cfc0628d7ec79d04feee92735e5c503a3be195cb225c7c52d024308</t>
        </is>
      </c>
      <c r="BE710" s="24" t="inlineStr">
        <is>
          <t>soccer-poisson-dc-v1</t>
        </is>
      </c>
      <c r="BF710" s="24" t="inlineStr">
        <is>
          <t>1</t>
        </is>
      </c>
      <c r="BG710" s="24" t="inlineStr">
        <is>
          <t>3d16277c2cfc0628d7ec79d04feee92735e5c503a3be195cb225c7c52d024308</t>
        </is>
      </c>
      <c r="BH710" s="24" t="inlineStr">
        <is>
          <t>2026-09-19T22:44:32.337571Z</t>
        </is>
      </c>
      <c r="BI710" s="24" t="inlineStr">
        <is>
          <t>["same_event","same_team_same_day","same_league_same_day"]</t>
        </is>
      </c>
      <c r="BJ710" s="25" t="n"/>
      <c r="BK710" s="26" t="n">
        <v>-245</v>
      </c>
      <c r="BL710" s="27" t="n">
        <v>1.408163</v>
      </c>
      <c r="BM710" s="28" t="n">
        <v>0.710145</v>
      </c>
      <c r="BN710" s="28" t="n"/>
      <c r="BO710" s="28" t="n"/>
      <c r="BP710" s="25" t="n"/>
      <c r="BQ710" s="27" t="n">
        <v>1.408163</v>
      </c>
      <c r="BR710" s="28" t="n">
        <v>0.71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0.710145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"3d16277c2cfc0628d7ec79d04feee92735e5c503a3be195cb225c7c52d024308", "away_team": "Coritiba", "event_id": "401841247", "event_start_utc": "2026-09-19T23:30Z", "features": {"away_goal_rate": 1.2418, "history_games": 9181, "home_goal_rate": 1.6423, "league_goals_per_team": 1.4281, "min_team_games": 0.0}, "historical_source_observation_times_verified": false, "home_team": "Vasco da Gama",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"2026-09-19T22:46:22.989562+00:00", "probabilities": {"away": 0.278015, "draw": 0.265851, "home": 0.456135}, "replay_scope": "Exact full-precision serving state and rounding; upstream historical observation times are not certified.", "schema": "coded-moneyline-replay-v1", "snapshot_hash": "0899953642575bdb32256b15946f7907834f10bcccb3696fe3e2c40b1f317716", "sport": "SOCCER"}</t>
        </is>
      </c>
    </row>
    <row r="711" ht="36" customHeight="1">
      <c r="A711" s="24" t="inlineStr">
        <is>
          <t>5db1a55502f544c9</t>
        </is>
      </c>
      <c r="B711" s="24" t="inlineStr">
        <is>
          <t>2026-09-20T10:29:39.194933Z</t>
        </is>
      </c>
      <c r="C711" s="24" t="inlineStr">
        <is>
          <t>2026-09-20T13:00Z</t>
        </is>
      </c>
      <c r="D711" s="24" t="inlineStr">
        <is>
          <t>401879276</t>
        </is>
      </c>
      <c r="E711" s="24" t="inlineStr">
        <is>
          <t>SOCCER</t>
        </is>
      </c>
      <c r="F711" s="24" t="inlineStr">
        <is>
          <t>Liverpool</t>
        </is>
      </c>
      <c r="G711" s="24" t="inlineStr">
        <is>
          <t>AFC Bournemouth</t>
        </is>
      </c>
      <c r="H711" s="24" t="inlineStr">
        <is>
          <t>total</t>
        </is>
      </c>
      <c r="I711" s="24" t="inlineStr">
        <is>
          <t>over</t>
        </is>
      </c>
      <c r="J711" s="25" t="n">
        <v>2.5</v>
      </c>
      <c r="K711" s="24" t="inlineStr">
        <is>
          <t>polymarket_us</t>
        </is>
      </c>
      <c r="L711" s="26" t="n">
        <v>-186</v>
      </c>
      <c r="M711" s="27" t="n">
        <v>1.537634</v>
      </c>
      <c r="N711" s="28" t="n">
        <v>0.65035</v>
      </c>
      <c r="O711" s="28" t="n">
        <v>0.54048</v>
      </c>
      <c r="P711" s="28" t="n">
        <v>0.04</v>
      </c>
      <c r="Q711" s="28" t="n">
        <v>-0.10987</v>
      </c>
      <c r="R711" s="26" t="n">
        <v>0</v>
      </c>
      <c r="S711" s="29" t="n">
        <v>1</v>
      </c>
      <c r="T711" s="24" t="inlineStr">
        <is>
          <t>soccer-poisson-dc-v1</t>
        </is>
      </c>
      <c r="U711" s="24" t="inlineStr">
        <is>
          <t>settled</t>
        </is>
      </c>
      <c r="V711" s="24" t="inlineStr">
        <is>
          <t>loss</t>
        </is>
      </c>
      <c r="W711" s="26" t="n">
        <v>1</v>
      </c>
      <c r="X711" s="26" t="n">
        <v>0</v>
      </c>
      <c r="Y711" s="25" t="n"/>
      <c r="Z711" s="26" t="n">
        <v>-186</v>
      </c>
      <c r="AA711" s="28" t="n">
        <v>0.65</v>
      </c>
      <c r="AB711" s="28" t="n">
        <v>-0.00035</v>
      </c>
      <c r="AC711" s="30" t="n">
        <v>-1</v>
      </c>
      <c r="AD711" s="24" t="inlineStr">
        <is>
          <t>2026-09-20T16:00:28.715976Z</t>
        </is>
      </c>
      <c r="AE711" s="31" t="inlineStr">
        <is>
          <t>Poisson-DC rates 1.67 (home) / 1.17 (away) from EWMA attack/defense strengths. Executable ask 0.6500 (tsc-epl-bor-liv-2026-09-20-2pt5).</t>
        </is>
      </c>
      <c r="AF711" s="31" t="inlineStr">
        <is>
          <t>Research-only soccer score model; draw-aware, but not yet locked-holdout qualified.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Liverpool</t>
        </is>
      </c>
      <c r="AQ711" s="24" t="inlineStr">
        <is>
          <t>Liverpool</t>
        </is>
      </c>
      <c r="AR711" s="24" t="inlineStr">
        <is>
          <t>Liverpool</t>
        </is>
      </c>
      <c r="AS711" s="24" t="inlineStr">
        <is>
          <t>AFC Bournemouth</t>
        </is>
      </c>
      <c r="AT711" s="24" t="inlineStr">
        <is>
          <t>AFC Bournemouth</t>
        </is>
      </c>
      <c r="AU711" s="24" t="inlineStr">
        <is>
          <t>AFC Bournemouth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3d16277c2cfc0628d7ec79d04feee92735e5c503a3be195cb225c7c52d024308</t>
        </is>
      </c>
      <c r="BB711" s="24" t="inlineStr">
        <is>
          <t>poisson_dixon_coles</t>
        </is>
      </c>
      <c r="BC711" s="24" t="inlineStr">
        <is>
          <t>soccer-poisson-dc-v1</t>
        </is>
      </c>
      <c r="BD711" s="24" t="inlineStr">
        <is>
          <t>3d16277c2cfc0628d7ec79d04feee92735e5c503a3be195cb225c7c52d024308</t>
        </is>
      </c>
      <c r="BE711" s="24" t="inlineStr">
        <is>
          <t>soccer-poisson-dc-v1</t>
        </is>
      </c>
      <c r="BF711" s="24" t="inlineStr">
        <is>
          <t>1</t>
        </is>
      </c>
      <c r="BG711" s="24" t="inlineStr">
        <is>
          <t>3d16277c2cfc0628d7ec79d04feee92735e5c503a3be195cb225c7c52d024308</t>
        </is>
      </c>
      <c r="BH711" s="24" t="inlineStr">
        <is>
          <t>2026-09-20T10:23:15.217228Z</t>
        </is>
      </c>
      <c r="BI711" s="24" t="inlineStr">
        <is>
          <t>["same_event","same_team_same_day","same_league_same_day"]</t>
        </is>
      </c>
      <c r="BJ711" s="25" t="n">
        <v>2.5</v>
      </c>
      <c r="BK711" s="26" t="n">
        <v>-186</v>
      </c>
      <c r="BL711" s="27" t="n">
        <v>1.537634</v>
      </c>
      <c r="BM711" s="28" t="n">
        <v>0.65035</v>
      </c>
      <c r="BN711" s="28" t="n"/>
      <c r="BO711" s="28" t="n"/>
      <c r="BP711" s="25" t="n"/>
      <c r="BQ711" s="27" t="n">
        <v>1.537634</v>
      </c>
      <c r="BR711" s="28" t="n">
        <v>0.65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0.65035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3a28d866e0554c95</t>
        </is>
      </c>
      <c r="B712" s="24" t="inlineStr">
        <is>
          <t>2026-09-20T10:29:39.194933Z</t>
        </is>
      </c>
      <c r="C712" s="24" t="inlineStr">
        <is>
          <t>2026-09-20T13:00Z</t>
        </is>
      </c>
      <c r="D712" s="24" t="inlineStr">
        <is>
          <t>401879273</t>
        </is>
      </c>
      <c r="E712" s="24" t="inlineStr">
        <is>
          <t>SOCCER</t>
        </is>
      </c>
      <c r="F712" s="24" t="inlineStr">
        <is>
          <t>Crystal Palace</t>
        </is>
      </c>
      <c r="G712" s="24" t="inlineStr">
        <is>
          <t>Leeds United</t>
        </is>
      </c>
      <c r="H712" s="24" t="inlineStr">
        <is>
          <t>total</t>
        </is>
      </c>
      <c r="I712" s="24" t="inlineStr">
        <is>
          <t>under</t>
        </is>
      </c>
      <c r="J712" s="25" t="n">
        <v>2.5</v>
      </c>
      <c r="K712" s="24" t="inlineStr">
        <is>
          <t>polymarket_us</t>
        </is>
      </c>
      <c r="L712" s="26" t="n">
        <v>133</v>
      </c>
      <c r="M712" s="27" t="n">
        <v>2.33</v>
      </c>
      <c r="N712" s="28" t="n">
        <v>0.429185</v>
      </c>
      <c r="O712" s="28" t="n">
        <v>0.5466839999999999</v>
      </c>
      <c r="P712" s="28" t="n">
        <v>0.04</v>
      </c>
      <c r="Q712" s="28" t="n">
        <v>0.117499</v>
      </c>
      <c r="R712" s="26" t="n">
        <v>85</v>
      </c>
      <c r="S712" s="29" t="n">
        <v>1.5</v>
      </c>
      <c r="T712" s="24" t="inlineStr">
        <is>
          <t>soccer-poisson-dc-v1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>
        <v>133</v>
      </c>
      <c r="AA712" s="28" t="n">
        <v>0.43</v>
      </c>
      <c r="AB712" s="28" t="n">
        <v>0.000815</v>
      </c>
      <c r="AC712" s="30" t="n">
        <v>1.995</v>
      </c>
      <c r="AD712" s="24" t="inlineStr">
        <is>
          <t>2026-09-20T16:00:30.073262Z</t>
        </is>
      </c>
      <c r="AE712" s="31" t="inlineStr">
        <is>
          <t>Poisson-DC rates 1.63 (home) / 0.86 (away) from EWMA attack/defense strengths. Executable ask 0.4300 (tsc-epl-lee-cry-2026-09-20-2pt5).</t>
        </is>
      </c>
      <c r="AF712" s="31" t="inlineStr">
        <is>
          <t>Research-only soccer score model; draw-aware, but not yet locked-holdout qualified.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Crystal Palace</t>
        </is>
      </c>
      <c r="AQ712" s="24" t="inlineStr">
        <is>
          <t>Crystal Palace</t>
        </is>
      </c>
      <c r="AR712" s="24" t="inlineStr">
        <is>
          <t>Crystal Palace</t>
        </is>
      </c>
      <c r="AS712" s="24" t="inlineStr">
        <is>
          <t>Leeds United</t>
        </is>
      </c>
      <c r="AT712" s="24" t="inlineStr">
        <is>
          <t>Leeds United</t>
        </is>
      </c>
      <c r="AU712" s="24" t="inlineStr">
        <is>
          <t>Leeds United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3d16277c2cfc0628d7ec79d04feee92735e5c503a3be195cb225c7c52d024308</t>
        </is>
      </c>
      <c r="BB712" s="24" t="inlineStr">
        <is>
          <t>poisson_dixon_coles</t>
        </is>
      </c>
      <c r="BC712" s="24" t="inlineStr">
        <is>
          <t>soccer-poisson-dc-v1</t>
        </is>
      </c>
      <c r="BD712" s="24" t="inlineStr">
        <is>
          <t>3d16277c2cfc0628d7ec79d04feee92735e5c503a3be195cb225c7c52d024308</t>
        </is>
      </c>
      <c r="BE712" s="24" t="inlineStr">
        <is>
          <t>soccer-poisson-dc-v1</t>
        </is>
      </c>
      <c r="BF712" s="24" t="inlineStr">
        <is>
          <t>1</t>
        </is>
      </c>
      <c r="BG712" s="24" t="inlineStr">
        <is>
          <t>3d16277c2cfc0628d7ec79d04feee92735e5c503a3be195cb225c7c52d024308</t>
        </is>
      </c>
      <c r="BH712" s="24" t="inlineStr">
        <is>
          <t>2026-09-20T04:55:38.999499Z</t>
        </is>
      </c>
      <c r="BI712" s="24" t="inlineStr">
        <is>
          <t>["same_event","same_team_same_day","same_league_same_day"]</t>
        </is>
      </c>
      <c r="BJ712" s="25" t="n">
        <v>2.5</v>
      </c>
      <c r="BK712" s="26" t="n">
        <v>133</v>
      </c>
      <c r="BL712" s="27" t="n">
        <v>2.33</v>
      </c>
      <c r="BM712" s="28" t="n">
        <v>0.429185</v>
      </c>
      <c r="BN712" s="28" t="n"/>
      <c r="BO712" s="28" t="n"/>
      <c r="BP712" s="25" t="n"/>
      <c r="BQ712" s="27" t="n">
        <v>2.33</v>
      </c>
      <c r="BR712" s="28" t="n">
        <v>0.43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0.429185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ca11d21cfe4544eb</t>
        </is>
      </c>
      <c r="B713" s="24" t="inlineStr">
        <is>
          <t>2026-09-20T10:29:39.194933Z</t>
        </is>
      </c>
      <c r="C713" s="24" t="inlineStr">
        <is>
          <t>2026-09-20T13:30Z</t>
        </is>
      </c>
      <c r="D713" s="24" t="inlineStr">
        <is>
          <t>401884788</t>
        </is>
      </c>
      <c r="E713" s="24" t="inlineStr">
        <is>
          <t>SOCCER</t>
        </is>
      </c>
      <c r="F713" s="24" t="inlineStr">
        <is>
          <t>RB Leipzig</t>
        </is>
      </c>
      <c r="G713" s="24" t="inlineStr">
        <is>
          <t>Bayer Leverkusen</t>
        </is>
      </c>
      <c r="H713" s="24" t="inlineStr">
        <is>
          <t>total</t>
        </is>
      </c>
      <c r="I713" s="24" t="inlineStr">
        <is>
          <t>over</t>
        </is>
      </c>
      <c r="J713" s="25" t="n">
        <v>2.5</v>
      </c>
      <c r="K713" s="24" t="inlineStr">
        <is>
          <t>polymarket_us</t>
        </is>
      </c>
      <c r="L713" s="26" t="n">
        <v>-270</v>
      </c>
      <c r="M713" s="27" t="n">
        <v>1.37037</v>
      </c>
      <c r="N713" s="28" t="n">
        <v>0.72973</v>
      </c>
      <c r="O713" s="28" t="n">
        <v>0.701624</v>
      </c>
      <c r="P713" s="28" t="n">
        <v>0.04</v>
      </c>
      <c r="Q713" s="28" t="n">
        <v>-0.028106</v>
      </c>
      <c r="R713" s="26" t="n">
        <v>12</v>
      </c>
      <c r="S713" s="29" t="n">
        <v>1</v>
      </c>
      <c r="T713" s="24" t="inlineStr">
        <is>
          <t>soccer-poisson-dc-v1</t>
        </is>
      </c>
      <c r="U713" s="24" t="inlineStr">
        <is>
          <t>settled</t>
        </is>
      </c>
      <c r="V713" s="24" t="inlineStr">
        <is>
          <t>loss</t>
        </is>
      </c>
      <c r="W713" s="26" t="n">
        <v>0</v>
      </c>
      <c r="X713" s="26" t="n">
        <v>2</v>
      </c>
      <c r="Y713" s="25" t="n"/>
      <c r="Z713" s="26" t="n">
        <v>-270</v>
      </c>
      <c r="AA713" s="28" t="n">
        <v>0.73</v>
      </c>
      <c r="AB713" s="28" t="n">
        <v>0.00027</v>
      </c>
      <c r="AC713" s="30" t="n">
        <v>-1</v>
      </c>
      <c r="AD713" s="24" t="inlineStr">
        <is>
          <t>2026-09-20T16:00:30.758709Z</t>
        </is>
      </c>
      <c r="AE713" s="31" t="inlineStr">
        <is>
          <t>Poisson-DC rates 2.15 (home) / 1.47 (away) from EWMA attack/defense strengths. Executable ask 0.7300 (tsc-bun-lev-rbl-2026-09-20-2pt5).</t>
        </is>
      </c>
      <c r="AF713" s="31" t="inlineStr">
        <is>
          <t>Research-only soccer score model; draw-aware, but not yet locked-holdout qualified.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RB Leipzig</t>
        </is>
      </c>
      <c r="AQ713" s="24" t="inlineStr">
        <is>
          <t>RB Leipzig</t>
        </is>
      </c>
      <c r="AR713" s="24" t="inlineStr">
        <is>
          <t>RB Leipzig</t>
        </is>
      </c>
      <c r="AS713" s="24" t="inlineStr">
        <is>
          <t>Bayer Leverkusen</t>
        </is>
      </c>
      <c r="AT713" s="24" t="inlineStr">
        <is>
          <t>Bayer Leverkusen</t>
        </is>
      </c>
      <c r="AU713" s="24" t="inlineStr">
        <is>
          <t>Bayer Leverkusen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3d16277c2cfc0628d7ec79d04feee92735e5c503a3be195cb225c7c52d024308</t>
        </is>
      </c>
      <c r="BB713" s="24" t="inlineStr">
        <is>
          <t>poisson_dixon_coles</t>
        </is>
      </c>
      <c r="BC713" s="24" t="inlineStr">
        <is>
          <t>soccer-poisson-dc-v1</t>
        </is>
      </c>
      <c r="BD713" s="24" t="inlineStr">
        <is>
          <t>3d16277c2cfc0628d7ec79d04feee92735e5c503a3be195cb225c7c52d024308</t>
        </is>
      </c>
      <c r="BE713" s="24" t="inlineStr">
        <is>
          <t>soccer-poisson-dc-v1</t>
        </is>
      </c>
      <c r="BF713" s="24" t="inlineStr">
        <is>
          <t>1</t>
        </is>
      </c>
      <c r="BG713" s="24" t="inlineStr">
        <is>
          <t>3d16277c2cfc0628d7ec79d04feee92735e5c503a3be195cb225c7c52d024308</t>
        </is>
      </c>
      <c r="BH713" s="24" t="inlineStr">
        <is>
          <t>2026-09-20T04:56:29.805695Z</t>
        </is>
      </c>
      <c r="BI713" s="24" t="inlineStr">
        <is>
          <t>["same_event","same_team_same_day","same_league_same_day"]</t>
        </is>
      </c>
      <c r="BJ713" s="25" t="n">
        <v>2.5</v>
      </c>
      <c r="BK713" s="26" t="n">
        <v>-270</v>
      </c>
      <c r="BL713" s="27" t="n">
        <v>1.37037</v>
      </c>
      <c r="BM713" s="28" t="n">
        <v>0.72973</v>
      </c>
      <c r="BN713" s="28" t="n"/>
      <c r="BO713" s="28" t="n"/>
      <c r="BP713" s="25" t="n"/>
      <c r="BQ713" s="27" t="n">
        <v>1.37037</v>
      </c>
      <c r="BR713" s="28" t="n">
        <v>0.73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0.72973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3e3ed5e9981b4b76</t>
        </is>
      </c>
      <c r="B714" s="24" t="inlineStr">
        <is>
          <t>2026-09-20T10:29:39.194933Z</t>
        </is>
      </c>
      <c r="C714" s="24" t="inlineStr">
        <is>
          <t>2026-09-20T15:30Z</t>
        </is>
      </c>
      <c r="D714" s="24" t="inlineStr">
        <is>
          <t>401884783</t>
        </is>
      </c>
      <c r="E714" s="24" t="inlineStr">
        <is>
          <t>SOCCER</t>
        </is>
      </c>
      <c r="F714" s="24" t="inlineStr">
        <is>
          <t>SV Elversberg</t>
        </is>
      </c>
      <c r="G714" s="24" t="inlineStr">
        <is>
          <t>Schalke 04</t>
        </is>
      </c>
      <c r="H714" s="24" t="inlineStr">
        <is>
          <t>total</t>
        </is>
      </c>
      <c r="I714" s="24" t="inlineStr">
        <is>
          <t>over</t>
        </is>
      </c>
      <c r="J714" s="25" t="n">
        <v>2.5</v>
      </c>
      <c r="K714" s="24" t="inlineStr">
        <is>
          <t>polymarket_us</t>
        </is>
      </c>
      <c r="L714" s="26" t="n">
        <v>-178</v>
      </c>
      <c r="M714" s="27" t="n">
        <v>1.561798</v>
      </c>
      <c r="N714" s="28" t="n">
        <v>0.640288</v>
      </c>
      <c r="O714" s="28" t="n">
        <v>0.6195580000000001</v>
      </c>
      <c r="P714" s="28" t="n">
        <v>0.2</v>
      </c>
      <c r="Q714" s="28" t="n">
        <v>-0.02073</v>
      </c>
      <c r="R714" s="26" t="n">
        <v>0</v>
      </c>
      <c r="S714" s="29" t="n">
        <v>1</v>
      </c>
      <c r="T714" s="24" t="inlineStr">
        <is>
          <t>soccer-poisson-dc-v1</t>
        </is>
      </c>
      <c r="U714" s="24" t="inlineStr">
        <is>
          <t>settled</t>
        </is>
      </c>
      <c r="V714" s="24" t="inlineStr">
        <is>
          <t>loss</t>
        </is>
      </c>
      <c r="W714" s="26" t="n">
        <v>0</v>
      </c>
      <c r="X714" s="26" t="n">
        <v>0</v>
      </c>
      <c r="Y714" s="25" t="n"/>
      <c r="Z714" s="26" t="n">
        <v>-178</v>
      </c>
      <c r="AA714" s="28" t="n">
        <v>0.64</v>
      </c>
      <c r="AB714" s="28" t="n">
        <v>-0.000288</v>
      </c>
      <c r="AC714" s="30" t="n">
        <v>-1</v>
      </c>
      <c r="AD714" s="24" t="inlineStr">
        <is>
          <t>2026-09-20T22:16:44.793825Z</t>
        </is>
      </c>
      <c r="AE714" s="31" t="inlineStr">
        <is>
          <t>Poisson-DC rates 1.82 (home) / 1.38 (away) from EWMA attack/defense strengths. Executable ask 0.6400 (tsc-bun-s04-elv-2026-09-20-2pt5).</t>
        </is>
      </c>
      <c r="AF714" s="31" t="inlineStr">
        <is>
          <t>Research-only soccer score model; draw-aware, but not yet locked-holdout qualified.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SV Elversberg</t>
        </is>
      </c>
      <c r="AQ714" s="24" t="inlineStr">
        <is>
          <t>SV Elversberg</t>
        </is>
      </c>
      <c r="AR714" s="24" t="inlineStr">
        <is>
          <t>SV Elversberg</t>
        </is>
      </c>
      <c r="AS714" s="24" t="inlineStr">
        <is>
          <t>Schalke 04</t>
        </is>
      </c>
      <c r="AT714" s="24" t="inlineStr">
        <is>
          <t>Schalke 04</t>
        </is>
      </c>
      <c r="AU714" s="24" t="inlineStr">
        <is>
          <t>Schalke 04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3d16277c2cfc0628d7ec79d04feee92735e5c503a3be195cb225c7c52d024308</t>
        </is>
      </c>
      <c r="BB714" s="24" t="inlineStr">
        <is>
          <t>poisson_dixon_coles</t>
        </is>
      </c>
      <c r="BC714" s="24" t="inlineStr">
        <is>
          <t>soccer-poisson-dc-v1</t>
        </is>
      </c>
      <c r="BD714" s="24" t="inlineStr">
        <is>
          <t>3d16277c2cfc0628d7ec79d04feee92735e5c503a3be195cb225c7c52d024308</t>
        </is>
      </c>
      <c r="BE714" s="24" t="inlineStr">
        <is>
          <t>soccer-poisson-dc-v1</t>
        </is>
      </c>
      <c r="BF714" s="24" t="inlineStr">
        <is>
          <t>1</t>
        </is>
      </c>
      <c r="BG714" s="24" t="inlineStr">
        <is>
          <t>3d16277c2cfc0628d7ec79d04feee92735e5c503a3be195cb225c7c52d024308</t>
        </is>
      </c>
      <c r="BH714" s="24" t="inlineStr">
        <is>
          <t>2026-09-20T10:24:24.973519Z</t>
        </is>
      </c>
      <c r="BI714" s="24" t="inlineStr">
        <is>
          <t>["same_event","same_team_same_day","same_league_same_day"]</t>
        </is>
      </c>
      <c r="BJ714" s="25" t="n">
        <v>2.5</v>
      </c>
      <c r="BK714" s="26" t="n">
        <v>-178</v>
      </c>
      <c r="BL714" s="27" t="n">
        <v>1.561798</v>
      </c>
      <c r="BM714" s="28" t="n">
        <v>0.640288</v>
      </c>
      <c r="BN714" s="28" t="n"/>
      <c r="BO714" s="28" t="n"/>
      <c r="BP714" s="25" t="n"/>
      <c r="BQ714" s="27" t="n">
        <v>1.561798</v>
      </c>
      <c r="BR714" s="28" t="n">
        <v>0.64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0.640288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f61ffe65b5ca4da1</t>
        </is>
      </c>
      <c r="B715" s="24" t="inlineStr">
        <is>
          <t>2026-09-20T10:29:39.194933Z</t>
        </is>
      </c>
      <c r="C715" s="24" t="inlineStr">
        <is>
          <t>2026-09-20T10:30Z</t>
        </is>
      </c>
      <c r="D715" s="24" t="inlineStr">
        <is>
          <t>401874934</t>
        </is>
      </c>
      <c r="E715" s="24" t="inlineStr">
        <is>
          <t>SOCCER</t>
        </is>
      </c>
      <c r="F715" s="24" t="inlineStr">
        <is>
          <t>Napoli</t>
        </is>
      </c>
      <c r="G715" s="24" t="inlineStr">
        <is>
          <t>Fiorentina</t>
        </is>
      </c>
      <c r="H715" s="24" t="inlineStr">
        <is>
          <t>total</t>
        </is>
      </c>
      <c r="I715" s="24" t="inlineStr">
        <is>
          <t>under</t>
        </is>
      </c>
      <c r="J715" s="25" t="n">
        <v>2.5</v>
      </c>
      <c r="K715" s="24" t="inlineStr">
        <is>
          <t>polymarket_us</t>
        </is>
      </c>
      <c r="L715" s="26" t="n">
        <v>-300</v>
      </c>
      <c r="M715" s="27" t="n">
        <v>1.333333</v>
      </c>
      <c r="N715" s="28" t="n">
        <v>0.75</v>
      </c>
      <c r="O715" s="28" t="n">
        <v>0.652322</v>
      </c>
      <c r="P715" s="28" t="n">
        <v>0.04</v>
      </c>
      <c r="Q715" s="28" t="n">
        <v>-0.097678</v>
      </c>
      <c r="R715" s="26" t="n">
        <v>0</v>
      </c>
      <c r="S715" s="29" t="n">
        <v>1</v>
      </c>
      <c r="T715" s="24" t="inlineStr">
        <is>
          <t>soccer-poisson-dc-v1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>
        <v>-300</v>
      </c>
      <c r="AA715" s="28" t="n">
        <v>0.75</v>
      </c>
      <c r="AB715" s="28" t="n">
        <v>0</v>
      </c>
      <c r="AC715" s="30" t="n">
        <v>0.3333</v>
      </c>
      <c r="AD715" s="24" t="inlineStr">
        <is>
          <t>2026-09-20T16:00:31.552590Z</t>
        </is>
      </c>
      <c r="AE715" s="31" t="inlineStr">
        <is>
          <t>Poisson-DC rates 0.93 (home) / 1.16 (away) from EWMA attack/defense strengths. Executable ask 0.7500 (tsc-sea-fio-nap-2026-09-20-sh-2pt5).</t>
        </is>
      </c>
      <c r="AF715" s="31" t="inlineStr">
        <is>
          <t>Research-only soccer score model; draw-aware, but not yet locked-holdout qualified.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Napoli</t>
        </is>
      </c>
      <c r="AQ715" s="24" t="inlineStr">
        <is>
          <t>Napoli</t>
        </is>
      </c>
      <c r="AR715" s="24" t="inlineStr">
        <is>
          <t>Napoli</t>
        </is>
      </c>
      <c r="AS715" s="24" t="inlineStr">
        <is>
          <t>Fiorentina</t>
        </is>
      </c>
      <c r="AT715" s="24" t="inlineStr">
        <is>
          <t>Fiorentina</t>
        </is>
      </c>
      <c r="AU715" s="24" t="inlineStr">
        <is>
          <t>Fiorentina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3d16277c2cfc0628d7ec79d04feee92735e5c503a3be195cb225c7c52d024308</t>
        </is>
      </c>
      <c r="BB715" s="24" t="inlineStr">
        <is>
          <t>poisson_dixon_coles</t>
        </is>
      </c>
      <c r="BC715" s="24" t="inlineStr">
        <is>
          <t>soccer-poisson-dc-v1</t>
        </is>
      </c>
      <c r="BD715" s="24" t="inlineStr">
        <is>
          <t>3d16277c2cfc0628d7ec79d04feee92735e5c503a3be195cb225c7c52d024308</t>
        </is>
      </c>
      <c r="BE715" s="24" t="inlineStr">
        <is>
          <t>soccer-poisson-dc-v1</t>
        </is>
      </c>
      <c r="BF715" s="24" t="inlineStr">
        <is>
          <t>1</t>
        </is>
      </c>
      <c r="BG715" s="24" t="inlineStr">
        <is>
          <t>3d16277c2cfc0628d7ec79d04feee92735e5c503a3be195cb225c7c52d024308</t>
        </is>
      </c>
      <c r="BH715" s="24" t="inlineStr">
        <is>
          <t>2026-09-20T10:24:36.029528Z</t>
        </is>
      </c>
      <c r="BI715" s="24" t="inlineStr">
        <is>
          <t>["same_event","same_team_same_day","same_league_same_day"]</t>
        </is>
      </c>
      <c r="BJ715" s="25" t="n">
        <v>2.5</v>
      </c>
      <c r="BK715" s="26" t="n">
        <v>-300</v>
      </c>
      <c r="BL715" s="27" t="n">
        <v>1.333333</v>
      </c>
      <c r="BM715" s="28" t="n">
        <v>0.75</v>
      </c>
      <c r="BN715" s="28" t="n"/>
      <c r="BO715" s="28" t="n"/>
      <c r="BP715" s="25" t="n"/>
      <c r="BQ715" s="27" t="n">
        <v>1.333333</v>
      </c>
      <c r="BR715" s="28" t="n">
        <v>0.75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0.75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4441ea0dbbff43ab</t>
        </is>
      </c>
      <c r="B716" s="24" t="inlineStr">
        <is>
          <t>2026-09-20T16:26:25.346096Z</t>
        </is>
      </c>
      <c r="C716" s="24" t="inlineStr">
        <is>
          <t>2026-09-20T16:30Z</t>
        </is>
      </c>
      <c r="D716" s="24" t="inlineStr">
        <is>
          <t>401882863</t>
        </is>
      </c>
      <c r="E716" s="24" t="inlineStr">
        <is>
          <t>SOCCER</t>
        </is>
      </c>
      <c r="F716" s="24" t="inlineStr">
        <is>
          <t>Real Betis</t>
        </is>
      </c>
      <c r="G716" s="24" t="inlineStr">
        <is>
          <t>Deportivo</t>
        </is>
      </c>
      <c r="H716" s="24" t="inlineStr">
        <is>
          <t>total</t>
        </is>
      </c>
      <c r="I716" s="24" t="inlineStr">
        <is>
          <t>over</t>
        </is>
      </c>
      <c r="J716" s="25" t="n">
        <v>2.5</v>
      </c>
      <c r="K716" s="24" t="inlineStr">
        <is>
          <t>polymarket_us</t>
        </is>
      </c>
      <c r="L716" s="26" t="n">
        <v>-117</v>
      </c>
      <c r="M716" s="27" t="n">
        <v>1.854701</v>
      </c>
      <c r="N716" s="28" t="n">
        <v>0.539171</v>
      </c>
      <c r="O716" s="28" t="n">
        <v>0.548995</v>
      </c>
      <c r="P716" s="28" t="n">
        <v>0.2</v>
      </c>
      <c r="Q716" s="28" t="n">
        <v>0.009823999999999999</v>
      </c>
      <c r="R716" s="26" t="n">
        <v>0</v>
      </c>
      <c r="S716" s="29" t="n">
        <v>1</v>
      </c>
      <c r="T716" s="24" t="inlineStr">
        <is>
          <t>soccer-poisson-dc-v1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1</v>
      </c>
      <c r="Y716" s="25" t="n"/>
      <c r="Z716" s="26" t="n">
        <v>-117</v>
      </c>
      <c r="AA716" s="28" t="n">
        <v>0.54</v>
      </c>
      <c r="AB716" s="28" t="n">
        <v>0.000829</v>
      </c>
      <c r="AC716" s="30" t="n">
        <v>-1</v>
      </c>
      <c r="AD716" s="24" t="inlineStr">
        <is>
          <t>2026-09-20T22:17:09.919965Z</t>
        </is>
      </c>
      <c r="AE716" s="31" t="inlineStr">
        <is>
          <t>Poisson-DC rates 1.53 (home) / 1.35 (away) from EWMA attack/defense strengths. Executable ask 0.5400 (tsc-lal-dep-bet-2026-09-20-2pt5).</t>
        </is>
      </c>
      <c r="AF716" s="31" t="inlineStr">
        <is>
          <t>Research-only soccer score model; draw-aware, but not yet locked-holdout qualified.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Real Betis</t>
        </is>
      </c>
      <c r="AQ716" s="24" t="inlineStr">
        <is>
          <t>Real Betis</t>
        </is>
      </c>
      <c r="AR716" s="24" t="inlineStr">
        <is>
          <t>Real Betis</t>
        </is>
      </c>
      <c r="AS716" s="24" t="inlineStr">
        <is>
          <t>Deportivo</t>
        </is>
      </c>
      <c r="AT716" s="24" t="inlineStr">
        <is>
          <t>Deportivo</t>
        </is>
      </c>
      <c r="AU716" s="24" t="inlineStr">
        <is>
          <t>Deportivo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3d16277c2cfc0628d7ec79d04feee92735e5c503a3be195cb225c7c52d024308</t>
        </is>
      </c>
      <c r="BB716" s="24" t="inlineStr">
        <is>
          <t>poisson_dixon_coles</t>
        </is>
      </c>
      <c r="BC716" s="24" t="inlineStr">
        <is>
          <t>soccer-poisson-dc-v1</t>
        </is>
      </c>
      <c r="BD716" s="24" t="inlineStr">
        <is>
          <t>3d16277c2cfc0628d7ec79d04feee92735e5c503a3be195cb225c7c52d024308</t>
        </is>
      </c>
      <c r="BE716" s="24" t="inlineStr">
        <is>
          <t>soccer-poisson-dc-v1</t>
        </is>
      </c>
      <c r="BF716" s="24" t="inlineStr">
        <is>
          <t>1</t>
        </is>
      </c>
      <c r="BG716" s="24" t="inlineStr">
        <is>
          <t>3d16277c2cfc0628d7ec79d04feee92735e5c503a3be195cb225c7c52d024308</t>
        </is>
      </c>
      <c r="BH716" s="24" t="inlineStr">
        <is>
          <t>2026-09-20T04:56:08.523916Z</t>
        </is>
      </c>
      <c r="BI716" s="24" t="inlineStr">
        <is>
          <t>["same_event","same_team_same_day","same_league_same_day"]</t>
        </is>
      </c>
      <c r="BJ716" s="25" t="n">
        <v>2.5</v>
      </c>
      <c r="BK716" s="26" t="n">
        <v>-117</v>
      </c>
      <c r="BL716" s="27" t="n">
        <v>1.854701</v>
      </c>
      <c r="BM716" s="28" t="n">
        <v>0.539171</v>
      </c>
      <c r="BN716" s="28" t="n"/>
      <c r="BO716" s="28" t="n"/>
      <c r="BP716" s="25" t="n"/>
      <c r="BQ716" s="27" t="n">
        <v>1.854701</v>
      </c>
      <c r="BR716" s="28" t="n">
        <v>0.54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0.539171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120d37b555824f37</t>
        </is>
      </c>
      <c r="B717" s="24" t="inlineStr">
        <is>
          <t>2026-09-20T16:26:25.346096Z</t>
        </is>
      </c>
      <c r="C717" s="24" t="inlineStr">
        <is>
          <t>2026-09-20T17:30Z</t>
        </is>
      </c>
      <c r="D717" s="24" t="inlineStr">
        <is>
          <t>401884782</t>
        </is>
      </c>
      <c r="E717" s="24" t="inlineStr">
        <is>
          <t>SOCCER</t>
        </is>
      </c>
      <c r="F717" s="24" t="inlineStr">
        <is>
          <t>TSG Hoffenheim</t>
        </is>
      </c>
      <c r="G717" s="24" t="inlineStr">
        <is>
          <t>SC Paderborn 07</t>
        </is>
      </c>
      <c r="H717" s="24" t="inlineStr">
        <is>
          <t>total</t>
        </is>
      </c>
      <c r="I717" s="24" t="inlineStr">
        <is>
          <t>over</t>
        </is>
      </c>
      <c r="J717" s="25" t="n">
        <v>2.5</v>
      </c>
      <c r="K717" s="24" t="inlineStr">
        <is>
          <t>polymarket_us</t>
        </is>
      </c>
      <c r="L717" s="26" t="n">
        <v>-245</v>
      </c>
      <c r="M717" s="27" t="n">
        <v>1.408163</v>
      </c>
      <c r="N717" s="28" t="n">
        <v>0.710145</v>
      </c>
      <c r="O717" s="28" t="n">
        <v>0.67663</v>
      </c>
      <c r="P717" s="28" t="n">
        <v>0.2</v>
      </c>
      <c r="Q717" s="28" t="n">
        <v>-0.033515</v>
      </c>
      <c r="R717" s="26" t="n">
        <v>0</v>
      </c>
      <c r="S717" s="29" t="n">
        <v>1</v>
      </c>
      <c r="T717" s="24" t="inlineStr">
        <is>
          <t>soccer-poisson-dc-v1</t>
        </is>
      </c>
      <c r="U717" s="24" t="inlineStr">
        <is>
          <t>settled</t>
        </is>
      </c>
      <c r="V717" s="24" t="inlineStr">
        <is>
          <t>win</t>
        </is>
      </c>
      <c r="W717" s="26" t="n">
        <v>1</v>
      </c>
      <c r="X717" s="26" t="n">
        <v>3</v>
      </c>
      <c r="Y717" s="25" t="n"/>
      <c r="Z717" s="26" t="n">
        <v>-245</v>
      </c>
      <c r="AA717" s="28" t="n">
        <v>0.71</v>
      </c>
      <c r="AB717" s="28" t="n">
        <v>-0.000145</v>
      </c>
      <c r="AC717" s="30" t="n">
        <v>0.4082</v>
      </c>
      <c r="AD717" s="24" t="inlineStr">
        <is>
          <t>2026-09-20T22:17:10.490552Z</t>
        </is>
      </c>
      <c r="AE717" s="31" t="inlineStr">
        <is>
          <t>Poisson-DC rates 2.00 (home) / 1.49 (away) from EWMA attack/defense strengths. Executable ask 0.7100 (tsc-bun-scp-hof-2026-09-20-2pt5).</t>
        </is>
      </c>
      <c r="AF717" s="31" t="inlineStr">
        <is>
          <t>Research-only soccer score model; draw-aware, but not yet locked-holdout qualified.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TSG Hoffenheim</t>
        </is>
      </c>
      <c r="AQ717" s="24" t="inlineStr">
        <is>
          <t>TSG Hoffenheim</t>
        </is>
      </c>
      <c r="AR717" s="24" t="inlineStr">
        <is>
          <t>TSG Hoffenheim</t>
        </is>
      </c>
      <c r="AS717" s="24" t="inlineStr">
        <is>
          <t>SC Paderborn 07</t>
        </is>
      </c>
      <c r="AT717" s="24" t="inlineStr">
        <is>
          <t>SC Paderborn 07</t>
        </is>
      </c>
      <c r="AU717" s="24" t="inlineStr">
        <is>
          <t>SC Paderborn 07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3d16277c2cfc0628d7ec79d04feee92735e5c503a3be195cb225c7c52d024308</t>
        </is>
      </c>
      <c r="BB717" s="24" t="inlineStr">
        <is>
          <t>poisson_dixon_coles</t>
        </is>
      </c>
      <c r="BC717" s="24" t="inlineStr">
        <is>
          <t>soccer-poisson-dc-v1</t>
        </is>
      </c>
      <c r="BD717" s="24" t="inlineStr">
        <is>
          <t>3d16277c2cfc0628d7ec79d04feee92735e5c503a3be195cb225c7c52d024308</t>
        </is>
      </c>
      <c r="BE717" s="24" t="inlineStr">
        <is>
          <t>soccer-poisson-dc-v1</t>
        </is>
      </c>
      <c r="BF717" s="24" t="inlineStr">
        <is>
          <t>1</t>
        </is>
      </c>
      <c r="BG717" s="24" t="inlineStr">
        <is>
          <t>3d16277c2cfc0628d7ec79d04feee92735e5c503a3be195cb225c7c52d024308</t>
        </is>
      </c>
      <c r="BH717" s="24" t="inlineStr">
        <is>
          <t>2026-09-20T16:22:48.239534Z</t>
        </is>
      </c>
      <c r="BI717" s="24" t="inlineStr">
        <is>
          <t>["same_event","same_team_same_day","same_league_same_day"]</t>
        </is>
      </c>
      <c r="BJ717" s="25" t="n">
        <v>2.5</v>
      </c>
      <c r="BK717" s="26" t="n">
        <v>-245</v>
      </c>
      <c r="BL717" s="27" t="n">
        <v>1.408163</v>
      </c>
      <c r="BM717" s="28" t="n">
        <v>0.710145</v>
      </c>
      <c r="BN717" s="28" t="n"/>
      <c r="BO717" s="28" t="n"/>
      <c r="BP717" s="25" t="n"/>
      <c r="BQ717" s="27" t="n">
        <v>1.408163</v>
      </c>
      <c r="BR717" s="28" t="n">
        <v>0.71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0.710145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90bb92e1961a4055</t>
        </is>
      </c>
      <c r="B718" s="24" t="inlineStr">
        <is>
          <t>2026-09-20T16:26:25.346096Z</t>
        </is>
      </c>
      <c r="C718" s="24" t="inlineStr">
        <is>
          <t>2026-09-20T23:00Z</t>
        </is>
      </c>
      <c r="D718" s="24" t="inlineStr">
        <is>
          <t>761829</t>
        </is>
      </c>
      <c r="E718" s="24" t="inlineStr">
        <is>
          <t>SOCCER</t>
        </is>
      </c>
      <c r="F718" s="24" t="inlineStr">
        <is>
          <t>San Diego FC</t>
        </is>
      </c>
      <c r="G718" s="24" t="inlineStr">
        <is>
          <t>Inter Miami CF</t>
        </is>
      </c>
      <c r="H718" s="24" t="inlineStr">
        <is>
          <t>total</t>
        </is>
      </c>
      <c r="I718" s="24" t="inlineStr">
        <is>
          <t>over</t>
        </is>
      </c>
      <c r="J718" s="25" t="n">
        <v>2.5</v>
      </c>
      <c r="K718" s="24" t="inlineStr">
        <is>
          <t>polymarket_us</t>
        </is>
      </c>
      <c r="L718" s="26" t="n">
        <v>-426</v>
      </c>
      <c r="M718" s="27" t="n">
        <v>1.234742</v>
      </c>
      <c r="N718" s="28" t="n">
        <v>0.809886</v>
      </c>
      <c r="O718" s="28" t="n">
        <v>0.8992059999999999</v>
      </c>
      <c r="P718" s="28" t="n">
        <v>0.04</v>
      </c>
      <c r="Q718" s="28" t="n">
        <v>0.08932</v>
      </c>
      <c r="R718" s="26" t="n">
        <v>71</v>
      </c>
      <c r="S718" s="29" t="n">
        <v>1.25</v>
      </c>
      <c r="T718" s="24" t="inlineStr">
        <is>
          <t>soccer-poisson-dc-v1</t>
        </is>
      </c>
      <c r="U718" s="24" t="inlineStr">
        <is>
          <t>settled</t>
        </is>
      </c>
      <c r="V718" s="24" t="inlineStr">
        <is>
          <t>win</t>
        </is>
      </c>
      <c r="W718" s="26" t="n">
        <v>2</v>
      </c>
      <c r="X718" s="26" t="n">
        <v>2</v>
      </c>
      <c r="Y718" s="25" t="n"/>
      <c r="Z718" s="26" t="n">
        <v>-426</v>
      </c>
      <c r="AA718" s="28" t="n">
        <v>0.8100000000000001</v>
      </c>
      <c r="AB718" s="28" t="n">
        <v>0.000114</v>
      </c>
      <c r="AC718" s="30" t="n">
        <v>0.2934</v>
      </c>
      <c r="AD718" s="24" t="inlineStr">
        <is>
          <t>2026-09-21T04:30:59.116997Z</t>
        </is>
      </c>
      <c r="AE718" s="31" t="inlineStr">
        <is>
          <t>Poisson-DC rates 3.45 (home) / 1.86 (away) from EWMA attack/defense strengths. Executable ask 0.8100 (tsc-mls-mia-sdg-2026-09-20-2pt5).</t>
        </is>
      </c>
      <c r="AF718" s="31" t="inlineStr">
        <is>
          <t>Research-only soccer score model; draw-aware, but not yet locked-holdout qualified.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model_qualified</t>
        </is>
      </c>
      <c r="AL718" s="26" t="n">
        <v>4</v>
      </c>
      <c r="AM718" s="24" t="inlineStr">
        <is>
          <t>QUALIFIED_SHADOW_CALL</t>
        </is>
      </c>
      <c r="AN718" s="24" t="inlineStr">
        <is>
          <t>CALL</t>
        </is>
      </c>
      <c r="AO718" s="24" t="inlineStr">
        <is>
          <t>QUALIFIED</t>
        </is>
      </c>
      <c r="AP718" s="24" t="inlineStr">
        <is>
          <t>San Diego FC</t>
        </is>
      </c>
      <c r="AQ718" s="24" t="inlineStr">
        <is>
          <t>San Diego FC</t>
        </is>
      </c>
      <c r="AR718" s="24" t="inlineStr">
        <is>
          <t>San Diego FC</t>
        </is>
      </c>
      <c r="AS718" s="24" t="inlineStr">
        <is>
          <t>Inter Miami CF</t>
        </is>
      </c>
      <c r="AT718" s="24" t="inlineStr">
        <is>
          <t>Inter Miami CF</t>
        </is>
      </c>
      <c r="AU718" s="24" t="inlineStr">
        <is>
          <t>Inter Miami CF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3d16277c2cfc0628d7ec79d04feee92735e5c503a3be195cb225c7c52d024308</t>
        </is>
      </c>
      <c r="BB718" s="24" t="inlineStr">
        <is>
          <t>poisson_dixon_coles</t>
        </is>
      </c>
      <c r="BC718" s="24" t="inlineStr">
        <is>
          <t>soccer-poisson-dc-v1</t>
        </is>
      </c>
      <c r="BD718" s="24" t="inlineStr">
        <is>
          <t>3d16277c2cfc0628d7ec79d04feee92735e5c503a3be195cb225c7c52d024308</t>
        </is>
      </c>
      <c r="BE718" s="24" t="inlineStr">
        <is>
          <t>soccer-poisson-dc-v1</t>
        </is>
      </c>
      <c r="BF718" s="24" t="inlineStr">
        <is>
          <t>1</t>
        </is>
      </c>
      <c r="BG718" s="24" t="inlineStr">
        <is>
          <t>3d16277c2cfc0628d7ec79d04feee92735e5c503a3be195cb225c7c52d024308</t>
        </is>
      </c>
      <c r="BH718" s="24" t="inlineStr">
        <is>
          <t>2026-09-20T04:57:47.796015Z</t>
        </is>
      </c>
      <c r="BI718" s="24" t="inlineStr">
        <is>
          <t>["same_event","same_team_same_day","same_league_same_day"]</t>
        </is>
      </c>
      <c r="BJ718" s="25" t="n">
        <v>2.5</v>
      </c>
      <c r="BK718" s="26" t="n">
        <v>-426</v>
      </c>
      <c r="BL718" s="27" t="n">
        <v>1.234742</v>
      </c>
      <c r="BM718" s="28" t="n">
        <v>0.809886</v>
      </c>
      <c r="BN718" s="28" t="n"/>
      <c r="BO718" s="28" t="n"/>
      <c r="BP718" s="25" t="n"/>
      <c r="BQ718" s="27" t="n">
        <v>1.234742</v>
      </c>
      <c r="BR718" s="28" t="n">
        <v>0.8100000000000001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0.809886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5cacf0104e0d49b0</t>
        </is>
      </c>
      <c r="B719" s="24" t="inlineStr">
        <is>
          <t>2026-09-20T16:26:25.346096Z</t>
        </is>
      </c>
      <c r="C719" s="24" t="inlineStr">
        <is>
          <t>2026-09-20T16:30Z</t>
        </is>
      </c>
      <c r="D719" s="24" t="inlineStr">
        <is>
          <t>401882857</t>
        </is>
      </c>
      <c r="E719" s="24" t="inlineStr">
        <is>
          <t>SOCCER</t>
        </is>
      </c>
      <c r="F719" s="24" t="inlineStr">
        <is>
          <t>Levante</t>
        </is>
      </c>
      <c r="G719" s="24" t="inlineStr">
        <is>
          <t>Villarreal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-170</v>
      </c>
      <c r="M719" s="27" t="n">
        <v>1.588235</v>
      </c>
      <c r="N719" s="28" t="n">
        <v>0.62963</v>
      </c>
      <c r="O719" s="28" t="n">
        <v>0.646665</v>
      </c>
      <c r="P719" s="28" t="n">
        <v>0.04</v>
      </c>
      <c r="Q719" s="28" t="n">
        <v>0.017035</v>
      </c>
      <c r="R719" s="26" t="n">
        <v>35</v>
      </c>
      <c r="S719" s="29" t="n">
        <v>1</v>
      </c>
      <c r="T719" s="24" t="inlineStr">
        <is>
          <t>soccer-poisson-dc-v1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3</v>
      </c>
      <c r="Y719" s="25" t="n"/>
      <c r="Z719" s="26" t="n">
        <v>-170</v>
      </c>
      <c r="AA719" s="28" t="n">
        <v>0.63</v>
      </c>
      <c r="AB719" s="28" t="n">
        <v>0.00037</v>
      </c>
      <c r="AC719" s="30" t="n">
        <v>0.5881999999999999</v>
      </c>
      <c r="AD719" s="24" t="inlineStr">
        <is>
          <t>2026-09-20T22:17:11.067621Z</t>
        </is>
      </c>
      <c r="AE719" s="31" t="inlineStr">
        <is>
          <t>Poisson-DC rates 2.48 (home) / 1.20 (away) from EWMA attack/defense strengths. Executable ask 0.6300 (atc-lal-vil-lev-2026-09-20-vil).</t>
        </is>
      </c>
      <c r="AF719" s="31" t="inlineStr">
        <is>
          <t>Research-only soccer score model; draw-aware, but not yet locked-holdout qualified.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Levante</t>
        </is>
      </c>
      <c r="AQ719" s="24" t="inlineStr">
        <is>
          <t>Levante</t>
        </is>
      </c>
      <c r="AR719" s="24" t="inlineStr">
        <is>
          <t>Levante</t>
        </is>
      </c>
      <c r="AS719" s="24" t="inlineStr">
        <is>
          <t>Villarreal</t>
        </is>
      </c>
      <c r="AT719" s="24" t="inlineStr">
        <is>
          <t>Villarreal</t>
        </is>
      </c>
      <c r="AU719" s="24" t="inlineStr">
        <is>
          <t>Villarreal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3d16277c2cfc0628d7ec79d04feee92735e5c503a3be195cb225c7c52d024308</t>
        </is>
      </c>
      <c r="BB719" s="24" t="inlineStr">
        <is>
          <t>poisson_dixon_coles</t>
        </is>
      </c>
      <c r="BC719" s="24" t="inlineStr">
        <is>
          <t>soccer-poisson-dc-v1</t>
        </is>
      </c>
      <c r="BD719" s="24" t="inlineStr">
        <is>
          <t>3d16277c2cfc0628d7ec79d04feee92735e5c503a3be195cb225c7c52d024308</t>
        </is>
      </c>
      <c r="BE719" s="24" t="inlineStr">
        <is>
          <t>soccer-poisson-dc-v1</t>
        </is>
      </c>
      <c r="BF719" s="24" t="inlineStr">
        <is>
          <t>1</t>
        </is>
      </c>
      <c r="BG719" s="24" t="inlineStr">
        <is>
          <t>3d16277c2cfc0628d7ec79d04feee92735e5c503a3be195cb225c7c52d024308</t>
        </is>
      </c>
      <c r="BH719" s="24" t="inlineStr">
        <is>
          <t>2026-09-20T16:22:26.000781Z</t>
        </is>
      </c>
      <c r="BI719" s="24" t="inlineStr">
        <is>
          <t>["same_event","same_team_same_day","same_league_same_day"]</t>
        </is>
      </c>
      <c r="BJ719" s="25" t="n"/>
      <c r="BK719" s="26" t="n">
        <v>-170</v>
      </c>
      <c r="BL719" s="27" t="n">
        <v>1.588235</v>
      </c>
      <c r="BM719" s="28" t="n">
        <v>0.62963</v>
      </c>
      <c r="BN719" s="28" t="n"/>
      <c r="BO719" s="28" t="n"/>
      <c r="BP719" s="25" t="n"/>
      <c r="BQ719" s="27" t="n">
        <v>1.588235</v>
      </c>
      <c r="BR719" s="28" t="n">
        <v>0.63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0.62963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"3d16277c2cfc0628d7ec79d04feee92735e5c503a3be195cb225c7c52d024308", "away_team": "Levante", "event_id": "401882857", "event_start_utc": "2026-09-20T16:30Z", "features": {"away_goal_rate": 1.1972, "history_games": 9181, "home_goal_rate": 2.4801, "league_goals_per_team": 1.325, "min_team_games": 38.0}, "historical_source_observation_times_verified": false, "home_team": "Villarreal", "inference_inputs": {"away_rate": 1.1972349832712137, "code_sha256": {"models/soccer.py": "3d16277c2cfc0628d7ec79d04feee92735e5c503a3be195cb225c7c52d024308"}, "home_rate": 2.480104440363798, "sport": "SOCCER"}, "market_type": "moneyline", "model_version": "soccer-poisson-dc-v1", "observed_at_utc": "2026-09-20T16:26:24.244789+00:00", "probabilities": {"away": 0.159935, "draw": 0.193401, "home": 0.646665}, "replay_scope": "Exact full-precision serving state and rounding; upstream historical observation times are not certified.", "schema": "coded-moneyline-replay-v1", "snapshot_hash": "52ecbf32b10c705aa39d4a3c484bba84afac9e9e3f83161b1f3a5a1688273209", "sport": "SOCCER"}</t>
        </is>
      </c>
    </row>
    <row r="720" ht="36" customHeight="1">
      <c r="A720" s="24" t="inlineStr">
        <is>
          <t>e6caf25022c345bc</t>
        </is>
      </c>
      <c r="B720" s="24" t="inlineStr">
        <is>
          <t>2026-09-20T16:26:25.346096Z</t>
        </is>
      </c>
      <c r="C720" s="24" t="inlineStr">
        <is>
          <t>2026-09-20T18:00Z</t>
        </is>
      </c>
      <c r="D720" s="24" t="inlineStr">
        <is>
          <t>401844140</t>
        </is>
      </c>
      <c r="E720" s="24" t="inlineStr">
        <is>
          <t>SOCCER</t>
        </is>
      </c>
      <c r="F720" s="24" t="inlineStr">
        <is>
          <t>Quilmes</t>
        </is>
      </c>
      <c r="G720" s="24" t="inlineStr">
        <is>
          <t>Chacarita Juniors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178</v>
      </c>
      <c r="M720" s="27" t="n">
        <v>2.78</v>
      </c>
      <c r="N720" s="28" t="n">
        <v>0.359712</v>
      </c>
      <c r="O720" s="28" t="n">
        <v>0.440521</v>
      </c>
      <c r="P720" s="28" t="n">
        <v>0.2</v>
      </c>
      <c r="Q720" s="28" t="n">
        <v>0.08080900000000001</v>
      </c>
      <c r="R720" s="26" t="n">
        <v>0</v>
      </c>
      <c r="S720" s="29" t="n">
        <v>1</v>
      </c>
      <c r="T720" s="24" t="inlineStr">
        <is>
          <t>soccer-poisson-dc-v1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3</v>
      </c>
      <c r="Y720" s="25" t="n"/>
      <c r="Z720" s="26" t="n">
        <v>178</v>
      </c>
      <c r="AA720" s="28" t="n">
        <v>0.36</v>
      </c>
      <c r="AB720" s="28" t="n">
        <v>0.000288</v>
      </c>
      <c r="AC720" s="30" t="n">
        <v>1.78</v>
      </c>
      <c r="AD720" s="24" t="inlineStr">
        <is>
          <t>2026-09-20T22:17:11.667998Z</t>
        </is>
      </c>
      <c r="AE720" s="31" t="inlineStr">
        <is>
          <t>Poisson-DC rates 1.46 (home) / 1.10 (away) from EWMA attack/defense strengths. Executable ask 0.3600 (atc-arg2-cjh-qui-2026-09-20-cjh).</t>
        </is>
      </c>
      <c r="AF720" s="31" t="inlineStr">
        <is>
          <t>Research-only soccer score model; draw-aware, but not yet locked-holdout qualified.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Quilmes</t>
        </is>
      </c>
      <c r="AQ720" s="24" t="inlineStr">
        <is>
          <t>Quilmes</t>
        </is>
      </c>
      <c r="AR720" s="24" t="inlineStr">
        <is>
          <t>Quilmes</t>
        </is>
      </c>
      <c r="AS720" s="24" t="inlineStr">
        <is>
          <t>Chacarita Juniors</t>
        </is>
      </c>
      <c r="AT720" s="24" t="inlineStr">
        <is>
          <t>Chacarita Juniors</t>
        </is>
      </c>
      <c r="AU720" s="24" t="inlineStr">
        <is>
          <t>Chacarita Juniors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3d16277c2cfc0628d7ec79d04feee92735e5c503a3be195cb225c7c52d024308</t>
        </is>
      </c>
      <c r="BB720" s="24" t="inlineStr">
        <is>
          <t>poisson_dixon_coles</t>
        </is>
      </c>
      <c r="BC720" s="24" t="inlineStr">
        <is>
          <t>soccer-poisson-dc-v1</t>
        </is>
      </c>
      <c r="BD720" s="24" t="inlineStr">
        <is>
          <t>3d16277c2cfc0628d7ec79d04feee92735e5c503a3be195cb225c7c52d024308</t>
        </is>
      </c>
      <c r="BE720" s="24" t="inlineStr">
        <is>
          <t>soccer-poisson-dc-v1</t>
        </is>
      </c>
      <c r="BF720" s="24" t="inlineStr">
        <is>
          <t>1</t>
        </is>
      </c>
      <c r="BG720" s="24" t="inlineStr">
        <is>
          <t>3d16277c2cfc0628d7ec79d04feee92735e5c503a3be195cb225c7c52d024308</t>
        </is>
      </c>
      <c r="BH720" s="24" t="inlineStr">
        <is>
          <t>2026-09-20T10:25:53.001252Z</t>
        </is>
      </c>
      <c r="BI720" s="24" t="inlineStr">
        <is>
          <t>["same_event","same_team_same_day","same_league_same_day"]</t>
        </is>
      </c>
      <c r="BJ720" s="25" t="n"/>
      <c r="BK720" s="26" t="n">
        <v>178</v>
      </c>
      <c r="BL720" s="27" t="n">
        <v>2.78</v>
      </c>
      <c r="BM720" s="28" t="n">
        <v>0.359712</v>
      </c>
      <c r="BN720" s="28" t="n"/>
      <c r="BO720" s="28" t="n"/>
      <c r="BP720" s="25" t="n"/>
      <c r="BQ720" s="27" t="n">
        <v>2.78</v>
      </c>
      <c r="BR720" s="28" t="n">
        <v>0.36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0.359712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"3d16277c2cfc0628d7ec79d04feee92735e5c503a3be195cb225c7c52d024308", "away_team": "Quilmes", "event_id": "401844140", "event_start_utc": "2026-09-20T18:00Z", "features": {"away_goal_rate": 1.1038, "history_games": 9181, "home_goal_rate": 1.4598, "league_goals_per_team": 1.4281, "min_team_games": 0.0}, "historical_source_observation_times_verified": false, "home_team": "Chacarita Juniors",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"2026-09-20T16:26:24.244789+00:00", "probabilities": {"away": 0.273602, "draw": 0.285877, "home": 0.440521}, "replay_scope": "Exact full-precision serving state and rounding; upstream historical observation times are not certified.", "schema": "coded-moneyline-replay-v1", "snapshot_hash": "b4230aecc1ba5baf90ae6e813c5d5e10c3fbd98fa0abe5db44f4235aa6bc0174", "sport": "SOCCER"}</t>
        </is>
      </c>
    </row>
    <row r="721" ht="36" customHeight="1">
      <c r="A721" s="24" t="inlineStr">
        <is>
          <t>8b9d647f083c4ce7</t>
        </is>
      </c>
      <c r="B721" s="24" t="inlineStr">
        <is>
          <t>2026-09-21T16:15:55.772037Z</t>
        </is>
      </c>
      <c r="C721" s="24" t="inlineStr">
        <is>
          <t>2026-09-21T22:00Z</t>
        </is>
      </c>
      <c r="D721" s="24" t="inlineStr">
        <is>
          <t>401841583</t>
        </is>
      </c>
      <c r="E721" s="24" t="inlineStr">
        <is>
          <t>SOCCER</t>
        </is>
      </c>
      <c r="F721" s="24" t="inlineStr">
        <is>
          <t>Independiente Rivadavia</t>
        </is>
      </c>
      <c r="G721" s="24" t="inlineStr">
        <is>
          <t>Barracas Central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257</v>
      </c>
      <c r="M721" s="27" t="n">
        <v>3.57</v>
      </c>
      <c r="N721" s="28" t="n">
        <v>0.280112</v>
      </c>
      <c r="O721" s="28" t="n">
        <v>0.404104</v>
      </c>
      <c r="P721" s="28" t="n">
        <v>0.19</v>
      </c>
      <c r="Q721" s="28" t="n">
        <v>0.123992</v>
      </c>
      <c r="R721" s="26" t="n">
        <v>0</v>
      </c>
      <c r="S721" s="29" t="n">
        <v>1</v>
      </c>
      <c r="T721" s="24" t="inlineStr">
        <is>
          <t>soccer-poisson-dc-v1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257</v>
      </c>
      <c r="AA721" s="28" t="n">
        <v>0.28</v>
      </c>
      <c r="AB721" s="28" t="n">
        <v>-0.000112</v>
      </c>
      <c r="AC721" s="30" t="n">
        <v>-1</v>
      </c>
      <c r="AD721" s="24" t="inlineStr">
        <is>
          <t>2026-09-22T04:37:49.185287Z</t>
        </is>
      </c>
      <c r="AE721" s="31" t="inlineStr">
        <is>
          <t>Poisson-DC rates 1.52 (home) / 1.35 (away) from EWMA attack/defense strengths. Executable ask 0.2800 (atc-lpa-bar-cir-2026-09-21-bar).</t>
        </is>
      </c>
      <c r="AF721" s="31" t="inlineStr">
        <is>
          <t>Research-only soccer score model; draw-aware, but not yet locked-holdout qualified.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Independiente Rivadavia</t>
        </is>
      </c>
      <c r="AQ721" s="24" t="inlineStr">
        <is>
          <t>Independiente Rivadavia</t>
        </is>
      </c>
      <c r="AR721" s="24" t="inlineStr">
        <is>
          <t>Independiente Rivadavia</t>
        </is>
      </c>
      <c r="AS721" s="24" t="inlineStr">
        <is>
          <t>Barracas Central</t>
        </is>
      </c>
      <c r="AT721" s="24" t="inlineStr">
        <is>
          <t>Barracas Central</t>
        </is>
      </c>
      <c r="AU721" s="24" t="inlineStr">
        <is>
          <t>Barracas Central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3d16277c2cfc0628d7ec79d04feee92735e5c503a3be195cb225c7c52d024308</t>
        </is>
      </c>
      <c r="BB721" s="24" t="inlineStr">
        <is>
          <t>poisson_dixon_coles</t>
        </is>
      </c>
      <c r="BC721" s="24" t="inlineStr">
        <is>
          <t>soccer-poisson-dc-v1</t>
        </is>
      </c>
      <c r="BD721" s="24" t="inlineStr">
        <is>
          <t>3d16277c2cfc0628d7ec79d04feee92735e5c503a3be195cb225c7c52d024308</t>
        </is>
      </c>
      <c r="BE721" s="24" t="inlineStr">
        <is>
          <t>soccer-poisson-dc-v1</t>
        </is>
      </c>
      <c r="BF721" s="24" t="inlineStr">
        <is>
          <t>1</t>
        </is>
      </c>
      <c r="BG721" s="24" t="inlineStr">
        <is>
          <t>3d16277c2cfc0628d7ec79d04feee92735e5c503a3be195cb225c7c52d024308</t>
        </is>
      </c>
      <c r="BH721" s="24" t="inlineStr">
        <is>
          <t>2026-09-21T16:14:03.937212Z</t>
        </is>
      </c>
      <c r="BI721" s="24" t="inlineStr">
        <is>
          <t>["same_event","same_team_same_day","same_league_same_day"]</t>
        </is>
      </c>
      <c r="BJ721" s="25" t="n"/>
      <c r="BK721" s="26" t="n">
        <v>257</v>
      </c>
      <c r="BL721" s="27" t="n">
        <v>3.57</v>
      </c>
      <c r="BM721" s="28" t="n">
        <v>0.280112</v>
      </c>
      <c r="BN721" s="28" t="n"/>
      <c r="BO721" s="28" t="n"/>
      <c r="BP721" s="25" t="n"/>
      <c r="BQ721" s="27" t="n">
        <v>3.57</v>
      </c>
      <c r="BR721" s="28" t="n">
        <v>0.28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0.280112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"3d16277c2cfc0628d7ec79d04feee92735e5c503a3be195cb225c7c52d024308", "away_team": "Independiente Rivadavia", "event_id": "401841583", "event_start_utc": "2026-09-21T22:00Z", "features": {"away_goal_rate": 1.3473, "history_games": 9181, "home_goal_rate": 1.5248, "league_goals_per_team": 1.4281, "min_team_games": 1.0}, "historical_source_observation_times_verified": false, "home_team": "Barracas Central", "inference_inputs": {"away_rate": 1.3472513539412516, "code_sha256": {"models/soccer.py": "3d16277c2cfc0628d7ec79d04feee92735e5c503a3be195cb225c7c52d024308"}, "home_rate": 1.5247538865154955, "sport": "SOCCER"}, "market_type": "moneyline", "model_version": "soccer-poisson-dc-v1", "observed_at_utc": "2026-09-21T16:15:54.857961+00:00", "probabilities": {"away": 0.324601, "draw": 0.271295, "home": 0.404104}, "replay_scope": "Exact full-precision serving state and rounding; upstream historical observation times are not certified.", "schema": "coded-moneyline-replay-v1", "snapshot_hash": "0da9c394357bbba51141bc08c0ef24faa12ed05b32775f9de6e107bd2372233c", "sport": "SOCCER"}</t>
        </is>
      </c>
    </row>
    <row r="722" ht="36" customHeight="1">
      <c r="A722" s="24" t="inlineStr">
        <is>
          <t>5a10fc7c30944507</t>
        </is>
      </c>
      <c r="B722" s="24" t="inlineStr">
        <is>
          <t>2026-09-21T16:15:55.772037Z</t>
        </is>
      </c>
      <c r="C722" s="24" t="inlineStr">
        <is>
          <t>2026-09-21T19:00Z</t>
        </is>
      </c>
      <c r="D722" s="24" t="inlineStr">
        <is>
          <t>401921389</t>
        </is>
      </c>
      <c r="E722" s="24" t="inlineStr">
        <is>
          <t>SOCCER</t>
        </is>
      </c>
      <c r="F722" s="24" t="inlineStr">
        <is>
          <t>Orense</t>
        </is>
      </c>
      <c r="G722" s="24" t="inlineStr">
        <is>
          <t>Manta F.C.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203</v>
      </c>
      <c r="M722" s="27" t="n">
        <v>3.03</v>
      </c>
      <c r="N722" s="28" t="n">
        <v>0.330033</v>
      </c>
      <c r="O722" s="28" t="n">
        <v>0.505507</v>
      </c>
      <c r="P722" s="28" t="n">
        <v>0.2</v>
      </c>
      <c r="Q722" s="28" t="n">
        <v>0.175474</v>
      </c>
      <c r="R722" s="26" t="n">
        <v>18</v>
      </c>
      <c r="S722" s="29" t="n">
        <v>1</v>
      </c>
      <c r="T722" s="24" t="inlineStr">
        <is>
          <t>soccer-poisson-dc-v1</t>
        </is>
      </c>
      <c r="U722" s="24" t="inlineStr">
        <is>
          <t>settled</t>
        </is>
      </c>
      <c r="V722" s="24" t="inlineStr">
        <is>
          <t>win</t>
        </is>
      </c>
      <c r="W722" s="26" t="n">
        <v>1</v>
      </c>
      <c r="X722" s="26" t="n">
        <v>2</v>
      </c>
      <c r="Y722" s="25" t="n"/>
      <c r="Z722" s="26" t="n">
        <v>203</v>
      </c>
      <c r="AA722" s="28" t="n">
        <v>0.33</v>
      </c>
      <c r="AB722" s="28" t="n">
        <v>-3.3e-05</v>
      </c>
      <c r="AC722" s="30" t="n">
        <v>2.03</v>
      </c>
      <c r="AD722" s="24" t="inlineStr">
        <is>
          <t>2026-09-21T22:00:25.703649Z</t>
        </is>
      </c>
      <c r="AE722" s="31" t="inlineStr">
        <is>
          <t>Poisson-DC rates 1.72 (home) / 1.10 (away) from EWMA attack/defense strengths. Executable ask 0.3300 (atc-ecu1-man-ore-2026-09-20-man).</t>
        </is>
      </c>
      <c r="AF722" s="31" t="inlineStr">
        <is>
          <t>Research-only soccer score model; draw-aware, but not yet locked-holdout qualified.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Orense</t>
        </is>
      </c>
      <c r="AQ722" s="24" t="inlineStr">
        <is>
          <t>Orense</t>
        </is>
      </c>
      <c r="AR722" s="24" t="inlineStr">
        <is>
          <t>Orense</t>
        </is>
      </c>
      <c r="AS722" s="24" t="inlineStr">
        <is>
          <t>Manta F.C.</t>
        </is>
      </c>
      <c r="AT722" s="24" t="inlineStr">
        <is>
          <t>Manta F.C.</t>
        </is>
      </c>
      <c r="AU722" s="24" t="inlineStr">
        <is>
          <t>Manta F.C.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3d16277c2cfc0628d7ec79d04feee92735e5c503a3be195cb225c7c52d024308</t>
        </is>
      </c>
      <c r="BB722" s="24" t="inlineStr">
        <is>
          <t>poisson_dixon_coles</t>
        </is>
      </c>
      <c r="BC722" s="24" t="inlineStr">
        <is>
          <t>soccer-poisson-dc-v1</t>
        </is>
      </c>
      <c r="BD722" s="24" t="inlineStr">
        <is>
          <t>3d16277c2cfc0628d7ec79d04feee92735e5c503a3be195cb225c7c52d024308</t>
        </is>
      </c>
      <c r="BE722" s="24" t="inlineStr">
        <is>
          <t>soccer-poisson-dc-v1</t>
        </is>
      </c>
      <c r="BF722" s="24" t="inlineStr">
        <is>
          <t>1</t>
        </is>
      </c>
      <c r="BG722" s="24" t="inlineStr">
        <is>
          <t>3d16277c2cfc0628d7ec79d04feee92735e5c503a3be195cb225c7c52d024308</t>
        </is>
      </c>
      <c r="BH722" s="24" t="inlineStr">
        <is>
          <t>2026-09-21T16:14:03.974259Z</t>
        </is>
      </c>
      <c r="BI722" s="24" t="inlineStr">
        <is>
          <t>["same_event","same_team_same_day","same_league_same_day"]</t>
        </is>
      </c>
      <c r="BJ722" s="25" t="n"/>
      <c r="BK722" s="26" t="n">
        <v>203</v>
      </c>
      <c r="BL722" s="27" t="n">
        <v>3.03</v>
      </c>
      <c r="BM722" s="28" t="n">
        <v>0.330033</v>
      </c>
      <c r="BN722" s="28" t="n"/>
      <c r="BO722" s="28" t="n"/>
      <c r="BP722" s="25" t="n"/>
      <c r="BQ722" s="27" t="n">
        <v>3.03</v>
      </c>
      <c r="BR722" s="28" t="n">
        <v>0.33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0.330033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"3d16277c2cfc0628d7ec79d04feee92735e5c503a3be195cb225c7c52d024308", "away_team": "Orense", "event_id": "401921389", "event_start_utc": "2026-09-21T19:00Z", "features": {"away_goal_rate": 1.1038, "history_games": 9181, "home_goal_rate": 1.7153, "league_goals_per_team": 1.4281, "min_team_games": 0.0}, "historical_source_observation_times_verified": false, "home_team": "Manta F.C.",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"2026-09-21T16:15:54.857961+00:00", "probabilities": {"away": 0.233138, "draw": 0.261355, "home": 0.505507}, "replay_scope": "Exact full-precision serving state and rounding; upstream historical observation times are not certified.", "schema": "coded-moneyline-replay-v1", "snapshot_hash": "f99c005fd7d49bc2bb6bb343a42404d7faf22949e9a3c7f5700d2c4ed0ade412", "sport": "SOCCER"}</t>
        </is>
      </c>
    </row>
    <row r="723" ht="36" customHeight="1">
      <c r="A723" s="24" t="inlineStr">
        <is>
          <t>469b265a7c9e494f</t>
        </is>
      </c>
      <c r="B723" s="24" t="inlineStr">
        <is>
          <t>2026-09-23T22:33:34.605436Z</t>
        </is>
      </c>
      <c r="C723" s="24" t="inlineStr">
        <is>
          <t>2026-09-24T01:30Z</t>
        </is>
      </c>
      <c r="D723" s="24" t="inlineStr">
        <is>
          <t>761543</t>
        </is>
      </c>
      <c r="E723" s="24" t="inlineStr">
        <is>
          <t>SOCCER</t>
        </is>
      </c>
      <c r="F723" s="24" t="inlineStr">
        <is>
          <t>Real Salt Lake</t>
        </is>
      </c>
      <c r="G723" s="24" t="inlineStr">
        <is>
          <t>Seattle Sounders FC</t>
        </is>
      </c>
      <c r="H723" s="24" t="inlineStr">
        <is>
          <t>moneyline</t>
        </is>
      </c>
      <c r="I723" s="24" t="inlineStr">
        <is>
          <t>home</t>
        </is>
      </c>
      <c r="J723" s="25" t="n"/>
      <c r="K723" s="24" t="inlineStr">
        <is>
          <t>polymarket_us</t>
        </is>
      </c>
      <c r="L723" s="26" t="n">
        <v>-113</v>
      </c>
      <c r="M723" s="27" t="n">
        <v>1.884956</v>
      </c>
      <c r="N723" s="28" t="n">
        <v>0.530516</v>
      </c>
      <c r="O723" s="28" t="n">
        <v>0.434847</v>
      </c>
      <c r="P723" s="28" t="n">
        <v>0.04</v>
      </c>
      <c r="Q723" s="28" t="n">
        <v>-0.095669</v>
      </c>
      <c r="R723" s="26" t="n">
        <v>0</v>
      </c>
      <c r="S723" s="29" t="n">
        <v>1</v>
      </c>
      <c r="T723" s="24" t="inlineStr">
        <is>
          <t>soccer-poisson-dc-v1</t>
        </is>
      </c>
      <c r="U723" s="24" t="inlineStr">
        <is>
          <t>settled</t>
        </is>
      </c>
      <c r="V723" s="24" t="inlineStr">
        <is>
          <t>win</t>
        </is>
      </c>
      <c r="W723" s="26" t="n">
        <v>0</v>
      </c>
      <c r="X723" s="26" t="n">
        <v>2</v>
      </c>
      <c r="Y723" s="25" t="n"/>
      <c r="Z723" s="26" t="n">
        <v>-113</v>
      </c>
      <c r="AA723" s="28" t="n">
        <v>0.53</v>
      </c>
      <c r="AB723" s="28" t="n">
        <v>-0.000516</v>
      </c>
      <c r="AC723" s="30" t="n">
        <v>0.885</v>
      </c>
      <c r="AD723" s="24" t="inlineStr">
        <is>
          <t>2026-09-24T04:32:11.269057Z</t>
        </is>
      </c>
      <c r="AE723" s="31" t="inlineStr">
        <is>
          <t>Poisson-DC rates 1.58 (home) / 1.27 (away) from EWMA attack/defense strengths. Executable ask 0.5300 (atc-mls-sea-rsl-2026-09-23-sea).</t>
        </is>
      </c>
      <c r="AF723" s="31" t="inlineStr">
        <is>
          <t>Research-only soccer score model; draw-aware, but not yet locked-holdout qualified.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Real Salt Lake</t>
        </is>
      </c>
      <c r="AQ723" s="24" t="inlineStr">
        <is>
          <t>Real Salt Lake</t>
        </is>
      </c>
      <c r="AR723" s="24" t="inlineStr">
        <is>
          <t>Real Salt Lake</t>
        </is>
      </c>
      <c r="AS723" s="24" t="inlineStr">
        <is>
          <t>Seattle Sounders FC</t>
        </is>
      </c>
      <c r="AT723" s="24" t="inlineStr">
        <is>
          <t>Seattle Sounders FC</t>
        </is>
      </c>
      <c r="AU723" s="24" t="inlineStr">
        <is>
          <t>Seattle Sounders FC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3d16277c2cfc0628d7ec79d04feee92735e5c503a3be195cb225c7c52d024308</t>
        </is>
      </c>
      <c r="BB723" s="24" t="inlineStr">
        <is>
          <t>poisson_dixon_coles</t>
        </is>
      </c>
      <c r="BC723" s="24" t="inlineStr">
        <is>
          <t>soccer-poisson-dc-v1</t>
        </is>
      </c>
      <c r="BD723" s="24" t="inlineStr">
        <is>
          <t>3d16277c2cfc0628d7ec79d04feee92735e5c503a3be195cb225c7c52d024308</t>
        </is>
      </c>
      <c r="BE723" s="24" t="inlineStr">
        <is>
          <t>soccer-poisson-dc-v1</t>
        </is>
      </c>
      <c r="BF723" s="24" t="inlineStr">
        <is>
          <t>1</t>
        </is>
      </c>
      <c r="BG723" s="24" t="inlineStr">
        <is>
          <t>3d16277c2cfc0628d7ec79d04feee92735e5c503a3be195cb225c7c52d024308</t>
        </is>
      </c>
      <c r="BH723" s="24" t="inlineStr">
        <is>
          <t>2026-09-23T10:04:42.245953Z</t>
        </is>
      </c>
      <c r="BI723" s="24" t="inlineStr">
        <is>
          <t>["same_event","same_team_same_day","same_league_same_day"]</t>
        </is>
      </c>
      <c r="BJ723" s="25" t="n"/>
      <c r="BK723" s="26" t="n">
        <v>-113</v>
      </c>
      <c r="BL723" s="27" t="n">
        <v>1.884956</v>
      </c>
      <c r="BM723" s="28" t="n">
        <v>0.530516</v>
      </c>
      <c r="BN723" s="28" t="n"/>
      <c r="BO723" s="28" t="n"/>
      <c r="BP723" s="25" t="n"/>
      <c r="BQ723" s="27" t="n">
        <v>1.884956</v>
      </c>
      <c r="BR723" s="28" t="n">
        <v>0.53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0.530516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"3d16277c2cfc0628d7ec79d04feee92735e5c503a3be195cb225c7c52d024308", "away_team": "Real Salt Lake", "event_id": "761543", "event_start_utc": "2026-09-24T01:30Z", "features": {"away_goal_rate": 1.2668, "history_games": 9181, "home_goal_rate": 1.5789, "league_goals_per_team": 1.5536, "min_team_games": 85.0}, "historical_source_observation_times_verified": false, "home_team": "Seattle Sounders FC", "inference_inputs": {"away_rate": 1.2667780072176111, "code_sha256": {"models/soccer.py": "3d16277c2cfc0628d7ec79d04feee92735e5c503a3be195cb225c7c52d024308"}, "home_rate": 1.5788846669308263, "sport": "SOCCER"}, "market_type": "moneyline", "model_version": "soccer-poisson-dc-v1", "observed_at_utc": "2026-09-23T22:33:33.659462+00:00", "probabilities": {"away": 0.294856, "draw": 0.270297, "home": 0.434847}, "replay_scope": "Exact full-precision serving state and rounding; upstream historical observation times are not certified.", "schema": "coded-moneyline-replay-v1", "snapshot_hash": "b8c8c7022bcd89b5cae662cae42a049505a424cf07d56faab2d92ecc6745871e", "sport": "SOCCER"}</t>
        </is>
      </c>
    </row>
    <row r="724" ht="36" customHeight="1">
      <c r="A724" s="24" t="inlineStr">
        <is>
          <t>41e05f6a9b364c81</t>
        </is>
      </c>
      <c r="B724" s="24" t="inlineStr">
        <is>
          <t>2026-09-25T10:11:59.480578Z</t>
        </is>
      </c>
      <c r="C724" s="24" t="inlineStr">
        <is>
          <t>2026-09-25T14:00Z</t>
        </is>
      </c>
      <c r="D724" s="24" t="inlineStr">
        <is>
          <t>401914098</t>
        </is>
      </c>
      <c r="E724" s="24" t="inlineStr">
        <is>
          <t>SOCCER</t>
        </is>
      </c>
      <c r="F724" s="24" t="inlineStr">
        <is>
          <t>Panama</t>
        </is>
      </c>
      <c r="G724" s="24" t="inlineStr">
        <is>
          <t>India</t>
        </is>
      </c>
      <c r="H724" s="24" t="inlineStr">
        <is>
          <t>total</t>
        </is>
      </c>
      <c r="I724" s="24" t="inlineStr">
        <is>
          <t>under</t>
        </is>
      </c>
      <c r="J724" s="25" t="n">
        <v>2.5</v>
      </c>
      <c r="K724" s="24" t="inlineStr">
        <is>
          <t>polymarket_us</t>
        </is>
      </c>
      <c r="L724" s="26" t="n">
        <v>122</v>
      </c>
      <c r="M724" s="27" t="n">
        <v>2.22</v>
      </c>
      <c r="N724" s="28" t="n">
        <v>0.45045</v>
      </c>
      <c r="O724" s="28" t="n">
        <v>0.537927</v>
      </c>
      <c r="P724" s="28" t="n">
        <v>0.2</v>
      </c>
      <c r="Q724" s="28" t="n">
        <v>0.087477</v>
      </c>
      <c r="R724" s="26" t="n">
        <v>0</v>
      </c>
      <c r="S724" s="29" t="n">
        <v>1</v>
      </c>
      <c r="T724" s="24" t="inlineStr">
        <is>
          <t>soccer-poisson-dc-v1</t>
        </is>
      </c>
      <c r="U724" s="24" t="inlineStr">
        <is>
          <t>settled</t>
        </is>
      </c>
      <c r="V724" s="24" t="inlineStr">
        <is>
          <t>win</t>
        </is>
      </c>
      <c r="W724" s="26" t="n">
        <v>1</v>
      </c>
      <c r="X724" s="26" t="n">
        <v>1</v>
      </c>
      <c r="Y724" s="25" t="n"/>
      <c r="Z724" s="26" t="n">
        <v>122</v>
      </c>
      <c r="AA724" s="28" t="n">
        <v>0.45</v>
      </c>
      <c r="AB724" s="28" t="n">
        <v>-0.00045</v>
      </c>
      <c r="AC724" s="30" t="n">
        <v>1.22</v>
      </c>
      <c r="AD724" s="24" t="inlineStr">
        <is>
          <t>2026-09-25T22:00:28.766974Z</t>
        </is>
      </c>
      <c r="AE724" s="31" t="inlineStr">
        <is>
          <t>Poisson-DC rates 1.62 (home) / 0.90 (away) from EWMA attack/defense strengths. Executable ask 0.4500 (tsc-intf-ind-pan-2026-09-25-2pt5).</t>
        </is>
      </c>
      <c r="AF724" s="31" t="inlineStr">
        <is>
          <t>Research-only soccer score model; draw-aware, but not yet locked-holdout qualified.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PAPER_CALL_MODEL_UNVALIDATED</t>
        </is>
      </c>
      <c r="AP724" s="24" t="inlineStr">
        <is>
          <t>Panama</t>
        </is>
      </c>
      <c r="AQ724" s="24" t="inlineStr">
        <is>
          <t>Panama</t>
        </is>
      </c>
      <c r="AR724" s="24" t="inlineStr">
        <is>
          <t>Panama</t>
        </is>
      </c>
      <c r="AS724" s="24" t="inlineStr">
        <is>
          <t>India</t>
        </is>
      </c>
      <c r="AT724" s="24" t="inlineStr">
        <is>
          <t>India</t>
        </is>
      </c>
      <c r="AU724" s="24" t="inlineStr">
        <is>
          <t>India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3d16277c2cfc0628d7ec79d04feee92735e5c503a3be195cb225c7c52d024308</t>
        </is>
      </c>
      <c r="BB724" s="24" t="inlineStr">
        <is>
          <t>poisson_dixon_coles</t>
        </is>
      </c>
      <c r="BC724" s="24" t="inlineStr">
        <is>
          <t>soccer-poisson-dc-v1</t>
        </is>
      </c>
      <c r="BD724" s="24" t="inlineStr">
        <is>
          <t>3d16277c2cfc0628d7ec79d04feee92735e5c503a3be195cb225c7c52d024308</t>
        </is>
      </c>
      <c r="BE724" s="24" t="inlineStr">
        <is>
          <t>soccer-poisson-dc-v1</t>
        </is>
      </c>
      <c r="BF724" s="24" t="inlineStr">
        <is>
          <t>1</t>
        </is>
      </c>
      <c r="BG724" s="24" t="inlineStr">
        <is>
          <t>3d16277c2cfc0628d7ec79d04feee92735e5c503a3be195cb225c7c52d024308</t>
        </is>
      </c>
      <c r="BH724" s="24" t="inlineStr">
        <is>
          <t>2026-09-25T10:06:53.178679Z</t>
        </is>
      </c>
      <c r="BI724" s="24" t="inlineStr">
        <is>
          <t>["same_event","same_team_same_day","same_league_same_day"]</t>
        </is>
      </c>
      <c r="BJ724" s="25" t="n">
        <v>2.5</v>
      </c>
      <c r="BK724" s="26" t="n">
        <v>122</v>
      </c>
      <c r="BL724" s="27" t="n">
        <v>2.22</v>
      </c>
      <c r="BM724" s="28" t="n">
        <v>0.45045</v>
      </c>
      <c r="BN724" s="28" t="n"/>
      <c r="BO724" s="28" t="n"/>
      <c r="BP724" s="25" t="n"/>
      <c r="BQ724" s="27" t="n">
        <v>2.22</v>
      </c>
      <c r="BR724" s="28" t="n">
        <v>0.45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0.45045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ab6a346d3ed74777</t>
        </is>
      </c>
      <c r="B725" s="24" t="inlineStr">
        <is>
          <t>2026-09-26T15:00:59.731451Z</t>
        </is>
      </c>
      <c r="C725" s="24" t="inlineStr">
        <is>
          <t>2026-09-26T18:00Z</t>
        </is>
      </c>
      <c r="D725" s="24" t="inlineStr">
        <is>
          <t>401923663</t>
        </is>
      </c>
      <c r="E725" s="24" t="inlineStr">
        <is>
          <t>SOCCER</t>
        </is>
      </c>
      <c r="F725" s="24" t="inlineStr">
        <is>
          <t>Nacional</t>
        </is>
      </c>
      <c r="G725" s="24" t="inlineStr">
        <is>
          <t>Cerro Largo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426</v>
      </c>
      <c r="M725" s="27" t="n">
        <v>5.26</v>
      </c>
      <c r="N725" s="28" t="n">
        <v>0.190114</v>
      </c>
      <c r="O725" s="28" t="n">
        <v>0.456135</v>
      </c>
      <c r="P725" s="28" t="n">
        <v>0.2</v>
      </c>
      <c r="Q725" s="28" t="n">
        <v>0.266021</v>
      </c>
      <c r="R725" s="26" t="n">
        <v>63</v>
      </c>
      <c r="S725" s="29" t="n">
        <v>1.5</v>
      </c>
      <c r="T725" s="24" t="inlineStr">
        <is>
          <t>soccer-poisson-dc-v1</t>
        </is>
      </c>
      <c r="U725" s="24" t="inlineStr">
        <is>
          <t>settled</t>
        </is>
      </c>
      <c r="V725" s="24" t="inlineStr">
        <is>
          <t>loss</t>
        </is>
      </c>
      <c r="W725" s="26" t="n">
        <v>2</v>
      </c>
      <c r="X725" s="26" t="n">
        <v>0</v>
      </c>
      <c r="Y725" s="25" t="n"/>
      <c r="Z725" s="26" t="n">
        <v>426</v>
      </c>
      <c r="AA725" s="28" t="n">
        <v>0.19</v>
      </c>
      <c r="AB725" s="28" t="n">
        <v>-0.000114</v>
      </c>
      <c r="AC725" s="30" t="n">
        <v>-1.5</v>
      </c>
      <c r="AD725" s="24" t="inlineStr">
        <is>
          <t>2026-09-26T22:01:17.110726Z</t>
        </is>
      </c>
      <c r="AE725" s="31" t="inlineStr">
        <is>
          <t>Poisson-DC rates 1.64 (home) / 1.24 (away) from EWMA attack/defense strengths. Executable ask 0.1900 (atc-uru1-cla-nac-2026-09-26-cla).</t>
        </is>
      </c>
      <c r="AF725" s="31" t="inlineStr">
        <is>
          <t>Research-only soccer score model; draw-aware, but not yet locked-holdout qualified.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Nacional</t>
        </is>
      </c>
      <c r="AQ725" s="24" t="inlineStr">
        <is>
          <t>Nacional</t>
        </is>
      </c>
      <c r="AR725" s="24" t="inlineStr">
        <is>
          <t>Nacional</t>
        </is>
      </c>
      <c r="AS725" s="24" t="inlineStr">
        <is>
          <t>Cerro Largo</t>
        </is>
      </c>
      <c r="AT725" s="24" t="inlineStr">
        <is>
          <t>Cerro Largo</t>
        </is>
      </c>
      <c r="AU725" s="24" t="inlineStr">
        <is>
          <t>Cerro Largo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3d16277c2cfc0628d7ec79d04feee92735e5c503a3be195cb225c7c52d024308</t>
        </is>
      </c>
      <c r="BB725" s="24" t="inlineStr">
        <is>
          <t>poisson_dixon_coles</t>
        </is>
      </c>
      <c r="BC725" s="24" t="inlineStr">
        <is>
          <t>soccer-poisson-dc-v1</t>
        </is>
      </c>
      <c r="BD725" s="24" t="inlineStr">
        <is>
          <t>3d16277c2cfc0628d7ec79d04feee92735e5c503a3be195cb225c7c52d024308</t>
        </is>
      </c>
      <c r="BE725" s="24" t="inlineStr">
        <is>
          <t>soccer-poisson-dc-v1</t>
        </is>
      </c>
      <c r="BF725" s="24" t="inlineStr">
        <is>
          <t>1</t>
        </is>
      </c>
      <c r="BG725" s="24" t="inlineStr">
        <is>
          <t>3d16277c2cfc0628d7ec79d04feee92735e5c503a3be195cb225c7c52d024308</t>
        </is>
      </c>
      <c r="BH725" s="24" t="inlineStr">
        <is>
          <t>2026-09-26T13:31:22.150401Z</t>
        </is>
      </c>
      <c r="BI725" s="24" t="inlineStr">
        <is>
          <t>["same_event","same_team_same_day","same_league_same_day"]</t>
        </is>
      </c>
      <c r="BJ725" s="25" t="n"/>
      <c r="BK725" s="26" t="n">
        <v>426</v>
      </c>
      <c r="BL725" s="27" t="n">
        <v>5.26</v>
      </c>
      <c r="BM725" s="28" t="n">
        <v>0.190114</v>
      </c>
      <c r="BN725" s="28" t="n"/>
      <c r="BO725" s="28" t="n"/>
      <c r="BP725" s="25" t="n"/>
      <c r="BQ725" s="27" t="n">
        <v>5.26</v>
      </c>
      <c r="BR725" s="28" t="n">
        <v>0.19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0.190114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"3d16277c2cfc0628d7ec79d04feee92735e5c503a3be195cb225c7c52d024308", "away_team": "Nacional", "event_id": "401923663", "event_start_utc": "2026-09-26T18:00Z", "features": {"away_goal_rate": 1.2418, "history_games": 9181, "home_goal_rate": 1.6423, "league_goals_per_team": 1.4281, "min_team_games": 0.0}, "historical_source_observation_times_verified": false, "home_team": "Cerro Largo",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"2026-09-26T15:00:58.304245+00:00", "probabilities": {"away": 0.278015, "draw": 0.265851, "home": 0.456135}, "replay_scope": "Exact full-precision serving state and rounding; upstream historical observation times are not certified.", "schema": "coded-moneyline-replay-v1", "snapshot_hash": "198a67174626e04a6135b7d0a569043e9729901da3cb3cc42382ad5074c2e0af", "sport": "SOCCER"}</t>
        </is>
      </c>
    </row>
    <row r="726" ht="36" customHeight="1">
      <c r="A726" s="24" t="inlineStr">
        <is>
          <t>73347e4c9ba24c93</t>
        </is>
      </c>
      <c r="B726" s="24" t="inlineStr">
        <is>
          <t>2026-09-26T22:34:30.426396Z</t>
        </is>
      </c>
      <c r="C726" s="24" t="inlineStr">
        <is>
          <t>2026-09-26T23:30Z</t>
        </is>
      </c>
      <c r="D726" s="24" t="inlineStr">
        <is>
          <t>761830</t>
        </is>
      </c>
      <c r="E726" s="24" t="inlineStr">
        <is>
          <t>SOCCER</t>
        </is>
      </c>
      <c r="F726" s="24" t="inlineStr">
        <is>
          <t>New York City FC</t>
        </is>
      </c>
      <c r="G726" s="24" t="inlineStr">
        <is>
          <t>Atlanta United FC</t>
        </is>
      </c>
      <c r="H726" s="24" t="inlineStr">
        <is>
          <t>total</t>
        </is>
      </c>
      <c r="I726" s="24" t="inlineStr">
        <is>
          <t>under</t>
        </is>
      </c>
      <c r="J726" s="25" t="n">
        <v>2.5</v>
      </c>
      <c r="K726" s="24" t="inlineStr">
        <is>
          <t>polymarket_us</t>
        </is>
      </c>
      <c r="L726" s="26" t="n">
        <v>138</v>
      </c>
      <c r="M726" s="27" t="n">
        <v>2.38</v>
      </c>
      <c r="N726" s="28" t="n">
        <v>0.420168</v>
      </c>
      <c r="O726" s="28" t="n">
        <v>0.556258</v>
      </c>
      <c r="P726" s="28" t="n">
        <v>0.04</v>
      </c>
      <c r="Q726" s="28" t="n">
        <v>0.13609</v>
      </c>
      <c r="R726" s="26" t="n">
        <v>94</v>
      </c>
      <c r="S726" s="29" t="n">
        <v>1.75</v>
      </c>
      <c r="T726" s="24" t="inlineStr">
        <is>
          <t>soccer-poisson-dc-v1</t>
        </is>
      </c>
      <c r="U726" s="24" t="inlineStr">
        <is>
          <t>settled</t>
        </is>
      </c>
      <c r="V726" s="24" t="inlineStr">
        <is>
          <t>loss</t>
        </is>
      </c>
      <c r="W726" s="26" t="n">
        <v>2</v>
      </c>
      <c r="X726" s="26" t="n">
        <v>2</v>
      </c>
      <c r="Y726" s="25" t="n"/>
      <c r="Z726" s="26" t="n">
        <v>138</v>
      </c>
      <c r="AA726" s="28" t="n">
        <v>0.42</v>
      </c>
      <c r="AB726" s="28" t="n">
        <v>-0.000168</v>
      </c>
      <c r="AC726" s="30" t="n">
        <v>-1.75</v>
      </c>
      <c r="AD726" s="24" t="inlineStr">
        <is>
          <t>2026-09-27T04:33:27.211382Z</t>
        </is>
      </c>
      <c r="AE726" s="31" t="inlineStr">
        <is>
          <t>Poisson-DC rates 1.06 (home) / 1.39 (away) from EWMA attack/defense strengths. Executable ask 0.4200 (tsc-mls-atl-nyc-2026-09-26-2pt5).</t>
        </is>
      </c>
      <c r="AF726" s="31" t="inlineStr">
        <is>
          <t>Research-only soccer score model; draw-aware, but not yet locked-holdout qualified.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New York City FC</t>
        </is>
      </c>
      <c r="AQ726" s="24" t="inlineStr">
        <is>
          <t>New York City FC</t>
        </is>
      </c>
      <c r="AR726" s="24" t="inlineStr">
        <is>
          <t>New York City FC</t>
        </is>
      </c>
      <c r="AS726" s="24" t="inlineStr">
        <is>
          <t>Atlanta United FC</t>
        </is>
      </c>
      <c r="AT726" s="24" t="inlineStr">
        <is>
          <t>Atlanta United FC</t>
        </is>
      </c>
      <c r="AU726" s="24" t="inlineStr">
        <is>
          <t>Atlanta United FC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3d16277c2cfc0628d7ec79d04feee92735e5c503a3be195cb225c7c52d024308</t>
        </is>
      </c>
      <c r="BB726" s="24" t="inlineStr">
        <is>
          <t>poisson_dixon_coles</t>
        </is>
      </c>
      <c r="BC726" s="24" t="inlineStr">
        <is>
          <t>soccer-poisson-dc-v1</t>
        </is>
      </c>
      <c r="BD726" s="24" t="inlineStr">
        <is>
          <t>3d16277c2cfc0628d7ec79d04feee92735e5c503a3be195cb225c7c52d024308</t>
        </is>
      </c>
      <c r="BE726" s="24" t="inlineStr">
        <is>
          <t>soccer-poisson-dc-v1</t>
        </is>
      </c>
      <c r="BF726" s="24" t="inlineStr">
        <is>
          <t>1</t>
        </is>
      </c>
      <c r="BG726" s="24" t="inlineStr">
        <is>
          <t>3d16277c2cfc0628d7ec79d04feee92735e5c503a3be195cb225c7c52d024308</t>
        </is>
      </c>
      <c r="BH726" s="24" t="inlineStr">
        <is>
          <t>2026-09-26T13:14:59.029994Z</t>
        </is>
      </c>
      <c r="BI726" s="24" t="inlineStr">
        <is>
          <t>["same_event","same_team_same_day","same_league_same_day"]</t>
        </is>
      </c>
      <c r="BJ726" s="25" t="n">
        <v>2.5</v>
      </c>
      <c r="BK726" s="26" t="n">
        <v>138</v>
      </c>
      <c r="BL726" s="27" t="n">
        <v>2.38</v>
      </c>
      <c r="BM726" s="28" t="n">
        <v>0.420168</v>
      </c>
      <c r="BN726" s="28" t="n"/>
      <c r="BO726" s="28" t="n"/>
      <c r="BP726" s="25" t="n"/>
      <c r="BQ726" s="27" t="n">
        <v>2.38</v>
      </c>
      <c r="BR726" s="28" t="n">
        <v>0.42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0.420168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ecb299dfab324081</t>
        </is>
      </c>
      <c r="B727" s="24" t="inlineStr">
        <is>
          <t>2026-09-26T22:34:30.426396Z</t>
        </is>
      </c>
      <c r="C727" s="24" t="inlineStr">
        <is>
          <t>2026-09-27T00:30Z</t>
        </is>
      </c>
      <c r="D727" s="24" t="inlineStr">
        <is>
          <t>761838</t>
        </is>
      </c>
      <c r="E727" s="24" t="inlineStr">
        <is>
          <t>SOCCER</t>
        </is>
      </c>
      <c r="F727" s="24" t="inlineStr">
        <is>
          <t>Toronto FC</t>
        </is>
      </c>
      <c r="G727" s="24" t="inlineStr">
        <is>
          <t>Nashville SC</t>
        </is>
      </c>
      <c r="H727" s="24" t="inlineStr">
        <is>
          <t>total</t>
        </is>
      </c>
      <c r="I727" s="24" t="inlineStr">
        <is>
          <t>over</t>
        </is>
      </c>
      <c r="J727" s="25" t="n">
        <v>2.5</v>
      </c>
      <c r="K727" s="24" t="inlineStr">
        <is>
          <t>polymarket_us</t>
        </is>
      </c>
      <c r="L727" s="26" t="n">
        <v>-614</v>
      </c>
      <c r="M727" s="27" t="n">
        <v>1.162866</v>
      </c>
      <c r="N727" s="28" t="n">
        <v>0.859944</v>
      </c>
      <c r="O727" s="28" t="n">
        <v>0.628258</v>
      </c>
      <c r="P727" s="28" t="n">
        <v>0.04</v>
      </c>
      <c r="Q727" s="28" t="n">
        <v>-0.231686</v>
      </c>
      <c r="R727" s="26" t="n">
        <v>0</v>
      </c>
      <c r="S727" s="29" t="n">
        <v>1</v>
      </c>
      <c r="T727" s="24" t="inlineStr">
        <is>
          <t>soccer-poisson-dc-v1</t>
        </is>
      </c>
      <c r="U727" s="24" t="inlineStr">
        <is>
          <t>settled</t>
        </is>
      </c>
      <c r="V727" s="24" t="inlineStr">
        <is>
          <t>loss</t>
        </is>
      </c>
      <c r="W727" s="26" t="n">
        <v>0</v>
      </c>
      <c r="X727" s="26" t="n">
        <v>2</v>
      </c>
      <c r="Y727" s="25" t="n"/>
      <c r="Z727" s="26" t="n">
        <v>-614</v>
      </c>
      <c r="AA727" s="28" t="n">
        <v>0.86</v>
      </c>
      <c r="AB727" s="28" t="n">
        <v>5.6e-05</v>
      </c>
      <c r="AC727" s="30" t="n">
        <v>-1</v>
      </c>
      <c r="AD727" s="24" t="inlineStr">
        <is>
          <t>2026-09-27T04:33:27.823920Z</t>
        </is>
      </c>
      <c r="AE727" s="31" t="inlineStr">
        <is>
          <t>Poisson-DC rates 2.36 (home) / 0.87 (away) from EWMA attack/defense strengths. Executable ask 0.8600 (tsc-mls-nas-tor-2026-09-26-sh-2pt5).</t>
        </is>
      </c>
      <c r="AF727" s="31" t="inlineStr">
        <is>
          <t>Research-only soccer score model; draw-aware, but not yet locked-holdout qualified.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Toronto FC</t>
        </is>
      </c>
      <c r="AQ727" s="24" t="inlineStr">
        <is>
          <t>Toronto FC</t>
        </is>
      </c>
      <c r="AR727" s="24" t="inlineStr">
        <is>
          <t>Toronto FC</t>
        </is>
      </c>
      <c r="AS727" s="24" t="inlineStr">
        <is>
          <t>Nashville SC</t>
        </is>
      </c>
      <c r="AT727" s="24" t="inlineStr">
        <is>
          <t>Nashville SC</t>
        </is>
      </c>
      <c r="AU727" s="24" t="inlineStr">
        <is>
          <t>Nashville SC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3d16277c2cfc0628d7ec79d04feee92735e5c503a3be195cb225c7c52d024308</t>
        </is>
      </c>
      <c r="BB727" s="24" t="inlineStr">
        <is>
          <t>poisson_dixon_coles</t>
        </is>
      </c>
      <c r="BC727" s="24" t="inlineStr">
        <is>
          <t>soccer-poisson-dc-v1</t>
        </is>
      </c>
      <c r="BD727" s="24" t="inlineStr">
        <is>
          <t>3d16277c2cfc0628d7ec79d04feee92735e5c503a3be195cb225c7c52d024308</t>
        </is>
      </c>
      <c r="BE727" s="24" t="inlineStr">
        <is>
          <t>soccer-poisson-dc-v1</t>
        </is>
      </c>
      <c r="BF727" s="24" t="inlineStr">
        <is>
          <t>1</t>
        </is>
      </c>
      <c r="BG727" s="24" t="inlineStr">
        <is>
          <t>3d16277c2cfc0628d7ec79d04feee92735e5c503a3be195cb225c7c52d024308</t>
        </is>
      </c>
      <c r="BH727" s="24" t="inlineStr">
        <is>
          <t>2026-09-26T22:32:03.527407Z</t>
        </is>
      </c>
      <c r="BI727" s="24" t="inlineStr">
        <is>
          <t>["same_event","same_team_same_day","same_league_same_day"]</t>
        </is>
      </c>
      <c r="BJ727" s="25" t="n">
        <v>2.5</v>
      </c>
      <c r="BK727" s="26" t="n">
        <v>-614</v>
      </c>
      <c r="BL727" s="27" t="n">
        <v>1.162866</v>
      </c>
      <c r="BM727" s="28" t="n">
        <v>0.859944</v>
      </c>
      <c r="BN727" s="28" t="n"/>
      <c r="BO727" s="28" t="n"/>
      <c r="BP727" s="25" t="n"/>
      <c r="BQ727" s="27" t="n">
        <v>1.162866</v>
      </c>
      <c r="BR727" s="28" t="n">
        <v>0.86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0.859944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61234d7377954c3a</t>
        </is>
      </c>
      <c r="B728" s="24" t="inlineStr">
        <is>
          <t>2026-09-26T22:34:30.426396Z</t>
        </is>
      </c>
      <c r="C728" s="24" t="inlineStr">
        <is>
          <t>2026-09-27T00:30Z</t>
        </is>
      </c>
      <c r="D728" s="24" t="inlineStr">
        <is>
          <t>761837</t>
        </is>
      </c>
      <c r="E728" s="24" t="inlineStr">
        <is>
          <t>SOCCER</t>
        </is>
      </c>
      <c r="F728" s="24" t="inlineStr">
        <is>
          <t>Minnesota United FC</t>
        </is>
      </c>
      <c r="G728" s="24" t="inlineStr">
        <is>
          <t>Seattle Sounders FC</t>
        </is>
      </c>
      <c r="H728" s="24" t="inlineStr">
        <is>
          <t>total</t>
        </is>
      </c>
      <c r="I728" s="24" t="inlineStr">
        <is>
          <t>under</t>
        </is>
      </c>
      <c r="J728" s="25" t="n">
        <v>2.5</v>
      </c>
      <c r="K728" s="24" t="inlineStr">
        <is>
          <t>polymarket_us</t>
        </is>
      </c>
      <c r="L728" s="26" t="n">
        <v>-355</v>
      </c>
      <c r="M728" s="27" t="n">
        <v>1.28169</v>
      </c>
      <c r="N728" s="28" t="n">
        <v>0.78022</v>
      </c>
      <c r="O728" s="28" t="n">
        <v>0.511137</v>
      </c>
      <c r="P728" s="28" t="n">
        <v>0.04</v>
      </c>
      <c r="Q728" s="28" t="n">
        <v>-0.269083</v>
      </c>
      <c r="R728" s="26" t="n">
        <v>0</v>
      </c>
      <c r="S728" s="29" t="n">
        <v>1</v>
      </c>
      <c r="T728" s="24" t="inlineStr">
        <is>
          <t>soccer-poisson-dc-v1</t>
        </is>
      </c>
      <c r="U728" s="24" t="inlineStr">
        <is>
          <t>settled</t>
        </is>
      </c>
      <c r="V728" s="24" t="inlineStr">
        <is>
          <t>loss</t>
        </is>
      </c>
      <c r="W728" s="26" t="n">
        <v>1</v>
      </c>
      <c r="X728" s="26" t="n">
        <v>3</v>
      </c>
      <c r="Y728" s="25" t="n"/>
      <c r="Z728" s="26" t="n">
        <v>-355</v>
      </c>
      <c r="AA728" s="28" t="n">
        <v>0.78</v>
      </c>
      <c r="AB728" s="28" t="n">
        <v>-0.00022</v>
      </c>
      <c r="AC728" s="30" t="n">
        <v>-1</v>
      </c>
      <c r="AD728" s="24" t="inlineStr">
        <is>
          <t>2026-09-27T04:33:28.434105Z</t>
        </is>
      </c>
      <c r="AE728" s="31" t="inlineStr">
        <is>
          <t>Poisson-DC rates 1.56 (home) / 1.06 (away) from EWMA attack/defense strengths. Executable ask 0.7800 (tsc-mls-sea-min-2026-09-26-sh-2pt5).</t>
        </is>
      </c>
      <c r="AF728" s="31" t="inlineStr">
        <is>
          <t>Research-only soccer score model; draw-aware, but not yet locked-holdout qualified.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Minnesota United FC</t>
        </is>
      </c>
      <c r="AQ728" s="24" t="inlineStr">
        <is>
          <t>Minnesota United FC</t>
        </is>
      </c>
      <c r="AR728" s="24" t="inlineStr">
        <is>
          <t>Minnesota United FC</t>
        </is>
      </c>
      <c r="AS728" s="24" t="inlineStr">
        <is>
          <t>Seattle Sounders FC</t>
        </is>
      </c>
      <c r="AT728" s="24" t="inlineStr">
        <is>
          <t>Seattle Sounders FC</t>
        </is>
      </c>
      <c r="AU728" s="24" t="inlineStr">
        <is>
          <t>Seattle Sounders FC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3d16277c2cfc0628d7ec79d04feee92735e5c503a3be195cb225c7c52d024308</t>
        </is>
      </c>
      <c r="BB728" s="24" t="inlineStr">
        <is>
          <t>poisson_dixon_coles</t>
        </is>
      </c>
      <c r="BC728" s="24" t="inlineStr">
        <is>
          <t>soccer-poisson-dc-v1</t>
        </is>
      </c>
      <c r="BD728" s="24" t="inlineStr">
        <is>
          <t>3d16277c2cfc0628d7ec79d04feee92735e5c503a3be195cb225c7c52d024308</t>
        </is>
      </c>
      <c r="BE728" s="24" t="inlineStr">
        <is>
          <t>soccer-poisson-dc-v1</t>
        </is>
      </c>
      <c r="BF728" s="24" t="inlineStr">
        <is>
          <t>1</t>
        </is>
      </c>
      <c r="BG728" s="24" t="inlineStr">
        <is>
          <t>3d16277c2cfc0628d7ec79d04feee92735e5c503a3be195cb225c7c52d024308</t>
        </is>
      </c>
      <c r="BH728" s="24" t="inlineStr">
        <is>
          <t>2026-09-26T13:15:10.032052Z</t>
        </is>
      </c>
      <c r="BI728" s="24" t="inlineStr">
        <is>
          <t>["same_event","same_team_same_day","same_league_same_day"]</t>
        </is>
      </c>
      <c r="BJ728" s="25" t="n">
        <v>2.5</v>
      </c>
      <c r="BK728" s="26" t="n">
        <v>-355</v>
      </c>
      <c r="BL728" s="27" t="n">
        <v>1.28169</v>
      </c>
      <c r="BM728" s="28" t="n">
        <v>0.78022</v>
      </c>
      <c r="BN728" s="28" t="n"/>
      <c r="BO728" s="28" t="n"/>
      <c r="BP728" s="25" t="n"/>
      <c r="BQ728" s="27" t="n">
        <v>1.28169</v>
      </c>
      <c r="BR728" s="28" t="n">
        <v>0.78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0.78022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95d5a8b923394183</t>
        </is>
      </c>
      <c r="B729" s="24" t="inlineStr">
        <is>
          <t>2026-09-26T22:34:30.426396Z</t>
        </is>
      </c>
      <c r="C729" s="24" t="inlineStr">
        <is>
          <t>2026-09-27T02:30Z</t>
        </is>
      </c>
      <c r="D729" s="24" t="inlineStr">
        <is>
          <t>761842</t>
        </is>
      </c>
      <c r="E729" s="24" t="inlineStr">
        <is>
          <t>SOCCER</t>
        </is>
      </c>
      <c r="F729" s="24" t="inlineStr">
        <is>
          <t>D.C. United</t>
        </is>
      </c>
      <c r="G729" s="24" t="inlineStr">
        <is>
          <t>Vancouver Whitecaps</t>
        </is>
      </c>
      <c r="H729" s="24" t="inlineStr">
        <is>
          <t>total</t>
        </is>
      </c>
      <c r="I729" s="24" t="inlineStr">
        <is>
          <t>over</t>
        </is>
      </c>
      <c r="J729" s="25" t="n">
        <v>2.5</v>
      </c>
      <c r="K729" s="24" t="inlineStr">
        <is>
          <t>polymarket_us</t>
        </is>
      </c>
      <c r="L729" s="26" t="n">
        <v>-245</v>
      </c>
      <c r="M729" s="27" t="n">
        <v>1.408163</v>
      </c>
      <c r="N729" s="28" t="n">
        <v>0.710145</v>
      </c>
      <c r="O729" s="28" t="n">
        <v>0.741355</v>
      </c>
      <c r="P729" s="28" t="n">
        <v>0.04</v>
      </c>
      <c r="Q729" s="28" t="n">
        <v>0.03121</v>
      </c>
      <c r="R729" s="26" t="n">
        <v>42</v>
      </c>
      <c r="S729" s="29" t="n">
        <v>1</v>
      </c>
      <c r="T729" s="24" t="inlineStr">
        <is>
          <t>soccer-poisson-dc-v1</t>
        </is>
      </c>
      <c r="U729" s="24" t="inlineStr">
        <is>
          <t>settled</t>
        </is>
      </c>
      <c r="V729" s="24" t="inlineStr">
        <is>
          <t>win</t>
        </is>
      </c>
      <c r="W729" s="26" t="n">
        <v>3</v>
      </c>
      <c r="X729" s="26" t="n">
        <v>3</v>
      </c>
      <c r="Y729" s="25" t="n"/>
      <c r="Z729" s="26" t="n">
        <v>-245</v>
      </c>
      <c r="AA729" s="28" t="n">
        <v>0.71</v>
      </c>
      <c r="AB729" s="28" t="n">
        <v>-0.000145</v>
      </c>
      <c r="AC729" s="30" t="n">
        <v>0.4082</v>
      </c>
      <c r="AD729" s="24" t="inlineStr">
        <is>
          <t>2026-09-27T10:00:27.749791Z</t>
        </is>
      </c>
      <c r="AE729" s="31" t="inlineStr">
        <is>
          <t>Poisson-DC rates 2.99 (home) / 0.88 (away) from EWMA attack/defense strengths. Executable ask 0.7100 (tsc-mls-vwh-dcu-2026-09-26-2pt5).</t>
        </is>
      </c>
      <c r="AF729" s="31" t="inlineStr">
        <is>
          <t>Research-only soccer score model; draw-aware, but not yet locked-holdout qualified.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D.C. United</t>
        </is>
      </c>
      <c r="AQ729" s="24" t="inlineStr">
        <is>
          <t>D.C. United</t>
        </is>
      </c>
      <c r="AR729" s="24" t="inlineStr">
        <is>
          <t>D.C. United</t>
        </is>
      </c>
      <c r="AS729" s="24" t="inlineStr">
        <is>
          <t>Vancouver Whitecaps</t>
        </is>
      </c>
      <c r="AT729" s="24" t="inlineStr">
        <is>
          <t>Vancouver Whitecaps</t>
        </is>
      </c>
      <c r="AU729" s="24" t="inlineStr">
        <is>
          <t>Vancouver Whitecaps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3d16277c2cfc0628d7ec79d04feee92735e5c503a3be195cb225c7c52d024308</t>
        </is>
      </c>
      <c r="BB729" s="24" t="inlineStr">
        <is>
          <t>poisson_dixon_coles</t>
        </is>
      </c>
      <c r="BC729" s="24" t="inlineStr">
        <is>
          <t>soccer-poisson-dc-v1</t>
        </is>
      </c>
      <c r="BD729" s="24" t="inlineStr">
        <is>
          <t>3d16277c2cfc0628d7ec79d04feee92735e5c503a3be195cb225c7c52d024308</t>
        </is>
      </c>
      <c r="BE729" s="24" t="inlineStr">
        <is>
          <t>soccer-poisson-dc-v1</t>
        </is>
      </c>
      <c r="BF729" s="24" t="inlineStr">
        <is>
          <t>1</t>
        </is>
      </c>
      <c r="BG729" s="24" t="inlineStr">
        <is>
          <t>3d16277c2cfc0628d7ec79d04feee92735e5c503a3be195cb225c7c52d024308</t>
        </is>
      </c>
      <c r="BH729" s="24" t="inlineStr">
        <is>
          <t>2026-09-26T13:31:00.335464Z</t>
        </is>
      </c>
      <c r="BI729" s="24" t="inlineStr">
        <is>
          <t>["same_event","same_team_same_day","same_league_same_day"]</t>
        </is>
      </c>
      <c r="BJ729" s="25" t="n">
        <v>2.5</v>
      </c>
      <c r="BK729" s="26" t="n">
        <v>-245</v>
      </c>
      <c r="BL729" s="27" t="n">
        <v>1.408163</v>
      </c>
      <c r="BM729" s="28" t="n">
        <v>0.710145</v>
      </c>
      <c r="BN729" s="28" t="n"/>
      <c r="BO729" s="28" t="n"/>
      <c r="BP729" s="25" t="n"/>
      <c r="BQ729" s="27" t="n">
        <v>1.408163</v>
      </c>
      <c r="BR729" s="28" t="n">
        <v>0.71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0.710145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a6996d3d717f47d2</t>
        </is>
      </c>
      <c r="B730" s="24" t="inlineStr">
        <is>
          <t>2026-09-26T22:34:30.426396Z</t>
        </is>
      </c>
      <c r="C730" s="24" t="inlineStr">
        <is>
          <t>2026-09-26T23:30Z</t>
        </is>
      </c>
      <c r="D730" s="24" t="inlineStr">
        <is>
          <t>761834</t>
        </is>
      </c>
      <c r="E730" s="24" t="inlineStr">
        <is>
          <t>SOCCER</t>
        </is>
      </c>
      <c r="F730" s="24" t="inlineStr">
        <is>
          <t>Orlando City SC</t>
        </is>
      </c>
      <c r="G730" s="24" t="inlineStr">
        <is>
          <t>Philadelphia Union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-170</v>
      </c>
      <c r="M730" s="27" t="n">
        <v>1.588235</v>
      </c>
      <c r="N730" s="28" t="n">
        <v>0.62963</v>
      </c>
      <c r="O730" s="28" t="n">
        <v>0.578495</v>
      </c>
      <c r="P730" s="28" t="n">
        <v>0.04</v>
      </c>
      <c r="Q730" s="28" t="n">
        <v>-0.051135</v>
      </c>
      <c r="R730" s="26" t="n">
        <v>0</v>
      </c>
      <c r="S730" s="29" t="n">
        <v>1</v>
      </c>
      <c r="T730" s="24" t="inlineStr">
        <is>
          <t>soccer-poisson-dc-v1</t>
        </is>
      </c>
      <c r="U730" s="24" t="inlineStr">
        <is>
          <t>settled</t>
        </is>
      </c>
      <c r="V730" s="24" t="inlineStr">
        <is>
          <t>win</t>
        </is>
      </c>
      <c r="W730" s="26" t="n">
        <v>2</v>
      </c>
      <c r="X730" s="26" t="n">
        <v>4</v>
      </c>
      <c r="Y730" s="25" t="n"/>
      <c r="Z730" s="26" t="n">
        <v>-170</v>
      </c>
      <c r="AA730" s="28" t="n">
        <v>0.63</v>
      </c>
      <c r="AB730" s="28" t="n">
        <v>0.00037</v>
      </c>
      <c r="AC730" s="30" t="n">
        <v>0.5881999999999999</v>
      </c>
      <c r="AD730" s="24" t="inlineStr">
        <is>
          <t>2026-09-27T04:33:29.048517Z</t>
        </is>
      </c>
      <c r="AE730" s="31" t="inlineStr">
        <is>
          <t>Poisson-DC rates 2.65 (home) / 1.68 (away) from EWMA attack/defense strengths. Executable ask 0.6300 (atc-mls-phi-orl-2026-09-26-phi).</t>
        </is>
      </c>
      <c r="AF730" s="31" t="inlineStr">
        <is>
          <t>Research-only soccer score model; draw-aware, but not yet locked-holdout qualified.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Orlando City SC</t>
        </is>
      </c>
      <c r="AQ730" s="24" t="inlineStr">
        <is>
          <t>Orlando City SC</t>
        </is>
      </c>
      <c r="AR730" s="24" t="inlineStr">
        <is>
          <t>Orlando City SC</t>
        </is>
      </c>
      <c r="AS730" s="24" t="inlineStr">
        <is>
          <t>Philadelphia Union</t>
        </is>
      </c>
      <c r="AT730" s="24" t="inlineStr">
        <is>
          <t>Philadelphia Union</t>
        </is>
      </c>
      <c r="AU730" s="24" t="inlineStr">
        <is>
          <t>Philadelphia Union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3d16277c2cfc0628d7ec79d04feee92735e5c503a3be195cb225c7c52d024308</t>
        </is>
      </c>
      <c r="BB730" s="24" t="inlineStr">
        <is>
          <t>poisson_dixon_coles</t>
        </is>
      </c>
      <c r="BC730" s="24" t="inlineStr">
        <is>
          <t>soccer-poisson-dc-v1</t>
        </is>
      </c>
      <c r="BD730" s="24" t="inlineStr">
        <is>
          <t>3d16277c2cfc0628d7ec79d04feee92735e5c503a3be195cb225c7c52d024308</t>
        </is>
      </c>
      <c r="BE730" s="24" t="inlineStr">
        <is>
          <t>soccer-poisson-dc-v1</t>
        </is>
      </c>
      <c r="BF730" s="24" t="inlineStr">
        <is>
          <t>1</t>
        </is>
      </c>
      <c r="BG730" s="24" t="inlineStr">
        <is>
          <t>3d16277c2cfc0628d7ec79d04feee92735e5c503a3be195cb225c7c52d024308</t>
        </is>
      </c>
      <c r="BH730" s="24" t="inlineStr">
        <is>
          <t>2026-09-26T22:31:33.575764Z</t>
        </is>
      </c>
      <c r="BI730" s="24" t="inlineStr">
        <is>
          <t>["same_event","same_team_same_day","same_league_same_day"]</t>
        </is>
      </c>
      <c r="BJ730" s="25" t="n"/>
      <c r="BK730" s="26" t="n">
        <v>-170</v>
      </c>
      <c r="BL730" s="27" t="n">
        <v>1.588235</v>
      </c>
      <c r="BM730" s="28" t="n">
        <v>0.62963</v>
      </c>
      <c r="BN730" s="28" t="n"/>
      <c r="BO730" s="28" t="n"/>
      <c r="BP730" s="25" t="n"/>
      <c r="BQ730" s="27" t="n">
        <v>1.588235</v>
      </c>
      <c r="BR730" s="28" t="n">
        <v>0.63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0.62963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"3d16277c2cfc0628d7ec79d04feee92735e5c503a3be195cb225c7c52d024308", "away_team": "Orlando City SC", "event_id": "761834", "event_start_utc": "2026-09-26T23:30Z", "features": {"away_goal_rate": 1.6822, "history_games": 9181, "home_goal_rate": 2.6477, "league_goals_per_team": 1.5536, "min_team_games": 86.0}, "historical_source_observation_times_verified": false, "home_team": "Philadelphia Union", "inference_inputs": {"away_rate": 1.6821806560489319, "code_sha256": {"models/soccer.py": "3d16277c2cfc0628d7ec79d04feee92735e5c503a3be195cb225c7c52d024308"}, "home_rate": 2.6477094635523524, "sport": "SOCCER"}, "market_type": "moneyline", "model_version": "soccer-poisson-dc-v1", "observed_at_utc": "2026-09-26T22:34:29.740760+00:00", "probabilities": {"away": 0.229484, "draw": 0.192021, "home": 0.578495}, "replay_scope": "Exact full-precision serving state and rounding; upstream historical observation times are not certified.", "schema": "coded-moneyline-replay-v1", "snapshot_hash": "670596e0060050ae30f78a9bcb5d701bf08cd3154b1599d6c53c7272d03d5dd8", "sport": "SOCCER"}</t>
        </is>
      </c>
    </row>
    <row r="731" ht="36" customHeight="1">
      <c r="A731" s="24" t="inlineStr">
        <is>
          <t>6cfcc91fc43b4fea</t>
        </is>
      </c>
      <c r="B731" s="24" t="inlineStr">
        <is>
          <t>2026-09-26T22:34:30.426396Z</t>
        </is>
      </c>
      <c r="C731" s="24" t="inlineStr">
        <is>
          <t>2026-09-27T00:30Z</t>
        </is>
      </c>
      <c r="D731" s="24" t="inlineStr">
        <is>
          <t>761839</t>
        </is>
      </c>
      <c r="E731" s="24" t="inlineStr">
        <is>
          <t>SOCCER</t>
        </is>
      </c>
      <c r="F731" s="24" t="inlineStr">
        <is>
          <t>San Diego FC</t>
        </is>
      </c>
      <c r="G731" s="24" t="inlineStr">
        <is>
          <t>Austin FC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186</v>
      </c>
      <c r="M731" s="27" t="n">
        <v>2.86</v>
      </c>
      <c r="N731" s="28" t="n">
        <v>0.34965</v>
      </c>
      <c r="O731" s="28" t="n">
        <v>0.5061020000000001</v>
      </c>
      <c r="P731" s="28" t="n">
        <v>0.04</v>
      </c>
      <c r="Q731" s="28" t="n">
        <v>0.156452</v>
      </c>
      <c r="R731" s="26" t="n">
        <v>100</v>
      </c>
      <c r="S731" s="29" t="n">
        <v>1.75</v>
      </c>
      <c r="T731" s="24" t="inlineStr">
        <is>
          <t>soccer-poisson-dc-v1</t>
        </is>
      </c>
      <c r="U731" s="24" t="inlineStr">
        <is>
          <t>settled</t>
        </is>
      </c>
      <c r="V731" s="24" t="inlineStr">
        <is>
          <t>loss</t>
        </is>
      </c>
      <c r="W731" s="26" t="n">
        <v>3</v>
      </c>
      <c r="X731" s="26" t="n">
        <v>3</v>
      </c>
      <c r="Y731" s="25" t="n"/>
      <c r="Z731" s="26" t="n">
        <v>-194</v>
      </c>
      <c r="AA731" s="28" t="n">
        <v>0.66</v>
      </c>
      <c r="AB731" s="28" t="n">
        <v>0.31035</v>
      </c>
      <c r="AC731" s="30" t="n">
        <v>-1.75</v>
      </c>
      <c r="AD731" s="24" t="inlineStr">
        <is>
          <t>2026-09-27T04:33:29.666088Z</t>
        </is>
      </c>
      <c r="AE731" s="31" t="inlineStr">
        <is>
          <t>Poisson-DC rates 1.54 (home) / 2.14 (away) from EWMA attack/defense strengths. Executable ask 0.3500 (atc-mls-aus-sdg-2026-09-26-sdg).</t>
        </is>
      </c>
      <c r="AF731" s="31" t="inlineStr">
        <is>
          <t>Research-only soccer score model; draw-aware, but not yet locked-holdout qualified.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San Diego FC</t>
        </is>
      </c>
      <c r="AQ731" s="24" t="inlineStr">
        <is>
          <t>San Diego FC</t>
        </is>
      </c>
      <c r="AR731" s="24" t="inlineStr">
        <is>
          <t>San Diego FC</t>
        </is>
      </c>
      <c r="AS731" s="24" t="inlineStr">
        <is>
          <t>Austin FC</t>
        </is>
      </c>
      <c r="AT731" s="24" t="inlineStr">
        <is>
          <t>Austin FC</t>
        </is>
      </c>
      <c r="AU731" s="24" t="inlineStr">
        <is>
          <t>Austin FC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3d16277c2cfc0628d7ec79d04feee92735e5c503a3be195cb225c7c52d024308</t>
        </is>
      </c>
      <c r="BB731" s="24" t="inlineStr">
        <is>
          <t>poisson_dixon_coles</t>
        </is>
      </c>
      <c r="BC731" s="24" t="inlineStr">
        <is>
          <t>soccer-poisson-dc-v1</t>
        </is>
      </c>
      <c r="BD731" s="24" t="inlineStr">
        <is>
          <t>3d16277c2cfc0628d7ec79d04feee92735e5c503a3be195cb225c7c52d024308</t>
        </is>
      </c>
      <c r="BE731" s="24" t="inlineStr">
        <is>
          <t>soccer-poisson-dc-v1</t>
        </is>
      </c>
      <c r="BF731" s="24" t="inlineStr">
        <is>
          <t>1</t>
        </is>
      </c>
      <c r="BG731" s="24" t="inlineStr">
        <is>
          <t>3d16277c2cfc0628d7ec79d04feee92735e5c503a3be195cb225c7c52d024308</t>
        </is>
      </c>
      <c r="BH731" s="24" t="inlineStr">
        <is>
          <t>2026-09-26T13:15:11.236701Z</t>
        </is>
      </c>
      <c r="BI731" s="24" t="inlineStr">
        <is>
          <t>["same_event","same_team_same_day","same_league_same_day"]</t>
        </is>
      </c>
      <c r="BJ731" s="25" t="n"/>
      <c r="BK731" s="26" t="n">
        <v>186</v>
      </c>
      <c r="BL731" s="27" t="n">
        <v>2.86</v>
      </c>
      <c r="BM731" s="28" t="n">
        <v>0.34965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0.34965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"3d16277c2cfc0628d7ec79d04feee92735e5c503a3be195cb225c7c52d024308", "away_team": "San Diego FC", "event_id": "761839", "event_start_utc": "2026-09-27T00:30Z", "features": {"away_goal_rate": 2.141, "history_games": 9181, "home_goal_rate": 1.5433, "league_goals_per_team": 1.5536, "min_team_games": 54.0}, "historical_source_observation_times_verified": false, "home_team": "Austin FC", "inference_inputs": {"away_rate": 2.14098187412234, "code_sha256": {"models/soccer.py": "3d16277c2cfc0628d7ec79d04feee92735e5c503a3be195cb225c7c52d024308"}, "home_rate": 1.543322641981792, "sport": "SOCCER"}, "market_type": "moneyline", "model_version": "soccer-poisson-dc-v1", "observed_at_utc": "2026-09-26T22:34:29.740760+00:00", "probabilities": {"away": 0.506102, "draw": 0.224368, "home": 0.269529}, "replay_scope": "Exact full-precision serving state and rounding; upstream historical observation times are not certified.", "schema": "coded-moneyline-replay-v1", "snapshot_hash": "c2f0aeb771934ba6ea67a141c3405d46ac12604701d7aeb090d66b445f06e0a8", "sport": "SOCCER"}</t>
        </is>
      </c>
    </row>
    <row r="732" ht="36" customHeight="1">
      <c r="A732" s="24" t="inlineStr">
        <is>
          <t>03b3b69b2b3f4d4f</t>
        </is>
      </c>
      <c r="B732" s="24" t="inlineStr">
        <is>
          <t>2026-09-26T22:34:30.426396Z</t>
        </is>
      </c>
      <c r="C732" s="24" t="inlineStr">
        <is>
          <t>2026-09-27T02:30Z</t>
        </is>
      </c>
      <c r="D732" s="24" t="inlineStr">
        <is>
          <t>761841</t>
        </is>
      </c>
      <c r="E732" s="24" t="inlineStr">
        <is>
          <t>SOCCER</t>
        </is>
      </c>
      <c r="F732" s="24" t="inlineStr">
        <is>
          <t>Colorado Rapids</t>
        </is>
      </c>
      <c r="G732" s="24" t="inlineStr">
        <is>
          <t>LA Galaxy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127</v>
      </c>
      <c r="M732" s="27" t="n">
        <v>2.27</v>
      </c>
      <c r="N732" s="28" t="n">
        <v>0.440529</v>
      </c>
      <c r="O732" s="28" t="n">
        <v>0.476548</v>
      </c>
      <c r="P732" s="28" t="n">
        <v>0.04</v>
      </c>
      <c r="Q732" s="28" t="n">
        <v>0.036019</v>
      </c>
      <c r="R732" s="26" t="n">
        <v>44</v>
      </c>
      <c r="S732" s="29" t="n">
        <v>1</v>
      </c>
      <c r="T732" s="24" t="inlineStr">
        <is>
          <t>soccer-poisson-dc-v1</t>
        </is>
      </c>
      <c r="U732" s="24" t="inlineStr">
        <is>
          <t>settled</t>
        </is>
      </c>
      <c r="V732" s="24" t="inlineStr">
        <is>
          <t>win</t>
        </is>
      </c>
      <c r="W732" s="26" t="n">
        <v>2</v>
      </c>
      <c r="X732" s="26" t="n">
        <v>3</v>
      </c>
      <c r="Y732" s="25" t="n"/>
      <c r="Z732" s="26" t="n">
        <v>127</v>
      </c>
      <c r="AA732" s="28" t="n">
        <v>0.44</v>
      </c>
      <c r="AB732" s="28" t="n">
        <v>-0.000529</v>
      </c>
      <c r="AC732" s="30" t="n">
        <v>1.27</v>
      </c>
      <c r="AD732" s="24" t="inlineStr">
        <is>
          <t>2026-09-27T10:00:28.319797Z</t>
        </is>
      </c>
      <c r="AE732" s="31" t="inlineStr">
        <is>
          <t>Poisson-DC rates 1.80 (home) / 1.32 (away) from EWMA attack/defense strengths. Executable ask 0.4400 (atc-mls-lag-col-2026-09-26-lag).</t>
        </is>
      </c>
      <c r="AF732" s="31" t="inlineStr">
        <is>
          <t>Research-only soccer score model; draw-aware, but not yet locked-holdout qualified.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Colorado Rapids</t>
        </is>
      </c>
      <c r="AQ732" s="24" t="inlineStr">
        <is>
          <t>Colorado Rapids</t>
        </is>
      </c>
      <c r="AR732" s="24" t="inlineStr">
        <is>
          <t>Colorado Rapids</t>
        </is>
      </c>
      <c r="AS732" s="24" t="inlineStr">
        <is>
          <t>LA Galaxy</t>
        </is>
      </c>
      <c r="AT732" s="24" t="inlineStr">
        <is>
          <t>LA Galaxy</t>
        </is>
      </c>
      <c r="AU732" s="24" t="inlineStr">
        <is>
          <t>LA Galaxy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3d16277c2cfc0628d7ec79d04feee92735e5c503a3be195cb225c7c52d024308</t>
        </is>
      </c>
      <c r="BB732" s="24" t="inlineStr">
        <is>
          <t>poisson_dixon_coles</t>
        </is>
      </c>
      <c r="BC732" s="24" t="inlineStr">
        <is>
          <t>soccer-poisson-dc-v1</t>
        </is>
      </c>
      <c r="BD732" s="24" t="inlineStr">
        <is>
          <t>3d16277c2cfc0628d7ec79d04feee92735e5c503a3be195cb225c7c52d024308</t>
        </is>
      </c>
      <c r="BE732" s="24" t="inlineStr">
        <is>
          <t>soccer-poisson-dc-v1</t>
        </is>
      </c>
      <c r="BF732" s="24" t="inlineStr">
        <is>
          <t>1</t>
        </is>
      </c>
      <c r="BG732" s="24" t="inlineStr">
        <is>
          <t>3d16277c2cfc0628d7ec79d04feee92735e5c503a3be195cb225c7c52d024308</t>
        </is>
      </c>
      <c r="BH732" s="24" t="inlineStr">
        <is>
          <t>2026-09-26T13:31:04.590199Z</t>
        </is>
      </c>
      <c r="BI732" s="24" t="inlineStr">
        <is>
          <t>["same_event","same_team_same_day","same_league_same_day"]</t>
        </is>
      </c>
      <c r="BJ732" s="25" t="n"/>
      <c r="BK732" s="26" t="n">
        <v>127</v>
      </c>
      <c r="BL732" s="27" t="n">
        <v>2.27</v>
      </c>
      <c r="BM732" s="28" t="n">
        <v>0.440529</v>
      </c>
      <c r="BN732" s="28" t="n"/>
      <c r="BO732" s="28" t="n"/>
      <c r="BP732" s="25" t="n"/>
      <c r="BQ732" s="27" t="n">
        <v>2.27</v>
      </c>
      <c r="BR732" s="28" t="n">
        <v>0.44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0.440529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"3d16277c2cfc0628d7ec79d04feee92735e5c503a3be195cb225c7c52d024308", "away_team": "Colorado Rapids", "event_id": "761841", "event_start_utc": "2026-09-27T02:30Z", "features": {"away_goal_rate": 1.3192, "history_games": 9181, "home_goal_rate": 1.7971, "league_goals_per_team": 1.5536, "min_team_games": 85.0}, "historical_source_observation_times_verified": false, "home_team": "LA Galaxy", "inference_inputs": {"away_rate": 1.3191550543377988, "code_sha256": {"models/soccer.py": "3d16277c2cfc0628d7ec79d04feee92735e5c503a3be195cb225c7c52d024308"}, "home_rate": 1.7970839513313128, "sport": "SOCCER"}, "market_type": "moneyline", "model_version": "soccer-poisson-dc-v1", "observed_at_utc": "2026-09-26T22:34:29.740760+00:00", "probabilities": {"away": 0.271685, "draw": 0.251767, "home": 0.476548}, "replay_scope": "Exact full-precision serving state and rounding; upstream historical observation times are not certified.", "schema": "coded-moneyline-replay-v1", "snapshot_hash": "99e33d77e81d621d4b78e384fa1edf41d35ff2174070cef28a482504b8a3cd55", "sport": "SOCCER"}</t>
        </is>
      </c>
    </row>
    <row r="733" ht="36" customHeight="1">
      <c r="A733" s="24" t="inlineStr">
        <is>
          <t>834e5be6d8804c06</t>
        </is>
      </c>
      <c r="B733" s="24" t="inlineStr">
        <is>
          <t>2026-09-26T22:34:30.426396Z</t>
        </is>
      </c>
      <c r="C733" s="24" t="inlineStr">
        <is>
          <t>2026-09-26T23:00Z</t>
        </is>
      </c>
      <c r="D733" s="24" t="inlineStr">
        <is>
          <t>401900326</t>
        </is>
      </c>
      <c r="E733" s="24" t="inlineStr">
        <is>
          <t>SOCCER</t>
        </is>
      </c>
      <c r="F733" s="24" t="inlineStr">
        <is>
          <t>Chile</t>
        </is>
      </c>
      <c r="G733" s="24" t="inlineStr">
        <is>
          <t>Canada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-144</v>
      </c>
      <c r="M733" s="27" t="n">
        <v>1.694444</v>
      </c>
      <c r="N733" s="28" t="n">
        <v>0.590164</v>
      </c>
      <c r="O733" s="28" t="n">
        <v>0.498233</v>
      </c>
      <c r="P733" s="28" t="n">
        <v>0.2</v>
      </c>
      <c r="Q733" s="28" t="n">
        <v>-0.091931</v>
      </c>
      <c r="R733" s="26" t="n">
        <v>0</v>
      </c>
      <c r="S733" s="29" t="n">
        <v>1</v>
      </c>
      <c r="T733" s="24" t="inlineStr">
        <is>
          <t>soccer-poisson-dc-v1</t>
        </is>
      </c>
      <c r="U733" s="24" t="inlineStr">
        <is>
          <t>settled</t>
        </is>
      </c>
      <c r="V733" s="24" t="inlineStr">
        <is>
          <t>win</t>
        </is>
      </c>
      <c r="W733" s="26" t="n">
        <v>0</v>
      </c>
      <c r="X733" s="26" t="n">
        <v>1</v>
      </c>
      <c r="Y733" s="25" t="n"/>
      <c r="Z733" s="26" t="n">
        <v>-144</v>
      </c>
      <c r="AA733" s="28" t="n">
        <v>0.59</v>
      </c>
      <c r="AB733" s="28" t="n">
        <v>-0.000164</v>
      </c>
      <c r="AC733" s="30" t="n">
        <v>0.6944</v>
      </c>
      <c r="AD733" s="24" t="inlineStr">
        <is>
          <t>2026-09-27T04:33:30.273965Z</t>
        </is>
      </c>
      <c r="AE733" s="31" t="inlineStr">
        <is>
          <t>Poisson-DC rates 1.76 (home) / 1.18 (away) from EWMA attack/defense strengths. Executable ask 0.5900 (atc-intf-can-chl-2026-09-26-can).</t>
        </is>
      </c>
      <c r="AF733" s="31" t="inlineStr">
        <is>
          <t>Research-only soccer score model; draw-aware, but not yet locked-holdout qualified.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PAPER_CALL_MODEL_UNVALIDATED</t>
        </is>
      </c>
      <c r="AP733" s="24" t="inlineStr">
        <is>
          <t>Chile</t>
        </is>
      </c>
      <c r="AQ733" s="24" t="inlineStr">
        <is>
          <t>Chile</t>
        </is>
      </c>
      <c r="AR733" s="24" t="inlineStr">
        <is>
          <t>Chile</t>
        </is>
      </c>
      <c r="AS733" s="24" t="inlineStr">
        <is>
          <t>Canada</t>
        </is>
      </c>
      <c r="AT733" s="24" t="inlineStr">
        <is>
          <t>Canada</t>
        </is>
      </c>
      <c r="AU733" s="24" t="inlineStr">
        <is>
          <t>Canada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3d16277c2cfc0628d7ec79d04feee92735e5c503a3be195cb225c7c52d024308</t>
        </is>
      </c>
      <c r="BB733" s="24" t="inlineStr">
        <is>
          <t>poisson_dixon_coles</t>
        </is>
      </c>
      <c r="BC733" s="24" t="inlineStr">
        <is>
          <t>soccer-poisson-dc-v1</t>
        </is>
      </c>
      <c r="BD733" s="24" t="inlineStr">
        <is>
          <t>3d16277c2cfc0628d7ec79d04feee92735e5c503a3be195cb225c7c52d024308</t>
        </is>
      </c>
      <c r="BE733" s="24" t="inlineStr">
        <is>
          <t>soccer-poisson-dc-v1</t>
        </is>
      </c>
      <c r="BF733" s="24" t="inlineStr">
        <is>
          <t>1</t>
        </is>
      </c>
      <c r="BG733" s="24" t="inlineStr">
        <is>
          <t>3d16277c2cfc0628d7ec79d04feee92735e5c503a3be195cb225c7c52d024308</t>
        </is>
      </c>
      <c r="BH733" s="24" t="inlineStr">
        <is>
          <t>2026-09-26T22:32:34.840598Z</t>
        </is>
      </c>
      <c r="BI733" s="24" t="inlineStr">
        <is>
          <t>["same_event","same_team_same_day","same_league_same_day"]</t>
        </is>
      </c>
      <c r="BJ733" s="25" t="n"/>
      <c r="BK733" s="26" t="n">
        <v>-144</v>
      </c>
      <c r="BL733" s="27" t="n">
        <v>1.694444</v>
      </c>
      <c r="BM733" s="28" t="n">
        <v>0.590164</v>
      </c>
      <c r="BN733" s="28" t="n"/>
      <c r="BO733" s="28" t="n"/>
      <c r="BP733" s="25" t="n"/>
      <c r="BQ733" s="27" t="n">
        <v>1.694444</v>
      </c>
      <c r="BR733" s="28" t="n">
        <v>0.59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0.590164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"3d16277c2cfc0628d7ec79d04feee92735e5c503a3be195cb225c7c52d024308", "away_team": "Chile", "event_id": "401900326", "event_start_utc": "2026-09-26T23:00Z",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"2026-09-26T22:34:29.740760+00:00", "probabilities": {"away": 0.245402, "draw": 0.256365, "home": 0.498233}, "replay_scope": "Exact full-precision serving state and rounding; upstream historical observation times are not certified.", "schema": "coded-moneyline-replay-v1", "snapshot_hash": "15b6368ecb49499e5fa3b8fe9814ae63c33446e93e07257b3e83dd3706789e8a", "sport": "SOCCER"}</t>
        </is>
      </c>
    </row>
    <row r="734" ht="36" customHeight="1">
      <c r="A734" s="24" t="inlineStr">
        <is>
          <t>ce8f5f1a376d46a6</t>
        </is>
      </c>
      <c r="B734" s="24" t="inlineStr">
        <is>
          <t>2026-09-26T22:34:30.426396Z</t>
        </is>
      </c>
      <c r="C734" s="24" t="inlineStr">
        <is>
          <t>2026-09-27T01:00Z</t>
        </is>
      </c>
      <c r="D734" s="24" t="inlineStr">
        <is>
          <t>401903308</t>
        </is>
      </c>
      <c r="E734" s="24" t="inlineStr">
        <is>
          <t>SOCCER</t>
        </is>
      </c>
      <c r="F734" s="24" t="inlineStr">
        <is>
          <t>Colombia</t>
        </is>
      </c>
      <c r="G734" s="24" t="inlineStr">
        <is>
          <t>Mexico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170</v>
      </c>
      <c r="M734" s="27" t="n">
        <v>2.7</v>
      </c>
      <c r="N734" s="28" t="n">
        <v>0.37037</v>
      </c>
      <c r="O734" s="28" t="n">
        <v>0.443816</v>
      </c>
      <c r="P734" s="28" t="n">
        <v>0.15</v>
      </c>
      <c r="Q734" s="28" t="n">
        <v>0.073446</v>
      </c>
      <c r="R734" s="26" t="n">
        <v>0</v>
      </c>
      <c r="S734" s="29" t="n">
        <v>1</v>
      </c>
      <c r="T734" s="24" t="inlineStr">
        <is>
          <t>soccer-poisson-dc-v1</t>
        </is>
      </c>
      <c r="U734" s="24" t="inlineStr">
        <is>
          <t>settled</t>
        </is>
      </c>
      <c r="V734" s="24" t="inlineStr">
        <is>
          <t>loss</t>
        </is>
      </c>
      <c r="W734" s="26" t="n">
        <v>1</v>
      </c>
      <c r="X734" s="26" t="n">
        <v>1</v>
      </c>
      <c r="Y734" s="25" t="n"/>
      <c r="Z734" s="26" t="n">
        <v>170</v>
      </c>
      <c r="AA734" s="28" t="n">
        <v>0.37</v>
      </c>
      <c r="AB734" s="28" t="n">
        <v>-0.00037</v>
      </c>
      <c r="AC734" s="30" t="n">
        <v>-1</v>
      </c>
      <c r="AD734" s="24" t="inlineStr">
        <is>
          <t>2026-09-27T04:33:30.893520Z</t>
        </is>
      </c>
      <c r="AE734" s="31" t="inlineStr">
        <is>
          <t>Poisson-DC rates 1.26 (home) / 0.86 (away) from EWMA attack/defense strengths. Executable ask 0.3700 (atc-intf-col-mex-2026-09-26-mex).</t>
        </is>
      </c>
      <c r="AF734" s="31" t="inlineStr">
        <is>
          <t>Research-only soccer score model; draw-aware, but not yet locked-holdout qualified.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PAPER_CALL_MODEL_UNVALIDATED</t>
        </is>
      </c>
      <c r="AP734" s="24" t="inlineStr">
        <is>
          <t>Colombia</t>
        </is>
      </c>
      <c r="AQ734" s="24" t="inlineStr">
        <is>
          <t>Colombia</t>
        </is>
      </c>
      <c r="AR734" s="24" t="inlineStr">
        <is>
          <t>Colombia</t>
        </is>
      </c>
      <c r="AS734" s="24" t="inlineStr">
        <is>
          <t>Mexico</t>
        </is>
      </c>
      <c r="AT734" s="24" t="inlineStr">
        <is>
          <t>Mexico</t>
        </is>
      </c>
      <c r="AU734" s="24" t="inlineStr">
        <is>
          <t>Mexico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3d16277c2cfc0628d7ec79d04feee92735e5c503a3be195cb225c7c52d024308</t>
        </is>
      </c>
      <c r="BB734" s="24" t="inlineStr">
        <is>
          <t>poisson_dixon_coles</t>
        </is>
      </c>
      <c r="BC734" s="24" t="inlineStr">
        <is>
          <t>soccer-poisson-dc-v1</t>
        </is>
      </c>
      <c r="BD734" s="24" t="inlineStr">
        <is>
          <t>3d16277c2cfc0628d7ec79d04feee92735e5c503a3be195cb225c7c52d024308</t>
        </is>
      </c>
      <c r="BE734" s="24" t="inlineStr">
        <is>
          <t>soccer-poisson-dc-v1</t>
        </is>
      </c>
      <c r="BF734" s="24" t="inlineStr">
        <is>
          <t>1</t>
        </is>
      </c>
      <c r="BG734" s="24" t="inlineStr">
        <is>
          <t>3d16277c2cfc0628d7ec79d04feee92735e5c503a3be195cb225c7c52d024308</t>
        </is>
      </c>
      <c r="BH734" s="24" t="inlineStr">
        <is>
          <t>2026-09-26T13:31:33.201965Z</t>
        </is>
      </c>
      <c r="BI734" s="24" t="inlineStr">
        <is>
          <t>["same_event","same_team_same_day","same_league_same_day"]</t>
        </is>
      </c>
      <c r="BJ734" s="25" t="n"/>
      <c r="BK734" s="26" t="n">
        <v>170</v>
      </c>
      <c r="BL734" s="27" t="n">
        <v>2.7</v>
      </c>
      <c r="BM734" s="28" t="n">
        <v>0.37037</v>
      </c>
      <c r="BN734" s="28" t="n"/>
      <c r="BO734" s="28" t="n"/>
      <c r="BP734" s="25" t="n"/>
      <c r="BQ734" s="27" t="n">
        <v>2.7</v>
      </c>
      <c r="BR734" s="28" t="n">
        <v>0.37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0.37037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"3d16277c2cfc0628d7ec79d04feee92735e5c503a3be195cb225c7c52d024308", "away_team": "Colombia", "event_id": "401903308", "event_start_utc": "2026-09-27T01:00Z", "features": {"away_goal_rate": 0.8573, "history_games": 9181, "home_goal_rate": 1.2587, "league_goals_per_team": 1.4281, "min_team_games": 5.0}, "historical_source_observation_times_verified": false, "home_team": "Mexico", "inference_inputs": {"away_rate": 0.8573244764849955, "code_sha256": {"models/soccer.py": "3d16277c2cfc0628d7ec79d04feee92735e5c503a3be195cb225c7c52d024308"}, "home_rate": 1.2586527385083672, "sport": "SOCCER"}, "market_type": "moneyline", "model_version": "soccer-poisson-dc-v1", "observed_at_utc": "2026-09-26T22:34:29.740760+00:00", "probabilities": {"away": 0.24003, "draw": 0.316154, "home": 0.443816}, "replay_scope": "Exact full-precision serving state and rounding; upstream historical observation times are not certified.", "schema": "coded-moneyline-replay-v1", "snapshot_hash": "de639ea38cf4eb180737d4dc9102f15ab9c5ed14f4eb77147efce65ed9c8303d", "sport": "SOCCER"}</t>
        </is>
      </c>
    </row>
    <row r="735" ht="36" customHeight="1">
      <c r="A735" s="24" t="inlineStr">
        <is>
          <t>84269029be874028</t>
        </is>
      </c>
      <c r="B735" s="24" t="inlineStr">
        <is>
          <t>2026-09-27T16:25:18.426777Z</t>
        </is>
      </c>
      <c r="C735" s="24" t="inlineStr">
        <is>
          <t>2026-09-27T20:30Z</t>
        </is>
      </c>
      <c r="D735" s="24" t="inlineStr">
        <is>
          <t>401913269</t>
        </is>
      </c>
      <c r="E735" s="24" t="inlineStr">
        <is>
          <t>SOCCER</t>
        </is>
      </c>
      <c r="F735" s="24" t="inlineStr">
        <is>
          <t>Paraguay</t>
        </is>
      </c>
      <c r="G735" s="24" t="inlineStr">
        <is>
          <t>Bolivia</t>
        </is>
      </c>
      <c r="H735" s="24" t="inlineStr">
        <is>
          <t>total</t>
        </is>
      </c>
      <c r="I735" s="24" t="inlineStr">
        <is>
          <t>under</t>
        </is>
      </c>
      <c r="J735" s="25" t="n">
        <v>2.5</v>
      </c>
      <c r="K735" s="24" t="inlineStr">
        <is>
          <t>polymarket_us</t>
        </is>
      </c>
      <c r="L735" s="26" t="n">
        <v>108</v>
      </c>
      <c r="M735" s="27" t="n">
        <v>2.08</v>
      </c>
      <c r="N735" s="28" t="n">
        <v>0.480769</v>
      </c>
      <c r="O735" s="28" t="n">
        <v>0.551979</v>
      </c>
      <c r="P735" s="28" t="n">
        <v>0.2</v>
      </c>
      <c r="Q735" s="28" t="n">
        <v>0.07121</v>
      </c>
      <c r="R735" s="26" t="n">
        <v>0</v>
      </c>
      <c r="S735" s="29" t="n">
        <v>1</v>
      </c>
      <c r="T735" s="24" t="inlineStr">
        <is>
          <t>soccer-poisson-dc-v1</t>
        </is>
      </c>
      <c r="U735" s="24" t="inlineStr">
        <is>
          <t>settled</t>
        </is>
      </c>
      <c r="V735" s="24" t="inlineStr">
        <is>
          <t>win</t>
        </is>
      </c>
      <c r="W735" s="26" t="n">
        <v>2</v>
      </c>
      <c r="X735" s="26" t="n">
        <v>0</v>
      </c>
      <c r="Y735" s="25" t="n"/>
      <c r="Z735" s="26" t="n">
        <v>108</v>
      </c>
      <c r="AA735" s="28" t="n">
        <v>0.48</v>
      </c>
      <c r="AB735" s="28" t="n">
        <v>-0.000769</v>
      </c>
      <c r="AC735" s="30" t="n">
        <v>1.08</v>
      </c>
      <c r="AD735" s="24" t="inlineStr">
        <is>
          <t>2026-09-28T04:30:38.673706Z</t>
        </is>
      </c>
      <c r="AE735" s="31" t="inlineStr">
        <is>
          <t>Poisson-DC rates 1.51 (home) / 0.96 (away) from EWMA attack/defense strengths. Executable ask 0.4800 (tsc-intf-bol-par-2026-09-27-2pt5).</t>
        </is>
      </c>
      <c r="AF735" s="31" t="inlineStr">
        <is>
          <t>Research-only soccer score model; draw-aware, but not yet locked-holdout qualified.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PAPER_CALL_MODEL_UNVALIDATED</t>
        </is>
      </c>
      <c r="AP735" s="24" t="inlineStr">
        <is>
          <t>Paraguay</t>
        </is>
      </c>
      <c r="AQ735" s="24" t="inlineStr">
        <is>
          <t>Paraguay</t>
        </is>
      </c>
      <c r="AR735" s="24" t="inlineStr">
        <is>
          <t>Paraguay</t>
        </is>
      </c>
      <c r="AS735" s="24" t="inlineStr">
        <is>
          <t>Bolivia</t>
        </is>
      </c>
      <c r="AT735" s="24" t="inlineStr">
        <is>
          <t>Bolivia</t>
        </is>
      </c>
      <c r="AU735" s="24" t="inlineStr">
        <is>
          <t>Bolivia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3d16277c2cfc0628d7ec79d04feee92735e5c503a3be195cb225c7c52d024308</t>
        </is>
      </c>
      <c r="BB735" s="24" t="inlineStr">
        <is>
          <t>poisson_dixon_coles</t>
        </is>
      </c>
      <c r="BC735" s="24" t="inlineStr">
        <is>
          <t>soccer-poisson-dc-v1</t>
        </is>
      </c>
      <c r="BD735" s="24" t="inlineStr">
        <is>
          <t>3d16277c2cfc0628d7ec79d04feee92735e5c503a3be195cb225c7c52d024308</t>
        </is>
      </c>
      <c r="BE735" s="24" t="inlineStr">
        <is>
          <t>soccer-poisson-dc-v1</t>
        </is>
      </c>
      <c r="BF735" s="24" t="inlineStr">
        <is>
          <t>1</t>
        </is>
      </c>
      <c r="BG735" s="24" t="inlineStr">
        <is>
          <t>3d16277c2cfc0628d7ec79d04feee92735e5c503a3be195cb225c7c52d024308</t>
        </is>
      </c>
      <c r="BH735" s="24" t="inlineStr">
        <is>
          <t>2026-09-27T10:22:35.245381Z</t>
        </is>
      </c>
      <c r="BI735" s="24" t="inlineStr">
        <is>
          <t>["same_event","same_team_same_day","same_league_same_day"]</t>
        </is>
      </c>
      <c r="BJ735" s="25" t="n">
        <v>2.5</v>
      </c>
      <c r="BK735" s="26" t="n">
        <v>108</v>
      </c>
      <c r="BL735" s="27" t="n">
        <v>2.08</v>
      </c>
      <c r="BM735" s="28" t="n">
        <v>0.480769</v>
      </c>
      <c r="BN735" s="28" t="n"/>
      <c r="BO735" s="28" t="n"/>
      <c r="BP735" s="25" t="n"/>
      <c r="BQ735" s="27" t="n">
        <v>2.08</v>
      </c>
      <c r="BR735" s="28" t="n">
        <v>0.48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0.480769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4adddb1ef666428f</t>
        </is>
      </c>
      <c r="B736" s="24" t="inlineStr">
        <is>
          <t>2026-09-27T16:25:18.426777Z</t>
        </is>
      </c>
      <c r="C736" s="24" t="inlineStr">
        <is>
          <t>2026-09-27T21:00Z</t>
        </is>
      </c>
      <c r="D736" s="24" t="inlineStr">
        <is>
          <t>401844169</t>
        </is>
      </c>
      <c r="E736" s="24" t="inlineStr">
        <is>
          <t>SOCCER</t>
        </is>
      </c>
      <c r="F736" s="24" t="inlineStr">
        <is>
          <t>Atletico Rafaela</t>
        </is>
      </c>
      <c r="G736" s="24" t="inlineStr">
        <is>
          <t>Gimnasia y Tiro (Salta)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113</v>
      </c>
      <c r="M736" s="27" t="n">
        <v>2.13</v>
      </c>
      <c r="N736" s="28" t="n">
        <v>0.469484</v>
      </c>
      <c r="O736" s="28" t="n">
        <v>0.456135</v>
      </c>
      <c r="P736" s="28" t="n">
        <v>0.2</v>
      </c>
      <c r="Q736" s="28" t="n">
        <v>-0.013349</v>
      </c>
      <c r="R736" s="26" t="n">
        <v>0</v>
      </c>
      <c r="S736" s="29" t="n">
        <v>1</v>
      </c>
      <c r="T736" s="24" t="inlineStr">
        <is>
          <t>soccer-poisson-dc-v1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113</v>
      </c>
      <c r="AA736" s="28" t="n">
        <v>0.47</v>
      </c>
      <c r="AB736" s="28" t="n">
        <v>0.000516</v>
      </c>
      <c r="AC736" s="30" t="n">
        <v>1.13</v>
      </c>
      <c r="AD736" s="24" t="inlineStr">
        <is>
          <t>2026-09-28T04:30:39.272872Z</t>
        </is>
      </c>
      <c r="AE736" s="31" t="inlineStr">
        <is>
          <t>Poisson-DC rates 1.64 (home) / 1.24 (away) from EWMA attack/defense strengths. Executable ask 0.4700 (atc-arg2-gyt-ar-2026-09-27-gyt).</t>
        </is>
      </c>
      <c r="AF736" s="31" t="inlineStr">
        <is>
          <t>Research-only soccer score model; draw-aware, but not yet locked-holdout qualified.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PAPER_CALL_MODEL_UNVALIDATED</t>
        </is>
      </c>
      <c r="AP736" s="24" t="inlineStr">
        <is>
          <t>Atletico Rafaela</t>
        </is>
      </c>
      <c r="AQ736" s="24" t="inlineStr">
        <is>
          <t>Atletico Rafaela</t>
        </is>
      </c>
      <c r="AR736" s="24" t="inlineStr">
        <is>
          <t>Atletico Rafaela</t>
        </is>
      </c>
      <c r="AS736" s="24" t="inlineStr">
        <is>
          <t>Gimnasia y Tiro (Salta)</t>
        </is>
      </c>
      <c r="AT736" s="24" t="inlineStr">
        <is>
          <t>Gimnasia y Tiro (Salta)</t>
        </is>
      </c>
      <c r="AU736" s="24" t="inlineStr">
        <is>
          <t>Gimnasia y Tiro (Salta)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3d16277c2cfc0628d7ec79d04feee92735e5c503a3be195cb225c7c52d024308</t>
        </is>
      </c>
      <c r="BB736" s="24" t="inlineStr">
        <is>
          <t>poisson_dixon_coles</t>
        </is>
      </c>
      <c r="BC736" s="24" t="inlineStr">
        <is>
          <t>soccer-poisson-dc-v1</t>
        </is>
      </c>
      <c r="BD736" s="24" t="inlineStr">
        <is>
          <t>3d16277c2cfc0628d7ec79d04feee92735e5c503a3be195cb225c7c52d024308</t>
        </is>
      </c>
      <c r="BE736" s="24" t="inlineStr">
        <is>
          <t>soccer-poisson-dc-v1</t>
        </is>
      </c>
      <c r="BF736" s="24" t="inlineStr">
        <is>
          <t>1</t>
        </is>
      </c>
      <c r="BG736" s="24" t="inlineStr">
        <is>
          <t>3d16277c2cfc0628d7ec79d04feee92735e5c503a3be195cb225c7c52d024308</t>
        </is>
      </c>
      <c r="BH736" s="24" t="inlineStr">
        <is>
          <t>2026-09-27T16:21:59.994762Z</t>
        </is>
      </c>
      <c r="BI736" s="24" t="inlineStr">
        <is>
          <t>["same_event","same_team_same_day","same_league_same_day"]</t>
        </is>
      </c>
      <c r="BJ736" s="25" t="n"/>
      <c r="BK736" s="26" t="n">
        <v>113</v>
      </c>
      <c r="BL736" s="27" t="n">
        <v>2.13</v>
      </c>
      <c r="BM736" s="28" t="n">
        <v>0.469484</v>
      </c>
      <c r="BN736" s="28" t="n"/>
      <c r="BO736" s="28" t="n"/>
      <c r="BP736" s="25" t="n"/>
      <c r="BQ736" s="27" t="n">
        <v>2.13</v>
      </c>
      <c r="BR736" s="28" t="n">
        <v>0.47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0.469484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"3d16277c2cfc0628d7ec79d04feee92735e5c503a3be195cb225c7c52d024308", "away_team": "Atletico Rafaela", "event_id": "401844169", "event_start_utc": "2026-09-27T21:00Z", "features": {"away_goal_rate": 1.2418, "history_games": 9181, "home_goal_rate": 1.6423, "league_goals_per_team": 1.4281, "min_team_games": 0.0}, "historical_source_observation_times_verified": false, "home_team": "Gimnasia y Tiro (Salta)",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"2026-09-27T16:25:17.400138+00:00", "probabilities": {"away": 0.278015, "draw": 0.265851, "home": 0.456135}, "replay_scope": "Exact full-precision serving state and rounding; upstream historical observation times are not certified.", "schema": "coded-moneyline-replay-v1", "snapshot_hash": "c340f0a1563f5e9af0f86b2aedc2dc843b2b609d6296f4db7517820bc81f99f4", "sport": "SOCCER"}</t>
        </is>
      </c>
    </row>
    <row r="737" ht="36" customHeight="1">
      <c r="A737" s="24" t="inlineStr">
        <is>
          <t>1a01de1bbc6b4426</t>
        </is>
      </c>
      <c r="B737" s="24" t="inlineStr">
        <is>
          <t>2026-09-27T22:11:12.444409Z</t>
        </is>
      </c>
      <c r="C737" s="24" t="inlineStr">
        <is>
          <t>2026-09-27T23:00Z</t>
        </is>
      </c>
      <c r="D737" s="24" t="inlineStr">
        <is>
          <t>761844</t>
        </is>
      </c>
      <c r="E737" s="24" t="inlineStr">
        <is>
          <t>SOCCER</t>
        </is>
      </c>
      <c r="F737" s="24" t="inlineStr">
        <is>
          <t>Inter Miami CF</t>
        </is>
      </c>
      <c r="G737" s="24" t="inlineStr">
        <is>
          <t>Columbus Crew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117</v>
      </c>
      <c r="M737" s="27" t="n">
        <v>2.17</v>
      </c>
      <c r="N737" s="28" t="n">
        <v>0.460829</v>
      </c>
      <c r="O737" s="28" t="n">
        <v>0.476061</v>
      </c>
      <c r="P737" s="28" t="n">
        <v>0.04</v>
      </c>
      <c r="Q737" s="28" t="n">
        <v>0.015232</v>
      </c>
      <c r="R737" s="26" t="n">
        <v>34</v>
      </c>
      <c r="S737" s="29" t="n">
        <v>1</v>
      </c>
      <c r="T737" s="24" t="inlineStr">
        <is>
          <t>soccer-poisson-dc-v1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2</v>
      </c>
      <c r="Y737" s="25" t="n"/>
      <c r="Z737" s="26" t="n">
        <v>-122</v>
      </c>
      <c r="AA737" s="28" t="n">
        <v>0.55</v>
      </c>
      <c r="AB737" s="28" t="n">
        <v>0.089171</v>
      </c>
      <c r="AC737" s="30" t="n">
        <v>-1</v>
      </c>
      <c r="AD737" s="24" t="inlineStr">
        <is>
          <t>2026-09-28T04:30:41.606938Z</t>
        </is>
      </c>
      <c r="AE737" s="31" t="inlineStr">
        <is>
          <t>Poisson-DC rates 1.94 (home) / 2.37 (away) from EWMA attack/defense strengths. Executable ask 0.4600 (atc-mls-clb-mia-2026-09-27-mia).</t>
        </is>
      </c>
      <c r="AF737" s="31" t="inlineStr">
        <is>
          <t>Research-only soccer score model; draw-aware, but not yet locked-holdout qualified.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Inter Miami CF</t>
        </is>
      </c>
      <c r="AQ737" s="24" t="inlineStr">
        <is>
          <t>Inter Miami CF</t>
        </is>
      </c>
      <c r="AR737" s="24" t="inlineStr">
        <is>
          <t>Inter Miami CF</t>
        </is>
      </c>
      <c r="AS737" s="24" t="inlineStr">
        <is>
          <t>Columbus Crew</t>
        </is>
      </c>
      <c r="AT737" s="24" t="inlineStr">
        <is>
          <t>Columbus Crew</t>
        </is>
      </c>
      <c r="AU737" s="24" t="inlineStr">
        <is>
          <t>Columbus Crew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3d16277c2cfc0628d7ec79d04feee92735e5c503a3be195cb225c7c52d024308</t>
        </is>
      </c>
      <c r="BB737" s="24" t="inlineStr">
        <is>
          <t>poisson_dixon_coles</t>
        </is>
      </c>
      <c r="BC737" s="24" t="inlineStr">
        <is>
          <t>soccer-poisson-dc-v1</t>
        </is>
      </c>
      <c r="BD737" s="24" t="inlineStr">
        <is>
          <t>3d16277c2cfc0628d7ec79d04feee92735e5c503a3be195cb225c7c52d024308</t>
        </is>
      </c>
      <c r="BE737" s="24" t="inlineStr">
        <is>
          <t>soccer-poisson-dc-v1</t>
        </is>
      </c>
      <c r="BF737" s="24" t="inlineStr">
        <is>
          <t>1</t>
        </is>
      </c>
      <c r="BG737" s="24" t="inlineStr">
        <is>
          <t>3d16277c2cfc0628d7ec79d04feee92735e5c503a3be195cb225c7c52d024308</t>
        </is>
      </c>
      <c r="BH737" s="24" t="inlineStr">
        <is>
          <t>2026-09-27T22:09:16.177507Z</t>
        </is>
      </c>
      <c r="BI737" s="24" t="inlineStr">
        <is>
          <t>["same_event","same_team_same_day","same_league_same_day"]</t>
        </is>
      </c>
      <c r="BJ737" s="25" t="n"/>
      <c r="BK737" s="26" t="n">
        <v>117</v>
      </c>
      <c r="BL737" s="27" t="n">
        <v>2.17</v>
      </c>
      <c r="BM737" s="28" t="n">
        <v>0.460829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0.460829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"3d16277c2cfc0628d7ec79d04feee92735e5c503a3be195cb225c7c52d024308", "away_team": "Inter Miami CF", "event_id": "761844", "event_start_utc": "2026-09-27T23:00Z", "features": {"away_goal_rate": 2.3663, "history_games": 9181, "home_goal_rate": 1.9354, "league_goals_per_team": 1.5536, "min_team_games": 88.0}, "historical_source_observation_times_verified": false, "home_team": "Columbus Crew", "inference_inputs": {"away_rate": 2.366314039486239, "code_sha256": {"models/soccer.py": "3d16277c2cfc0628d7ec79d04feee92735e5c503a3be195cb225c7c52d024308"}, "home_rate": 1.935350452229051, "sport": "SOCCER"}, "market_type": "moneyline", "model_version": "soccer-poisson-dc-v1", "observed_at_utc": "2026-09-27T22:11:11.906977+00:00", "probabilities": {"away": 0.476061, "draw": 0.20767, "home": 0.316269}, "replay_scope": "Exact full-precision serving state and rounding; upstream historical observation times are not certified.", "schema": "coded-moneyline-replay-v1", "snapshot_hash": "c1df0a83be81096e288d926ec73055af7d0c65c735d4a21051225dfd5136eb34", "sport": "SOCCER"}</t>
        </is>
      </c>
    </row>
    <row r="738" ht="36" customHeight="1">
      <c r="A738" s="24" t="inlineStr">
        <is>
          <t>ee554add79ad4e0a</t>
        </is>
      </c>
      <c r="B738" s="24" t="inlineStr">
        <is>
          <t>2026-09-28T10:08:57.721357Z</t>
        </is>
      </c>
      <c r="C738" s="24" t="inlineStr">
        <is>
          <t>2026-09-28T10:25Z</t>
        </is>
      </c>
      <c r="D738" s="24" t="inlineStr">
        <is>
          <t>401902642</t>
        </is>
      </c>
      <c r="E738" s="24" t="inlineStr">
        <is>
          <t>SOCCER</t>
        </is>
      </c>
      <c r="F738" s="24" t="inlineStr">
        <is>
          <t>Venezuela</t>
        </is>
      </c>
      <c r="G738" s="24" t="inlineStr">
        <is>
          <t>Japan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-376</v>
      </c>
      <c r="M738" s="27" t="n">
        <v>1.265957</v>
      </c>
      <c r="N738" s="28" t="n">
        <v>0.789916</v>
      </c>
      <c r="O738" s="28" t="n">
        <v>0.514859</v>
      </c>
      <c r="P738" s="28" t="n">
        <v>0.2</v>
      </c>
      <c r="Q738" s="28" t="n">
        <v>-0.275057</v>
      </c>
      <c r="R738" s="26" t="n">
        <v>0</v>
      </c>
      <c r="S738" s="29" t="n">
        <v>1</v>
      </c>
      <c r="T738" s="24" t="inlineStr">
        <is>
          <t>soccer-poisson-dc-v1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2</v>
      </c>
      <c r="Y738" s="25" t="n"/>
      <c r="Z738" s="26" t="n">
        <v>-376</v>
      </c>
      <c r="AA738" s="28" t="n">
        <v>0.79</v>
      </c>
      <c r="AB738" s="28" t="n">
        <v>8.4e-05</v>
      </c>
      <c r="AC738" s="30" t="n">
        <v>0.266</v>
      </c>
      <c r="AD738" s="24" t="inlineStr">
        <is>
          <t>2026-09-28T16:01:45.118076Z</t>
        </is>
      </c>
      <c r="AE738" s="31" t="inlineStr">
        <is>
          <t>Poisson-DC rates 1.84 (home) / 1.19 (away) from EWMA attack/defense strengths. Executable ask 0.7900 (atc-intf-jpn-ven-2026-09-28-jpn).</t>
        </is>
      </c>
      <c r="AF738" s="31" t="inlineStr">
        <is>
          <t>Research-only soccer score model; draw-aware, but not yet locked-holdout qualified.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PAPER_CALL_MODEL_UNVALIDATED</t>
        </is>
      </c>
      <c r="AP738" s="24" t="inlineStr">
        <is>
          <t>Venezuela</t>
        </is>
      </c>
      <c r="AQ738" s="24" t="inlineStr">
        <is>
          <t>Venezuela</t>
        </is>
      </c>
      <c r="AR738" s="24" t="inlineStr">
        <is>
          <t>Venezuela</t>
        </is>
      </c>
      <c r="AS738" s="24" t="inlineStr">
        <is>
          <t>Japan</t>
        </is>
      </c>
      <c r="AT738" s="24" t="inlineStr">
        <is>
          <t>Japan</t>
        </is>
      </c>
      <c r="AU738" s="24" t="inlineStr">
        <is>
          <t>Japan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3d16277c2cfc0628d7ec79d04feee92735e5c503a3be195cb225c7c52d024308</t>
        </is>
      </c>
      <c r="BB738" s="24" t="inlineStr">
        <is>
          <t>poisson_dixon_coles</t>
        </is>
      </c>
      <c r="BC738" s="24" t="inlineStr">
        <is>
          <t>soccer-poisson-dc-v1</t>
        </is>
      </c>
      <c r="BD738" s="24" t="inlineStr">
        <is>
          <t>3d16277c2cfc0628d7ec79d04feee92735e5c503a3be195cb225c7c52d024308</t>
        </is>
      </c>
      <c r="BE738" s="24" t="inlineStr">
        <is>
          <t>soccer-poisson-dc-v1</t>
        </is>
      </c>
      <c r="BF738" s="24" t="inlineStr">
        <is>
          <t>1</t>
        </is>
      </c>
      <c r="BG738" s="24" t="inlineStr">
        <is>
          <t>3d16277c2cfc0628d7ec79d04feee92735e5c503a3be195cb225c7c52d024308</t>
        </is>
      </c>
      <c r="BH738" s="24" t="inlineStr">
        <is>
          <t>2026-09-28T04:35:03.372326Z</t>
        </is>
      </c>
      <c r="BI738" s="24" t="inlineStr">
        <is>
          <t>["same_event","same_team_same_day","same_league_same_day"]</t>
        </is>
      </c>
      <c r="BJ738" s="25" t="n"/>
      <c r="BK738" s="26" t="n">
        <v>-376</v>
      </c>
      <c r="BL738" s="27" t="n">
        <v>1.265957</v>
      </c>
      <c r="BM738" s="28" t="n">
        <v>0.789916</v>
      </c>
      <c r="BN738" s="28" t="n"/>
      <c r="BO738" s="28" t="n"/>
      <c r="BP738" s="25" t="n"/>
      <c r="BQ738" s="27" t="n">
        <v>1.265957</v>
      </c>
      <c r="BR738" s="28" t="n">
        <v>0.79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False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0.789916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"3d16277c2cfc0628d7ec79d04feee92735e5c503a3be195cb225c7c52d024308", "away_team": "Venezuela", "event_id": "401902642", "event_start_utc": "2026-09-28T10:25Z", "features": {"away_goal_rate": 1.1932, "history_games": 9181, "home_goal_rate": 1.8412, "league_goals_per_team": 1.4281, "min_team_games": 0.0}, "historical_source_observation_times_verified": false, "home_team": "Japan", "inference_inputs": {"away_rate": 1.1932040866163964, "code_sha256": {"models/soccer.py": "3d16277c2cfc0628d7ec79d04feee92735e5c503a3be195cb225c7c52d024308"}, "home_rate": 1.8411634093428082, "sport": "SOCCER"}, "market_type": "moneyline", "model_version": "soccer-poisson-dc-v1", "observed_at_utc": "2026-09-28T10:08:57.339319+00:00", "probabilities": {"away": 0.23588, "draw": 0.249261, "home": 0.514859}, "replay_scope": "Exact full-precision serving state and rounding; upstream historical observation times are not certified.", "schema": "coded-moneyline-replay-v1", "snapshot_hash": "52afbc95cc18a192cf18d96b02cd576b2bca12b4ddaf5bc2740e1cf9d1ed364e", "sport": "SOCCER"}</t>
        </is>
      </c>
    </row>
    <row r="739" ht="36" customHeight="1">
      <c r="A739" s="24" t="inlineStr">
        <is>
          <t>509b806438894282</t>
        </is>
      </c>
      <c r="B739" s="24" t="inlineStr">
        <is>
          <t>2026-09-29T22:06:32.141377Z</t>
        </is>
      </c>
      <c r="C739" s="24" t="inlineStr">
        <is>
          <t>2026-09-30T00:00Z</t>
        </is>
      </c>
      <c r="D739" s="24" t="inlineStr">
        <is>
          <t>401905189</t>
        </is>
      </c>
      <c r="E739" s="24" t="inlineStr">
        <is>
          <t>SOCCER</t>
        </is>
      </c>
      <c r="F739" s="24" t="inlineStr">
        <is>
          <t>Chile</t>
        </is>
      </c>
      <c r="G739" s="24" t="inlineStr">
        <is>
          <t>United States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-233</v>
      </c>
      <c r="M739" s="27" t="n">
        <v>1.429185</v>
      </c>
      <c r="N739" s="28" t="n">
        <v>0.6997</v>
      </c>
      <c r="O739" s="28" t="n">
        <v>0.509286</v>
      </c>
      <c r="P739" s="28" t="n">
        <v>0.2</v>
      </c>
      <c r="Q739" s="28" t="n">
        <v>-0.190414</v>
      </c>
      <c r="R739" s="26" t="n">
        <v>0</v>
      </c>
      <c r="S739" s="29" t="n">
        <v>1</v>
      </c>
      <c r="T739" s="24" t="inlineStr">
        <is>
          <t>soccer-poisson-dc-v1</t>
        </is>
      </c>
      <c r="U739" s="24" t="inlineStr">
        <is>
          <t>settled</t>
        </is>
      </c>
      <c r="V739" s="24" t="inlineStr">
        <is>
          <t>win</t>
        </is>
      </c>
      <c r="W739" s="26" t="n">
        <v>2</v>
      </c>
      <c r="X739" s="26" t="n">
        <v>4</v>
      </c>
      <c r="Y739" s="25" t="n"/>
      <c r="Z739" s="26" t="n">
        <v>-233</v>
      </c>
      <c r="AA739" s="28" t="n">
        <v>0.7</v>
      </c>
      <c r="AB739" s="28" t="n">
        <v>0.0003</v>
      </c>
      <c r="AC739" s="30" t="n">
        <v>0.4292</v>
      </c>
      <c r="AD739" s="24" t="inlineStr">
        <is>
          <t>2026-09-30T04:30:32.148874Z</t>
        </is>
      </c>
      <c r="AE739" s="31" t="inlineStr">
        <is>
          <t>Poisson-DC rates 1.95 (home) / 1.33 (away) from EWMA attack/defense strengths. Executable ask 0.7000 (atc-intf-usa-chl-2026-09-29-usa).</t>
        </is>
      </c>
      <c r="AF739" s="31" t="inlineStr">
        <is>
          <t>Research-only soccer score model; draw-aware, but not yet locked-holdout qualified.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Chile</t>
        </is>
      </c>
      <c r="AQ739" s="24" t="inlineStr">
        <is>
          <t>Chile</t>
        </is>
      </c>
      <c r="AR739" s="24" t="inlineStr">
        <is>
          <t>Chile</t>
        </is>
      </c>
      <c r="AS739" s="24" t="inlineStr">
        <is>
          <t>United States</t>
        </is>
      </c>
      <c r="AT739" s="24" t="inlineStr">
        <is>
          <t>United States</t>
        </is>
      </c>
      <c r="AU739" s="24" t="inlineStr">
        <is>
          <t>United States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3d16277c2cfc0628d7ec79d04feee92735e5c503a3be195cb225c7c52d024308</t>
        </is>
      </c>
      <c r="BB739" s="24" t="inlineStr">
        <is>
          <t>poisson_dixon_coles</t>
        </is>
      </c>
      <c r="BC739" s="24" t="inlineStr">
        <is>
          <t>soccer-poisson-dc-v1</t>
        </is>
      </c>
      <c r="BD739" s="24" t="inlineStr">
        <is>
          <t>3d16277c2cfc0628d7ec79d04feee92735e5c503a3be195cb225c7c52d024308</t>
        </is>
      </c>
      <c r="BE739" s="24" t="inlineStr">
        <is>
          <t>soccer-poisson-dc-v1</t>
        </is>
      </c>
      <c r="BF739" s="24" t="inlineStr">
        <is>
          <t>1</t>
        </is>
      </c>
      <c r="BG739" s="24" t="inlineStr">
        <is>
          <t>3d16277c2cfc0628d7ec79d04feee92735e5c503a3be195cb225c7c52d024308</t>
        </is>
      </c>
      <c r="BH739" s="24" t="inlineStr">
        <is>
          <t>2026-09-29T22:05:19.434001Z</t>
        </is>
      </c>
      <c r="BI739" s="24" t="inlineStr">
        <is>
          <t>["same_event","same_team_same_day","same_league_same_day"]</t>
        </is>
      </c>
      <c r="BJ739" s="25" t="n"/>
      <c r="BK739" s="26" t="n">
        <v>-233</v>
      </c>
      <c r="BL739" s="27" t="n">
        <v>1.429185</v>
      </c>
      <c r="BM739" s="28" t="n">
        <v>0.6997</v>
      </c>
      <c r="BN739" s="28" t="n"/>
      <c r="BO739" s="28" t="n"/>
      <c r="BP739" s="25" t="n"/>
      <c r="BQ739" s="27" t="n">
        <v>1.429185</v>
      </c>
      <c r="BR739" s="28" t="n">
        <v>0.7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0.6997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"3d16277c2cfc0628d7ec79d04feee92735e5c503a3be195cb225c7c52d024308", "away_team": "Chile", "event_id": "401905189", "event_start_utc": "2026-09-30T00:00Z", "features": {"away_goal_rate": 1.3277, "history_games": 9181, "home_goal_rate": 1.9474, "league_goals_per_team": 1.4281, "min_team_games": 0.0}, "historical_source_observation_times_verified": false, "home_team": "United States", "inference_inputs": {"away_rate": 1.3277107126003296, "code_sha256": {"models/soccer.py": "3d16277c2cfc0628d7ec79d04feee92735e5c503a3be195cb225c7c52d024308"}, "home_rate": 1.9473949518221443, "sport": "SOCCER"}, "market_type": "moneyline", "model_version": "soccer-poisson-dc-v1", "observed_at_utc": "2026-09-29T22:06:31.290614+00:00", "probabilities": {"away": 0.250965, "draw": 0.239749, "home": 0.509286}, "replay_scope": "Exact full-precision serving state and rounding; upstream historical observation times are not certified.", "schema": "coded-moneyline-replay-v1", "snapshot_hash": "a923a50a911536ac4b4c2b0d949592248b4e82978019f3742074dbba30d0aef8", "sport": "SOCCER"}</t>
        </is>
      </c>
    </row>
    <row r="740" ht="36" customHeight="1">
      <c r="A740" s="24" t="inlineStr">
        <is>
          <t>01244e6dc9b446c8</t>
        </is>
      </c>
      <c r="B740" s="24" t="inlineStr">
        <is>
          <t>2026-09-30T22:04:40.732839Z</t>
        </is>
      </c>
      <c r="C740" s="24" t="inlineStr">
        <is>
          <t>2026-10-01T00:00Z</t>
        </is>
      </c>
      <c r="D740" s="24" t="inlineStr">
        <is>
          <t>401921545</t>
        </is>
      </c>
      <c r="E740" s="24" t="inlineStr">
        <is>
          <t>SOCCER</t>
        </is>
      </c>
      <c r="F740" s="24" t="inlineStr">
        <is>
          <t>Bolivia</t>
        </is>
      </c>
      <c r="G740" s="24" t="inlineStr">
        <is>
          <t>Argentina</t>
        </is>
      </c>
      <c r="H740" s="24" t="inlineStr">
        <is>
          <t>total</t>
        </is>
      </c>
      <c r="I740" s="24" t="inlineStr">
        <is>
          <t>over</t>
        </is>
      </c>
      <c r="J740" s="25" t="n">
        <v>2.5</v>
      </c>
      <c r="K740" s="24" t="inlineStr">
        <is>
          <t>polymarket_us</t>
        </is>
      </c>
      <c r="L740" s="26" t="n">
        <v>-355</v>
      </c>
      <c r="M740" s="27" t="n">
        <v>1.28169</v>
      </c>
      <c r="N740" s="28" t="n">
        <v>0.78022</v>
      </c>
      <c r="O740" s="28" t="n">
        <v>0.621444</v>
      </c>
      <c r="P740" s="28" t="n">
        <v>0.2</v>
      </c>
      <c r="Q740" s="28" t="n">
        <v>-0.158776</v>
      </c>
      <c r="R740" s="26" t="n">
        <v>0</v>
      </c>
      <c r="S740" s="29" t="n">
        <v>1</v>
      </c>
      <c r="T740" s="24" t="inlineStr">
        <is>
          <t>soccer-poisson-dc-v1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4</v>
      </c>
      <c r="Y740" s="25" t="n"/>
      <c r="Z740" s="26" t="n">
        <v>-355</v>
      </c>
      <c r="AA740" s="28" t="n">
        <v>0.78</v>
      </c>
      <c r="AB740" s="28" t="n">
        <v>-0.00022</v>
      </c>
      <c r="AC740" s="30" t="n">
        <v>0.2817</v>
      </c>
      <c r="AD740" s="24" t="inlineStr">
        <is>
          <t>2026-10-01T04:30:40.921266Z</t>
        </is>
      </c>
      <c r="AE740" s="31" t="inlineStr">
        <is>
          <t>Poisson-DC rates 2.13 (home) / 1.08 (away) from EWMA attack/defense strengths. Executable ask 0.7800 (tsc-intf-arg-bol-2026-09-30-2pt5).</t>
        </is>
      </c>
      <c r="AF740" s="31" t="inlineStr">
        <is>
          <t>Research-only soccer score model; draw-aware, but not yet locked-holdout qualified.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PAPER_CALL_MODEL_UNVALIDATED</t>
        </is>
      </c>
      <c r="AP740" s="24" t="inlineStr">
        <is>
          <t>Bolivia</t>
        </is>
      </c>
      <c r="AQ740" s="24" t="inlineStr">
        <is>
          <t>Bolivia</t>
        </is>
      </c>
      <c r="AR740" s="24" t="inlineStr">
        <is>
          <t>Bolivia</t>
        </is>
      </c>
      <c r="AS740" s="24" t="inlineStr">
        <is>
          <t>Argentina</t>
        </is>
      </c>
      <c r="AT740" s="24" t="inlineStr">
        <is>
          <t>Argentina</t>
        </is>
      </c>
      <c r="AU740" s="24" t="inlineStr">
        <is>
          <t>Argentina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3d16277c2cfc0628d7ec79d04feee92735e5c503a3be195cb225c7c52d024308</t>
        </is>
      </c>
      <c r="BB740" s="24" t="inlineStr">
        <is>
          <t>poisson_dixon_coles</t>
        </is>
      </c>
      <c r="BC740" s="24" t="inlineStr">
        <is>
          <t>soccer-poisson-dc-v1</t>
        </is>
      </c>
      <c r="BD740" s="24" t="inlineStr">
        <is>
          <t>3d16277c2cfc0628d7ec79d04feee92735e5c503a3be195cb225c7c52d024308</t>
        </is>
      </c>
      <c r="BE740" s="24" t="inlineStr">
        <is>
          <t>soccer-poisson-dc-v1</t>
        </is>
      </c>
      <c r="BF740" s="24" t="inlineStr">
        <is>
          <t>1</t>
        </is>
      </c>
      <c r="BG740" s="24" t="inlineStr">
        <is>
          <t>3d16277c2cfc0628d7ec79d04feee92735e5c503a3be195cb225c7c52d024308</t>
        </is>
      </c>
      <c r="BH740" s="24" t="inlineStr">
        <is>
          <t>2026-09-30T22:03:25.982868Z</t>
        </is>
      </c>
      <c r="BI740" s="24" t="inlineStr">
        <is>
          <t>["same_event","same_team_same_day","same_league_same_day"]</t>
        </is>
      </c>
      <c r="BJ740" s="25" t="n">
        <v>2.5</v>
      </c>
      <c r="BK740" s="26" t="n">
        <v>-355</v>
      </c>
      <c r="BL740" s="27" t="n">
        <v>1.28169</v>
      </c>
      <c r="BM740" s="28" t="n">
        <v>0.78022</v>
      </c>
      <c r="BN740" s="28" t="n"/>
      <c r="BO740" s="28" t="n"/>
      <c r="BP740" s="25" t="n"/>
      <c r="BQ740" s="27" t="n">
        <v>1.28169</v>
      </c>
      <c r="BR740" s="28" t="n">
        <v>0.78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0.78022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cffd85d5510f47b3</t>
        </is>
      </c>
      <c r="B741" s="24" t="inlineStr">
        <is>
          <t>2026-09-30T22:04:40.732839Z</t>
        </is>
      </c>
      <c r="C741" s="24" t="inlineStr">
        <is>
          <t>2026-10-01T02:00Z</t>
        </is>
      </c>
      <c r="D741" s="24" t="inlineStr">
        <is>
          <t>401924629</t>
        </is>
      </c>
      <c r="E741" s="24" t="inlineStr">
        <is>
          <t>SOCCER</t>
        </is>
      </c>
      <c r="F741" s="24" t="inlineStr">
        <is>
          <t>Tahiti</t>
        </is>
      </c>
      <c r="G741" s="24" t="inlineStr">
        <is>
          <t>Cook Islands</t>
        </is>
      </c>
      <c r="H741" s="24" t="inlineStr">
        <is>
          <t>total</t>
        </is>
      </c>
      <c r="I741" s="24" t="inlineStr">
        <is>
          <t>over</t>
        </is>
      </c>
      <c r="J741" s="25" t="n">
        <v>2.5</v>
      </c>
      <c r="K741" s="24" t="inlineStr">
        <is>
          <t>polymarket_us</t>
        </is>
      </c>
      <c r="L741" s="26" t="n">
        <v>-809</v>
      </c>
      <c r="M741" s="27" t="n">
        <v>1.123609</v>
      </c>
      <c r="N741" s="28" t="n">
        <v>0.889989</v>
      </c>
      <c r="O741" s="28" t="n">
        <v>0.550338</v>
      </c>
      <c r="P741" s="28" t="n">
        <v>0.2</v>
      </c>
      <c r="Q741" s="28" t="n">
        <v>-0.339651</v>
      </c>
      <c r="R741" s="26" t="n">
        <v>0</v>
      </c>
      <c r="S741" s="29" t="n">
        <v>1</v>
      </c>
      <c r="T741" s="24" t="inlineStr">
        <is>
          <t>soccer-poisson-dc-v1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0</v>
      </c>
      <c r="Y741" s="25" t="n"/>
      <c r="Z741" s="26" t="n">
        <v>-809</v>
      </c>
      <c r="AA741" s="28" t="n">
        <v>0.89</v>
      </c>
      <c r="AB741" s="28" t="n">
        <v>1.1e-05</v>
      </c>
      <c r="AC741" s="30" t="n">
        <v>-1</v>
      </c>
      <c r="AD741" s="24" t="inlineStr">
        <is>
          <t>2026-10-01T04:30:41.508210Z</t>
        </is>
      </c>
      <c r="AE741" s="31" t="inlineStr">
        <is>
          <t>Poisson-DC rates 1.64 (home) / 1.24 (away) from EWMA attack/defense strengths. Executable ask 0.8900 (tsc-intf-cok-tah-2026-09-30-2pt5).</t>
        </is>
      </c>
      <c r="AF741" s="31" t="inlineStr">
        <is>
          <t>Research-only soccer score model; draw-aware, but not yet locked-holdout qualified.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Tahiti</t>
        </is>
      </c>
      <c r="AQ741" s="24" t="inlineStr">
        <is>
          <t>Tahiti</t>
        </is>
      </c>
      <c r="AR741" s="24" t="inlineStr">
        <is>
          <t>Tahiti</t>
        </is>
      </c>
      <c r="AS741" s="24" t="inlineStr">
        <is>
          <t>Cook Islands</t>
        </is>
      </c>
      <c r="AT741" s="24" t="inlineStr">
        <is>
          <t>Cook Islands</t>
        </is>
      </c>
      <c r="AU741" s="24" t="inlineStr">
        <is>
          <t>Cook Islands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3d16277c2cfc0628d7ec79d04feee92735e5c503a3be195cb225c7c52d024308</t>
        </is>
      </c>
      <c r="BB741" s="24" t="inlineStr">
        <is>
          <t>poisson_dixon_coles</t>
        </is>
      </c>
      <c r="BC741" s="24" t="inlineStr">
        <is>
          <t>soccer-poisson-dc-v1</t>
        </is>
      </c>
      <c r="BD741" s="24" t="inlineStr">
        <is>
          <t>3d16277c2cfc0628d7ec79d04feee92735e5c503a3be195cb225c7c52d024308</t>
        </is>
      </c>
      <c r="BE741" s="24" t="inlineStr">
        <is>
          <t>soccer-poisson-dc-v1</t>
        </is>
      </c>
      <c r="BF741" s="24" t="inlineStr">
        <is>
          <t>1</t>
        </is>
      </c>
      <c r="BG741" s="24" t="inlineStr">
        <is>
          <t>3d16277c2cfc0628d7ec79d04feee92735e5c503a3be195cb225c7c52d024308</t>
        </is>
      </c>
      <c r="BH741" s="24" t="inlineStr">
        <is>
          <t>2026-09-30T22:03:26.096125Z</t>
        </is>
      </c>
      <c r="BI741" s="24" t="inlineStr">
        <is>
          <t>["same_event","same_team_same_day","same_league_same_day"]</t>
        </is>
      </c>
      <c r="BJ741" s="25" t="n">
        <v>2.5</v>
      </c>
      <c r="BK741" s="26" t="n">
        <v>-809</v>
      </c>
      <c r="BL741" s="27" t="n">
        <v>1.123609</v>
      </c>
      <c r="BM741" s="28" t="n">
        <v>0.889989</v>
      </c>
      <c r="BN741" s="28" t="n"/>
      <c r="BO741" s="28" t="n"/>
      <c r="BP741" s="25" t="n"/>
      <c r="BQ741" s="27" t="n">
        <v>1.123609</v>
      </c>
      <c r="BR741" s="28" t="n">
        <v>0.89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0.889989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121cd6a5dc2044fb</t>
        </is>
      </c>
      <c r="B742" s="24" t="inlineStr">
        <is>
          <t>2026-09-30T22:04:40.732839Z</t>
        </is>
      </c>
      <c r="C742" s="24" t="inlineStr">
        <is>
          <t>2026-10-01T02:00Z</t>
        </is>
      </c>
      <c r="D742" s="24" t="inlineStr">
        <is>
          <t>401924629</t>
        </is>
      </c>
      <c r="E742" s="24" t="inlineStr">
        <is>
          <t>SOCCER</t>
        </is>
      </c>
      <c r="F742" s="24" t="inlineStr">
        <is>
          <t>Tahiti</t>
        </is>
      </c>
      <c r="G742" s="24" t="inlineStr">
        <is>
          <t>Cook Islands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1150</v>
      </c>
      <c r="M742" s="27" t="n">
        <v>12.5</v>
      </c>
      <c r="N742" s="28" t="n">
        <v>0.08</v>
      </c>
      <c r="O742" s="28" t="n">
        <v>0.456135</v>
      </c>
      <c r="P742" s="28" t="n">
        <v>0.2</v>
      </c>
      <c r="Q742" s="28" t="n">
        <v>0.376135</v>
      </c>
      <c r="R742" s="26" t="n">
        <v>100</v>
      </c>
      <c r="S742" s="29" t="n">
        <v>2</v>
      </c>
      <c r="T742" s="24" t="inlineStr">
        <is>
          <t>soccer-poisson-dc-v1</t>
        </is>
      </c>
      <c r="U742" s="24" t="inlineStr">
        <is>
          <t>settled</t>
        </is>
      </c>
      <c r="V742" s="24" t="inlineStr">
        <is>
          <t>loss</t>
        </is>
      </c>
      <c r="W742" s="26" t="n">
        <v>0</v>
      </c>
      <c r="X742" s="26" t="n">
        <v>0</v>
      </c>
      <c r="Y742" s="25" t="n"/>
      <c r="Z742" s="26" t="n">
        <v>1150</v>
      </c>
      <c r="AA742" s="28" t="n">
        <v>0.08</v>
      </c>
      <c r="AB742" s="28" t="n">
        <v>0</v>
      </c>
      <c r="AC742" s="30" t="n">
        <v>-2</v>
      </c>
      <c r="AD742" s="24" t="inlineStr">
        <is>
          <t>2026-10-01T04:30:42.094451Z</t>
        </is>
      </c>
      <c r="AE742" s="31" t="inlineStr">
        <is>
          <t>Poisson-DC rates 1.64 (home) / 1.24 (away) from EWMA attack/defense strengths. Executable ask 0.0800 (atc-intf-cok-tah-2026-09-30-cok).</t>
        </is>
      </c>
      <c r="AF742" s="31" t="inlineStr">
        <is>
          <t>Research-only soccer score model; draw-aware, but not yet locked-holdout qualified.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PAPER_CALL_MODEL_UNVALIDATED</t>
        </is>
      </c>
      <c r="AP742" s="24" t="inlineStr">
        <is>
          <t>Tahiti</t>
        </is>
      </c>
      <c r="AQ742" s="24" t="inlineStr">
        <is>
          <t>Tahiti</t>
        </is>
      </c>
      <c r="AR742" s="24" t="inlineStr">
        <is>
          <t>Tahiti</t>
        </is>
      </c>
      <c r="AS742" s="24" t="inlineStr">
        <is>
          <t>Cook Islands</t>
        </is>
      </c>
      <c r="AT742" s="24" t="inlineStr">
        <is>
          <t>Cook Islands</t>
        </is>
      </c>
      <c r="AU742" s="24" t="inlineStr">
        <is>
          <t>Cook Islands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3d16277c2cfc0628d7ec79d04feee92735e5c503a3be195cb225c7c52d024308</t>
        </is>
      </c>
      <c r="BB742" s="24" t="inlineStr">
        <is>
          <t>poisson_dixon_coles</t>
        </is>
      </c>
      <c r="BC742" s="24" t="inlineStr">
        <is>
          <t>soccer-poisson-dc-v1</t>
        </is>
      </c>
      <c r="BD742" s="24" t="inlineStr">
        <is>
          <t>3d16277c2cfc0628d7ec79d04feee92735e5c503a3be195cb225c7c52d024308</t>
        </is>
      </c>
      <c r="BE742" s="24" t="inlineStr">
        <is>
          <t>soccer-poisson-dc-v1</t>
        </is>
      </c>
      <c r="BF742" s="24" t="inlineStr">
        <is>
          <t>1</t>
        </is>
      </c>
      <c r="BG742" s="24" t="inlineStr">
        <is>
          <t>3d16277c2cfc0628d7ec79d04feee92735e5c503a3be195cb225c7c52d024308</t>
        </is>
      </c>
      <c r="BH742" s="24" t="inlineStr">
        <is>
          <t>2026-09-30T22:03:26.040838Z</t>
        </is>
      </c>
      <c r="BI742" s="24" t="inlineStr">
        <is>
          <t>["same_event","same_team_same_day","same_league_same_day"]</t>
        </is>
      </c>
      <c r="BJ742" s="25" t="n"/>
      <c r="BK742" s="26" t="n">
        <v>1150</v>
      </c>
      <c r="BL742" s="27" t="n">
        <v>12.5</v>
      </c>
      <c r="BM742" s="28" t="n">
        <v>0.08</v>
      </c>
      <c r="BN742" s="28" t="n"/>
      <c r="BO742" s="28" t="n"/>
      <c r="BP742" s="25" t="n"/>
      <c r="BQ742" s="27" t="n">
        <v>12.5</v>
      </c>
      <c r="BR742" s="28" t="n">
        <v>0.08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0.08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"3d16277c2cfc0628d7ec79d04feee92735e5c503a3be195cb225c7c52d024308", "away_team": "Tahiti", "event_id": "401924629", "event_start_utc": "2026-10-01T02:00Z", "features": {"away_goal_rate": 1.2418, "history_games": 9181, "home_goal_rate": 1.6423, "league_goals_per_team": 1.4281, "min_team_games": 0.0}, "historical_source_observation_times_verified": false, "home_team": "Cook Islands",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"2026-09-30T22:04:40.020391+00:00", "probabilities": {"away": 0.278015, "draw": 0.265851, "home": 0.456135}, "replay_scope": "Exact full-precision serving state and rounding; upstream historical observation times are not certified.", "schema": "coded-moneyline-replay-v1", "snapshot_hash": "0ee9258cf02119fcaa413ade0417a9372b0a684c49bc0ecc75fa249172d309a1", "sport": "SOCCER"}</t>
        </is>
      </c>
    </row>
    <row r="743" ht="36" customHeight="1">
      <c r="A743" s="24" t="inlineStr">
        <is>
          <t>434bb84e90d0438a</t>
        </is>
      </c>
      <c r="B743" s="24" t="inlineStr">
        <is>
          <t>2026-10-01T10:09:47.057308Z</t>
        </is>
      </c>
      <c r="C743" s="24" t="inlineStr">
        <is>
          <t>2026-10-01T14:00Z</t>
        </is>
      </c>
      <c r="D743" s="24" t="inlineStr">
        <is>
          <t>401919420</t>
        </is>
      </c>
      <c r="E743" s="24" t="inlineStr">
        <is>
          <t>SOCCER</t>
        </is>
      </c>
      <c r="F743" s="24" t="inlineStr">
        <is>
          <t>Lebanon</t>
        </is>
      </c>
      <c r="G743" s="24" t="inlineStr">
        <is>
          <t>Maldives</t>
        </is>
      </c>
      <c r="H743" s="24" t="inlineStr">
        <is>
          <t>total</t>
        </is>
      </c>
      <c r="I743" s="24" t="inlineStr">
        <is>
          <t>over</t>
        </is>
      </c>
      <c r="J743" s="25" t="n">
        <v>2.5</v>
      </c>
      <c r="K743" s="24" t="inlineStr">
        <is>
          <t>polymarket_us</t>
        </is>
      </c>
      <c r="L743" s="26" t="n">
        <v>-4900</v>
      </c>
      <c r="M743" s="27" t="n">
        <v>1.020408</v>
      </c>
      <c r="N743" s="28" t="n">
        <v>0.98</v>
      </c>
      <c r="O743" s="28" t="n">
        <v>0.550338</v>
      </c>
      <c r="P743" s="28" t="n">
        <v>0.2</v>
      </c>
      <c r="Q743" s="28" t="n">
        <v>-0.429662</v>
      </c>
      <c r="R743" s="26" t="n">
        <v>0</v>
      </c>
      <c r="S743" s="29" t="n">
        <v>1</v>
      </c>
      <c r="T743" s="24" t="inlineStr">
        <is>
          <t>soccer-poisson-dc-v1</t>
        </is>
      </c>
      <c r="U743" s="24" t="inlineStr">
        <is>
          <t>settled</t>
        </is>
      </c>
      <c r="V743" s="24" t="inlineStr">
        <is>
          <t>win</t>
        </is>
      </c>
      <c r="W743" s="26" t="n">
        <v>6</v>
      </c>
      <c r="X743" s="26" t="n">
        <v>0</v>
      </c>
      <c r="Y743" s="25" t="n"/>
      <c r="Z743" s="26" t="n">
        <v>-4900</v>
      </c>
      <c r="AA743" s="28" t="n">
        <v>0.98</v>
      </c>
      <c r="AB743" s="28" t="n">
        <v>0</v>
      </c>
      <c r="AC743" s="30" t="n">
        <v>0.0204</v>
      </c>
      <c r="AD743" s="24" t="inlineStr">
        <is>
          <t>2026-10-01T22:00:17.706443Z</t>
        </is>
      </c>
      <c r="AE743" s="31" t="inlineStr">
        <is>
          <t>Poisson-DC rates 1.64 (home) / 1.24 (away) from EWMA attack/defense strengths. Executable ask 0.9800 (tsc-intf-mdv-lib-2026-10-01-2pt5).</t>
        </is>
      </c>
      <c r="AF743" s="31" t="inlineStr">
        <is>
          <t>Research-only soccer score model; draw-aware, but not yet locked-holdout qualified.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Lebanon</t>
        </is>
      </c>
      <c r="AQ743" s="24" t="inlineStr">
        <is>
          <t>Lebanon</t>
        </is>
      </c>
      <c r="AR743" s="24" t="inlineStr">
        <is>
          <t>Lebanon</t>
        </is>
      </c>
      <c r="AS743" s="24" t="inlineStr">
        <is>
          <t>Maldives</t>
        </is>
      </c>
      <c r="AT743" s="24" t="inlineStr">
        <is>
          <t>Maldives</t>
        </is>
      </c>
      <c r="AU743" s="24" t="inlineStr">
        <is>
          <t>Maldives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3d16277c2cfc0628d7ec79d04feee92735e5c503a3be195cb225c7c52d024308</t>
        </is>
      </c>
      <c r="BB743" s="24" t="inlineStr">
        <is>
          <t>poisson_dixon_coles</t>
        </is>
      </c>
      <c r="BC743" s="24" t="inlineStr">
        <is>
          <t>soccer-poisson-dc-v1</t>
        </is>
      </c>
      <c r="BD743" s="24" t="inlineStr">
        <is>
          <t>3d16277c2cfc0628d7ec79d04feee92735e5c503a3be195cb225c7c52d024308</t>
        </is>
      </c>
      <c r="BE743" s="24" t="inlineStr">
        <is>
          <t>soccer-poisson-dc-v1</t>
        </is>
      </c>
      <c r="BF743" s="24" t="inlineStr">
        <is>
          <t>1</t>
        </is>
      </c>
      <c r="BG743" s="24" t="inlineStr">
        <is>
          <t>3d16277c2cfc0628d7ec79d04feee92735e5c503a3be195cb225c7c52d024308</t>
        </is>
      </c>
      <c r="BH743" s="24" t="inlineStr">
        <is>
          <t>2026-10-01T10:06:18.376722Z</t>
        </is>
      </c>
      <c r="BI743" s="24" t="inlineStr">
        <is>
          <t>["same_event","same_team_same_day","same_league_same_day"]</t>
        </is>
      </c>
      <c r="BJ743" s="25" t="n">
        <v>2.5</v>
      </c>
      <c r="BK743" s="26" t="n">
        <v>-4900</v>
      </c>
      <c r="BL743" s="27" t="n">
        <v>1.020408</v>
      </c>
      <c r="BM743" s="28" t="n">
        <v>0.98</v>
      </c>
      <c r="BN743" s="28" t="n"/>
      <c r="BO743" s="28" t="n"/>
      <c r="BP743" s="25" t="n"/>
      <c r="BQ743" s="27" t="n">
        <v>1.020408</v>
      </c>
      <c r="BR743" s="28" t="n">
        <v>0.98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0.98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7d210a8303e148ac</t>
        </is>
      </c>
      <c r="B744" s="24" t="inlineStr">
        <is>
          <t>2026-10-01T16:07:43.124928Z</t>
        </is>
      </c>
      <c r="C744" s="24" t="inlineStr">
        <is>
          <t>2026-10-01T18:00Z</t>
        </is>
      </c>
      <c r="D744" s="24" t="inlineStr">
        <is>
          <t>401927453</t>
        </is>
      </c>
      <c r="E744" s="24" t="inlineStr">
        <is>
          <t>SOCCER</t>
        </is>
      </c>
      <c r="F744" s="24" t="inlineStr">
        <is>
          <t>Ceuta</t>
        </is>
      </c>
      <c r="G744" s="24" t="inlineStr">
        <is>
          <t>Real Betis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-270</v>
      </c>
      <c r="M744" s="27" t="n">
        <v>1.37037</v>
      </c>
      <c r="N744" s="28" t="n">
        <v>0.72973</v>
      </c>
      <c r="O744" s="28" t="n">
        <v>0.512505</v>
      </c>
      <c r="P744" s="28" t="n">
        <v>0.2</v>
      </c>
      <c r="Q744" s="28" t="n">
        <v>-0.217225</v>
      </c>
      <c r="R744" s="26" t="n">
        <v>0</v>
      </c>
      <c r="S744" s="29" t="n">
        <v>1</v>
      </c>
      <c r="T744" s="24" t="inlineStr">
        <is>
          <t>soccer-poisson-dc-v1</t>
        </is>
      </c>
      <c r="U744" s="24" t="inlineStr">
        <is>
          <t>settled</t>
        </is>
      </c>
      <c r="V744" s="24" t="inlineStr">
        <is>
          <t>push</t>
        </is>
      </c>
      <c r="W744" s="26" t="n"/>
      <c r="X744" s="26" t="n"/>
      <c r="Y744" s="25" t="n"/>
      <c r="Z744" s="26" t="n"/>
      <c r="AA744" s="28" t="n"/>
      <c r="AB744" s="28" t="n"/>
      <c r="AC744" s="30" t="n">
        <v>0</v>
      </c>
      <c r="AD744" s="24" t="inlineStr">
        <is>
          <t>2026-10-06T05:34:14.589629Z</t>
        </is>
      </c>
      <c r="AE744" s="31" t="inlineStr">
        <is>
          <t>Poisson-DC rates 1.80 (home) / 1.16 (away) from EWMA attack/defense strengths. Executable ask 0.7300 (atc-clbf-rbb-ceu-2026-10-01-rbb).</t>
        </is>
      </c>
      <c r="AF744" s="31" t="inlineStr">
        <is>
          <t>Research-only soccer score model; draw-aware, but not yet locked-holdout qualified.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Ceuta</t>
        </is>
      </c>
      <c r="AQ744" s="24" t="inlineStr">
        <is>
          <t>Ceuta</t>
        </is>
      </c>
      <c r="AR744" s="24" t="inlineStr">
        <is>
          <t>Ceuta</t>
        </is>
      </c>
      <c r="AS744" s="24" t="inlineStr">
        <is>
          <t>Real Betis</t>
        </is>
      </c>
      <c r="AT744" s="24" t="inlineStr">
        <is>
          <t>Real Betis</t>
        </is>
      </c>
      <c r="AU744" s="24" t="inlineStr">
        <is>
          <t>Real Betis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3d16277c2cfc0628d7ec79d04feee92735e5c503a3be195cb225c7c52d024308</t>
        </is>
      </c>
      <c r="BB744" s="24" t="inlineStr">
        <is>
          <t>poisson_dixon_coles</t>
        </is>
      </c>
      <c r="BC744" s="24" t="inlineStr">
        <is>
          <t>soccer-poisson-dc-v1</t>
        </is>
      </c>
      <c r="BD744" s="24" t="inlineStr">
        <is>
          <t>3d16277c2cfc0628d7ec79d04feee92735e5c503a3be195cb225c7c52d024308</t>
        </is>
      </c>
      <c r="BE744" s="24" t="inlineStr">
        <is>
          <t>soccer-poisson-dc-v1</t>
        </is>
      </c>
      <c r="BF744" s="24" t="inlineStr">
        <is>
          <t>1</t>
        </is>
      </c>
      <c r="BG744" s="24" t="inlineStr">
        <is>
          <t>3d16277c2cfc0628d7ec79d04feee92735e5c503a3be195cb225c7c52d024308</t>
        </is>
      </c>
      <c r="BH744" s="24" t="inlineStr">
        <is>
          <t>2026-10-01T16:06:06.030824Z</t>
        </is>
      </c>
      <c r="BI744" s="24" t="inlineStr">
        <is>
          <t>["same_event","same_team_same_day","same_league_same_day"]</t>
        </is>
      </c>
      <c r="BJ744" s="25" t="n"/>
      <c r="BK744" s="26" t="n">
        <v>-270</v>
      </c>
      <c r="BL744" s="27" t="n">
        <v>1.37037</v>
      </c>
      <c r="BM744" s="28" t="n">
        <v>0.72973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inlineStr">
        <is>
          <t>event status_postponed</t>
        </is>
      </c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0.72973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"3d16277c2cfc0628d7ec79d04feee92735e5c503a3be195cb225c7c52d024308", "away_team": "Ceuta", "event_id": "401927453", "event_start_utc": "2026-10-01T18:00Z", "features": {"away_goal_rate": 1.16, "history_games": 9181, "home_goal_rate": 1.7988, "league_goals_per_team": 1.4281, "min_team_games": 0.0}, "historical_source_observation_times_verified": false, "home_team": "Real Betis", "inference_inputs": {"away_rate": 1.1600132369778589, "code_sha256": {"models/soccer.py": "3d16277c2cfc0628d7ec79d04feee92735e5c503a3be195cb225c7c52d024308"}, "home_rate": 1.7988324663212805, "sport": "SOCCER"}, "market_type": "moneyline", "model_version": "soccer-poisson-dc-v1", "observed_at_utc": "2026-10-01T16:07:42.432823+00:00", "probabilities": {"away": 0.234286, "draw": 0.253209, "home": 0.512505}, "replay_scope": "Exact full-precision serving state and rounding; upstream historical observation times are not certified.", "schema": "coded-moneyline-replay-v1", "snapshot_hash": "990abfe7d0c36086b627d6c52612695e961ab5e69b8ceb7744c5a279d4dbdacd", "sport": "SOCCER"}</t>
        </is>
      </c>
    </row>
    <row r="745" ht="36" customHeight="1">
      <c r="A745" s="24" t="inlineStr">
        <is>
          <t>e691fde86afc40fc</t>
        </is>
      </c>
      <c r="B745" s="24" t="inlineStr">
        <is>
          <t>2026-10-01T22:06:46.445767Z</t>
        </is>
      </c>
      <c r="C745" s="24" t="inlineStr">
        <is>
          <t>2026-10-02T01:30Z</t>
        </is>
      </c>
      <c r="D745" s="24" t="inlineStr">
        <is>
          <t>761798</t>
        </is>
      </c>
      <c r="E745" s="24" t="inlineStr">
        <is>
          <t>SOCCER</t>
        </is>
      </c>
      <c r="F745" s="24" t="inlineStr">
        <is>
          <t>Sporting Kansas City</t>
        </is>
      </c>
      <c r="G745" s="24" t="inlineStr">
        <is>
          <t>Seattle Sounders FC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-194</v>
      </c>
      <c r="M745" s="27" t="n">
        <v>1.515464</v>
      </c>
      <c r="N745" s="28" t="n">
        <v>0.659864</v>
      </c>
      <c r="O745" s="28" t="n">
        <v>0.720533</v>
      </c>
      <c r="P745" s="28" t="n">
        <v>0.04</v>
      </c>
      <c r="Q745" s="28" t="n">
        <v>0.060669</v>
      </c>
      <c r="R745" s="26" t="n">
        <v>56</v>
      </c>
      <c r="S745" s="29" t="n">
        <v>1.25</v>
      </c>
      <c r="T745" s="24" t="inlineStr">
        <is>
          <t>soccer-poisson-dc-v1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2</v>
      </c>
      <c r="Y745" s="25" t="n"/>
      <c r="Z745" s="26" t="n">
        <v>-194</v>
      </c>
      <c r="AA745" s="28" t="n">
        <v>0.66</v>
      </c>
      <c r="AB745" s="28" t="n">
        <v>0.000136</v>
      </c>
      <c r="AC745" s="30" t="n">
        <v>0.6443</v>
      </c>
      <c r="AD745" s="24" t="inlineStr">
        <is>
          <t>2026-10-02T04:30:28.146747Z</t>
        </is>
      </c>
      <c r="AE745" s="31" t="inlineStr">
        <is>
          <t>Poisson-DC rates 2.60 (home) / 0.95 (away) from EWMA attack/defense strengths. Executable ask 0.6600 (atc-mls-sea-skc-2026-10-01-sea).</t>
        </is>
      </c>
      <c r="AF745" s="31" t="inlineStr">
        <is>
          <t>Research-only soccer score model; draw-aware, but not yet locked-holdout qualified.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Sporting Kansas City</t>
        </is>
      </c>
      <c r="AQ745" s="24" t="inlineStr">
        <is>
          <t>Sporting Kansas City</t>
        </is>
      </c>
      <c r="AR745" s="24" t="inlineStr">
        <is>
          <t>Sporting Kansas City</t>
        </is>
      </c>
      <c r="AS745" s="24" t="inlineStr">
        <is>
          <t>Seattle Sounders FC</t>
        </is>
      </c>
      <c r="AT745" s="24" t="inlineStr">
        <is>
          <t>Seattle Sounders FC</t>
        </is>
      </c>
      <c r="AU745" s="24" t="inlineStr">
        <is>
          <t>Seattle Sounders FC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3d16277c2cfc0628d7ec79d04feee92735e5c503a3be195cb225c7c52d024308</t>
        </is>
      </c>
      <c r="BB745" s="24" t="inlineStr">
        <is>
          <t>poisson_dixon_coles</t>
        </is>
      </c>
      <c r="BC745" s="24" t="inlineStr">
        <is>
          <t>soccer-poisson-dc-v1</t>
        </is>
      </c>
      <c r="BD745" s="24" t="inlineStr">
        <is>
          <t>3d16277c2cfc0628d7ec79d04feee92735e5c503a3be195cb225c7c52d024308</t>
        </is>
      </c>
      <c r="BE745" s="24" t="inlineStr">
        <is>
          <t>soccer-poisson-dc-v1</t>
        </is>
      </c>
      <c r="BF745" s="24" t="inlineStr">
        <is>
          <t>1</t>
        </is>
      </c>
      <c r="BG745" s="24" t="inlineStr">
        <is>
          <t>3d16277c2cfc0628d7ec79d04feee92735e5c503a3be195cb225c7c52d024308</t>
        </is>
      </c>
      <c r="BH745" s="24" t="inlineStr">
        <is>
          <t>2026-10-01T10:06:07.280173Z</t>
        </is>
      </c>
      <c r="BI745" s="24" t="inlineStr">
        <is>
          <t>["same_event","same_team_same_day","same_league_same_day"]</t>
        </is>
      </c>
      <c r="BJ745" s="25" t="n"/>
      <c r="BK745" s="26" t="n">
        <v>-194</v>
      </c>
      <c r="BL745" s="27" t="n">
        <v>1.515464</v>
      </c>
      <c r="BM745" s="28" t="n">
        <v>0.659864</v>
      </c>
      <c r="BN745" s="28" t="n"/>
      <c r="BO745" s="28" t="n"/>
      <c r="BP745" s="25" t="n"/>
      <c r="BQ745" s="27" t="n">
        <v>1.515464</v>
      </c>
      <c r="BR745" s="28" t="n">
        <v>0.66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0.659864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"3d16277c2cfc0628d7ec79d04feee92735e5c503a3be195cb225c7c52d024308", "away_team": "Sporting Kansas City", "event_id": "761798", "event_start_utc": "2026-10-02T01:30Z", "features": {"away_goal_rate": 0.9519, "history_games": 9181, "home_goal_rate": 2.6032, "league_goals_per_team": 1.5536, "min_team_games": 83.0}, "historical_source_observation_times_verified": false, "home_team": "Seattle Sounders FC", "inference_inputs": {"away_rate": 0.9519418877240788, "code_sha256": {"models/soccer.py": "3d16277c2cfc0628d7ec79d04feee92735e5c503a3be195cb225c7c52d024308"}, "home_rate": 2.60318629443041, "sport": "SOCCER"}, "market_type": "moneyline", "model_version": "soccer-poisson-dc-v1", "observed_at_utc": "2026-10-01T22:06:45.383426+00:00", "probabilities": {"away": 0.10787, "draw": 0.171597, "home": 0.720533}, "replay_scope": "Exact full-precision serving state and rounding; upstream historical observation times are not certified.", "schema": "coded-moneyline-replay-v1", "snapshot_hash": "7bfd21e3c43454d9287cf1dc2eb9b344b946211be2ef793afae963517dff9437", "sport": "SOCCER"}</t>
        </is>
      </c>
    </row>
    <row r="746" ht="36" customHeight="1">
      <c r="A746" s="24" t="inlineStr">
        <is>
          <t>a832ec8cb6e84b5a</t>
        </is>
      </c>
      <c r="B746" s="24" t="inlineStr">
        <is>
          <t>2026-10-02T16:07:50.465912Z</t>
        </is>
      </c>
      <c r="C746" s="24" t="inlineStr">
        <is>
          <t>2026-10-02T22:00Z</t>
        </is>
      </c>
      <c r="D746" s="24" t="inlineStr">
        <is>
          <t>401844189</t>
        </is>
      </c>
      <c r="E746" s="24" t="inlineStr">
        <is>
          <t>SOCCER</t>
        </is>
      </c>
      <c r="F746" s="24" t="inlineStr">
        <is>
          <t>Deportivo Madryn</t>
        </is>
      </c>
      <c r="G746" s="24" t="inlineStr">
        <is>
          <t>Ferro Carril Oeste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-113</v>
      </c>
      <c r="M746" s="27" t="n">
        <v>1.884956</v>
      </c>
      <c r="N746" s="28" t="n">
        <v>0.530516</v>
      </c>
      <c r="O746" s="28" t="n">
        <v>0.456135</v>
      </c>
      <c r="P746" s="28" t="n">
        <v>0.2</v>
      </c>
      <c r="Q746" s="28" t="n">
        <v>-0.074381</v>
      </c>
      <c r="R746" s="26" t="n">
        <v>0</v>
      </c>
      <c r="S746" s="29" t="n">
        <v>1</v>
      </c>
      <c r="T746" s="24" t="inlineStr">
        <is>
          <t>soccer-poisson-dc-v1</t>
        </is>
      </c>
      <c r="U746" s="24" t="inlineStr">
        <is>
          <t>settled</t>
        </is>
      </c>
      <c r="V746" s="24" t="inlineStr">
        <is>
          <t>loss</t>
        </is>
      </c>
      <c r="W746" s="26" t="n">
        <v>2</v>
      </c>
      <c r="X746" s="26" t="n">
        <v>0</v>
      </c>
      <c r="Y746" s="25" t="n"/>
      <c r="Z746" s="26" t="n">
        <v>-113</v>
      </c>
      <c r="AA746" s="28" t="n">
        <v>0.53</v>
      </c>
      <c r="AB746" s="28" t="n">
        <v>-0.000516</v>
      </c>
      <c r="AC746" s="30" t="n">
        <v>-1</v>
      </c>
      <c r="AD746" s="24" t="inlineStr">
        <is>
          <t>2026-10-03T04:30:26.321464Z</t>
        </is>
      </c>
      <c r="AE746" s="31" t="inlineStr">
        <is>
          <t>Poisson-DC rates 1.64 (home) / 1.24 (away) from EWMA attack/defense strengths. Executable ask 0.5300 (atc-arg2-fco-dma-2026-10-03-fco).</t>
        </is>
      </c>
      <c r="AF746" s="31" t="inlineStr">
        <is>
          <t>Research-only soccer score model; draw-aware, but not yet locked-holdout qualified.</t>
        </is>
      </c>
      <c r="AG746" s="24" t="inlineStr">
        <is>
          <t>review_required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PAPER_CALL_MODEL_UNVALIDATED</t>
        </is>
      </c>
      <c r="AP746" s="24" t="inlineStr">
        <is>
          <t>Deportivo Madryn</t>
        </is>
      </c>
      <c r="AQ746" s="24" t="inlineStr">
        <is>
          <t>Deportivo Madryn</t>
        </is>
      </c>
      <c r="AR746" s="24" t="inlineStr">
        <is>
          <t>Deportivo Madryn</t>
        </is>
      </c>
      <c r="AS746" s="24" t="inlineStr">
        <is>
          <t>Ferro Carril Oeste</t>
        </is>
      </c>
      <c r="AT746" s="24" t="inlineStr">
        <is>
          <t>Ferro Carril Oeste</t>
        </is>
      </c>
      <c r="AU746" s="24" t="inlineStr">
        <is>
          <t>Ferro Carril Oeste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3d16277c2cfc0628d7ec79d04feee92735e5c503a3be195cb225c7c52d024308</t>
        </is>
      </c>
      <c r="BB746" s="24" t="inlineStr">
        <is>
          <t>poisson_dixon_coles</t>
        </is>
      </c>
      <c r="BC746" s="24" t="inlineStr">
        <is>
          <t>soccer-poisson-dc-v1</t>
        </is>
      </c>
      <c r="BD746" s="24" t="inlineStr">
        <is>
          <t>3d16277c2cfc0628d7ec79d04feee92735e5c503a3be195cb225c7c52d024308</t>
        </is>
      </c>
      <c r="BE746" s="24" t="inlineStr">
        <is>
          <t>soccer-poisson-dc-v1</t>
        </is>
      </c>
      <c r="BF746" s="24" t="inlineStr">
        <is>
          <t>1</t>
        </is>
      </c>
      <c r="BG746" s="24" t="inlineStr">
        <is>
          <t>3d16277c2cfc0628d7ec79d04feee92735e5c503a3be195cb225c7c52d024308</t>
        </is>
      </c>
      <c r="BH746" s="24" t="inlineStr">
        <is>
          <t>2026-10-02T16:06:15.084686Z</t>
        </is>
      </c>
      <c r="BI746" s="24" t="inlineStr">
        <is>
          <t>["same_event","same_team_same_day","same_league_same_day"]</t>
        </is>
      </c>
      <c r="BJ746" s="25" t="n"/>
      <c r="BK746" s="26" t="n">
        <v>-113</v>
      </c>
      <c r="BL746" s="27" t="n">
        <v>1.884956</v>
      </c>
      <c r="BM746" s="28" t="n">
        <v>0.530516</v>
      </c>
      <c r="BN746" s="28" t="n"/>
      <c r="BO746" s="28" t="n"/>
      <c r="BP746" s="25" t="n"/>
      <c r="BQ746" s="27" t="n">
        <v>1.884956</v>
      </c>
      <c r="BR746" s="28" t="n">
        <v>0.53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0.530516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"3d16277c2cfc0628d7ec79d04feee92735e5c503a3be195cb225c7c52d024308", "away_team": "Deportivo Madryn", "event_id": "401844189", "event_start_utc": "2026-10-02T22:00Z", "features": {"away_goal_rate": 1.2418, "history_games": 9181, "home_goal_rate": 1.6423, "league_goals_per_team": 1.4281, "min_team_games": 0.0}, "historical_source_observation_times_verified": false, "home_team": "Ferro Carril Oeste",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"2026-10-02T16:07:49.928272+00:00", "probabilities": {"away": 0.278015, "draw": 0.265851, "home": 0.456135}, "replay_scope": "Exact full-precision serving state and rounding; upstream historical observation times are not certified.", "schema": "coded-moneyline-replay-v1", "snapshot_hash": "6fdb6590d23bfb3ffb23099fef4b0f05eb792af4a0d63f06da11aaa8eeab48c4", "sport": "SOCCER"}</t>
        </is>
      </c>
    </row>
    <row r="747" ht="36" customHeight="1">
      <c r="A747" s="24" t="inlineStr">
        <is>
          <t>a441f17a64d64cb2</t>
        </is>
      </c>
      <c r="B747" s="24" t="inlineStr">
        <is>
          <t>2026-10-02T22:06:17.352793Z</t>
        </is>
      </c>
      <c r="C747" s="24" t="inlineStr">
        <is>
          <t>2026-10-02T23:00Z</t>
        </is>
      </c>
      <c r="D747" s="24" t="inlineStr">
        <is>
          <t>401841169</t>
        </is>
      </c>
      <c r="E747" s="24" t="inlineStr">
        <is>
          <t>SOCCER</t>
        </is>
      </c>
      <c r="F747" s="24" t="inlineStr">
        <is>
          <t>Santos</t>
        </is>
      </c>
      <c r="G747" s="24" t="inlineStr">
        <is>
          <t>São Paulo</t>
        </is>
      </c>
      <c r="H747" s="24" t="inlineStr">
        <is>
          <t>moneyline</t>
        </is>
      </c>
      <c r="I747" s="24" t="inlineStr">
        <is>
          <t>home</t>
        </is>
      </c>
      <c r="J747" s="25" t="n"/>
      <c r="K747" s="24" t="inlineStr">
        <is>
          <t>polymarket_us</t>
        </is>
      </c>
      <c r="L747" s="26" t="n">
        <v>117</v>
      </c>
      <c r="M747" s="27" t="n">
        <v>2.17</v>
      </c>
      <c r="N747" s="28" t="n">
        <v>0.460829</v>
      </c>
      <c r="O747" s="28" t="n">
        <v>0.456135</v>
      </c>
      <c r="P747" s="28" t="n">
        <v>0.2</v>
      </c>
      <c r="Q747" s="28" t="n">
        <v>-0.004694</v>
      </c>
      <c r="R747" s="26" t="n">
        <v>0</v>
      </c>
      <c r="S747" s="29" t="n">
        <v>1</v>
      </c>
      <c r="T747" s="24" t="inlineStr">
        <is>
          <t>soccer-poisson-dc-v1</t>
        </is>
      </c>
      <c r="U747" s="24" t="inlineStr">
        <is>
          <t>settled</t>
        </is>
      </c>
      <c r="V747" s="24" t="inlineStr">
        <is>
          <t>loss</t>
        </is>
      </c>
      <c r="W747" s="26" t="n">
        <v>2</v>
      </c>
      <c r="X747" s="26" t="n">
        <v>1</v>
      </c>
      <c r="Y747" s="25" t="n"/>
      <c r="Z747" s="26" t="n">
        <v>117</v>
      </c>
      <c r="AA747" s="28" t="n">
        <v>0.46</v>
      </c>
      <c r="AB747" s="28" t="n">
        <v>-0.000829</v>
      </c>
      <c r="AC747" s="30" t="n">
        <v>-1</v>
      </c>
      <c r="AD747" s="24" t="inlineStr">
        <is>
          <t>2026-10-03T04:30:27.892102Z</t>
        </is>
      </c>
      <c r="AE747" s="31" t="inlineStr">
        <is>
          <t>Poisson-DC rates 1.64 (home) / 1.24 (away) from EWMA attack/defense strengths. Executable ask 0.4600 (atc-bra-sao-san-2026-10-02-sao).</t>
        </is>
      </c>
      <c r="AF747" s="31" t="inlineStr">
        <is>
          <t>Research-only soccer score model; draw-aware, but not yet locked-holdout qualified.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Santos</t>
        </is>
      </c>
      <c r="AQ747" s="24" t="inlineStr">
        <is>
          <t>Santos</t>
        </is>
      </c>
      <c r="AR747" s="24" t="inlineStr">
        <is>
          <t>Santos</t>
        </is>
      </c>
      <c r="AS747" s="24" t="inlineStr">
        <is>
          <t>São Paulo</t>
        </is>
      </c>
      <c r="AT747" s="24" t="inlineStr">
        <is>
          <t>São Paulo</t>
        </is>
      </c>
      <c r="AU747" s="24" t="inlineStr">
        <is>
          <t>São Paulo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3d16277c2cfc0628d7ec79d04feee92735e5c503a3be195cb225c7c52d024308</t>
        </is>
      </c>
      <c r="BB747" s="24" t="inlineStr">
        <is>
          <t>poisson_dixon_coles</t>
        </is>
      </c>
      <c r="BC747" s="24" t="inlineStr">
        <is>
          <t>soccer-poisson-dc-v1</t>
        </is>
      </c>
      <c r="BD747" s="24" t="inlineStr">
        <is>
          <t>3d16277c2cfc0628d7ec79d04feee92735e5c503a3be195cb225c7c52d024308</t>
        </is>
      </c>
      <c r="BE747" s="24" t="inlineStr">
        <is>
          <t>soccer-poisson-dc-v1</t>
        </is>
      </c>
      <c r="BF747" s="24" t="inlineStr">
        <is>
          <t>1</t>
        </is>
      </c>
      <c r="BG747" s="24" t="inlineStr">
        <is>
          <t>3d16277c2cfc0628d7ec79d04feee92735e5c503a3be195cb225c7c52d024308</t>
        </is>
      </c>
      <c r="BH747" s="24" t="inlineStr">
        <is>
          <t>2026-10-02T04:35:00.863028Z</t>
        </is>
      </c>
      <c r="BI747" s="24" t="inlineStr">
        <is>
          <t>["same_event","same_team_same_day","same_league_same_day"]</t>
        </is>
      </c>
      <c r="BJ747" s="25" t="n"/>
      <c r="BK747" s="26" t="n">
        <v>117</v>
      </c>
      <c r="BL747" s="27" t="n">
        <v>2.17</v>
      </c>
      <c r="BM747" s="28" t="n">
        <v>0.460829</v>
      </c>
      <c r="BN747" s="28" t="n"/>
      <c r="BO747" s="28" t="n"/>
      <c r="BP747" s="25" t="n"/>
      <c r="BQ747" s="27" t="n">
        <v>2.17</v>
      </c>
      <c r="BR747" s="28" t="n">
        <v>0.46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0.460829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"3d16277c2cfc0628d7ec79d04feee92735e5c503a3be195cb225c7c52d024308", "away_team": "Santos", "event_id": "401841169", "event_start_utc": "2026-10-02T23:00Z", "features": {"away_goal_rate": 1.2418, "history_games": 9181, "home_goal_rate": 1.6423, "league_goals_per_team": 1.4281, "min_team_games": 0.0}, "historical_source_observation_times_verified": false, "home_team": "S\u00e3o Paulo",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"2026-10-02T22:06:16.882613+00:00", "probabilities": {"away": 0.278015, "draw": 0.265851, "home": 0.456135}, "replay_scope": "Exact full-precision serving state and rounding; upstream historical observation times are not certified.", "schema": "coded-moneyline-replay-v1", "snapshot_hash": "47e85abe5bdcec635baaf9f129bb6fd6962b90d469122da300ce54104bf92445", "sport": "SOCCER"}</t>
        </is>
      </c>
    </row>
    <row r="748" ht="36" customHeight="1">
      <c r="A748" s="24" t="inlineStr">
        <is>
          <t>4a5c2781306b4318</t>
        </is>
      </c>
      <c r="B748" s="24" t="inlineStr">
        <is>
          <t>2026-10-02T22:06:17.352793Z</t>
        </is>
      </c>
      <c r="C748" s="24" t="inlineStr">
        <is>
          <t>2026-10-03T00:30Z</t>
        </is>
      </c>
      <c r="D748" s="24" t="inlineStr">
        <is>
          <t>401841587</t>
        </is>
      </c>
      <c r="E748" s="24" t="inlineStr">
        <is>
          <t>SOCCER</t>
        </is>
      </c>
      <c r="F748" s="24" t="inlineStr">
        <is>
          <t>Gimnasia La Plata</t>
        </is>
      </c>
      <c r="G748" s="24" t="inlineStr">
        <is>
          <t>Independiente Rivadavia</t>
        </is>
      </c>
      <c r="H748" s="24" t="inlineStr">
        <is>
          <t>moneyline</t>
        </is>
      </c>
      <c r="I748" s="24" t="inlineStr">
        <is>
          <t>home</t>
        </is>
      </c>
      <c r="J748" s="25" t="n"/>
      <c r="K748" s="24" t="inlineStr">
        <is>
          <t>polymarket_us</t>
        </is>
      </c>
      <c r="L748" s="26" t="n">
        <v>117</v>
      </c>
      <c r="M748" s="27" t="n">
        <v>2.17</v>
      </c>
      <c r="N748" s="28" t="n">
        <v>0.460829</v>
      </c>
      <c r="O748" s="28" t="n">
        <v>0.430486</v>
      </c>
      <c r="P748" s="28" t="n">
        <v>0.2</v>
      </c>
      <c r="Q748" s="28" t="n">
        <v>-0.030343</v>
      </c>
      <c r="R748" s="26" t="n">
        <v>0</v>
      </c>
      <c r="S748" s="29" t="n">
        <v>1</v>
      </c>
      <c r="T748" s="24" t="inlineStr">
        <is>
          <t>soccer-poisson-dc-v1</t>
        </is>
      </c>
      <c r="U748" s="24" t="inlineStr">
        <is>
          <t>settled</t>
        </is>
      </c>
      <c r="V748" s="24" t="inlineStr">
        <is>
          <t>loss</t>
        </is>
      </c>
      <c r="W748" s="26" t="n">
        <v>1</v>
      </c>
      <c r="X748" s="26" t="n">
        <v>1</v>
      </c>
      <c r="Y748" s="25" t="n"/>
      <c r="Z748" s="26" t="n">
        <v>117</v>
      </c>
      <c r="AA748" s="28" t="n">
        <v>0.46</v>
      </c>
      <c r="AB748" s="28" t="n">
        <v>-0.000829</v>
      </c>
      <c r="AC748" s="30" t="n">
        <v>-1</v>
      </c>
      <c r="AD748" s="24" t="inlineStr">
        <is>
          <t>2026-10-03T04:30:28.462364Z</t>
        </is>
      </c>
      <c r="AE748" s="31" t="inlineStr">
        <is>
          <t>Poisson-DC rates 1.59 (home) / 1.30 (away) from EWMA attack/defense strengths. Executable ask 0.4600 (atc-lpa-cir-gim-2026-10-02-cir).</t>
        </is>
      </c>
      <c r="AF748" s="31" t="inlineStr">
        <is>
          <t>Research-only soccer score model; draw-aware, but not yet locked-holdout qualified.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PAPER_CALL_MODEL_UNVALIDATED</t>
        </is>
      </c>
      <c r="AP748" s="24" t="inlineStr">
        <is>
          <t>Gimnasia La Plata</t>
        </is>
      </c>
      <c r="AQ748" s="24" t="inlineStr">
        <is>
          <t>Gimnasia La Plata</t>
        </is>
      </c>
      <c r="AR748" s="24" t="inlineStr">
        <is>
          <t>Gimnasia La Plata</t>
        </is>
      </c>
      <c r="AS748" s="24" t="inlineStr">
        <is>
          <t>Independiente Rivadavia</t>
        </is>
      </c>
      <c r="AT748" s="24" t="inlineStr">
        <is>
          <t>Independiente Rivadavia</t>
        </is>
      </c>
      <c r="AU748" s="24" t="inlineStr">
        <is>
          <t>Independiente Rivadavia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3d16277c2cfc0628d7ec79d04feee92735e5c503a3be195cb225c7c52d024308</t>
        </is>
      </c>
      <c r="BB748" s="24" t="inlineStr">
        <is>
          <t>poisson_dixon_coles</t>
        </is>
      </c>
      <c r="BC748" s="24" t="inlineStr">
        <is>
          <t>soccer-poisson-dc-v1</t>
        </is>
      </c>
      <c r="BD748" s="24" t="inlineStr">
        <is>
          <t>3d16277c2cfc0628d7ec79d04feee92735e5c503a3be195cb225c7c52d024308</t>
        </is>
      </c>
      <c r="BE748" s="24" t="inlineStr">
        <is>
          <t>soccer-poisson-dc-v1</t>
        </is>
      </c>
      <c r="BF748" s="24" t="inlineStr">
        <is>
          <t>1</t>
        </is>
      </c>
      <c r="BG748" s="24" t="inlineStr">
        <is>
          <t>3d16277c2cfc0628d7ec79d04feee92735e5c503a3be195cb225c7c52d024308</t>
        </is>
      </c>
      <c r="BH748" s="24" t="inlineStr">
        <is>
          <t>2026-10-02T22:05:28.083306Z</t>
        </is>
      </c>
      <c r="BI748" s="24" t="inlineStr">
        <is>
          <t>["same_event","same_team_same_day","same_league_same_day"]</t>
        </is>
      </c>
      <c r="BJ748" s="25" t="n"/>
      <c r="BK748" s="26" t="n">
        <v>117</v>
      </c>
      <c r="BL748" s="27" t="n">
        <v>2.17</v>
      </c>
      <c r="BM748" s="28" t="n">
        <v>0.460829</v>
      </c>
      <c r="BN748" s="28" t="n"/>
      <c r="BO748" s="28" t="n"/>
      <c r="BP748" s="25" t="n"/>
      <c r="BQ748" s="27" t="n">
        <v>2.17</v>
      </c>
      <c r="BR748" s="28" t="n">
        <v>0.46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0.460829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"3d16277c2cfc0628d7ec79d04feee92735e5c503a3be195cb225c7c52d024308", "away_team": "Gimnasia La Plata", "event_id": "401841587", "event_start_utc": "2026-10-03T00:30Z",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"2026-10-02T22:06:16.882613+00:00", "probabilities": {"away": 0.30089, "draw": 0.268624, "home": 0.430486}, "replay_scope": "Exact full-precision serving state and rounding; upstream historical observation times are not certified.", "schema": "coded-moneyline-replay-v1", "snapshot_hash": "84da1246397907e3b79dd9d1b793f2f943e45bcf79f7ac6cd5d5058cc7aa965a", "sport": "SOCCER"}</t>
        </is>
      </c>
    </row>
    <row r="749" ht="36" customHeight="1">
      <c r="A749" s="24" t="inlineStr">
        <is>
          <t>a7a6df7f316b4ddf</t>
        </is>
      </c>
      <c r="B749" s="24" t="inlineStr">
        <is>
          <t>2026-10-03T10:53:30.537705Z</t>
        </is>
      </c>
      <c r="C749" s="24" t="inlineStr">
        <is>
          <t>2026-10-03T14:00Z</t>
        </is>
      </c>
      <c r="D749" s="24" t="inlineStr">
        <is>
          <t>401860369</t>
        </is>
      </c>
      <c r="E749" s="24" t="inlineStr">
        <is>
          <t>SOCCER</t>
        </is>
      </c>
      <c r="F749" s="24" t="inlineStr">
        <is>
          <t>Ceará</t>
        </is>
      </c>
      <c r="G749" s="24" t="inlineStr">
        <is>
          <t>Avaí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163</v>
      </c>
      <c r="M749" s="27" t="n">
        <v>2.63</v>
      </c>
      <c r="N749" s="28" t="n">
        <v>0.380228</v>
      </c>
      <c r="O749" s="28" t="n">
        <v>0.440521</v>
      </c>
      <c r="P749" s="28" t="n">
        <v>0.2</v>
      </c>
      <c r="Q749" s="28" t="n">
        <v>0.060293</v>
      </c>
      <c r="R749" s="26" t="n">
        <v>0</v>
      </c>
      <c r="S749" s="29" t="n">
        <v>1</v>
      </c>
      <c r="T749" s="24" t="inlineStr">
        <is>
          <t>soccer-poisson-dc-v1</t>
        </is>
      </c>
      <c r="U749" s="24" t="inlineStr">
        <is>
          <t>settled</t>
        </is>
      </c>
      <c r="V749" s="24" t="inlineStr">
        <is>
          <t>loss</t>
        </is>
      </c>
      <c r="W749" s="26" t="n">
        <v>1</v>
      </c>
      <c r="X749" s="26" t="n">
        <v>0</v>
      </c>
      <c r="Y749" s="25" t="n"/>
      <c r="Z749" s="26" t="n">
        <v>163</v>
      </c>
      <c r="AA749" s="28" t="n">
        <v>0.38</v>
      </c>
      <c r="AB749" s="28" t="n">
        <v>-0.000228</v>
      </c>
      <c r="AC749" s="30" t="n">
        <v>-1</v>
      </c>
      <c r="AD749" s="24" t="inlineStr">
        <is>
          <t>2026-10-03T22:00:59.760924Z</t>
        </is>
      </c>
      <c r="AE749" s="31" t="inlineStr">
        <is>
          <t>Poisson-DC rates 1.46 (home) / 1.10 (away) from EWMA attack/defense strengths. Executable ask 0.3800 (atc-brb-ava-csc-2026-10-03-ava).</t>
        </is>
      </c>
      <c r="AF749" s="31" t="inlineStr">
        <is>
          <t>Research-only soccer score model; draw-aware, but not yet locked-holdout qualified.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Ceará</t>
        </is>
      </c>
      <c r="AQ749" s="24" t="inlineStr">
        <is>
          <t>Ceará</t>
        </is>
      </c>
      <c r="AR749" s="24" t="inlineStr">
        <is>
          <t>Ceará</t>
        </is>
      </c>
      <c r="AS749" s="24" t="inlineStr">
        <is>
          <t>Avaí</t>
        </is>
      </c>
      <c r="AT749" s="24" t="inlineStr">
        <is>
          <t>Avaí</t>
        </is>
      </c>
      <c r="AU749" s="24" t="inlineStr">
        <is>
          <t>Avaí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3d16277c2cfc0628d7ec79d04feee92735e5c503a3be195cb225c7c52d024308</t>
        </is>
      </c>
      <c r="BB749" s="24" t="inlineStr">
        <is>
          <t>poisson_dixon_coles</t>
        </is>
      </c>
      <c r="BC749" s="24" t="inlineStr">
        <is>
          <t>soccer-poisson-dc-v1</t>
        </is>
      </c>
      <c r="BD749" s="24" t="inlineStr">
        <is>
          <t>3d16277c2cfc0628d7ec79d04feee92735e5c503a3be195cb225c7c52d024308</t>
        </is>
      </c>
      <c r="BE749" s="24" t="inlineStr">
        <is>
          <t>soccer-poisson-dc-v1</t>
        </is>
      </c>
      <c r="BF749" s="24" t="inlineStr">
        <is>
          <t>1</t>
        </is>
      </c>
      <c r="BG749" s="24" t="inlineStr">
        <is>
          <t>3d16277c2cfc0628d7ec79d04feee92735e5c503a3be195cb225c7c52d024308</t>
        </is>
      </c>
      <c r="BH749" s="24" t="inlineStr">
        <is>
          <t>2026-10-03T10:49:45.105640Z</t>
        </is>
      </c>
      <c r="BI749" s="24" t="inlineStr">
        <is>
          <t>["same_event","same_team_same_day","same_league_same_day"]</t>
        </is>
      </c>
      <c r="BJ749" s="25" t="n"/>
      <c r="BK749" s="26" t="n">
        <v>163</v>
      </c>
      <c r="BL749" s="27" t="n">
        <v>2.63</v>
      </c>
      <c r="BM749" s="28" t="n">
        <v>0.380228</v>
      </c>
      <c r="BN749" s="28" t="n"/>
      <c r="BO749" s="28" t="n"/>
      <c r="BP749" s="25" t="n"/>
      <c r="BQ749" s="27" t="n">
        <v>2.63</v>
      </c>
      <c r="BR749" s="28" t="n">
        <v>0.38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0.380228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"3d16277c2cfc0628d7ec79d04feee92735e5c503a3be195cb225c7c52d024308", "away_team": "Cear\u00e1", "event_id": "401860369", "event_start_utc": "2026-10-03T14:00Z", "features": {"away_goal_rate": 1.1038, "history_games": 9181, "home_goal_rate": 1.4598, "league_goals_per_team": 1.4281, "min_team_games": 0.0}, "historical_source_observation_times_verified": false, "home_team": "Ava\u00ed",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"2026-10-03T10:53:27.921229+00:00", "probabilities": {"away": 0.273602, "draw": 0.285877, "home": 0.440521}, "replay_scope": "Exact full-precision serving state and rounding; upstream historical observation times are not certified.", "schema": "coded-moneyline-replay-v1", "snapshot_hash": "4d394e222bf487e2392225425fb1c0e4f4e499856327cca5fe6e28267a8b0cd8", "sport": "SOCCER"}</t>
        </is>
      </c>
    </row>
    <row r="750" ht="36" customHeight="1">
      <c r="A750" s="24" t="inlineStr">
        <is>
          <t>7aea034a57ee418d</t>
        </is>
      </c>
      <c r="B750" s="24" t="inlineStr">
        <is>
          <t>2026-10-03T10:53:30.537705Z</t>
        </is>
      </c>
      <c r="C750" s="24" t="inlineStr">
        <is>
          <t>2026-10-03T14:00Z</t>
        </is>
      </c>
      <c r="D750" s="24" t="inlineStr">
        <is>
          <t>401923679</t>
        </is>
      </c>
      <c r="E750" s="24" t="inlineStr">
        <is>
          <t>SOCCER</t>
        </is>
      </c>
      <c r="F750" s="24" t="inlineStr">
        <is>
          <t>Progreso</t>
        </is>
      </c>
      <c r="G750" s="24" t="inlineStr">
        <is>
          <t>Liverpool</t>
        </is>
      </c>
      <c r="H750" s="24" t="inlineStr">
        <is>
          <t>moneyline</t>
        </is>
      </c>
      <c r="I750" s="24" t="inlineStr">
        <is>
          <t>home</t>
        </is>
      </c>
      <c r="J750" s="25" t="n"/>
      <c r="K750" s="24" t="inlineStr">
        <is>
          <t>polymarket_us</t>
        </is>
      </c>
      <c r="L750" s="26" t="n">
        <v>-138</v>
      </c>
      <c r="M750" s="27" t="n">
        <v>1.724638</v>
      </c>
      <c r="N750" s="28" t="n">
        <v>0.579832</v>
      </c>
      <c r="O750" s="28" t="n">
        <v>0.470868</v>
      </c>
      <c r="P750" s="28" t="n">
        <v>0.18</v>
      </c>
      <c r="Q750" s="28" t="n">
        <v>-0.108964</v>
      </c>
      <c r="R750" s="26" t="n">
        <v>0</v>
      </c>
      <c r="S750" s="29" t="n">
        <v>1</v>
      </c>
      <c r="T750" s="24" t="inlineStr">
        <is>
          <t>soccer-poisson-dc-v1</t>
        </is>
      </c>
      <c r="U750" s="24" t="inlineStr">
        <is>
          <t>settled</t>
        </is>
      </c>
      <c r="V750" s="24" t="inlineStr">
        <is>
          <t>win</t>
        </is>
      </c>
      <c r="W750" s="26" t="n">
        <v>2</v>
      </c>
      <c r="X750" s="26" t="n">
        <v>3</v>
      </c>
      <c r="Y750" s="25" t="n"/>
      <c r="Z750" s="26" t="n">
        <v>-138</v>
      </c>
      <c r="AA750" s="28" t="n">
        <v>0.58</v>
      </c>
      <c r="AB750" s="28" t="n">
        <v>0.000168</v>
      </c>
      <c r="AC750" s="30" t="n">
        <v>0.7246</v>
      </c>
      <c r="AD750" s="24" t="inlineStr">
        <is>
          <t>2026-10-03T16:00:25.336084Z</t>
        </is>
      </c>
      <c r="AE750" s="31" t="inlineStr">
        <is>
          <t>Poisson-DC rates 1.55 (home) / 1.07 (away) from EWMA attack/defense strengths. Executable ask 0.5800 (atc-uru1-liv-pro-2026-10-03-liv).</t>
        </is>
      </c>
      <c r="AF750" s="31" t="inlineStr">
        <is>
          <t>Research-only soccer score model; draw-aware, but not yet locked-holdout qualified.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PAPER_CALL_MODEL_UNVALIDATED</t>
        </is>
      </c>
      <c r="AP750" s="24" t="inlineStr">
        <is>
          <t>Progreso</t>
        </is>
      </c>
      <c r="AQ750" s="24" t="inlineStr">
        <is>
          <t>Progreso</t>
        </is>
      </c>
      <c r="AR750" s="24" t="inlineStr">
        <is>
          <t>Progreso</t>
        </is>
      </c>
      <c r="AS750" s="24" t="inlineStr">
        <is>
          <t>Liverpool</t>
        </is>
      </c>
      <c r="AT750" s="24" t="inlineStr">
        <is>
          <t>Liverpool</t>
        </is>
      </c>
      <c r="AU750" s="24" t="inlineStr">
        <is>
          <t>Liverpool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3d16277c2cfc0628d7ec79d04feee92735e5c503a3be195cb225c7c52d024308</t>
        </is>
      </c>
      <c r="BB750" s="24" t="inlineStr">
        <is>
          <t>poisson_dixon_coles</t>
        </is>
      </c>
      <c r="BC750" s="24" t="inlineStr">
        <is>
          <t>soccer-poisson-dc-v1</t>
        </is>
      </c>
      <c r="BD750" s="24" t="inlineStr">
        <is>
          <t>3d16277c2cfc0628d7ec79d04feee92735e5c503a3be195cb225c7c52d024308</t>
        </is>
      </c>
      <c r="BE750" s="24" t="inlineStr">
        <is>
          <t>soccer-poisson-dc-v1</t>
        </is>
      </c>
      <c r="BF750" s="24" t="inlineStr">
        <is>
          <t>1</t>
        </is>
      </c>
      <c r="BG750" s="24" t="inlineStr">
        <is>
          <t>3d16277c2cfc0628d7ec79d04feee92735e5c503a3be195cb225c7c52d024308</t>
        </is>
      </c>
      <c r="BH750" s="24" t="inlineStr">
        <is>
          <t>2026-10-03T05:21:47.603798Z</t>
        </is>
      </c>
      <c r="BI750" s="24" t="inlineStr">
        <is>
          <t>["same_event","same_team_same_day","same_league_same_day"]</t>
        </is>
      </c>
      <c r="BJ750" s="25" t="n"/>
      <c r="BK750" s="26" t="n">
        <v>-138</v>
      </c>
      <c r="BL750" s="27" t="n">
        <v>1.724638</v>
      </c>
      <c r="BM750" s="28" t="n">
        <v>0.579832</v>
      </c>
      <c r="BN750" s="28" t="n"/>
      <c r="BO750" s="28" t="n"/>
      <c r="BP750" s="25" t="n"/>
      <c r="BQ750" s="27" t="n">
        <v>1.724638</v>
      </c>
      <c r="BR750" s="28" t="n">
        <v>0.58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0.579832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"3d16277c2cfc0628d7ec79d04feee92735e5c503a3be195cb225c7c52d024308", "away_team": "Progreso", "event_id": "401923679", "event_start_utc": "2026-10-03T14:00Z", "features": {"away_goal_rate": 1.0716, "history_games": 9181, "home_goal_rate": 1.5471, "league_goals_per_team": 1.4281, "min_team_games": 2.0}, "historical_source_observation_times_verified": false, "home_team": "Liverpool", "inference_inputs": {"away_rate": 1.0715642985960048, "code_sha256": {"models/soccer.py": "3d16277c2cfc0628d7ec79d04feee92735e5c503a3be195cb225c7c52d024308"}, "home_rate": 1.5470869936198668, "sport": "SOCCER"}, "market_type": "moneyline", "model_version": "soccer-poisson-dc-v1", "observed_at_utc": "2026-10-03T10:53:27.921229+00:00", "probabilities": {"away": 0.250866, "draw": 0.278266, "home": 0.470868}, "replay_scope": "Exact full-precision serving state and rounding; upstream historical observation times are not certified.", "schema": "coded-moneyline-replay-v1", "snapshot_hash": "cc6875a0a640738255d2700c72cda634674061f3f7bf7f80c3c1ad8af5ba3bfc", "sport": "SOCCER"}</t>
        </is>
      </c>
    </row>
    <row r="751" ht="36" customHeight="1">
      <c r="A751" s="24" t="inlineStr">
        <is>
          <t>caa069ef9c07491d</t>
        </is>
      </c>
      <c r="B751" s="24" t="inlineStr">
        <is>
          <t>2026-10-03T10:53:30.537705Z</t>
        </is>
      </c>
      <c r="C751" s="24" t="inlineStr">
        <is>
          <t>2026-10-03T13:00Z</t>
        </is>
      </c>
      <c r="D751" s="24" t="inlineStr">
        <is>
          <t>401925562</t>
        </is>
      </c>
      <c r="E751" s="24" t="inlineStr">
        <is>
          <t>SOCCER</t>
        </is>
      </c>
      <c r="F751" s="24" t="inlineStr">
        <is>
          <t>Schalke 04</t>
        </is>
      </c>
      <c r="G751" s="24" t="inlineStr">
        <is>
          <t>Austria Lustenau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614</v>
      </c>
      <c r="M751" s="27" t="n">
        <v>7.14</v>
      </c>
      <c r="N751" s="28" t="n">
        <v>0.140056</v>
      </c>
      <c r="O751" s="28" t="n">
        <v>0.456135</v>
      </c>
      <c r="P751" s="28" t="n">
        <v>0.2</v>
      </c>
      <c r="Q751" s="28" t="n">
        <v>0.316079</v>
      </c>
      <c r="R751" s="26" t="n">
        <v>88</v>
      </c>
      <c r="S751" s="29" t="n">
        <v>1.75</v>
      </c>
      <c r="T751" s="24" t="inlineStr">
        <is>
          <t>soccer-poisson-dc-v1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614</v>
      </c>
      <c r="AA751" s="28" t="n">
        <v>0.14</v>
      </c>
      <c r="AB751" s="28" t="n">
        <v>-5.6e-05</v>
      </c>
      <c r="AC751" s="30" t="n">
        <v>-1.75</v>
      </c>
      <c r="AD751" s="24" t="inlineStr">
        <is>
          <t>2026-10-03T16:00:25.900210Z</t>
        </is>
      </c>
      <c r="AE751" s="31" t="inlineStr">
        <is>
          <t>Poisson-DC rates 1.64 (home) / 1.24 (away) from EWMA attack/defense strengths. Executable ask 0.1400 (atc-clbf-alus-sch-2026-10-03-alus).</t>
        </is>
      </c>
      <c r="AF751" s="31" t="inlineStr">
        <is>
          <t>Research-only soccer score model; draw-aware, but not yet locked-holdout qualified.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Schalke 04</t>
        </is>
      </c>
      <c r="AQ751" s="24" t="inlineStr">
        <is>
          <t>Schalke 04</t>
        </is>
      </c>
      <c r="AR751" s="24" t="inlineStr">
        <is>
          <t>Schalke 04</t>
        </is>
      </c>
      <c r="AS751" s="24" t="inlineStr">
        <is>
          <t>Austria Lustenau</t>
        </is>
      </c>
      <c r="AT751" s="24" t="inlineStr">
        <is>
          <t>Austria Lustenau</t>
        </is>
      </c>
      <c r="AU751" s="24" t="inlineStr">
        <is>
          <t>Austria Lustenau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3d16277c2cfc0628d7ec79d04feee92735e5c503a3be195cb225c7c52d024308</t>
        </is>
      </c>
      <c r="BB751" s="24" t="inlineStr">
        <is>
          <t>poisson_dixon_coles</t>
        </is>
      </c>
      <c r="BC751" s="24" t="inlineStr">
        <is>
          <t>soccer-poisson-dc-v1</t>
        </is>
      </c>
      <c r="BD751" s="24" t="inlineStr">
        <is>
          <t>3d16277c2cfc0628d7ec79d04feee92735e5c503a3be195cb225c7c52d024308</t>
        </is>
      </c>
      <c r="BE751" s="24" t="inlineStr">
        <is>
          <t>soccer-poisson-dc-v1</t>
        </is>
      </c>
      <c r="BF751" s="24" t="inlineStr">
        <is>
          <t>1</t>
        </is>
      </c>
      <c r="BG751" s="24" t="inlineStr">
        <is>
          <t>3d16277c2cfc0628d7ec79d04feee92735e5c503a3be195cb225c7c52d024308</t>
        </is>
      </c>
      <c r="BH751" s="24" t="inlineStr">
        <is>
          <t>2026-10-03T10:50:17.844996Z</t>
        </is>
      </c>
      <c r="BI751" s="24" t="inlineStr">
        <is>
          <t>["same_event","same_team_same_day","same_league_same_day"]</t>
        </is>
      </c>
      <c r="BJ751" s="25" t="n"/>
      <c r="BK751" s="26" t="n">
        <v>614</v>
      </c>
      <c r="BL751" s="27" t="n">
        <v>7.14</v>
      </c>
      <c r="BM751" s="28" t="n">
        <v>0.140056</v>
      </c>
      <c r="BN751" s="28" t="n"/>
      <c r="BO751" s="28" t="n"/>
      <c r="BP751" s="25" t="n"/>
      <c r="BQ751" s="27" t="n">
        <v>7.14</v>
      </c>
      <c r="BR751" s="28" t="n">
        <v>0.14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0.140056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"3d16277c2cfc0628d7ec79d04feee92735e5c503a3be195cb225c7c52d024308", "away_team": "Schalke 04", "event_id": "401925562", "event_start_utc": "2026-10-03T13:00Z", "features": {"away_goal_rate": 1.2418, "history_games": 9181, "home_goal_rate": 1.6423, "league_goals_per_team": 1.4281, "min_team_games": 0.0}, "historical_source_observation_times_verified": false, "home_team": "Austria Lustenau",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"2026-10-03T10:53:27.921229+00:00", "probabilities": {"away": 0.278015, "draw": 0.265851, "home": 0.456135}, "replay_scope": "Exact full-precision serving state and rounding; upstream historical observation times are not certified.", "schema": "coded-moneyline-replay-v1", "snapshot_hash": "eca346a39f3a537c4a9b4f8c125dde1d4fdb38a13ef55380316fff41fc402275", "sport": "SOCCER"}</t>
        </is>
      </c>
    </row>
    <row r="752" ht="36" customHeight="1">
      <c r="A752" s="24" t="inlineStr">
        <is>
          <t>901f1fd886ba4cec</t>
        </is>
      </c>
      <c r="B752" s="24" t="inlineStr">
        <is>
          <t>2026-10-03T16:52:01.163208Z</t>
        </is>
      </c>
      <c r="C752" s="24" t="inlineStr">
        <is>
          <t>2026-10-03T18:00Z</t>
        </is>
      </c>
      <c r="D752" s="24" t="inlineStr">
        <is>
          <t>401900325</t>
        </is>
      </c>
      <c r="E752" s="24" t="inlineStr">
        <is>
          <t>SOCCER</t>
        </is>
      </c>
      <c r="F752" s="24" t="inlineStr">
        <is>
          <t>Peru</t>
        </is>
      </c>
      <c r="G752" s="24" t="inlineStr">
        <is>
          <t>Canada</t>
        </is>
      </c>
      <c r="H752" s="24" t="inlineStr">
        <is>
          <t>total</t>
        </is>
      </c>
      <c r="I752" s="24" t="inlineStr">
        <is>
          <t>over</t>
        </is>
      </c>
      <c r="J752" s="25" t="n">
        <v>2.5</v>
      </c>
      <c r="K752" s="24" t="inlineStr">
        <is>
          <t>polymarket_us</t>
        </is>
      </c>
      <c r="L752" s="26" t="n">
        <v>100</v>
      </c>
      <c r="M752" s="27" t="n">
        <v>2</v>
      </c>
      <c r="N752" s="28" t="n">
        <v>0.5</v>
      </c>
      <c r="O752" s="28" t="n">
        <v>0.564873</v>
      </c>
      <c r="P752" s="28" t="n">
        <v>0.2</v>
      </c>
      <c r="Q752" s="28" t="n">
        <v>0.064873</v>
      </c>
      <c r="R752" s="26" t="n">
        <v>0</v>
      </c>
      <c r="S752" s="29" t="n">
        <v>1</v>
      </c>
      <c r="T752" s="24" t="inlineStr">
        <is>
          <t>soccer-poisson-dc-v1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2</v>
      </c>
      <c r="Y752" s="25" t="n"/>
      <c r="Z752" s="26" t="n">
        <v>100</v>
      </c>
      <c r="AA752" s="28" t="n">
        <v>0.5</v>
      </c>
      <c r="AB752" s="28" t="n">
        <v>0</v>
      </c>
      <c r="AC752" s="30" t="n">
        <v>-1</v>
      </c>
      <c r="AD752" s="24" t="inlineStr">
        <is>
          <t>2026-10-03T22:01:20.100023Z</t>
        </is>
      </c>
      <c r="AE752" s="31" t="inlineStr">
        <is>
          <t>Poisson-DC rates 1.76 (home) / 1.18 (away) from EWMA attack/defense strengths. Executable ask 0.5000 (tsc-intf-can-per-2026-10-03-2pt5).</t>
        </is>
      </c>
      <c r="AF752" s="31" t="inlineStr">
        <is>
          <t>Research-only soccer score model; draw-aware, but not yet locked-holdout qualified.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PAPER_CALL_MODEL_UNVALIDATED</t>
        </is>
      </c>
      <c r="AP752" s="24" t="inlineStr">
        <is>
          <t>Peru</t>
        </is>
      </c>
      <c r="AQ752" s="24" t="inlineStr">
        <is>
          <t>Peru</t>
        </is>
      </c>
      <c r="AR752" s="24" t="inlineStr">
        <is>
          <t>Peru</t>
        </is>
      </c>
      <c r="AS752" s="24" t="inlineStr">
        <is>
          <t>Canada</t>
        </is>
      </c>
      <c r="AT752" s="24" t="inlineStr">
        <is>
          <t>Canada</t>
        </is>
      </c>
      <c r="AU752" s="24" t="inlineStr">
        <is>
          <t>Canada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3d16277c2cfc0628d7ec79d04feee92735e5c503a3be195cb225c7c52d024308</t>
        </is>
      </c>
      <c r="BB752" s="24" t="inlineStr">
        <is>
          <t>poisson_dixon_coles</t>
        </is>
      </c>
      <c r="BC752" s="24" t="inlineStr">
        <is>
          <t>soccer-poisson-dc-v1</t>
        </is>
      </c>
      <c r="BD752" s="24" t="inlineStr">
        <is>
          <t>3d16277c2cfc0628d7ec79d04feee92735e5c503a3be195cb225c7c52d024308</t>
        </is>
      </c>
      <c r="BE752" s="24" t="inlineStr">
        <is>
          <t>soccer-poisson-dc-v1</t>
        </is>
      </c>
      <c r="BF752" s="24" t="inlineStr">
        <is>
          <t>1</t>
        </is>
      </c>
      <c r="BG752" s="24" t="inlineStr">
        <is>
          <t>3d16277c2cfc0628d7ec79d04feee92735e5c503a3be195cb225c7c52d024308</t>
        </is>
      </c>
      <c r="BH752" s="24" t="inlineStr">
        <is>
          <t>2026-10-03T10:50:07.204517Z</t>
        </is>
      </c>
      <c r="BI752" s="24" t="inlineStr">
        <is>
          <t>["same_event","same_team_same_day","same_league_same_day"]</t>
        </is>
      </c>
      <c r="BJ752" s="25" t="n">
        <v>2.5</v>
      </c>
      <c r="BK752" s="26" t="n">
        <v>100</v>
      </c>
      <c r="BL752" s="27" t="n">
        <v>2</v>
      </c>
      <c r="BM752" s="28" t="n">
        <v>0.5</v>
      </c>
      <c r="BN752" s="28" t="n"/>
      <c r="BO752" s="28" t="n"/>
      <c r="BP752" s="25" t="n"/>
      <c r="BQ752" s="27" t="n">
        <v>2</v>
      </c>
      <c r="BR752" s="28" t="n">
        <v>0.5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891d84efc03b45c2</t>
        </is>
      </c>
      <c r="B753" s="24" t="inlineStr">
        <is>
          <t>2026-10-03T16:52:01.163208Z</t>
        </is>
      </c>
      <c r="C753" s="24" t="inlineStr">
        <is>
          <t>2026-10-03T20:00Z</t>
        </is>
      </c>
      <c r="D753" s="24" t="inlineStr">
        <is>
          <t>401860371</t>
        </is>
      </c>
      <c r="E753" s="24" t="inlineStr">
        <is>
          <t>SOCCER</t>
        </is>
      </c>
      <c r="F753" s="24" t="inlineStr">
        <is>
          <t>Ponte Preta</t>
        </is>
      </c>
      <c r="G753" s="24" t="inlineStr">
        <is>
          <t>Cuiabá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-525</v>
      </c>
      <c r="M753" s="27" t="n">
        <v>1.190476</v>
      </c>
      <c r="N753" s="28" t="n">
        <v>0.84</v>
      </c>
      <c r="O753" s="28" t="n">
        <v>0.483295</v>
      </c>
      <c r="P753" s="28" t="n">
        <v>0.2</v>
      </c>
      <c r="Q753" s="28" t="n">
        <v>-0.356705</v>
      </c>
      <c r="R753" s="26" t="n">
        <v>0</v>
      </c>
      <c r="S753" s="29" t="n">
        <v>1</v>
      </c>
      <c r="T753" s="24" t="inlineStr">
        <is>
          <t>soccer-poisson-dc-v1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2</v>
      </c>
      <c r="Y753" s="25" t="n"/>
      <c r="Z753" s="26" t="n">
        <v>-525</v>
      </c>
      <c r="AA753" s="28" t="n">
        <v>0.84</v>
      </c>
      <c r="AB753" s="28" t="n">
        <v>0</v>
      </c>
      <c r="AC753" s="30" t="n">
        <v>0.1905</v>
      </c>
      <c r="AD753" s="24" t="inlineStr">
        <is>
          <t>2026-10-04T20:50:33.689971Z</t>
        </is>
      </c>
      <c r="AE753" s="31" t="inlineStr">
        <is>
          <t>Poisson-DC rates 1.72 (home) / 1.20 (away) from EWMA attack/defense strengths. Executable ask 0.8400 (atc-brb-cui-pop-2026-10-03-cui).</t>
        </is>
      </c>
      <c r="AF753" s="31" t="inlineStr">
        <is>
          <t>Research-only soccer score model; draw-aware, but not yet locked-holdout qualified.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Ponte Preta</t>
        </is>
      </c>
      <c r="AQ753" s="24" t="inlineStr">
        <is>
          <t>Ponte Preta</t>
        </is>
      </c>
      <c r="AR753" s="24" t="inlineStr">
        <is>
          <t>Ponte Preta</t>
        </is>
      </c>
      <c r="AS753" s="24" t="inlineStr">
        <is>
          <t>Cuiabá</t>
        </is>
      </c>
      <c r="AT753" s="24" t="inlineStr">
        <is>
          <t>Cuiabá</t>
        </is>
      </c>
      <c r="AU753" s="24" t="inlineStr">
        <is>
          <t>Cuiabá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3d16277c2cfc0628d7ec79d04feee92735e5c503a3be195cb225c7c52d024308</t>
        </is>
      </c>
      <c r="BB753" s="24" t="inlineStr">
        <is>
          <t>poisson_dixon_coles</t>
        </is>
      </c>
      <c r="BC753" s="24" t="inlineStr">
        <is>
          <t>soccer-poisson-dc-v1</t>
        </is>
      </c>
      <c r="BD753" s="24" t="inlineStr">
        <is>
          <t>3d16277c2cfc0628d7ec79d04feee92735e5c503a3be195cb225c7c52d024308</t>
        </is>
      </c>
      <c r="BE753" s="24" t="inlineStr">
        <is>
          <t>soccer-poisson-dc-v1</t>
        </is>
      </c>
      <c r="BF753" s="24" t="inlineStr">
        <is>
          <t>1</t>
        </is>
      </c>
      <c r="BG753" s="24" t="inlineStr">
        <is>
          <t>3d16277c2cfc0628d7ec79d04feee92735e5c503a3be195cb225c7c52d024308</t>
        </is>
      </c>
      <c r="BH753" s="24" t="inlineStr">
        <is>
          <t>2026-10-03T05:21:37.197171Z</t>
        </is>
      </c>
      <c r="BI753" s="24" t="inlineStr">
        <is>
          <t>["same_event","same_team_same_day","same_league_same_day"]</t>
        </is>
      </c>
      <c r="BJ753" s="25" t="n"/>
      <c r="BK753" s="26" t="n">
        <v>-525</v>
      </c>
      <c r="BL753" s="27" t="n">
        <v>1.190476</v>
      </c>
      <c r="BM753" s="28" t="n">
        <v>0.84</v>
      </c>
      <c r="BN753" s="28" t="n"/>
      <c r="BO753" s="28" t="n"/>
      <c r="BP753" s="25" t="n"/>
      <c r="BQ753" s="27" t="n">
        <v>1.190476</v>
      </c>
      <c r="BR753" s="28" t="n">
        <v>0.84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0.84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"3d16277c2cfc0628d7ec79d04feee92735e5c503a3be195cb225c7c52d024308", "away_team": "Ponte Preta", "event_id": "401860371", "event_start_utc": "2026-10-03T20:00Z", "features": {"away_goal_rate": 1.2004, "history_games": 9181, "home_goal_rate": 1.7153, "league_goals_per_team": 1.4281, "min_team_games": 0.0}, "historical_source_observation_times_verified": false, "home_team": "Cuiab\u00e1",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0.256322, "draw": 0.260383, "home": 0.483295}, "replay_scope": "Exact full-precision serving state and rounding; upstream historical observation times are not certified.", "schema": "coded-moneyline-replay-v1", "snapshot_hash": "5969148e1e82b0ff975eea30ae887a2815381b85d25598c867b7a23acddc0d7f", "sport": "SOCCER"}</t>
        </is>
      </c>
    </row>
    <row r="754" ht="36" customHeight="1">
      <c r="A754" s="24" t="inlineStr">
        <is>
          <t>3bc0af147e4a4539</t>
        </is>
      </c>
      <c r="B754" s="24" t="inlineStr">
        <is>
          <t>2026-10-03T16:52:01.163208Z</t>
        </is>
      </c>
      <c r="C754" s="24" t="inlineStr">
        <is>
          <t>2026-10-03T21:30Z</t>
        </is>
      </c>
      <c r="D754" s="24" t="inlineStr">
        <is>
          <t>401860370</t>
        </is>
      </c>
      <c r="E754" s="24" t="inlineStr">
        <is>
          <t>SOCCER</t>
        </is>
      </c>
      <c r="F754" s="24" t="inlineStr">
        <is>
          <t>Vila Nova</t>
        </is>
      </c>
      <c r="G754" s="24" t="inlineStr">
        <is>
          <t>Botafogo-SP</t>
        </is>
      </c>
      <c r="H754" s="24" t="inlineStr">
        <is>
          <t>moneyline</t>
        </is>
      </c>
      <c r="I754" s="24" t="inlineStr">
        <is>
          <t>home</t>
        </is>
      </c>
      <c r="J754" s="25" t="n"/>
      <c r="K754" s="24" t="inlineStr">
        <is>
          <t>polymarket_us</t>
        </is>
      </c>
      <c r="L754" s="26" t="n">
        <v>163</v>
      </c>
      <c r="M754" s="27" t="n">
        <v>2.63</v>
      </c>
      <c r="N754" s="28" t="n">
        <v>0.380228</v>
      </c>
      <c r="O754" s="28" t="n">
        <v>0.505507</v>
      </c>
      <c r="P754" s="28" t="n">
        <v>0.2</v>
      </c>
      <c r="Q754" s="28" t="n">
        <v>0.125279</v>
      </c>
      <c r="R754" s="26" t="n">
        <v>0</v>
      </c>
      <c r="S754" s="29" t="n">
        <v>1</v>
      </c>
      <c r="T754" s="24" t="inlineStr">
        <is>
          <t>soccer-poisson-dc-v1</t>
        </is>
      </c>
      <c r="U754" s="24" t="inlineStr">
        <is>
          <t>settled</t>
        </is>
      </c>
      <c r="V754" s="24" t="inlineStr">
        <is>
          <t>loss</t>
        </is>
      </c>
      <c r="W754" s="26" t="n">
        <v>1</v>
      </c>
      <c r="X754" s="26" t="n">
        <v>0</v>
      </c>
      <c r="Y754" s="25" t="n"/>
      <c r="Z754" s="26" t="n">
        <v>163</v>
      </c>
      <c r="AA754" s="28" t="n">
        <v>0.38</v>
      </c>
      <c r="AB754" s="28" t="n">
        <v>-0.000228</v>
      </c>
      <c r="AC754" s="30" t="n">
        <v>-1</v>
      </c>
      <c r="AD754" s="24" t="inlineStr">
        <is>
          <t>2026-10-04T20:50:39.653997Z</t>
        </is>
      </c>
      <c r="AE754" s="31" t="inlineStr">
        <is>
          <t>Poisson-DC rates 1.72 (home) / 1.10 (away) from EWMA attack/defense strengths. Executable ask 0.3800 (atc-brb-bot-vln-2026-10-03-bot).</t>
        </is>
      </c>
      <c r="AF754" s="31" t="inlineStr">
        <is>
          <t>Research-only soccer score model; draw-aware, but not yet locked-holdout qualified.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PAPER_CALL_MODEL_UNVALIDATED</t>
        </is>
      </c>
      <c r="AP754" s="24" t="inlineStr">
        <is>
          <t>Vila Nova</t>
        </is>
      </c>
      <c r="AQ754" s="24" t="inlineStr">
        <is>
          <t>Vila Nova</t>
        </is>
      </c>
      <c r="AR754" s="24" t="inlineStr">
        <is>
          <t>Vila Nova</t>
        </is>
      </c>
      <c r="AS754" s="24" t="inlineStr">
        <is>
          <t>Botafogo-SP</t>
        </is>
      </c>
      <c r="AT754" s="24" t="inlineStr">
        <is>
          <t>Botafogo-SP</t>
        </is>
      </c>
      <c r="AU754" s="24" t="inlineStr">
        <is>
          <t>Botafogo-SP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3d16277c2cfc0628d7ec79d04feee92735e5c503a3be195cb225c7c52d024308</t>
        </is>
      </c>
      <c r="BB754" s="24" t="inlineStr">
        <is>
          <t>poisson_dixon_coles</t>
        </is>
      </c>
      <c r="BC754" s="24" t="inlineStr">
        <is>
          <t>soccer-poisson-dc-v1</t>
        </is>
      </c>
      <c r="BD754" s="24" t="inlineStr">
        <is>
          <t>3d16277c2cfc0628d7ec79d04feee92735e5c503a3be195cb225c7c52d024308</t>
        </is>
      </c>
      <c r="BE754" s="24" t="inlineStr">
        <is>
          <t>soccer-poisson-dc-v1</t>
        </is>
      </c>
      <c r="BF754" s="24" t="inlineStr">
        <is>
          <t>1</t>
        </is>
      </c>
      <c r="BG754" s="24" t="inlineStr">
        <is>
          <t>3d16277c2cfc0628d7ec79d04feee92735e5c503a3be195cb225c7c52d024308</t>
        </is>
      </c>
      <c r="BH754" s="24" t="inlineStr">
        <is>
          <t>2026-10-03T16:49:45.609812Z</t>
        </is>
      </c>
      <c r="BI754" s="24" t="inlineStr">
        <is>
          <t>["same_event","same_team_same_day","same_league_same_day"]</t>
        </is>
      </c>
      <c r="BJ754" s="25" t="n"/>
      <c r="BK754" s="26" t="n">
        <v>163</v>
      </c>
      <c r="BL754" s="27" t="n">
        <v>2.63</v>
      </c>
      <c r="BM754" s="28" t="n">
        <v>0.380228</v>
      </c>
      <c r="BN754" s="28" t="n"/>
      <c r="BO754" s="28" t="n"/>
      <c r="BP754" s="25" t="n"/>
      <c r="BQ754" s="27" t="n">
        <v>2.63</v>
      </c>
      <c r="BR754" s="28" t="n">
        <v>0.38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0.380228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"3d16277c2cfc0628d7ec79d04feee92735e5c503a3be195cb225c7c52d024308", "away_team": "Vila Nova", "event_id": "401860370", "event_start_utc": "2026-10-03T21:30Z", "features": {"away_goal_rate": 1.1038, "history_games": 9181, "home_goal_rate": 1.7153, "league_goals_per_team": 1.4281, "min_team_games": 0.0}, "historical_source_observation_times_verified": false, "home_team": "Botafogo-SP",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0.233138, "draw": 0.261355, "home": 0.505507}, "replay_scope": "Exact full-precision serving state and rounding; upstream historical observation times are not certified.", "schema": "coded-moneyline-replay-v1", "snapshot_hash": "39cb2c6f7f5214c912646212a4246d4e3c5391c926b6b006b8f7cf9ebdeaabbb", "sport": "SOCCER"}</t>
        </is>
      </c>
    </row>
    <row r="755" ht="36" customHeight="1">
      <c r="A755" s="24" t="inlineStr">
        <is>
          <t>5d75175cd52f439f</t>
        </is>
      </c>
      <c r="B755" s="24" t="inlineStr">
        <is>
          <t>2026-10-03T16:52:01.163208Z</t>
        </is>
      </c>
      <c r="C755" s="24" t="inlineStr">
        <is>
          <t>2026-10-03T18:00Z</t>
        </is>
      </c>
      <c r="D755" s="24" t="inlineStr">
        <is>
          <t>401900325</t>
        </is>
      </c>
      <c r="E755" s="24" t="inlineStr">
        <is>
          <t>SOCCER</t>
        </is>
      </c>
      <c r="F755" s="24" t="inlineStr">
        <is>
          <t>Peru</t>
        </is>
      </c>
      <c r="G755" s="24" t="inlineStr">
        <is>
          <t>Canada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-178</v>
      </c>
      <c r="M755" s="27" t="n">
        <v>1.561798</v>
      </c>
      <c r="N755" s="28" t="n">
        <v>0.640288</v>
      </c>
      <c r="O755" s="28" t="n">
        <v>0.498233</v>
      </c>
      <c r="P755" s="28" t="n">
        <v>0.2</v>
      </c>
      <c r="Q755" s="28" t="n">
        <v>-0.142055</v>
      </c>
      <c r="R755" s="26" t="n">
        <v>0</v>
      </c>
      <c r="S755" s="29" t="n">
        <v>1</v>
      </c>
      <c r="T755" s="24" t="inlineStr">
        <is>
          <t>soccer-poisson-dc-v1</t>
        </is>
      </c>
      <c r="U755" s="24" t="inlineStr">
        <is>
          <t>settled</t>
        </is>
      </c>
      <c r="V755" s="24" t="inlineStr">
        <is>
          <t>win</t>
        </is>
      </c>
      <c r="W755" s="26" t="n">
        <v>0</v>
      </c>
      <c r="X755" s="26" t="n">
        <v>2</v>
      </c>
      <c r="Y755" s="25" t="n"/>
      <c r="Z755" s="26" t="n">
        <v>-178</v>
      </c>
      <c r="AA755" s="28" t="n">
        <v>0.64</v>
      </c>
      <c r="AB755" s="28" t="n">
        <v>-0.000288</v>
      </c>
      <c r="AC755" s="30" t="n">
        <v>0.5618</v>
      </c>
      <c r="AD755" s="24" t="inlineStr">
        <is>
          <t>2026-10-03T22:01:20.694721Z</t>
        </is>
      </c>
      <c r="AE755" s="31" t="inlineStr">
        <is>
          <t>Poisson-DC rates 1.76 (home) / 1.18 (away) from EWMA attack/defense strengths. Executable ask 0.6400 (atc-intf-can-per-2026-10-03-can).</t>
        </is>
      </c>
      <c r="AF755" s="31" t="inlineStr">
        <is>
          <t>Research-only soccer score model; draw-aware, but not yet locked-holdout qualified.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Peru</t>
        </is>
      </c>
      <c r="AQ755" s="24" t="inlineStr">
        <is>
          <t>Peru</t>
        </is>
      </c>
      <c r="AR755" s="24" t="inlineStr">
        <is>
          <t>Peru</t>
        </is>
      </c>
      <c r="AS755" s="24" t="inlineStr">
        <is>
          <t>Canada</t>
        </is>
      </c>
      <c r="AT755" s="24" t="inlineStr">
        <is>
          <t>Canada</t>
        </is>
      </c>
      <c r="AU755" s="24" t="inlineStr">
        <is>
          <t>Canada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3d16277c2cfc0628d7ec79d04feee92735e5c503a3be195cb225c7c52d024308</t>
        </is>
      </c>
      <c r="BB755" s="24" t="inlineStr">
        <is>
          <t>poisson_dixon_coles</t>
        </is>
      </c>
      <c r="BC755" s="24" t="inlineStr">
        <is>
          <t>soccer-poisson-dc-v1</t>
        </is>
      </c>
      <c r="BD755" s="24" t="inlineStr">
        <is>
          <t>3d16277c2cfc0628d7ec79d04feee92735e5c503a3be195cb225c7c52d024308</t>
        </is>
      </c>
      <c r="BE755" s="24" t="inlineStr">
        <is>
          <t>soccer-poisson-dc-v1</t>
        </is>
      </c>
      <c r="BF755" s="24" t="inlineStr">
        <is>
          <t>1</t>
        </is>
      </c>
      <c r="BG755" s="24" t="inlineStr">
        <is>
          <t>3d16277c2cfc0628d7ec79d04feee92735e5c503a3be195cb225c7c52d024308</t>
        </is>
      </c>
      <c r="BH755" s="24" t="inlineStr">
        <is>
          <t>2026-10-03T16:49:57.214006Z</t>
        </is>
      </c>
      <c r="BI755" s="24" t="inlineStr">
        <is>
          <t>["same_event","same_team_same_day","same_league_same_day"]</t>
        </is>
      </c>
      <c r="BJ755" s="25" t="n"/>
      <c r="BK755" s="26" t="n">
        <v>-178</v>
      </c>
      <c r="BL755" s="27" t="n">
        <v>1.561798</v>
      </c>
      <c r="BM755" s="28" t="n">
        <v>0.640288</v>
      </c>
      <c r="BN755" s="28" t="n"/>
      <c r="BO755" s="28" t="n"/>
      <c r="BP755" s="25" t="n"/>
      <c r="BQ755" s="27" t="n">
        <v>1.561798</v>
      </c>
      <c r="BR755" s="28" t="n">
        <v>0.64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0.640288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"3d16277c2cfc0628d7ec79d04feee92735e5c503a3be195cb225c7c52d024308", "away_team": "Peru", "event_id": "401900325", "event_start_utc": "2026-10-03T18:00Z",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"2026-10-03T16:52:00.218245+00:00", "probabilities": {"away": 0.245402, "draw": 0.256365, "home": 0.498233}, "replay_scope": "Exact full-precision serving state and rounding; upstream historical observation times are not certified.", "schema": "coded-moneyline-replay-v1", "snapshot_hash": "ead06a11f8d748273348ccd1405e32c25274e39a5b9dd0b5fb41b9ea43124dd2", "sport": "SOCCER"}</t>
        </is>
      </c>
    </row>
    <row r="756" ht="36" customHeight="1">
      <c r="A756" s="24" t="inlineStr">
        <is>
          <t>2e4fb4cc79e64bc4</t>
        </is>
      </c>
      <c r="B756" s="24" t="inlineStr">
        <is>
          <t>2026-10-03T22:32:34.934402Z</t>
        </is>
      </c>
      <c r="C756" s="24" t="inlineStr">
        <is>
          <t>2026-10-04T00:00Z</t>
        </is>
      </c>
      <c r="D756" s="24" t="inlineStr">
        <is>
          <t>401921544</t>
        </is>
      </c>
      <c r="E756" s="24" t="inlineStr">
        <is>
          <t>SOCCER</t>
        </is>
      </c>
      <c r="F756" s="24" t="inlineStr">
        <is>
          <t>Burkina Faso</t>
        </is>
      </c>
      <c r="G756" s="24" t="inlineStr">
        <is>
          <t>Argentina</t>
        </is>
      </c>
      <c r="H756" s="24" t="inlineStr">
        <is>
          <t>total</t>
        </is>
      </c>
      <c r="I756" s="24" t="inlineStr">
        <is>
          <t>over</t>
        </is>
      </c>
      <c r="J756" s="25" t="n">
        <v>2.5</v>
      </c>
      <c r="K756" s="24" t="inlineStr">
        <is>
          <t>polymarket_us</t>
        </is>
      </c>
      <c r="L756" s="26" t="n">
        <v>-400</v>
      </c>
      <c r="M756" s="27" t="n">
        <v>1.25</v>
      </c>
      <c r="N756" s="28" t="n">
        <v>0.8</v>
      </c>
      <c r="O756" s="28" t="n">
        <v>0.621444</v>
      </c>
      <c r="P756" s="28" t="n">
        <v>0.2</v>
      </c>
      <c r="Q756" s="28" t="n">
        <v>-0.178556</v>
      </c>
      <c r="R756" s="26" t="n">
        <v>0</v>
      </c>
      <c r="S756" s="29" t="n">
        <v>1</v>
      </c>
      <c r="T756" s="24" t="inlineStr">
        <is>
          <t>soccer-poisson-dc-v1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7</v>
      </c>
      <c r="Y756" s="25" t="n"/>
      <c r="Z756" s="26" t="n">
        <v>-400</v>
      </c>
      <c r="AA756" s="28" t="n">
        <v>0.8</v>
      </c>
      <c r="AB756" s="28" t="n">
        <v>0</v>
      </c>
      <c r="AC756" s="30" t="n">
        <v>0.25</v>
      </c>
      <c r="AD756" s="24" t="inlineStr">
        <is>
          <t>2026-10-04T20:56:50.528804Z</t>
        </is>
      </c>
      <c r="AE756" s="31" t="inlineStr">
        <is>
          <t>Poisson-DC rates 2.13 (home) / 1.08 (away) from EWMA attack/defense strengths. Executable ask 0.8000 (tsc-intf-arg-bur-2026-10-03-2pt5).</t>
        </is>
      </c>
      <c r="AF756" s="31" t="inlineStr">
        <is>
          <t>Research-only soccer score model; draw-aware, but not yet locked-holdout qualified.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PAPER_CALL_MODEL_UNVALIDATED</t>
        </is>
      </c>
      <c r="AP756" s="24" t="inlineStr">
        <is>
          <t>Burkina Faso</t>
        </is>
      </c>
      <c r="AQ756" s="24" t="inlineStr">
        <is>
          <t>Burkina Faso</t>
        </is>
      </c>
      <c r="AR756" s="24" t="inlineStr">
        <is>
          <t>Burkina Faso</t>
        </is>
      </c>
      <c r="AS756" s="24" t="inlineStr">
        <is>
          <t>Argentina</t>
        </is>
      </c>
      <c r="AT756" s="24" t="inlineStr">
        <is>
          <t>Argentina</t>
        </is>
      </c>
      <c r="AU756" s="24" t="inlineStr">
        <is>
          <t>Argentina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3d16277c2cfc0628d7ec79d04feee92735e5c503a3be195cb225c7c52d024308</t>
        </is>
      </c>
      <c r="BB756" s="24" t="inlineStr">
        <is>
          <t>poisson_dixon_coles</t>
        </is>
      </c>
      <c r="BC756" s="24" t="inlineStr">
        <is>
          <t>soccer-poisson-dc-v1</t>
        </is>
      </c>
      <c r="BD756" s="24" t="inlineStr">
        <is>
          <t>3d16277c2cfc0628d7ec79d04feee92735e5c503a3be195cb225c7c52d024308</t>
        </is>
      </c>
      <c r="BE756" s="24" t="inlineStr">
        <is>
          <t>soccer-poisson-dc-v1</t>
        </is>
      </c>
      <c r="BF756" s="24" t="inlineStr">
        <is>
          <t>1</t>
        </is>
      </c>
      <c r="BG756" s="24" t="inlineStr">
        <is>
          <t>3d16277c2cfc0628d7ec79d04feee92735e5c503a3be195cb225c7c52d024308</t>
        </is>
      </c>
      <c r="BH756" s="24" t="inlineStr">
        <is>
          <t>2026-10-03T16:50:02.229015Z</t>
        </is>
      </c>
      <c r="BI756" s="24" t="inlineStr">
        <is>
          <t>["same_event","same_team_same_day","same_league_same_day"]</t>
        </is>
      </c>
      <c r="BJ756" s="25" t="n">
        <v>2.5</v>
      </c>
      <c r="BK756" s="26" t="n">
        <v>-400</v>
      </c>
      <c r="BL756" s="27" t="n">
        <v>1.25</v>
      </c>
      <c r="BM756" s="28" t="n">
        <v>0.8</v>
      </c>
      <c r="BN756" s="28" t="n"/>
      <c r="BO756" s="28" t="n"/>
      <c r="BP756" s="25" t="n"/>
      <c r="BQ756" s="27" t="n">
        <v>1.25</v>
      </c>
      <c r="BR756" s="28" t="n">
        <v>0.8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0.8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aef77321c311481f</t>
        </is>
      </c>
      <c r="B757" s="24" t="inlineStr">
        <is>
          <t>2026-10-05T10:48:07.901064Z</t>
        </is>
      </c>
      <c r="C757" s="24" t="inlineStr">
        <is>
          <t>2026-10-05T13:00Z</t>
        </is>
      </c>
      <c r="D757" s="24" t="inlineStr">
        <is>
          <t>401918508</t>
        </is>
      </c>
      <c r="E757" s="24" t="inlineStr">
        <is>
          <t>SOCCER</t>
        </is>
      </c>
      <c r="F757" s="24" t="inlineStr">
        <is>
          <t>Congo DR</t>
        </is>
      </c>
      <c r="G757" s="24" t="inlineStr">
        <is>
          <t>Uganda</t>
        </is>
      </c>
      <c r="H757" s="24" t="inlineStr">
        <is>
          <t>total</t>
        </is>
      </c>
      <c r="I757" s="24" t="inlineStr">
        <is>
          <t>over</t>
        </is>
      </c>
      <c r="J757" s="25" t="n">
        <v>2.5</v>
      </c>
      <c r="K757" s="24" t="inlineStr">
        <is>
          <t>polymarket_us</t>
        </is>
      </c>
      <c r="L757" s="26" t="n">
        <v>144</v>
      </c>
      <c r="M757" s="27" t="n">
        <v>2.44</v>
      </c>
      <c r="N757" s="28" t="n">
        <v>0.409836</v>
      </c>
      <c r="O757" s="28" t="n">
        <v>0.5261749999999999</v>
      </c>
      <c r="P757" s="28" t="n">
        <v>0.2</v>
      </c>
      <c r="Q757" s="28" t="n">
        <v>0.116339</v>
      </c>
      <c r="R757" s="26" t="n">
        <v>0</v>
      </c>
      <c r="S757" s="29" t="n">
        <v>1</v>
      </c>
      <c r="T757" s="24" t="inlineStr">
        <is>
          <t>soccer-poisson-dc-v1</t>
        </is>
      </c>
      <c r="U757" s="24" t="inlineStr">
        <is>
          <t>settled</t>
        </is>
      </c>
      <c r="V757" s="24" t="inlineStr">
        <is>
          <t>loss</t>
        </is>
      </c>
      <c r="W757" s="26" t="n">
        <v>1</v>
      </c>
      <c r="X757" s="26" t="n">
        <v>1</v>
      </c>
      <c r="Y757" s="25" t="n"/>
      <c r="Z757" s="26" t="n">
        <v>144</v>
      </c>
      <c r="AA757" s="28" t="n">
        <v>0.41</v>
      </c>
      <c r="AB757" s="28" t="n">
        <v>0.000164</v>
      </c>
      <c r="AC757" s="30" t="n">
        <v>-1</v>
      </c>
      <c r="AD757" s="24" t="inlineStr">
        <is>
          <t>2026-10-05T16:01:09.278451Z</t>
        </is>
      </c>
      <c r="AE757" s="31" t="inlineStr">
        <is>
          <t>Poisson-DC rates 1.58 (home) / 1.20 (away) from EWMA attack/defense strengths. Executable ask 0.4100 (tsc-intf-uga-cdr-2026-10-05-2pt5).</t>
        </is>
      </c>
      <c r="AF757" s="31" t="inlineStr">
        <is>
          <t>Research-only soccer score model; draw-aware, but not yet locked-holdout qualified.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Congo DR</t>
        </is>
      </c>
      <c r="AQ757" s="24" t="inlineStr">
        <is>
          <t>Congo DR</t>
        </is>
      </c>
      <c r="AR757" s="24" t="inlineStr">
        <is>
          <t>Congo DR</t>
        </is>
      </c>
      <c r="AS757" s="24" t="inlineStr">
        <is>
          <t>Uganda</t>
        </is>
      </c>
      <c r="AT757" s="24" t="inlineStr">
        <is>
          <t>Uganda</t>
        </is>
      </c>
      <c r="AU757" s="24" t="inlineStr">
        <is>
          <t>Uganda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3d16277c2cfc0628d7ec79d04feee92735e5c503a3be195cb225c7c52d024308</t>
        </is>
      </c>
      <c r="BB757" s="24" t="inlineStr">
        <is>
          <t>poisson_dixon_coles</t>
        </is>
      </c>
      <c r="BC757" s="24" t="inlineStr">
        <is>
          <t>soccer-poisson-dc-v1</t>
        </is>
      </c>
      <c r="BD757" s="24" t="inlineStr">
        <is>
          <t>3d16277c2cfc0628d7ec79d04feee92735e5c503a3be195cb225c7c52d024308</t>
        </is>
      </c>
      <c r="BE757" s="24" t="inlineStr">
        <is>
          <t>soccer-poisson-dc-v1</t>
        </is>
      </c>
      <c r="BF757" s="24" t="inlineStr">
        <is>
          <t>1</t>
        </is>
      </c>
      <c r="BG757" s="24" t="inlineStr">
        <is>
          <t>3d16277c2cfc0628d7ec79d04feee92735e5c503a3be195cb225c7c52d024308</t>
        </is>
      </c>
      <c r="BH757" s="24" t="inlineStr">
        <is>
          <t>2026-10-05T10:13:50.197274Z</t>
        </is>
      </c>
      <c r="BI757" s="24" t="inlineStr">
        <is>
          <t>["same_event","same_team_same_day","same_league_same_day"]</t>
        </is>
      </c>
      <c r="BJ757" s="25" t="n">
        <v>2.5</v>
      </c>
      <c r="BK757" s="26" t="n">
        <v>144</v>
      </c>
      <c r="BL757" s="27" t="n">
        <v>2.44</v>
      </c>
      <c r="BM757" s="28" t="n">
        <v>0.409836</v>
      </c>
      <c r="BN757" s="28" t="n"/>
      <c r="BO757" s="28" t="n"/>
      <c r="BP757" s="25" t="n"/>
      <c r="BQ757" s="27" t="n">
        <v>2.44</v>
      </c>
      <c r="BR757" s="28" t="n">
        <v>0.41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n"/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852aeec53ff44187</t>
        </is>
      </c>
      <c r="B758" s="24" t="inlineStr">
        <is>
          <t>2026-10-05T10:48:07.901064Z</t>
        </is>
      </c>
      <c r="C758" s="24" t="inlineStr">
        <is>
          <t>2026-10-05T16:00Z</t>
        </is>
      </c>
      <c r="D758" s="24" t="inlineStr">
        <is>
          <t>401928087</t>
        </is>
      </c>
      <c r="E758" s="24" t="inlineStr">
        <is>
          <t>SOCCER</t>
        </is>
      </c>
      <c r="F758" s="24" t="inlineStr">
        <is>
          <t>Kenya</t>
        </is>
      </c>
      <c r="G758" s="24" t="inlineStr">
        <is>
          <t>Rwanda</t>
        </is>
      </c>
      <c r="H758" s="24" t="inlineStr">
        <is>
          <t>total</t>
        </is>
      </c>
      <c r="I758" s="24" t="inlineStr">
        <is>
          <t>over</t>
        </is>
      </c>
      <c r="J758" s="25" t="n">
        <v>2.5</v>
      </c>
      <c r="K758" s="24" t="inlineStr">
        <is>
          <t>polymarket_us</t>
        </is>
      </c>
      <c r="L758" s="26" t="n">
        <v>163</v>
      </c>
      <c r="M758" s="27" t="n">
        <v>2.63</v>
      </c>
      <c r="N758" s="28" t="n">
        <v>0.380228</v>
      </c>
      <c r="O758" s="28" t="n">
        <v>0.550338</v>
      </c>
      <c r="P758" s="28" t="n">
        <v>0.2</v>
      </c>
      <c r="Q758" s="28" t="n">
        <v>0.17011</v>
      </c>
      <c r="R758" s="26" t="n">
        <v>15</v>
      </c>
      <c r="S758" s="29" t="n">
        <v>1</v>
      </c>
      <c r="T758" s="24" t="inlineStr">
        <is>
          <t>soccer-poisson-dc-v1</t>
        </is>
      </c>
      <c r="U758" s="24" t="inlineStr">
        <is>
          <t>settled</t>
        </is>
      </c>
      <c r="V758" s="24" t="inlineStr">
        <is>
          <t>loss</t>
        </is>
      </c>
      <c r="W758" s="26" t="n">
        <v>0</v>
      </c>
      <c r="X758" s="26" t="n">
        <v>0</v>
      </c>
      <c r="Y758" s="25" t="n"/>
      <c r="Z758" s="26" t="n">
        <v>163</v>
      </c>
      <c r="AA758" s="28" t="n">
        <v>0.38</v>
      </c>
      <c r="AB758" s="28" t="n">
        <v>-0.000228</v>
      </c>
      <c r="AC758" s="30" t="n">
        <v>-1</v>
      </c>
      <c r="AD758" s="24" t="inlineStr">
        <is>
          <t>2026-10-05T22:00:47.363009Z</t>
        </is>
      </c>
      <c r="AE758" s="31" t="inlineStr">
        <is>
          <t>Poisson-DC rates 1.64 (home) / 1.24 (away) from EWMA attack/defense strengths. Executable ask 0.3800 (tsc-intf-rwa-ken-2026-10-05-2pt5).</t>
        </is>
      </c>
      <c r="AF758" s="31" t="inlineStr">
        <is>
          <t>Research-only soccer score model; draw-aware, but not yet locked-holdout qualified.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PAPER_CALL_MODEL_UNVALIDATED</t>
        </is>
      </c>
      <c r="AP758" s="24" t="inlineStr">
        <is>
          <t>Kenya</t>
        </is>
      </c>
      <c r="AQ758" s="24" t="inlineStr">
        <is>
          <t>Kenya</t>
        </is>
      </c>
      <c r="AR758" s="24" t="inlineStr">
        <is>
          <t>Kenya</t>
        </is>
      </c>
      <c r="AS758" s="24" t="inlineStr">
        <is>
          <t>Rwanda</t>
        </is>
      </c>
      <c r="AT758" s="24" t="inlineStr">
        <is>
          <t>Rwanda</t>
        </is>
      </c>
      <c r="AU758" s="24" t="inlineStr">
        <is>
          <t>Rwanda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3d16277c2cfc0628d7ec79d04feee92735e5c503a3be195cb225c7c52d024308</t>
        </is>
      </c>
      <c r="BB758" s="24" t="inlineStr">
        <is>
          <t>poisson_dixon_coles</t>
        </is>
      </c>
      <c r="BC758" s="24" t="inlineStr">
        <is>
          <t>soccer-poisson-dc-v1</t>
        </is>
      </c>
      <c r="BD758" s="24" t="inlineStr">
        <is>
          <t>3d16277c2cfc0628d7ec79d04feee92735e5c503a3be195cb225c7c52d024308</t>
        </is>
      </c>
      <c r="BE758" s="24" t="inlineStr">
        <is>
          <t>soccer-poisson-dc-v1</t>
        </is>
      </c>
      <c r="BF758" s="24" t="inlineStr">
        <is>
          <t>1</t>
        </is>
      </c>
      <c r="BG758" s="24" t="inlineStr">
        <is>
          <t>3d16277c2cfc0628d7ec79d04feee92735e5c503a3be195cb225c7c52d024308</t>
        </is>
      </c>
      <c r="BH758" s="24" t="inlineStr">
        <is>
          <t>2026-10-05T10:14:10.335048Z</t>
        </is>
      </c>
      <c r="BI758" s="24" t="inlineStr">
        <is>
          <t>["same_event","same_team_same_day","same_league_same_day"]</t>
        </is>
      </c>
      <c r="BJ758" s="25" t="n">
        <v>2.5</v>
      </c>
      <c r="BK758" s="26" t="n">
        <v>163</v>
      </c>
      <c r="BL758" s="27" t="n">
        <v>2.63</v>
      </c>
      <c r="BM758" s="28" t="n">
        <v>0.380228</v>
      </c>
      <c r="BN758" s="28" t="n"/>
      <c r="BO758" s="28" t="n"/>
      <c r="BP758" s="25" t="n"/>
      <c r="BQ758" s="27" t="n">
        <v>2.63</v>
      </c>
      <c r="BR758" s="28" t="n">
        <v>0.38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n"/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98a23d5d386c493f</t>
        </is>
      </c>
      <c r="B759" s="24" t="inlineStr">
        <is>
          <t>2026-10-05T10:48:07.901064Z</t>
        </is>
      </c>
      <c r="C759" s="24" t="inlineStr">
        <is>
          <t>2026-10-05T13:00Z</t>
        </is>
      </c>
      <c r="D759" s="24" t="inlineStr">
        <is>
          <t>401918508</t>
        </is>
      </c>
      <c r="E759" s="24" t="inlineStr">
        <is>
          <t>SOCCER</t>
        </is>
      </c>
      <c r="F759" s="24" t="inlineStr">
        <is>
          <t>Congo DR</t>
        </is>
      </c>
      <c r="G759" s="24" t="inlineStr">
        <is>
          <t>Uganda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355</v>
      </c>
      <c r="M759" s="27" t="n">
        <v>4.55</v>
      </c>
      <c r="N759" s="28" t="n">
        <v>0.21978</v>
      </c>
      <c r="O759" s="28" t="n">
        <v>0.451457</v>
      </c>
      <c r="P759" s="28" t="n">
        <v>0.2</v>
      </c>
      <c r="Q759" s="28" t="n">
        <v>0.231677</v>
      </c>
      <c r="R759" s="26" t="n">
        <v>46</v>
      </c>
      <c r="S759" s="29" t="n">
        <v>1.25</v>
      </c>
      <c r="T759" s="24" t="inlineStr">
        <is>
          <t>soccer-poisson-dc-v1</t>
        </is>
      </c>
      <c r="U759" s="24" t="inlineStr">
        <is>
          <t>settled</t>
        </is>
      </c>
      <c r="V759" s="24" t="inlineStr">
        <is>
          <t>loss</t>
        </is>
      </c>
      <c r="W759" s="26" t="n">
        <v>1</v>
      </c>
      <c r="X759" s="26" t="n">
        <v>1</v>
      </c>
      <c r="Y759" s="25" t="n"/>
      <c r="Z759" s="26" t="n">
        <v>355</v>
      </c>
      <c r="AA759" s="28" t="n">
        <v>0.22</v>
      </c>
      <c r="AB759" s="28" t="n">
        <v>0.00022</v>
      </c>
      <c r="AC759" s="30" t="n">
        <v>-1.25</v>
      </c>
      <c r="AD759" s="24" t="inlineStr">
        <is>
          <t>2026-10-05T16:01:13.853296Z</t>
        </is>
      </c>
      <c r="AE759" s="31" t="inlineStr">
        <is>
          <t>Poisson-DC rates 1.58 (home) / 1.20 (away) from EWMA attack/defense strengths. Executable ask 0.2200 (atc-intf-uga-cdr-2026-10-05-uga).</t>
        </is>
      </c>
      <c r="AF759" s="31" t="inlineStr">
        <is>
          <t>Research-only soccer score model; draw-aware, but not yet locked-holdout qualified.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Congo DR</t>
        </is>
      </c>
      <c r="AQ759" s="24" t="inlineStr">
        <is>
          <t>Congo DR</t>
        </is>
      </c>
      <c r="AR759" s="24" t="inlineStr">
        <is>
          <t>Congo DR</t>
        </is>
      </c>
      <c r="AS759" s="24" t="inlineStr">
        <is>
          <t>Uganda</t>
        </is>
      </c>
      <c r="AT759" s="24" t="inlineStr">
        <is>
          <t>Uganda</t>
        </is>
      </c>
      <c r="AU759" s="24" t="inlineStr">
        <is>
          <t>Uganda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3d16277c2cfc0628d7ec79d04feee92735e5c503a3be195cb225c7c52d024308</t>
        </is>
      </c>
      <c r="BB759" s="24" t="inlineStr">
        <is>
          <t>poisson_dixon_coles</t>
        </is>
      </c>
      <c r="BC759" s="24" t="inlineStr">
        <is>
          <t>soccer-poisson-dc-v1</t>
        </is>
      </c>
      <c r="BD759" s="24" t="inlineStr">
        <is>
          <t>3d16277c2cfc0628d7ec79d04feee92735e5c503a3be195cb225c7c52d024308</t>
        </is>
      </c>
      <c r="BE759" s="24" t="inlineStr">
        <is>
          <t>soccer-poisson-dc-v1</t>
        </is>
      </c>
      <c r="BF759" s="24" t="inlineStr">
        <is>
          <t>1</t>
        </is>
      </c>
      <c r="BG759" s="24" t="inlineStr">
        <is>
          <t>3d16277c2cfc0628d7ec79d04feee92735e5c503a3be195cb225c7c52d024308</t>
        </is>
      </c>
      <c r="BH759" s="24" t="inlineStr">
        <is>
          <t>2026-10-05T10:13:50.185275Z</t>
        </is>
      </c>
      <c r="BI759" s="24" t="inlineStr">
        <is>
          <t>["same_event","same_team_same_day","same_league_same_day"]</t>
        </is>
      </c>
      <c r="BJ759" s="25" t="n"/>
      <c r="BK759" s="26" t="n">
        <v>355</v>
      </c>
      <c r="BL759" s="27" t="n">
        <v>4.55</v>
      </c>
      <c r="BM759" s="28" t="n">
        <v>0.21978</v>
      </c>
      <c r="BN759" s="28" t="n"/>
      <c r="BO759" s="28" t="n"/>
      <c r="BP759" s="25" t="n"/>
      <c r="BQ759" s="27" t="n">
        <v>4.55</v>
      </c>
      <c r="BR759" s="28" t="n">
        <v>0.22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n"/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"3d16277c2cfc0628d7ec79d04feee92735e5c503a3be195cb225c7c52d024308", "away_team": "Congo DR", "event_id": "401918508", "event_start_utc": "2026-10-05T13:00Z", "features": {"away_goal_rate": 1.1975, "history_games": 9181, "home_goal_rate": 1.5842, "league_goals_per_team": 1.4281, "min_team_games": 0.0}, "historical_source_observation_times_verified": false, "home_team": "Uganda", "inference_inputs": {"away_rate": 1.1975179275339778, "code_sha256": {"models/soccer.py": "3d16277c2cfc0628d7ec79d04feee92735e5c503a3be195cb225c7c52d024308"}, "home_rate": 1.5841928925374615, "sport": "SOCCER"}, "market_type": "moneyline", "model_version": "soccer-poisson-dc-v1", "observed_at_utc": "2026-10-05T10:48:07.365274+00:00", "probabilities": {"away": 0.276646, "draw": 0.271897, "home": 0.451457}, "replay_scope": "Exact full-precision serving state and rounding; upstream historical observation times are not certified.", "schema": "coded-moneyline-replay-v1", "snapshot_hash": "8022e231510409d44246954b467a35097c3f2a9bdaca1c28cd152a20bd0f6a06", "sport": "SOCCER"}</t>
        </is>
      </c>
    </row>
    <row r="760" ht="36" customHeight="1">
      <c r="A760" s="24" t="inlineStr">
        <is>
          <t>09f2389eeee7448c</t>
        </is>
      </c>
      <c r="B760" s="24" t="inlineStr">
        <is>
          <t>2026-10-05T10:48:07.901064Z</t>
        </is>
      </c>
      <c r="C760" s="24" t="inlineStr">
        <is>
          <t>2026-10-05T16:00Z</t>
        </is>
      </c>
      <c r="D760" s="24" t="inlineStr">
        <is>
          <t>401928087</t>
        </is>
      </c>
      <c r="E760" s="24" t="inlineStr">
        <is>
          <t>SOCCER</t>
        </is>
      </c>
      <c r="F760" s="24" t="inlineStr">
        <is>
          <t>Kenya</t>
        </is>
      </c>
      <c r="G760" s="24" t="inlineStr">
        <is>
          <t>Rwanda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122</v>
      </c>
      <c r="M760" s="27" t="n">
        <v>2.22</v>
      </c>
      <c r="N760" s="28" t="n">
        <v>0.45045</v>
      </c>
      <c r="O760" s="28" t="n">
        <v>0.456135</v>
      </c>
      <c r="P760" s="28" t="n">
        <v>0.2</v>
      </c>
      <c r="Q760" s="28" t="n">
        <v>0.005685</v>
      </c>
      <c r="R760" s="26" t="n">
        <v>0</v>
      </c>
      <c r="S760" s="29" t="n">
        <v>1</v>
      </c>
      <c r="T760" s="24" t="inlineStr">
        <is>
          <t>soccer-poisson-dc-v1</t>
        </is>
      </c>
      <c r="U760" s="24" t="inlineStr">
        <is>
          <t>settled</t>
        </is>
      </c>
      <c r="V760" s="24" t="inlineStr">
        <is>
          <t>loss</t>
        </is>
      </c>
      <c r="W760" s="26" t="n">
        <v>0</v>
      </c>
      <c r="X760" s="26" t="n">
        <v>0</v>
      </c>
      <c r="Y760" s="25" t="n"/>
      <c r="Z760" s="26" t="n">
        <v>122</v>
      </c>
      <c r="AA760" s="28" t="n">
        <v>0.45</v>
      </c>
      <c r="AB760" s="28" t="n">
        <v>-0.00045</v>
      </c>
      <c r="AC760" s="30" t="n">
        <v>-1</v>
      </c>
      <c r="AD760" s="24" t="inlineStr">
        <is>
          <t>2026-10-05T22:00:52.128637Z</t>
        </is>
      </c>
      <c r="AE760" s="31" t="inlineStr">
        <is>
          <t>Poisson-DC rates 1.64 (home) / 1.24 (away) from EWMA attack/defense strengths. Executable ask 0.4500 (atc-intf-rwa-ken-2026-10-05-rwa).</t>
        </is>
      </c>
      <c r="AF760" s="31" t="inlineStr">
        <is>
          <t>Research-only soccer score model; draw-aware, but not yet locked-holdout qualified.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PAPER_CALL_MODEL_UNVALIDATED</t>
        </is>
      </c>
      <c r="AP760" s="24" t="inlineStr">
        <is>
          <t>Kenya</t>
        </is>
      </c>
      <c r="AQ760" s="24" t="inlineStr">
        <is>
          <t>Kenya</t>
        </is>
      </c>
      <c r="AR760" s="24" t="inlineStr">
        <is>
          <t>Kenya</t>
        </is>
      </c>
      <c r="AS760" s="24" t="inlineStr">
        <is>
          <t>Rwanda</t>
        </is>
      </c>
      <c r="AT760" s="24" t="inlineStr">
        <is>
          <t>Rwanda</t>
        </is>
      </c>
      <c r="AU760" s="24" t="inlineStr">
        <is>
          <t>Rwanda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3d16277c2cfc0628d7ec79d04feee92735e5c503a3be195cb225c7c52d024308</t>
        </is>
      </c>
      <c r="BB760" s="24" t="inlineStr">
        <is>
          <t>poisson_dixon_coles</t>
        </is>
      </c>
      <c r="BC760" s="24" t="inlineStr">
        <is>
          <t>soccer-poisson-dc-v1</t>
        </is>
      </c>
      <c r="BD760" s="24" t="inlineStr">
        <is>
          <t>3d16277c2cfc0628d7ec79d04feee92735e5c503a3be195cb225c7c52d024308</t>
        </is>
      </c>
      <c r="BE760" s="24" t="inlineStr">
        <is>
          <t>soccer-poisson-dc-v1</t>
        </is>
      </c>
      <c r="BF760" s="24" t="inlineStr">
        <is>
          <t>1</t>
        </is>
      </c>
      <c r="BG760" s="24" t="inlineStr">
        <is>
          <t>3d16277c2cfc0628d7ec79d04feee92735e5c503a3be195cb225c7c52d024308</t>
        </is>
      </c>
      <c r="BH760" s="24" t="inlineStr">
        <is>
          <t>2026-10-05T10:14:00.273337Z</t>
        </is>
      </c>
      <c r="BI760" s="24" t="inlineStr">
        <is>
          <t>["same_event","same_team_same_day","same_league_same_day"]</t>
        </is>
      </c>
      <c r="BJ760" s="25" t="n"/>
      <c r="BK760" s="26" t="n">
        <v>122</v>
      </c>
      <c r="BL760" s="27" t="n">
        <v>2.22</v>
      </c>
      <c r="BM760" s="28" t="n">
        <v>0.45045</v>
      </c>
      <c r="BN760" s="28" t="n"/>
      <c r="BO760" s="28" t="n"/>
      <c r="BP760" s="25" t="n"/>
      <c r="BQ760" s="27" t="n">
        <v>2.22</v>
      </c>
      <c r="BR760" s="28" t="n">
        <v>0.45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n"/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"3d16277c2cfc0628d7ec79d04feee92735e5c503a3be195cb225c7c52d024308", "away_team": "Kenya", "event_id": "401928087", "event_start_utc": "2026-10-05T16:00Z", "features": {"away_goal_rate": 1.2418, "history_games": 9181, "home_goal_rate": 1.6423, "league_goals_per_team": 1.4281, "min_team_games": 0.0}, "historical_source_observation_times_verified": false, "home_team": "Rwanda",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"2026-10-05T10:48:07.365274+00:00", "probabilities": {"away": 0.278015, "draw": 0.265851, "home": 0.456135}, "replay_scope": "Exact full-precision serving state and rounding; upstream historical observation times are not certified.", "schema": "coded-moneyline-replay-v1", "snapshot_hash": "963424f25fbb0bf65eec02913110b2b7da7e0d636f5f8e88bd28ec98ab6366bb", "sport": "SOCCER"}</t>
        </is>
      </c>
    </row>
    <row r="761" ht="36" customHeight="1">
      <c r="A761" s="24" t="inlineStr">
        <is>
          <t>dced7b3f86e246b6</t>
        </is>
      </c>
      <c r="B761" s="24" t="inlineStr">
        <is>
          <t>2026-10-05T16:32:51.000388Z</t>
        </is>
      </c>
      <c r="C761" s="24" t="inlineStr">
        <is>
          <t>2026-10-05T18:45Z</t>
        </is>
      </c>
      <c r="D761" s="24" t="inlineStr">
        <is>
          <t>401896386</t>
        </is>
      </c>
      <c r="E761" s="24" t="inlineStr">
        <is>
          <t>SOCCER</t>
        </is>
      </c>
      <c r="F761" s="24" t="inlineStr">
        <is>
          <t>Gibraltar</t>
        </is>
      </c>
      <c r="G761" s="24" t="inlineStr">
        <is>
          <t>Liechtenstein</t>
        </is>
      </c>
      <c r="H761" s="24" t="inlineStr">
        <is>
          <t>total</t>
        </is>
      </c>
      <c r="I761" s="24" t="inlineStr">
        <is>
          <t>over</t>
        </is>
      </c>
      <c r="J761" s="25" t="n">
        <v>2.5</v>
      </c>
      <c r="K761" s="24" t="inlineStr">
        <is>
          <t>polymarket_us</t>
        </is>
      </c>
      <c r="L761" s="26" t="n">
        <v>245</v>
      </c>
      <c r="M761" s="27" t="n">
        <v>3.45</v>
      </c>
      <c r="N761" s="28" t="n">
        <v>0.289855</v>
      </c>
      <c r="O761" s="28" t="n">
        <v>0.550338</v>
      </c>
      <c r="P761" s="28" t="n">
        <v>0.2</v>
      </c>
      <c r="Q761" s="28" t="n">
        <v>0.260483</v>
      </c>
      <c r="R761" s="26" t="n">
        <v>60</v>
      </c>
      <c r="S761" s="29" t="n">
        <v>1.5</v>
      </c>
      <c r="T761" s="24" t="inlineStr">
        <is>
          <t>soccer-poisson-dc-v1</t>
        </is>
      </c>
      <c r="U761" s="24" t="inlineStr">
        <is>
          <t>settled</t>
        </is>
      </c>
      <c r="V761" s="24" t="inlineStr">
        <is>
          <t>loss</t>
        </is>
      </c>
      <c r="W761" s="26" t="n">
        <v>2</v>
      </c>
      <c r="X761" s="26" t="n">
        <v>0</v>
      </c>
      <c r="Y761" s="25" t="n"/>
      <c r="Z761" s="26" t="n">
        <v>245</v>
      </c>
      <c r="AA761" s="28" t="n">
        <v>0.29</v>
      </c>
      <c r="AB761" s="28" t="n">
        <v>0.000145</v>
      </c>
      <c r="AC761" s="30" t="n">
        <v>-1.5</v>
      </c>
      <c r="AD761" s="24" t="inlineStr">
        <is>
          <t>2026-10-05T22:00:56.751459Z</t>
        </is>
      </c>
      <c r="AE761" s="31" t="inlineStr">
        <is>
          <t>Poisson-DC rates 1.64 (home) / 1.24 (away) from EWMA attack/defense strengths. Executable ask 0.2900 (tsc-intf-lie-gib-2026-10-05-2pt5).</t>
        </is>
      </c>
      <c r="AF761" s="31" t="inlineStr">
        <is>
          <t>Research-only soccer score model; draw-aware, but not yet locked-holdout qualified.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Gibraltar</t>
        </is>
      </c>
      <c r="AQ761" s="24" t="inlineStr">
        <is>
          <t>Gibraltar</t>
        </is>
      </c>
      <c r="AR761" s="24" t="inlineStr">
        <is>
          <t>Gibraltar</t>
        </is>
      </c>
      <c r="AS761" s="24" t="inlineStr">
        <is>
          <t>Liechtenstein</t>
        </is>
      </c>
      <c r="AT761" s="24" t="inlineStr">
        <is>
          <t>Liechtenstein</t>
        </is>
      </c>
      <c r="AU761" s="24" t="inlineStr">
        <is>
          <t>Liechtenstein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3d16277c2cfc0628d7ec79d04feee92735e5c503a3be195cb225c7c52d024308</t>
        </is>
      </c>
      <c r="BB761" s="24" t="inlineStr">
        <is>
          <t>poisson_dixon_coles</t>
        </is>
      </c>
      <c r="BC761" s="24" t="inlineStr">
        <is>
          <t>soccer-poisson-dc-v1</t>
        </is>
      </c>
      <c r="BD761" s="24" t="inlineStr">
        <is>
          <t>3d16277c2cfc0628d7ec79d04feee92735e5c503a3be195cb225c7c52d024308</t>
        </is>
      </c>
      <c r="BE761" s="24" t="inlineStr">
        <is>
          <t>soccer-poisson-dc-v1</t>
        </is>
      </c>
      <c r="BF761" s="24" t="inlineStr">
        <is>
          <t>1</t>
        </is>
      </c>
      <c r="BG761" s="24" t="inlineStr">
        <is>
          <t>3d16277c2cfc0628d7ec79d04feee92735e5c503a3be195cb225c7c52d024308</t>
        </is>
      </c>
      <c r="BH761" s="24" t="inlineStr">
        <is>
          <t>2026-10-05T10:14:30.555039Z</t>
        </is>
      </c>
      <c r="BI761" s="24" t="inlineStr">
        <is>
          <t>["same_event","same_team_same_day","same_league_same_day"]</t>
        </is>
      </c>
      <c r="BJ761" s="25" t="n">
        <v>2.5</v>
      </c>
      <c r="BK761" s="26" t="n">
        <v>245</v>
      </c>
      <c r="BL761" s="27" t="n">
        <v>3.45</v>
      </c>
      <c r="BM761" s="28" t="n">
        <v>0.289855</v>
      </c>
      <c r="BN761" s="28" t="n"/>
      <c r="BO761" s="28" t="n"/>
      <c r="BP761" s="25" t="n"/>
      <c r="BQ761" s="27" t="n">
        <v>3.45</v>
      </c>
      <c r="BR761" s="28" t="n">
        <v>0.29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n"/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4c0dd49d18c84483</t>
        </is>
      </c>
      <c r="B762" s="24" t="inlineStr">
        <is>
          <t>2026-10-05T16:32:51.000388Z</t>
        </is>
      </c>
      <c r="C762" s="24" t="inlineStr">
        <is>
          <t>2026-10-05T22:00Z</t>
        </is>
      </c>
      <c r="D762" s="24" t="inlineStr">
        <is>
          <t>401841590</t>
        </is>
      </c>
      <c r="E762" s="24" t="inlineStr">
        <is>
          <t>SOCCER</t>
        </is>
      </c>
      <c r="F762" s="24" t="inlineStr">
        <is>
          <t>Gimnasia (Mendoza)</t>
        </is>
      </c>
      <c r="G762" s="24" t="inlineStr">
        <is>
          <t>Estudiantes de La Plata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0.451659</v>
      </c>
      <c r="P762" s="28" t="n">
        <v>0.2</v>
      </c>
      <c r="Q762" s="28" t="n">
        <v>-0.128173</v>
      </c>
      <c r="R762" s="26" t="n">
        <v>0</v>
      </c>
      <c r="S762" s="29" t="n">
        <v>1</v>
      </c>
      <c r="T762" s="24" t="inlineStr">
        <is>
          <t>soccer-poisson-dc-v1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3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2026-10-06T05:34:59.883440Z</t>
        </is>
      </c>
      <c r="AE762" s="31" t="inlineStr">
        <is>
          <t>Poisson-DC rates 1.59 (home) / 1.20 (away) from EWMA attack/defense strengths. Executable ask 0.5800 (atc-lpa-est-gye-2026-10-05-est).</t>
        </is>
      </c>
      <c r="AF762" s="31" t="inlineStr">
        <is>
          <t>Research-only soccer score model; draw-aware, but not yet locked-holdout qualified.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PAPER_CALL_MODEL_UNVALIDATED</t>
        </is>
      </c>
      <c r="AP762" s="24" t="inlineStr">
        <is>
          <t>Gimnasia (Mendoza)</t>
        </is>
      </c>
      <c r="AQ762" s="24" t="inlineStr">
        <is>
          <t>Gimnasia (Mendoza)</t>
        </is>
      </c>
      <c r="AR762" s="24" t="inlineStr">
        <is>
          <t>Gimnasia (Mendoza)</t>
        </is>
      </c>
      <c r="AS762" s="24" t="inlineStr">
        <is>
          <t>Estudiantes de La Plata</t>
        </is>
      </c>
      <c r="AT762" s="24" t="inlineStr">
        <is>
          <t>Estudiantes de La Plata</t>
        </is>
      </c>
      <c r="AU762" s="24" t="inlineStr">
        <is>
          <t>Estudiantes de La Plata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3d16277c2cfc0628d7ec79d04feee92735e5c503a3be195cb225c7c52d024308</t>
        </is>
      </c>
      <c r="BB762" s="24" t="inlineStr">
        <is>
          <t>poisson_dixon_coles</t>
        </is>
      </c>
      <c r="BC762" s="24" t="inlineStr">
        <is>
          <t>soccer-poisson-dc-v1</t>
        </is>
      </c>
      <c r="BD762" s="24" t="inlineStr">
        <is>
          <t>3d16277c2cfc0628d7ec79d04feee92735e5c503a3be195cb225c7c52d024308</t>
        </is>
      </c>
      <c r="BE762" s="24" t="inlineStr">
        <is>
          <t>soccer-poisson-dc-v1</t>
        </is>
      </c>
      <c r="BF762" s="24" t="inlineStr">
        <is>
          <t>1</t>
        </is>
      </c>
      <c r="BG762" s="24" t="inlineStr">
        <is>
          <t>3d16277c2cfc0628d7ec79d04feee92735e5c503a3be195cb225c7c52d024308</t>
        </is>
      </c>
      <c r="BH762" s="24" t="inlineStr">
        <is>
          <t>2026-10-05T10:13:30.037009Z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n"/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"3d16277c2cfc0628d7ec79d04feee92735e5c503a3be195cb225c7c52d024308", "away_team": "Gimnasia (Mendoza)", "event_id": "401841590", "event_start_utc": "2026-10-05T22:00Z",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"2026-10-05T16:32:50.456200+00:00", "probabilities": {"away": 0.276813, "draw": 0.271528, "home": 0.451659}, "replay_scope": "Exact full-precision serving state and rounding; upstream historical observation times are not certified.", "schema": "coded-moneyline-replay-v1", "snapshot_hash": "c924065b50cb9d88f8bf456a22be2fc452bd4281aec179bf2a99057b734713ff", "sport": "SOCCER"}</t>
        </is>
      </c>
    </row>
    <row r="763" ht="36" customHeight="1">
      <c r="A763" s="24" t="inlineStr">
        <is>
          <t>7b867c0df42247a8</t>
        </is>
      </c>
      <c r="B763" s="24" t="inlineStr">
        <is>
          <t>2026-10-05T16:32:51.000388Z</t>
        </is>
      </c>
      <c r="C763" s="24" t="inlineStr">
        <is>
          <t>2026-10-05T18:45Z</t>
        </is>
      </c>
      <c r="D763" s="24" t="inlineStr">
        <is>
          <t>401896386</t>
        </is>
      </c>
      <c r="E763" s="24" t="inlineStr">
        <is>
          <t>SOCCER</t>
        </is>
      </c>
      <c r="F763" s="24" t="inlineStr">
        <is>
          <t>Gibraltar</t>
        </is>
      </c>
      <c r="G763" s="24" t="inlineStr">
        <is>
          <t>Liechtenstein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203</v>
      </c>
      <c r="M763" s="27" t="n">
        <v>3.03</v>
      </c>
      <c r="N763" s="28" t="n">
        <v>0.330033</v>
      </c>
      <c r="O763" s="28" t="n">
        <v>0.456135</v>
      </c>
      <c r="P763" s="28" t="n">
        <v>0.2</v>
      </c>
      <c r="Q763" s="28" t="n">
        <v>0.126102</v>
      </c>
      <c r="R763" s="26" t="n">
        <v>0</v>
      </c>
      <c r="S763" s="29" t="n">
        <v>1</v>
      </c>
      <c r="T763" s="24" t="inlineStr">
        <is>
          <t>soccer-poisson-dc-v1</t>
        </is>
      </c>
      <c r="U763" s="24" t="inlineStr">
        <is>
          <t>settled</t>
        </is>
      </c>
      <c r="V763" s="24" t="inlineStr">
        <is>
          <t>loss</t>
        </is>
      </c>
      <c r="W763" s="26" t="n">
        <v>2</v>
      </c>
      <c r="X763" s="26" t="n">
        <v>0</v>
      </c>
      <c r="Y763" s="25" t="n"/>
      <c r="Z763" s="26" t="n">
        <v>203</v>
      </c>
      <c r="AA763" s="28" t="n">
        <v>0.33</v>
      </c>
      <c r="AB763" s="28" t="n">
        <v>-3.3e-05</v>
      </c>
      <c r="AC763" s="30" t="n">
        <v>-1</v>
      </c>
      <c r="AD763" s="24" t="inlineStr">
        <is>
          <t>2026-10-05T22:01:01.382540Z</t>
        </is>
      </c>
      <c r="AE763" s="31" t="inlineStr">
        <is>
          <t>Poisson-DC rates 1.64 (home) / 1.24 (away) from EWMA attack/defense strengths. Executable ask 0.3300 (atc-intf-lie-gib-2026-10-05-lie).</t>
        </is>
      </c>
      <c r="AF763" s="31" t="inlineStr">
        <is>
          <t>Research-only soccer score model; draw-aware, but not yet locked-holdout qualified.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Gibraltar</t>
        </is>
      </c>
      <c r="AQ763" s="24" t="inlineStr">
        <is>
          <t>Gibraltar</t>
        </is>
      </c>
      <c r="AR763" s="24" t="inlineStr">
        <is>
          <t>Gibraltar</t>
        </is>
      </c>
      <c r="AS763" s="24" t="inlineStr">
        <is>
          <t>Liechtenstein</t>
        </is>
      </c>
      <c r="AT763" s="24" t="inlineStr">
        <is>
          <t>Liechtenstein</t>
        </is>
      </c>
      <c r="AU763" s="24" t="inlineStr">
        <is>
          <t>Liechtenstein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3d16277c2cfc0628d7ec79d04feee92735e5c503a3be195cb225c7c52d024308</t>
        </is>
      </c>
      <c r="BB763" s="24" t="inlineStr">
        <is>
          <t>poisson_dixon_coles</t>
        </is>
      </c>
      <c r="BC763" s="24" t="inlineStr">
        <is>
          <t>soccer-poisson-dc-v1</t>
        </is>
      </c>
      <c r="BD763" s="24" t="inlineStr">
        <is>
          <t>3d16277c2cfc0628d7ec79d04feee92735e5c503a3be195cb225c7c52d024308</t>
        </is>
      </c>
      <c r="BE763" s="24" t="inlineStr">
        <is>
          <t>soccer-poisson-dc-v1</t>
        </is>
      </c>
      <c r="BF763" s="24" t="inlineStr">
        <is>
          <t>1</t>
        </is>
      </c>
      <c r="BG763" s="24" t="inlineStr">
        <is>
          <t>3d16277c2cfc0628d7ec79d04feee92735e5c503a3be195cb225c7c52d024308</t>
        </is>
      </c>
      <c r="BH763" s="24" t="inlineStr">
        <is>
          <t>2026-10-05T10:14:10.326928Z</t>
        </is>
      </c>
      <c r="BI763" s="24" t="inlineStr">
        <is>
          <t>["same_event","same_team_same_day","same_league_same_day"]</t>
        </is>
      </c>
      <c r="BJ763" s="25" t="n"/>
      <c r="BK763" s="26" t="n">
        <v>203</v>
      </c>
      <c r="BL763" s="27" t="n">
        <v>3.03</v>
      </c>
      <c r="BM763" s="28" t="n">
        <v>0.330033</v>
      </c>
      <c r="BN763" s="28" t="n"/>
      <c r="BO763" s="28" t="n"/>
      <c r="BP763" s="25" t="n"/>
      <c r="BQ763" s="27" t="n">
        <v>3.03</v>
      </c>
      <c r="BR763" s="28" t="n">
        <v>0.33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n"/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"3d16277c2cfc0628d7ec79d04feee92735e5c503a3be195cb225c7c52d024308", "away_team": "Gibraltar", "event_id": "401896386", "event_start_utc": "2026-10-05T18:45Z", "features": {"away_goal_rate": 1.2418, "history_games": 9181, "home_goal_rate": 1.6423, "league_goals_per_team": 1.4281, "min_team_games": 0.0}, "historical_source_observation_times_verified": false, "home_team": "Liechtenstein",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"2026-10-05T16:32:50.456200+00:00", "probabilities": {"away": 0.278015, "draw": 0.265851, "home": 0.456135}, "replay_scope": "Exact full-precision serving state and rounding; upstream historical observation times are not certified.", "schema": "coded-moneyline-replay-v1", "snapshot_hash": "d9b0c0812886175106b77b74c1f911e42d8c2a7ea4bfb69a0a49e4a2daef33f1", "sport": "SOCCER"}</t>
        </is>
      </c>
    </row>
    <row r="764" ht="36" customHeight="1">
      <c r="A764" s="24" t="inlineStr">
        <is>
          <t>6d2b1cbb2fbd4a46</t>
        </is>
      </c>
      <c r="B764" s="24" t="inlineStr">
        <is>
          <t>2026-10-05T22:23:42.599037Z</t>
        </is>
      </c>
      <c r="C764" s="24" t="inlineStr">
        <is>
          <t>2026-10-06T00:15Z</t>
        </is>
      </c>
      <c r="D764" s="24" t="inlineStr">
        <is>
          <t>401841595</t>
        </is>
      </c>
      <c r="E764" s="24" t="inlineStr">
        <is>
          <t>SOCCER</t>
        </is>
      </c>
      <c r="F764" s="24" t="inlineStr">
        <is>
          <t>Rosario Central</t>
        </is>
      </c>
      <c r="G764" s="24" t="inlineStr">
        <is>
          <t>Banfield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355</v>
      </c>
      <c r="M764" s="27" t="n">
        <v>4.55</v>
      </c>
      <c r="N764" s="28" t="n">
        <v>0.21978</v>
      </c>
      <c r="O764" s="28" t="n">
        <v>0.456135</v>
      </c>
      <c r="P764" s="28" t="n">
        <v>0.2</v>
      </c>
      <c r="Q764" s="28" t="n">
        <v>0.236355</v>
      </c>
      <c r="R764" s="26" t="n">
        <v>48</v>
      </c>
      <c r="S764" s="29" t="n">
        <v>1.25</v>
      </c>
      <c r="T764" s="24" t="inlineStr">
        <is>
          <t>soccer-poisson-dc-v1</t>
        </is>
      </c>
      <c r="U764" s="24" t="inlineStr">
        <is>
          <t>settled</t>
        </is>
      </c>
      <c r="V764" s="24" t="inlineStr">
        <is>
          <t>loss</t>
        </is>
      </c>
      <c r="W764" s="26" t="n">
        <v>1</v>
      </c>
      <c r="X764" s="26" t="n">
        <v>1</v>
      </c>
      <c r="Y764" s="25" t="n"/>
      <c r="Z764" s="26" t="n">
        <v>355</v>
      </c>
      <c r="AA764" s="28" t="n">
        <v>0.22</v>
      </c>
      <c r="AB764" s="28" t="n">
        <v>0.00022</v>
      </c>
      <c r="AC764" s="30" t="n">
        <v>-1.25</v>
      </c>
      <c r="AD764" s="24" t="inlineStr">
        <is>
          <t>2026-10-06T05:35:46.204644Z</t>
        </is>
      </c>
      <c r="AE764" s="31" t="inlineStr">
        <is>
          <t>Poisson-DC rates 1.64 (home) / 1.24 (away) from EWMA attack/defense strengths. Executable ask 0.2200 (atc-lpa-ban-ros-2026-10-05-ban).</t>
        </is>
      </c>
      <c r="AF764" s="31" t="inlineStr">
        <is>
          <t>Research-only soccer score model; draw-aware, but not yet locked-holdout qualified.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PAPER_CALL_MODEL_UNVALIDATED</t>
        </is>
      </c>
      <c r="AP764" s="24" t="inlineStr">
        <is>
          <t>Rosario Central</t>
        </is>
      </c>
      <c r="AQ764" s="24" t="inlineStr">
        <is>
          <t>Rosario Central</t>
        </is>
      </c>
      <c r="AR764" s="24" t="inlineStr">
        <is>
          <t>Rosario Central</t>
        </is>
      </c>
      <c r="AS764" s="24" t="inlineStr">
        <is>
          <t>Banfield</t>
        </is>
      </c>
      <c r="AT764" s="24" t="inlineStr">
        <is>
          <t>Banfield</t>
        </is>
      </c>
      <c r="AU764" s="24" t="inlineStr">
        <is>
          <t>Banfield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3d16277c2cfc0628d7ec79d04feee92735e5c503a3be195cb225c7c52d024308</t>
        </is>
      </c>
      <c r="BB764" s="24" t="inlineStr">
        <is>
          <t>poisson_dixon_coles</t>
        </is>
      </c>
      <c r="BC764" s="24" t="inlineStr">
        <is>
          <t>soccer-poisson-dc-v1</t>
        </is>
      </c>
      <c r="BD764" s="24" t="inlineStr">
        <is>
          <t>3d16277c2cfc0628d7ec79d04feee92735e5c503a3be195cb225c7c52d024308</t>
        </is>
      </c>
      <c r="BE764" s="24" t="inlineStr">
        <is>
          <t>soccer-poisson-dc-v1</t>
        </is>
      </c>
      <c r="BF764" s="24" t="inlineStr">
        <is>
          <t>1</t>
        </is>
      </c>
      <c r="BG764" s="24" t="inlineStr">
        <is>
          <t>3d16277c2cfc0628d7ec79d04feee92735e5c503a3be195cb225c7c52d024308</t>
        </is>
      </c>
      <c r="BH764" s="24" t="inlineStr">
        <is>
          <t>2026-10-05T22:18:14.197027Z</t>
        </is>
      </c>
      <c r="BI764" s="24" t="inlineStr">
        <is>
          <t>["same_event","same_team_same_day","same_league_same_day"]</t>
        </is>
      </c>
      <c r="BJ764" s="25" t="n"/>
      <c r="BK764" s="26" t="n">
        <v>355</v>
      </c>
      <c r="BL764" s="27" t="n">
        <v>4.55</v>
      </c>
      <c r="BM764" s="28" t="n">
        <v>0.21978</v>
      </c>
      <c r="BN764" s="28" t="n"/>
      <c r="BO764" s="28" t="n"/>
      <c r="BP764" s="25" t="n"/>
      <c r="BQ764" s="27" t="n">
        <v>4.55</v>
      </c>
      <c r="BR764" s="28" t="n">
        <v>0.22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n"/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"3d16277c2cfc0628d7ec79d04feee92735e5c503a3be195cb225c7c52d024308", "away_team": "Rosario Central", "event_id": "401841595", "event_start_utc": "2026-10-06T00:15Z", "features": {"away_goal_rate": 1.2418, "history_games": 9181, "home_goal_rate": 1.6423, "league_goals_per_team": 1.4281, "min_team_games": 0.0}, "historical_source_observation_times_verified": false, "home_team": "Banfield",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"9bdbab05e9250053d69806d28705bb1f0660632540bc170cee0732f1d0da323e", "sport": "SOCCER"}</t>
        </is>
      </c>
    </row>
    <row r="765" ht="36" customHeight="1">
      <c r="A765" s="24" t="inlineStr">
        <is>
          <t>f5b03c49726847af</t>
        </is>
      </c>
      <c r="B765" s="24" t="inlineStr">
        <is>
          <t>2026-10-05T22:23:42.599037Z</t>
        </is>
      </c>
      <c r="C765" s="24" t="inlineStr">
        <is>
          <t>2026-10-05T23:00Z</t>
        </is>
      </c>
      <c r="D765" s="24" t="inlineStr">
        <is>
          <t>401923690</t>
        </is>
      </c>
      <c r="E765" s="24" t="inlineStr">
        <is>
          <t>SOCCER</t>
        </is>
      </c>
      <c r="F765" s="24" t="inlineStr">
        <is>
          <t>Montevideo City Torque</t>
        </is>
      </c>
      <c r="G765" s="24" t="inlineStr">
        <is>
          <t>Nacional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122</v>
      </c>
      <c r="M765" s="27" t="n">
        <v>2.22</v>
      </c>
      <c r="N765" s="28" t="n">
        <v>0.45045</v>
      </c>
      <c r="O765" s="28" t="n">
        <v>0.456135</v>
      </c>
      <c r="P765" s="28" t="n">
        <v>0.2</v>
      </c>
      <c r="Q765" s="28" t="n">
        <v>0.005685</v>
      </c>
      <c r="R765" s="26" t="n">
        <v>0</v>
      </c>
      <c r="S765" s="29" t="n">
        <v>1</v>
      </c>
      <c r="T765" s="24" t="inlineStr">
        <is>
          <t>soccer-poisson-dc-v1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2</v>
      </c>
      <c r="Y765" s="25" t="n"/>
      <c r="Z765" s="26" t="n">
        <v>122</v>
      </c>
      <c r="AA765" s="28" t="n">
        <v>0.45</v>
      </c>
      <c r="AB765" s="28" t="n">
        <v>-0.00045</v>
      </c>
      <c r="AC765" s="30" t="n">
        <v>1.22</v>
      </c>
      <c r="AD765" s="24" t="inlineStr">
        <is>
          <t>2026-10-06T05:35:50.546998Z</t>
        </is>
      </c>
      <c r="AE765" s="31" t="inlineStr">
        <is>
          <t>Poisson-DC rates 1.64 (home) / 1.24 (away) from EWMA attack/defense strengths. Executable ask 0.4500 (atc-uru1-nac-tor-2026-10-05-nac).</t>
        </is>
      </c>
      <c r="AF765" s="31" t="inlineStr">
        <is>
          <t>Research-only soccer score model; draw-aware, but not yet locked-holdout qualified.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Montevideo City Torque</t>
        </is>
      </c>
      <c r="AQ765" s="24" t="inlineStr">
        <is>
          <t>Montevideo City Torque</t>
        </is>
      </c>
      <c r="AR765" s="24" t="inlineStr">
        <is>
          <t>Montevideo City Torque</t>
        </is>
      </c>
      <c r="AS765" s="24" t="inlineStr">
        <is>
          <t>Nacional</t>
        </is>
      </c>
      <c r="AT765" s="24" t="inlineStr">
        <is>
          <t>Nacional</t>
        </is>
      </c>
      <c r="AU765" s="24" t="inlineStr">
        <is>
          <t>Nacional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3d16277c2cfc0628d7ec79d04feee92735e5c503a3be195cb225c7c52d024308</t>
        </is>
      </c>
      <c r="BB765" s="24" t="inlineStr">
        <is>
          <t>poisson_dixon_coles</t>
        </is>
      </c>
      <c r="BC765" s="24" t="inlineStr">
        <is>
          <t>soccer-poisson-dc-v1</t>
        </is>
      </c>
      <c r="BD765" s="24" t="inlineStr">
        <is>
          <t>3d16277c2cfc0628d7ec79d04feee92735e5c503a3be195cb225c7c52d024308</t>
        </is>
      </c>
      <c r="BE765" s="24" t="inlineStr">
        <is>
          <t>soccer-poisson-dc-v1</t>
        </is>
      </c>
      <c r="BF765" s="24" t="inlineStr">
        <is>
          <t>1</t>
        </is>
      </c>
      <c r="BG765" s="24" t="inlineStr">
        <is>
          <t>3d16277c2cfc0628d7ec79d04feee92735e5c503a3be195cb225c7c52d024308</t>
        </is>
      </c>
      <c r="BH765" s="24" t="inlineStr">
        <is>
          <t>2026-10-05T10:13:50.186801Z</t>
        </is>
      </c>
      <c r="BI765" s="24" t="inlineStr">
        <is>
          <t>["same_event","same_team_same_day","same_league_same_day"]</t>
        </is>
      </c>
      <c r="BJ765" s="25" t="n"/>
      <c r="BK765" s="26" t="n">
        <v>122</v>
      </c>
      <c r="BL765" s="27" t="n">
        <v>2.22</v>
      </c>
      <c r="BM765" s="28" t="n">
        <v>0.45045</v>
      </c>
      <c r="BN765" s="28" t="n"/>
      <c r="BO765" s="28" t="n"/>
      <c r="BP765" s="25" t="n"/>
      <c r="BQ765" s="27" t="n">
        <v>2.22</v>
      </c>
      <c r="BR765" s="28" t="n">
        <v>0.45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"3d16277c2cfc0628d7ec79d04feee92735e5c503a3be195cb225c7c52d024308", "away_team": "Montevideo City Torque", "event_id": "401923690", "event_start_utc": "2026-10-05T23:00Z", "features": {"away_goal_rate": 1.2418, "history_games": 9181, "home_goal_rate": 1.6423, "league_goals_per_team": 1.4281, "min_team_games": 0.0}, "historical_source_observation_times_verified": false, "home_team": "Nacional",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"c8b9cf17db6821293c8cea314e1315b627e7bb256eaf2b9220cb0d4e24e54396", "sport": "SOCCER"}</t>
        </is>
      </c>
    </row>
    <row r="766" ht="36" customHeight="1">
      <c r="A766" s="24" t="inlineStr">
        <is>
          <t>e2299c4c36254007</t>
        </is>
      </c>
      <c r="B766" s="24" t="inlineStr">
        <is>
          <t>2026-10-06T10:49:44.814772Z</t>
        </is>
      </c>
      <c r="C766" s="24" t="inlineStr">
        <is>
          <t>2026-10-06T14:00Z</t>
        </is>
      </c>
      <c r="D766" s="24" t="inlineStr">
        <is>
          <t>401914357</t>
        </is>
      </c>
      <c r="E766" s="24" t="inlineStr">
        <is>
          <t>SOCCER</t>
        </is>
      </c>
      <c r="F766" s="24" t="inlineStr">
        <is>
          <t>Uruguay</t>
        </is>
      </c>
      <c r="G766" s="24" t="inlineStr">
        <is>
          <t>India</t>
        </is>
      </c>
      <c r="H766" s="24" t="inlineStr">
        <is>
          <t>total</t>
        </is>
      </c>
      <c r="I766" s="24" t="inlineStr">
        <is>
          <t>over</t>
        </is>
      </c>
      <c r="J766" s="25" t="n">
        <v>2.5</v>
      </c>
      <c r="K766" s="24" t="inlineStr">
        <is>
          <t>polymarket_us</t>
        </is>
      </c>
      <c r="L766" s="26" t="n">
        <v>-400</v>
      </c>
      <c r="M766" s="27" t="n">
        <v>1.25</v>
      </c>
      <c r="N766" s="28" t="n">
        <v>0.8</v>
      </c>
      <c r="O766" s="28" t="n">
        <v>0.517817</v>
      </c>
      <c r="P766" s="28" t="n">
        <v>0.2</v>
      </c>
      <c r="Q766" s="28" t="n">
        <v>-0.282183</v>
      </c>
      <c r="R766" s="26" t="n">
        <v>0</v>
      </c>
      <c r="S766" s="29" t="n">
        <v>1</v>
      </c>
      <c r="T766" s="24" t="inlineStr">
        <is>
          <t>soccer-poisson-dc-v1</t>
        </is>
      </c>
      <c r="U766" s="24" t="inlineStr">
        <is>
          <t>settled</t>
        </is>
      </c>
      <c r="V766" s="24" t="inlineStr">
        <is>
          <t>win</t>
        </is>
      </c>
      <c r="W766" s="26" t="n">
        <v>6</v>
      </c>
      <c r="X766" s="26" t="n">
        <v>1</v>
      </c>
      <c r="Y766" s="25" t="n"/>
      <c r="Z766" s="26" t="n">
        <v>-400</v>
      </c>
      <c r="AA766" s="28" t="n">
        <v>0.8</v>
      </c>
      <c r="AB766" s="28" t="n">
        <v>0</v>
      </c>
      <c r="AC766" s="30" t="n">
        <v>0.25</v>
      </c>
      <c r="AD766" s="24" t="inlineStr">
        <is>
          <t>2026-10-06T22:00:46.410404Z</t>
        </is>
      </c>
      <c r="AE766" s="31" t="inlineStr">
        <is>
          <t>Poisson-DC rates 1.61 (home) / 1.13 (away) from EWMA attack/defense strengths. Executable ask 0.8000 (tsc-intf-ind-ury-2026-10-06-2pt5).</t>
        </is>
      </c>
      <c r="AF766" s="31" t="inlineStr">
        <is>
          <t>Research-only soccer score model; draw-aware, but not yet locked-holdout qualified.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Uruguay</t>
        </is>
      </c>
      <c r="AQ766" s="24" t="inlineStr">
        <is>
          <t>Uruguay</t>
        </is>
      </c>
      <c r="AR766" s="24" t="inlineStr">
        <is>
          <t>Uruguay</t>
        </is>
      </c>
      <c r="AS766" s="24" t="inlineStr">
        <is>
          <t>India</t>
        </is>
      </c>
      <c r="AT766" s="24" t="inlineStr">
        <is>
          <t>India</t>
        </is>
      </c>
      <c r="AU766" s="24" t="inlineStr">
        <is>
          <t>India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3d16277c2cfc0628d7ec79d04feee92735e5c503a3be195cb225c7c52d024308</t>
        </is>
      </c>
      <c r="BB766" s="24" t="inlineStr">
        <is>
          <t>poisson_dixon_coles</t>
        </is>
      </c>
      <c r="BC766" s="24" t="inlineStr">
        <is>
          <t>soccer-poisson-dc-v1</t>
        </is>
      </c>
      <c r="BD766" s="24" t="inlineStr">
        <is>
          <t>3d16277c2cfc0628d7ec79d04feee92735e5c503a3be195cb225c7c52d024308</t>
        </is>
      </c>
      <c r="BE766" s="24" t="inlineStr">
        <is>
          <t>soccer-poisson-dc-v1</t>
        </is>
      </c>
      <c r="BF766" s="24" t="inlineStr">
        <is>
          <t>1</t>
        </is>
      </c>
      <c r="BG766" s="24" t="inlineStr">
        <is>
          <t>3d16277c2cfc0628d7ec79d04feee92735e5c503a3be195cb225c7c52d024308</t>
        </is>
      </c>
      <c r="BH766" s="24" t="inlineStr">
        <is>
          <t>2026-10-06T10:13:10.532573Z</t>
        </is>
      </c>
      <c r="BI766" s="24" t="inlineStr">
        <is>
          <t>["same_event","same_team_same_day","same_league_same_day"]</t>
        </is>
      </c>
      <c r="BJ766" s="25" t="n">
        <v>2.5</v>
      </c>
      <c r="BK766" s="26" t="n">
        <v>-400</v>
      </c>
      <c r="BL766" s="27" t="n">
        <v>1.25</v>
      </c>
      <c r="BM766" s="28" t="n">
        <v>0.8</v>
      </c>
      <c r="BN766" s="28" t="n"/>
      <c r="BO766" s="28" t="n"/>
      <c r="BP766" s="25" t="n"/>
      <c r="BQ766" s="27" t="n">
        <v>1.25</v>
      </c>
      <c r="BR766" s="28" t="n">
        <v>0.8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n"/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ee8748b34c2745ff</t>
        </is>
      </c>
      <c r="B767" s="24" t="inlineStr">
        <is>
          <t>2026-10-06T10:49:44.814772Z</t>
        </is>
      </c>
      <c r="C767" s="24" t="inlineStr">
        <is>
          <t>2026-10-06T16:00Z</t>
        </is>
      </c>
      <c r="D767" s="24" t="inlineStr">
        <is>
          <t>401917360</t>
        </is>
      </c>
      <c r="E767" s="24" t="inlineStr">
        <is>
          <t>SOCCER</t>
        </is>
      </c>
      <c r="F767" s="24" t="inlineStr">
        <is>
          <t>Nigeria</t>
        </is>
      </c>
      <c r="G767" s="24" t="inlineStr">
        <is>
          <t>Russia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-156</v>
      </c>
      <c r="M767" s="27" t="n">
        <v>1.641026</v>
      </c>
      <c r="N767" s="28" t="n">
        <v>0.609375</v>
      </c>
      <c r="O767" s="28" t="n">
        <v>0.456135</v>
      </c>
      <c r="P767" s="28" t="n">
        <v>0.2</v>
      </c>
      <c r="Q767" s="28" t="n">
        <v>-0.15324</v>
      </c>
      <c r="R767" s="26" t="n">
        <v>0</v>
      </c>
      <c r="S767" s="29" t="n">
        <v>1</v>
      </c>
      <c r="T767" s="24" t="inlineStr">
        <is>
          <t>soccer-poisson-dc-v1</t>
        </is>
      </c>
      <c r="U767" s="24" t="inlineStr">
        <is>
          <t>settled</t>
        </is>
      </c>
      <c r="V767" s="24" t="inlineStr">
        <is>
          <t>loss</t>
        </is>
      </c>
      <c r="W767" s="26" t="n">
        <v>3</v>
      </c>
      <c r="X767" s="26" t="n">
        <v>3</v>
      </c>
      <c r="Y767" s="25" t="n"/>
      <c r="Z767" s="26" t="n">
        <v>-156</v>
      </c>
      <c r="AA767" s="28" t="n">
        <v>0.61</v>
      </c>
      <c r="AB767" s="28" t="n">
        <v>0.000625</v>
      </c>
      <c r="AC767" s="30" t="n">
        <v>-1</v>
      </c>
      <c r="AD767" s="24" t="inlineStr">
        <is>
          <t>2026-10-06T22:00:51.248246Z</t>
        </is>
      </c>
      <c r="AE767" s="31" t="inlineStr">
        <is>
          <t>Poisson-DC rates 1.64 (home) / 1.24 (away) from EWMA attack/defense strengths. Executable ask 0.6100 (atc-intf-rus-nga-2026-10-06-rus).</t>
        </is>
      </c>
      <c r="AF767" s="31" t="inlineStr">
        <is>
          <t>Research-only soccer score model; draw-aware, but not yet locked-holdout qualified.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Nigeria</t>
        </is>
      </c>
      <c r="AQ767" s="24" t="inlineStr">
        <is>
          <t>Nigeria</t>
        </is>
      </c>
      <c r="AR767" s="24" t="inlineStr">
        <is>
          <t>Nigeria</t>
        </is>
      </c>
      <c r="AS767" s="24" t="inlineStr">
        <is>
          <t>Russia</t>
        </is>
      </c>
      <c r="AT767" s="24" t="inlineStr">
        <is>
          <t>Russia</t>
        </is>
      </c>
      <c r="AU767" s="24" t="inlineStr">
        <is>
          <t>Russia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3d16277c2cfc0628d7ec79d04feee92735e5c503a3be195cb225c7c52d024308</t>
        </is>
      </c>
      <c r="BB767" s="24" t="inlineStr">
        <is>
          <t>poisson_dixon_coles</t>
        </is>
      </c>
      <c r="BC767" s="24" t="inlineStr">
        <is>
          <t>soccer-poisson-dc-v1</t>
        </is>
      </c>
      <c r="BD767" s="24" t="inlineStr">
        <is>
          <t>3d16277c2cfc0628d7ec79d04feee92735e5c503a3be195cb225c7c52d024308</t>
        </is>
      </c>
      <c r="BE767" s="24" t="inlineStr">
        <is>
          <t>soccer-poisson-dc-v1</t>
        </is>
      </c>
      <c r="BF767" s="24" t="inlineStr">
        <is>
          <t>1</t>
        </is>
      </c>
      <c r="BG767" s="24" t="inlineStr">
        <is>
          <t>3d16277c2cfc0628d7ec79d04feee92735e5c503a3be195cb225c7c52d024308</t>
        </is>
      </c>
      <c r="BH767" s="24" t="inlineStr">
        <is>
          <t>2026-10-06T10:13:10.538663Z</t>
        </is>
      </c>
      <c r="BI767" s="24" t="inlineStr">
        <is>
          <t>["same_event","same_team_same_day","same_league_same_day"]</t>
        </is>
      </c>
      <c r="BJ767" s="25" t="n"/>
      <c r="BK767" s="26" t="n">
        <v>-156</v>
      </c>
      <c r="BL767" s="27" t="n">
        <v>1.641026</v>
      </c>
      <c r="BM767" s="28" t="n">
        <v>0.609375</v>
      </c>
      <c r="BN767" s="28" t="n"/>
      <c r="BO767" s="28" t="n"/>
      <c r="BP767" s="25" t="n"/>
      <c r="BQ767" s="27" t="n">
        <v>1.641026</v>
      </c>
      <c r="BR767" s="28" t="n">
        <v>0.61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n"/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"3d16277c2cfc0628d7ec79d04feee92735e5c503a3be195cb225c7c52d024308", "away_team": "Nigeria", "event_id": "401917360", "event_start_utc": "2026-10-06T16:00Z", "features": {"away_goal_rate": 1.2418, "history_games": 9181, "home_goal_rate": 1.6423, "league_goals_per_team": 1.4281, "min_team_games": 0.0}, "historical_source_observation_times_verified": false, "home_team": "Russia",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"2026-10-06T10:49:43.920754+00:00", "probabilities": {"away": 0.278015, "draw": 0.265851, "home": 0.456135}, "replay_scope": "Exact full-precision serving state and rounding; upstream historical observation times are not certified.", "schema": "coded-moneyline-replay-v1", "snapshot_hash": "b2b6e2376a9acbdd7754a4f54a7ab6493318bf6b2bde44f4747d564dc9e4c379", "sport": "SOCCER"}</t>
        </is>
      </c>
    </row>
    <row r="768" ht="36" customHeight="1">
      <c r="A768" s="24" t="inlineStr">
        <is>
          <t>685e29ed6027430a</t>
        </is>
      </c>
      <c r="B768" s="24" t="inlineStr">
        <is>
          <t>2026-10-06T16:33:00.638196Z</t>
        </is>
      </c>
      <c r="C768" s="24" t="inlineStr">
        <is>
          <t>2026-10-06T17:00Z</t>
        </is>
      </c>
      <c r="D768" s="24" t="inlineStr">
        <is>
          <t>401917261</t>
        </is>
      </c>
      <c r="E768" s="24" t="inlineStr">
        <is>
          <t>SOCCER</t>
        </is>
      </c>
      <c r="F768" s="24" t="inlineStr">
        <is>
          <t>Niger</t>
        </is>
      </c>
      <c r="G768" s="24" t="inlineStr">
        <is>
          <t>Algeria</t>
        </is>
      </c>
      <c r="H768" s="24" t="inlineStr">
        <is>
          <t>total</t>
        </is>
      </c>
      <c r="I768" s="24" t="inlineStr">
        <is>
          <t>over</t>
        </is>
      </c>
      <c r="J768" s="25" t="n">
        <v>2.5</v>
      </c>
      <c r="K768" s="24" t="inlineStr">
        <is>
          <t>polymarket_us</t>
        </is>
      </c>
      <c r="L768" s="26" t="n">
        <v>-156</v>
      </c>
      <c r="M768" s="27" t="n">
        <v>1.641026</v>
      </c>
      <c r="N768" s="28" t="n">
        <v>0.609375</v>
      </c>
      <c r="O768" s="28" t="n">
        <v>0.588768</v>
      </c>
      <c r="P768" s="28" t="n">
        <v>0.2</v>
      </c>
      <c r="Q768" s="28" t="n">
        <v>-0.020607</v>
      </c>
      <c r="R768" s="26" t="n">
        <v>0</v>
      </c>
      <c r="S768" s="29" t="n">
        <v>1</v>
      </c>
      <c r="T768" s="24" t="inlineStr">
        <is>
          <t>soccer-poisson-dc-v1</t>
        </is>
      </c>
      <c r="U768" s="24" t="inlineStr">
        <is>
          <t>settled</t>
        </is>
      </c>
      <c r="V768" s="24" t="inlineStr">
        <is>
          <t>win</t>
        </is>
      </c>
      <c r="W768" s="26" t="n">
        <v>1</v>
      </c>
      <c r="X768" s="26" t="n">
        <v>2</v>
      </c>
      <c r="Y768" s="25" t="n"/>
      <c r="Z768" s="26" t="n">
        <v>-156</v>
      </c>
      <c r="AA768" s="28" t="n">
        <v>0.61</v>
      </c>
      <c r="AB768" s="28" t="n">
        <v>0.000625</v>
      </c>
      <c r="AC768" s="30" t="n">
        <v>0.641</v>
      </c>
      <c r="AD768" s="24" t="inlineStr">
        <is>
          <t>2026-10-06T22:00:55.993149Z</t>
        </is>
      </c>
      <c r="AE768" s="31" t="inlineStr">
        <is>
          <t>Poisson-DC rates 1.58 (home) / 1.48 (away) from EWMA attack/defense strengths. Executable ask 0.6100 (tsc-intf-alg-nig-2026-10-06-2pt5).</t>
        </is>
      </c>
      <c r="AF768" s="31" t="inlineStr">
        <is>
          <t>Research-only soccer score model; draw-aware, but not yet locked-holdout qualified.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Niger</t>
        </is>
      </c>
      <c r="AQ768" s="24" t="inlineStr">
        <is>
          <t>Niger</t>
        </is>
      </c>
      <c r="AR768" s="24" t="inlineStr">
        <is>
          <t>Niger</t>
        </is>
      </c>
      <c r="AS768" s="24" t="inlineStr">
        <is>
          <t>Algeria</t>
        </is>
      </c>
      <c r="AT768" s="24" t="inlineStr">
        <is>
          <t>Algeria</t>
        </is>
      </c>
      <c r="AU768" s="24" t="inlineStr">
        <is>
          <t>Algeria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3d16277c2cfc0628d7ec79d04feee92735e5c503a3be195cb225c7c52d024308</t>
        </is>
      </c>
      <c r="BB768" s="24" t="inlineStr">
        <is>
          <t>poisson_dixon_coles</t>
        </is>
      </c>
      <c r="BC768" s="24" t="inlineStr">
        <is>
          <t>soccer-poisson-dc-v1</t>
        </is>
      </c>
      <c r="BD768" s="24" t="inlineStr">
        <is>
          <t>3d16277c2cfc0628d7ec79d04feee92735e5c503a3be195cb225c7c52d024308</t>
        </is>
      </c>
      <c r="BE768" s="24" t="inlineStr">
        <is>
          <t>soccer-poisson-dc-v1</t>
        </is>
      </c>
      <c r="BF768" s="24" t="inlineStr">
        <is>
          <t>1</t>
        </is>
      </c>
      <c r="BG768" s="24" t="inlineStr">
        <is>
          <t>3d16277c2cfc0628d7ec79d04feee92735e5c503a3be195cb225c7c52d024308</t>
        </is>
      </c>
      <c r="BH768" s="24" t="inlineStr">
        <is>
          <t>2026-10-06T16:14:19.962817Z</t>
        </is>
      </c>
      <c r="BI768" s="24" t="inlineStr">
        <is>
          <t>["same_event","same_team_same_day","same_league_same_day"]</t>
        </is>
      </c>
      <c r="BJ768" s="25" t="n">
        <v>2.5</v>
      </c>
      <c r="BK768" s="26" t="n">
        <v>-156</v>
      </c>
      <c r="BL768" s="27" t="n">
        <v>1.641026</v>
      </c>
      <c r="BM768" s="28" t="n">
        <v>0.609375</v>
      </c>
      <c r="BN768" s="28" t="n"/>
      <c r="BO768" s="28" t="n"/>
      <c r="BP768" s="25" t="n"/>
      <c r="BQ768" s="27" t="n">
        <v>1.641026</v>
      </c>
      <c r="BR768" s="28" t="n">
        <v>0.61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n"/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65dc3173bb634212</t>
        </is>
      </c>
      <c r="B769" s="24" t="inlineStr">
        <is>
          <t>2026-10-06T16:33:00.638196Z</t>
        </is>
      </c>
      <c r="C769" s="24" t="inlineStr">
        <is>
          <t>2026-10-06T17:00Z</t>
        </is>
      </c>
      <c r="D769" s="24" t="inlineStr">
        <is>
          <t>401919976</t>
        </is>
      </c>
      <c r="E769" s="24" t="inlineStr">
        <is>
          <t>SOCCER</t>
        </is>
      </c>
      <c r="F769" s="24" t="inlineStr">
        <is>
          <t>Venezuela</t>
        </is>
      </c>
      <c r="G769" s="24" t="inlineStr">
        <is>
          <t>Jordan</t>
        </is>
      </c>
      <c r="H769" s="24" t="inlineStr">
        <is>
          <t>total</t>
        </is>
      </c>
      <c r="I769" s="24" t="inlineStr">
        <is>
          <t>over</t>
        </is>
      </c>
      <c r="J769" s="25" t="n">
        <v>2.5</v>
      </c>
      <c r="K769" s="24" t="inlineStr">
        <is>
          <t>polymarket_us</t>
        </is>
      </c>
      <c r="L769" s="26" t="n">
        <v>127</v>
      </c>
      <c r="M769" s="27" t="n">
        <v>2.27</v>
      </c>
      <c r="N769" s="28" t="n">
        <v>0.440529</v>
      </c>
      <c r="O769" s="28" t="n">
        <v>0.586522</v>
      </c>
      <c r="P769" s="28" t="n">
        <v>0.2</v>
      </c>
      <c r="Q769" s="28" t="n">
        <v>0.145993</v>
      </c>
      <c r="R769" s="26" t="n">
        <v>3</v>
      </c>
      <c r="S769" s="29" t="n">
        <v>1</v>
      </c>
      <c r="T769" s="24" t="inlineStr">
        <is>
          <t>soccer-poisson-dc-v1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0</v>
      </c>
      <c r="Y769" s="25" t="n"/>
      <c r="Z769" s="26" t="n">
        <v>127</v>
      </c>
      <c r="AA769" s="28" t="n">
        <v>0.44</v>
      </c>
      <c r="AB769" s="28" t="n">
        <v>-0.000529</v>
      </c>
      <c r="AC769" s="30" t="n">
        <v>-1</v>
      </c>
      <c r="AD769" s="24" t="inlineStr">
        <is>
          <t>2026-10-06T22:01:00.761017Z</t>
        </is>
      </c>
      <c r="AE769" s="31" t="inlineStr">
        <is>
          <t>Poisson-DC rates 1.51 (home) / 1.54 (away) from EWMA attack/defense strengths. Executable ask 0.4400 (tsc-intf-jor-ven-2026-10-06-2pt5).</t>
        </is>
      </c>
      <c r="AF769" s="31" t="inlineStr">
        <is>
          <t>Research-only soccer score model; draw-aware, but not yet locked-holdout qualified.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Venezuela</t>
        </is>
      </c>
      <c r="AQ769" s="24" t="inlineStr">
        <is>
          <t>Venezuela</t>
        </is>
      </c>
      <c r="AR769" s="24" t="inlineStr">
        <is>
          <t>Venezuela</t>
        </is>
      </c>
      <c r="AS769" s="24" t="inlineStr">
        <is>
          <t>Jordan</t>
        </is>
      </c>
      <c r="AT769" s="24" t="inlineStr">
        <is>
          <t>Jordan</t>
        </is>
      </c>
      <c r="AU769" s="24" t="inlineStr">
        <is>
          <t>Jordan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3d16277c2cfc0628d7ec79d04feee92735e5c503a3be195cb225c7c52d024308</t>
        </is>
      </c>
      <c r="BB769" s="24" t="inlineStr">
        <is>
          <t>poisson_dixon_coles</t>
        </is>
      </c>
      <c r="BC769" s="24" t="inlineStr">
        <is>
          <t>soccer-poisson-dc-v1</t>
        </is>
      </c>
      <c r="BD769" s="24" t="inlineStr">
        <is>
          <t>3d16277c2cfc0628d7ec79d04feee92735e5c503a3be195cb225c7c52d024308</t>
        </is>
      </c>
      <c r="BE769" s="24" t="inlineStr">
        <is>
          <t>soccer-poisson-dc-v1</t>
        </is>
      </c>
      <c r="BF769" s="24" t="inlineStr">
        <is>
          <t>1</t>
        </is>
      </c>
      <c r="BG769" s="24" t="inlineStr">
        <is>
          <t>3d16277c2cfc0628d7ec79d04feee92735e5c503a3be195cb225c7c52d024308</t>
        </is>
      </c>
      <c r="BH769" s="24" t="inlineStr">
        <is>
          <t>2026-10-06T16:13:59.762359Z</t>
        </is>
      </c>
      <c r="BI769" s="24" t="inlineStr">
        <is>
          <t>["same_event","same_team_same_day","same_league_same_day"]</t>
        </is>
      </c>
      <c r="BJ769" s="25" t="n">
        <v>2.5</v>
      </c>
      <c r="BK769" s="26" t="n">
        <v>127</v>
      </c>
      <c r="BL769" s="27" t="n">
        <v>2.27</v>
      </c>
      <c r="BM769" s="28" t="n">
        <v>0.440529</v>
      </c>
      <c r="BN769" s="28" t="n"/>
      <c r="BO769" s="28" t="n"/>
      <c r="BP769" s="25" t="n"/>
      <c r="BQ769" s="27" t="n">
        <v>2.27</v>
      </c>
      <c r="BR769" s="28" t="n">
        <v>0.44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n"/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2e290bb26c6a4991</t>
        </is>
      </c>
      <c r="B770" s="24" t="inlineStr">
        <is>
          <t>2026-10-06T16:33:00.638196Z</t>
        </is>
      </c>
      <c r="C770" s="24" t="inlineStr">
        <is>
          <t>2026-10-06T17:00Z</t>
        </is>
      </c>
      <c r="D770" s="24" t="inlineStr">
        <is>
          <t>401919976</t>
        </is>
      </c>
      <c r="E770" s="24" t="inlineStr">
        <is>
          <t>SOCCER</t>
        </is>
      </c>
      <c r="F770" s="24" t="inlineStr">
        <is>
          <t>Venezuela</t>
        </is>
      </c>
      <c r="G770" s="24" t="inlineStr">
        <is>
          <t>Jordan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233</v>
      </c>
      <c r="M770" s="27" t="n">
        <v>3.33</v>
      </c>
      <c r="N770" s="28" t="n">
        <v>0.3003</v>
      </c>
      <c r="O770" s="28" t="n">
        <v>0.374511</v>
      </c>
      <c r="P770" s="28" t="n">
        <v>0.2</v>
      </c>
      <c r="Q770" s="28" t="n">
        <v>0.074211</v>
      </c>
      <c r="R770" s="26" t="n">
        <v>0</v>
      </c>
      <c r="S770" s="29" t="n">
        <v>1</v>
      </c>
      <c r="T770" s="24" t="inlineStr">
        <is>
          <t>soccer-poisson-dc-v1</t>
        </is>
      </c>
      <c r="U770" s="24" t="inlineStr">
        <is>
          <t>settled</t>
        </is>
      </c>
      <c r="V770" s="24" t="inlineStr">
        <is>
          <t>loss</t>
        </is>
      </c>
      <c r="W770" s="26" t="n">
        <v>0</v>
      </c>
      <c r="X770" s="26" t="n">
        <v>0</v>
      </c>
      <c r="Y770" s="25" t="n"/>
      <c r="Z770" s="26" t="n">
        <v>-245</v>
      </c>
      <c r="AA770" s="28" t="n">
        <v>0.71</v>
      </c>
      <c r="AB770" s="28" t="n">
        <v>0.4097</v>
      </c>
      <c r="AC770" s="30" t="n">
        <v>-1</v>
      </c>
      <c r="AD770" s="24" t="inlineStr">
        <is>
          <t>2026-10-06T22:01:05.562493Z</t>
        </is>
      </c>
      <c r="AE770" s="31" t="inlineStr">
        <is>
          <t>Poisson-DC rates 1.51 (home) / 1.54 (away) from EWMA attack/defense strengths. Executable ask 0.3000 (atc-intf-jor-ven-2026-10-06-ven).</t>
        </is>
      </c>
      <c r="AF770" s="31" t="inlineStr">
        <is>
          <t>Research-only soccer score model; draw-aware, but not yet locked-holdout qualified.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Venezuela</t>
        </is>
      </c>
      <c r="AQ770" s="24" t="inlineStr">
        <is>
          <t>Venezuela</t>
        </is>
      </c>
      <c r="AR770" s="24" t="inlineStr">
        <is>
          <t>Venezuela</t>
        </is>
      </c>
      <c r="AS770" s="24" t="inlineStr">
        <is>
          <t>Jordan</t>
        </is>
      </c>
      <c r="AT770" s="24" t="inlineStr">
        <is>
          <t>Jordan</t>
        </is>
      </c>
      <c r="AU770" s="24" t="inlineStr">
        <is>
          <t>Jordan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3d16277c2cfc0628d7ec79d04feee92735e5c503a3be195cb225c7c52d024308</t>
        </is>
      </c>
      <c r="BB770" s="24" t="inlineStr">
        <is>
          <t>poisson_dixon_coles</t>
        </is>
      </c>
      <c r="BC770" s="24" t="inlineStr">
        <is>
          <t>soccer-poisson-dc-v1</t>
        </is>
      </c>
      <c r="BD770" s="24" t="inlineStr">
        <is>
          <t>3d16277c2cfc0628d7ec79d04feee92735e5c503a3be195cb225c7c52d024308</t>
        </is>
      </c>
      <c r="BE770" s="24" t="inlineStr">
        <is>
          <t>soccer-poisson-dc-v1</t>
        </is>
      </c>
      <c r="BF770" s="24" t="inlineStr">
        <is>
          <t>1</t>
        </is>
      </c>
      <c r="BG770" s="24" t="inlineStr">
        <is>
          <t>3d16277c2cfc0628d7ec79d04feee92735e5c503a3be195cb225c7c52d024308</t>
        </is>
      </c>
      <c r="BH770" s="24" t="inlineStr">
        <is>
          <t>2026-10-06T16:13:59.791483Z</t>
        </is>
      </c>
      <c r="BI770" s="24" t="inlineStr">
        <is>
          <t>["same_event","same_team_same_day","same_league_same_day"]</t>
        </is>
      </c>
      <c r="BJ770" s="25" t="n"/>
      <c r="BK770" s="26" t="n">
        <v>233</v>
      </c>
      <c r="BL770" s="27" t="n">
        <v>3.33</v>
      </c>
      <c r="BM770" s="28" t="n">
        <v>0.3003</v>
      </c>
      <c r="BN770" s="28" t="n"/>
      <c r="BO770" s="28" t="n"/>
      <c r="BP770" s="25" t="n"/>
      <c r="BQ770" s="27" t="n">
        <v>1.408163</v>
      </c>
      <c r="BR770" s="28" t="n">
        <v>0.71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n"/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"3d16277c2cfc0628d7ec79d04feee92735e5c503a3be195cb225c7c52d024308", "away_team": "Venezuela", "event_id": "401919976", "event_start_utc": "2026-10-06T17:00Z", "features": {"away_goal_rate": 1.5357, "history_games": 9181, "home_goal_rate": 1.508, "league_goals_per_team": 1.4281, "min_team_games": 0.0}, "historical_source_observation_times_verified": false, "home_team": "Jordan", "inference_inputs": {"away_rate": 1.535657166374311, "code_sha256": {"models/soccer.py": "3d16277c2cfc0628d7ec79d04feee92735e5c503a3be195cb225c7c52d024308"}, "home_rate": 1.5080121000881266, "sport": "SOCCER"}, "market_type": "moneyline", "model_version": "soccer-poisson-dc-v1", "observed_at_utc": "2026-10-06T16:33:00.000290+00:00", "probabilities": {"away": 0.374511, "draw": 0.263059, "home": 0.362431}, "replay_scope": "Exact full-precision serving state and rounding; upstream historical observation times are not certified.", "schema": "coded-moneyline-replay-v1", "snapshot_hash": "557f8fa28717dcc8405385835b48d7d94bf59c9e25348a99734e4cc77311c5ce", "sport": "SOCCER"}</t>
        </is>
      </c>
    </row>
    <row r="771" ht="36" customHeight="1">
      <c r="A771" s="24" t="inlineStr">
        <is>
          <t>b8ba033b5f7a465b</t>
        </is>
      </c>
      <c r="B771" s="24" t="inlineStr">
        <is>
          <t>2026-10-06T22:24:10.744333Z</t>
        </is>
      </c>
      <c r="C771" s="24" t="inlineStr">
        <is>
          <t>2026-10-06T23:00Z</t>
        </is>
      </c>
      <c r="D771" s="24" t="inlineStr">
        <is>
          <t>401921408</t>
        </is>
      </c>
      <c r="E771" s="24" t="inlineStr">
        <is>
          <t>SOCCER</t>
        </is>
      </c>
      <c r="F771" s="24" t="inlineStr">
        <is>
          <t>Benin</t>
        </is>
      </c>
      <c r="G771" s="24" t="inlineStr">
        <is>
          <t>Argentina</t>
        </is>
      </c>
      <c r="H771" s="24" t="inlineStr">
        <is>
          <t>total</t>
        </is>
      </c>
      <c r="I771" s="24" t="inlineStr">
        <is>
          <t>over</t>
        </is>
      </c>
      <c r="J771" s="25" t="n">
        <v>2.5</v>
      </c>
      <c r="K771" s="24" t="inlineStr">
        <is>
          <t>polymarket_us</t>
        </is>
      </c>
      <c r="L771" s="26" t="n">
        <v>-1329</v>
      </c>
      <c r="M771" s="27" t="n">
        <v>1.075245</v>
      </c>
      <c r="N771" s="28" t="n">
        <v>0.930021</v>
      </c>
      <c r="O771" s="28" t="n">
        <v>0.621444</v>
      </c>
      <c r="P771" s="28" t="n">
        <v>0.2</v>
      </c>
      <c r="Q771" s="28" t="n">
        <v>-0.308577</v>
      </c>
      <c r="R771" s="26" t="n">
        <v>0</v>
      </c>
      <c r="S771" s="29" t="n">
        <v>1</v>
      </c>
      <c r="T771" s="24" t="inlineStr">
        <is>
          <t>soccer-poisson-dc-v1</t>
        </is>
      </c>
      <c r="U771" s="24" t="inlineStr">
        <is>
          <t>open</t>
        </is>
      </c>
      <c r="V771" s="24" t="n"/>
      <c r="W771" s="26" t="n"/>
      <c r="X771" s="26" t="n"/>
      <c r="Y771" s="25" t="n"/>
      <c r="Z771" s="26" t="n"/>
      <c r="AA771" s="28" t="n"/>
      <c r="AB771" s="28" t="n"/>
      <c r="AC771" s="30" t="n"/>
      <c r="AD771" s="24" t="n"/>
      <c r="AE771" s="31" t="inlineStr">
        <is>
          <t>Poisson-DC rates 2.13 (home) / 1.08 (away) from EWMA attack/defense strengths. Executable ask 0.9300 (tsc-intf-arg-ben-2026-10-06-2pt5).</t>
        </is>
      </c>
      <c r="AF771" s="31" t="inlineStr">
        <is>
          <t>Research-only soccer score model; draw-aware, but not yet locked-holdout qualified.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Benin</t>
        </is>
      </c>
      <c r="AQ771" s="24" t="inlineStr">
        <is>
          <t>Benin</t>
        </is>
      </c>
      <c r="AR771" s="24" t="inlineStr">
        <is>
          <t>Benin</t>
        </is>
      </c>
      <c r="AS771" s="24" t="inlineStr">
        <is>
          <t>Argentina</t>
        </is>
      </c>
      <c r="AT771" s="24" t="inlineStr">
        <is>
          <t>Argentina</t>
        </is>
      </c>
      <c r="AU771" s="24" t="inlineStr">
        <is>
          <t>Argentina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3d16277c2cfc0628d7ec79d04feee92735e5c503a3be195cb225c7c52d024308</t>
        </is>
      </c>
      <c r="BB771" s="24" t="inlineStr">
        <is>
          <t>poisson_dixon_coles</t>
        </is>
      </c>
      <c r="BC771" s="24" t="inlineStr">
        <is>
          <t>soccer-poisson-dc-v1</t>
        </is>
      </c>
      <c r="BD771" s="24" t="inlineStr">
        <is>
          <t>3d16277c2cfc0628d7ec79d04feee92735e5c503a3be195cb225c7c52d024308</t>
        </is>
      </c>
      <c r="BE771" s="24" t="inlineStr">
        <is>
          <t>soccer-poisson-dc-v1</t>
        </is>
      </c>
      <c r="BF771" s="24" t="inlineStr">
        <is>
          <t>1</t>
        </is>
      </c>
      <c r="BG771" s="24" t="inlineStr">
        <is>
          <t>3d16277c2cfc0628d7ec79d04feee92735e5c503a3be195cb225c7c52d024308</t>
        </is>
      </c>
      <c r="BH771" s="24" t="inlineStr">
        <is>
          <t>2026-10-06T16:14:30.057798Z</t>
        </is>
      </c>
      <c r="BI771" s="24" t="inlineStr">
        <is>
          <t>["same_event","same_team_same_day","same_league_same_day"]</t>
        </is>
      </c>
      <c r="BJ771" s="25" t="n">
        <v>2.5</v>
      </c>
      <c r="BK771" s="26" t="n">
        <v>-1329</v>
      </c>
      <c r="BL771" s="27" t="n">
        <v>1.075245</v>
      </c>
      <c r="BM771" s="28" t="n">
        <v>0.930021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n"/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98cb7cdad2e94968</t>
        </is>
      </c>
      <c r="B772" s="24" t="inlineStr">
        <is>
          <t>2026-10-06T22:24:10.744333Z</t>
        </is>
      </c>
      <c r="C772" s="24" t="inlineStr">
        <is>
          <t>2026-10-06T23:45Z</t>
        </is>
      </c>
      <c r="D772" s="24" t="inlineStr">
        <is>
          <t>401905332</t>
        </is>
      </c>
      <c r="E772" s="24" t="inlineStr">
        <is>
          <t>SOCCER</t>
        </is>
      </c>
      <c r="F772" s="24" t="inlineStr">
        <is>
          <t>Peru</t>
        </is>
      </c>
      <c r="G772" s="24" t="inlineStr">
        <is>
          <t>Colombia</t>
        </is>
      </c>
      <c r="H772" s="24" t="inlineStr">
        <is>
          <t>total</t>
        </is>
      </c>
      <c r="I772" s="24" t="inlineStr">
        <is>
          <t>under</t>
        </is>
      </c>
      <c r="J772" s="25" t="n">
        <v>2.5</v>
      </c>
      <c r="K772" s="24" t="inlineStr">
        <is>
          <t>polymarket_us</t>
        </is>
      </c>
      <c r="L772" s="26" t="n">
        <v>-122</v>
      </c>
      <c r="M772" s="27" t="n">
        <v>1.819672</v>
      </c>
      <c r="N772" s="28" t="n">
        <v>0.54955</v>
      </c>
      <c r="O772" s="28" t="n">
        <v>0.612228</v>
      </c>
      <c r="P772" s="28" t="n">
        <v>0.2</v>
      </c>
      <c r="Q772" s="28" t="n">
        <v>0.062678</v>
      </c>
      <c r="R772" s="26" t="n">
        <v>0</v>
      </c>
      <c r="S772" s="29" t="n">
        <v>1</v>
      </c>
      <c r="T772" s="24" t="inlineStr">
        <is>
          <t>soccer-poisson-dc-v1</t>
        </is>
      </c>
      <c r="U772" s="24" t="inlineStr">
        <is>
          <t>open</t>
        </is>
      </c>
      <c r="V772" s="24" t="n"/>
      <c r="W772" s="26" t="n"/>
      <c r="X772" s="26" t="n"/>
      <c r="Y772" s="25" t="n"/>
      <c r="Z772" s="26" t="n"/>
      <c r="AA772" s="28" t="n"/>
      <c r="AB772" s="28" t="n"/>
      <c r="AC772" s="30" t="n"/>
      <c r="AD772" s="24" t="n"/>
      <c r="AE772" s="31" t="inlineStr">
        <is>
          <t>Poisson-DC rates 1.42 (home) / 0.82 (away) from EWMA attack/defense strengths. Executable ask 0.5500 (tsc-intf-col-per-2026-10-06-2pt5).</t>
        </is>
      </c>
      <c r="AF772" s="31" t="inlineStr">
        <is>
          <t>Research-only soccer score model; draw-aware, but not yet locked-holdout qualified.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Peru</t>
        </is>
      </c>
      <c r="AQ772" s="24" t="inlineStr">
        <is>
          <t>Peru</t>
        </is>
      </c>
      <c r="AR772" s="24" t="inlineStr">
        <is>
          <t>Peru</t>
        </is>
      </c>
      <c r="AS772" s="24" t="inlineStr">
        <is>
          <t>Colombia</t>
        </is>
      </c>
      <c r="AT772" s="24" t="inlineStr">
        <is>
          <t>Colombia</t>
        </is>
      </c>
      <c r="AU772" s="24" t="inlineStr">
        <is>
          <t>Colombia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3d16277c2cfc0628d7ec79d04feee92735e5c503a3be195cb225c7c52d024308</t>
        </is>
      </c>
      <c r="BB772" s="24" t="inlineStr">
        <is>
          <t>poisson_dixon_coles</t>
        </is>
      </c>
      <c r="BC772" s="24" t="inlineStr">
        <is>
          <t>soccer-poisson-dc-v1</t>
        </is>
      </c>
      <c r="BD772" s="24" t="inlineStr">
        <is>
          <t>3d16277c2cfc0628d7ec79d04feee92735e5c503a3be195cb225c7c52d024308</t>
        </is>
      </c>
      <c r="BE772" s="24" t="inlineStr">
        <is>
          <t>soccer-poisson-dc-v1</t>
        </is>
      </c>
      <c r="BF772" s="24" t="inlineStr">
        <is>
          <t>1</t>
        </is>
      </c>
      <c r="BG772" s="24" t="inlineStr">
        <is>
          <t>3d16277c2cfc0628d7ec79d04feee92735e5c503a3be195cb225c7c52d024308</t>
        </is>
      </c>
      <c r="BH772" s="24" t="inlineStr">
        <is>
          <t>2026-10-06T22:16:44.414190Z</t>
        </is>
      </c>
      <c r="BI772" s="24" t="inlineStr">
        <is>
          <t>["same_event","same_team_same_day","same_league_same_day"]</t>
        </is>
      </c>
      <c r="BJ772" s="25" t="n">
        <v>2.5</v>
      </c>
      <c r="BK772" s="26" t="n">
        <v>-122</v>
      </c>
      <c r="BL772" s="27" t="n">
        <v>1.819672</v>
      </c>
      <c r="BM772" s="28" t="n">
        <v>0.54955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n"/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9f8afd680d004c63</t>
        </is>
      </c>
      <c r="B773" s="24" t="inlineStr">
        <is>
          <t>2026-10-06T22:24:10.744333Z</t>
        </is>
      </c>
      <c r="C773" s="24" t="inlineStr">
        <is>
          <t>2026-10-07T00:00Z</t>
        </is>
      </c>
      <c r="D773" s="24" t="inlineStr">
        <is>
          <t>401905188</t>
        </is>
      </c>
      <c r="E773" s="24" t="inlineStr">
        <is>
          <t>SOCCER</t>
        </is>
      </c>
      <c r="F773" s="24" t="inlineStr">
        <is>
          <t>Canada</t>
        </is>
      </c>
      <c r="G773" s="24" t="inlineStr">
        <is>
          <t>United States</t>
        </is>
      </c>
      <c r="H773" s="24" t="inlineStr">
        <is>
          <t>total</t>
        </is>
      </c>
      <c r="I773" s="24" t="inlineStr">
        <is>
          <t>over</t>
        </is>
      </c>
      <c r="J773" s="25" t="n">
        <v>2.5</v>
      </c>
      <c r="K773" s="24" t="inlineStr">
        <is>
          <t>polymarket_us</t>
        </is>
      </c>
      <c r="L773" s="26" t="n">
        <v>-163</v>
      </c>
      <c r="M773" s="27" t="n">
        <v>1.613497</v>
      </c>
      <c r="N773" s="28" t="n">
        <v>0.619772</v>
      </c>
      <c r="O773" s="28" t="n">
        <v>0.637096</v>
      </c>
      <c r="P773" s="28" t="n">
        <v>0.15</v>
      </c>
      <c r="Q773" s="28" t="n">
        <v>0.017324</v>
      </c>
      <c r="R773" s="26" t="n">
        <v>0</v>
      </c>
      <c r="S773" s="29" t="n">
        <v>1</v>
      </c>
      <c r="T773" s="24" t="inlineStr">
        <is>
          <t>soccer-poisson-dc-v1</t>
        </is>
      </c>
      <c r="U773" s="24" t="inlineStr">
        <is>
          <t>open</t>
        </is>
      </c>
      <c r="V773" s="24" t="n"/>
      <c r="W773" s="26" t="n"/>
      <c r="X773" s="26" t="n"/>
      <c r="Y773" s="25" t="n"/>
      <c r="Z773" s="26" t="n"/>
      <c r="AA773" s="28" t="n"/>
      <c r="AB773" s="28" t="n"/>
      <c r="AC773" s="30" t="n"/>
      <c r="AD773" s="24" t="n"/>
      <c r="AE773" s="31" t="inlineStr">
        <is>
          <t>Poisson-DC rates 1.86 (home) / 1.42 (away) from EWMA attack/defense strengths. Executable ask 0.6200 (tsc-intf-usa-can-2026-10-06-2pt5).</t>
        </is>
      </c>
      <c r="AF773" s="31" t="inlineStr">
        <is>
          <t>Research-only soccer score model; draw-aware, but not yet locked-holdout qualified.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Canada</t>
        </is>
      </c>
      <c r="AQ773" s="24" t="inlineStr">
        <is>
          <t>Canada</t>
        </is>
      </c>
      <c r="AR773" s="24" t="inlineStr">
        <is>
          <t>Canada</t>
        </is>
      </c>
      <c r="AS773" s="24" t="inlineStr">
        <is>
          <t>United States</t>
        </is>
      </c>
      <c r="AT773" s="24" t="inlineStr">
        <is>
          <t>United States</t>
        </is>
      </c>
      <c r="AU773" s="24" t="inlineStr">
        <is>
          <t>United States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3d16277c2cfc0628d7ec79d04feee92735e5c503a3be195cb225c7c52d024308</t>
        </is>
      </c>
      <c r="BB773" s="24" t="inlineStr">
        <is>
          <t>poisson_dixon_coles</t>
        </is>
      </c>
      <c r="BC773" s="24" t="inlineStr">
        <is>
          <t>soccer-poisson-dc-v1</t>
        </is>
      </c>
      <c r="BD773" s="24" t="inlineStr">
        <is>
          <t>3d16277c2cfc0628d7ec79d04feee92735e5c503a3be195cb225c7c52d024308</t>
        </is>
      </c>
      <c r="BE773" s="24" t="inlineStr">
        <is>
          <t>soccer-poisson-dc-v1</t>
        </is>
      </c>
      <c r="BF773" s="24" t="inlineStr">
        <is>
          <t>1</t>
        </is>
      </c>
      <c r="BG773" s="24" t="inlineStr">
        <is>
          <t>3d16277c2cfc0628d7ec79d04feee92735e5c503a3be195cb225c7c52d024308</t>
        </is>
      </c>
      <c r="BH773" s="24" t="inlineStr">
        <is>
          <t>2026-10-06T22:16:04.881666Z</t>
        </is>
      </c>
      <c r="BI773" s="24" t="inlineStr">
        <is>
          <t>["same_event","same_team_same_day","same_league_same_day"]</t>
        </is>
      </c>
      <c r="BJ773" s="25" t="n">
        <v>2.5</v>
      </c>
      <c r="BK773" s="26" t="n">
        <v>-163</v>
      </c>
      <c r="BL773" s="27" t="n">
        <v>1.613497</v>
      </c>
      <c r="BM773" s="28" t="n">
        <v>0.619772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n"/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1a77d2b5e0f04996</t>
        </is>
      </c>
      <c r="B774" s="24" t="inlineStr">
        <is>
          <t>2026-10-06T22:24:10.744333Z</t>
        </is>
      </c>
      <c r="C774" s="24" t="inlineStr">
        <is>
          <t>2026-10-07T00:30Z</t>
        </is>
      </c>
      <c r="D774" s="24" t="inlineStr">
        <is>
          <t>761660</t>
        </is>
      </c>
      <c r="E774" s="24" t="inlineStr">
        <is>
          <t>SOCCER</t>
        </is>
      </c>
      <c r="F774" s="24" t="inlineStr">
        <is>
          <t>Vancouver Whitecaps</t>
        </is>
      </c>
      <c r="G774" s="24" t="inlineStr">
        <is>
          <t>Chicago Fire FC</t>
        </is>
      </c>
      <c r="H774" s="24" t="inlineStr">
        <is>
          <t>moneyline</t>
        </is>
      </c>
      <c r="I774" s="24" t="inlineStr">
        <is>
          <t>away</t>
        </is>
      </c>
      <c r="J774" s="25" t="n"/>
      <c r="K774" s="24" t="inlineStr">
        <is>
          <t>polymarket_us</t>
        </is>
      </c>
      <c r="L774" s="26" t="n">
        <v>127</v>
      </c>
      <c r="M774" s="27" t="n">
        <v>2.27</v>
      </c>
      <c r="N774" s="28" t="n">
        <v>0.440529</v>
      </c>
      <c r="O774" s="28" t="n">
        <v>0.395284</v>
      </c>
      <c r="P774" s="28" t="n">
        <v>0.04</v>
      </c>
      <c r="Q774" s="28" t="n">
        <v>-0.045245</v>
      </c>
      <c r="R774" s="26" t="n">
        <v>3</v>
      </c>
      <c r="S774" s="29" t="n">
        <v>1</v>
      </c>
      <c r="T774" s="24" t="inlineStr">
        <is>
          <t>soccer-poisson-dc-v1</t>
        </is>
      </c>
      <c r="U774" s="24" t="inlineStr">
        <is>
          <t>open</t>
        </is>
      </c>
      <c r="V774" s="24" t="n"/>
      <c r="W774" s="26" t="n"/>
      <c r="X774" s="26" t="n"/>
      <c r="Y774" s="25" t="n"/>
      <c r="Z774" s="26" t="n"/>
      <c r="AA774" s="28" t="n"/>
      <c r="AB774" s="28" t="n"/>
      <c r="AC774" s="30" t="n"/>
      <c r="AD774" s="24" t="n"/>
      <c r="AE774" s="31" t="inlineStr">
        <is>
          <t>Poisson-DC rates 1.65 (home) / 1.74 (away) from EWMA attack/defense strengths. Executable ask 0.4400 (atc-mls-chi-vwh-2026-10-06-vwh).</t>
        </is>
      </c>
      <c r="AF774" s="31" t="inlineStr">
        <is>
          <t>Research-only soccer score model; draw-aware, but not yet locked-holdout qualified.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Vancouver Whitecaps</t>
        </is>
      </c>
      <c r="AQ774" s="24" t="inlineStr">
        <is>
          <t>Vancouver Whitecaps</t>
        </is>
      </c>
      <c r="AR774" s="24" t="inlineStr">
        <is>
          <t>Vancouver Whitecaps</t>
        </is>
      </c>
      <c r="AS774" s="24" t="inlineStr">
        <is>
          <t>Chicago Fire FC</t>
        </is>
      </c>
      <c r="AT774" s="24" t="inlineStr">
        <is>
          <t>Chicago Fire FC</t>
        </is>
      </c>
      <c r="AU774" s="24" t="inlineStr">
        <is>
          <t>Chicago Fire FC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3d16277c2cfc0628d7ec79d04feee92735e5c503a3be195cb225c7c52d024308</t>
        </is>
      </c>
      <c r="BB774" s="24" t="inlineStr">
        <is>
          <t>poisson_dixon_coles</t>
        </is>
      </c>
      <c r="BC774" s="24" t="inlineStr">
        <is>
          <t>soccer-poisson-dc-v1</t>
        </is>
      </c>
      <c r="BD774" s="24" t="inlineStr">
        <is>
          <t>3d16277c2cfc0628d7ec79d04feee92735e5c503a3be195cb225c7c52d024308</t>
        </is>
      </c>
      <c r="BE774" s="24" t="inlineStr">
        <is>
          <t>soccer-poisson-dc-v1</t>
        </is>
      </c>
      <c r="BF774" s="24" t="inlineStr">
        <is>
          <t>1</t>
        </is>
      </c>
      <c r="BG774" s="24" t="inlineStr">
        <is>
          <t>3d16277c2cfc0628d7ec79d04feee92735e5c503a3be195cb225c7c52d024308</t>
        </is>
      </c>
      <c r="BH774" s="24" t="inlineStr">
        <is>
          <t>2026-10-06T10:11:30.867855Z</t>
        </is>
      </c>
      <c r="BI774" s="24" t="inlineStr">
        <is>
          <t>["same_event","same_team_same_day","same_league_same_day"]</t>
        </is>
      </c>
      <c r="BJ774" s="25" t="n"/>
      <c r="BK774" s="26" t="n">
        <v>127</v>
      </c>
      <c r="BL774" s="27" t="n">
        <v>2.27</v>
      </c>
      <c r="BM774" s="28" t="n">
        <v>0.440529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False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n"/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"3d16277c2cfc0628d7ec79d04feee92735e5c503a3be195cb225c7c52d024308", "away_team": "Vancouver Whitecaps", "event_id": "761660", "event_start_utc": "2026-10-07T00:30Z", "features": {"away_goal_rate": 1.7371, "history_games": 9181, "home_goal_rate": 1.6489, "league_goals_per_team": 1.5536, "min_team_games": 85.0}, "historical_source_observation_times_verified": false, "home_team": "Chicago Fire FC", "inference_inputs": {"away_rate": 1.7370656945789518, "code_sha256": {"models/soccer.py": "3d16277c2cfc0628d7ec79d04feee92735e5c503a3be195cb225c7c52d024308"}, "home_rate": 1.6489254662925148, "sport": "SOCCER"}, "market_type": "moneyline", "model_version": "soccer-poisson-dc-v1", "observed_at_utc": "2026-10-06T22:24:10.045090+00:00", "probabilities": {"away": 0.395284, "draw": 0.246126, "home": 0.35859}, "replay_scope": "Exact full-precision serving state and rounding; upstream historical observation times are not certified.", "schema": "coded-moneyline-replay-v1", "snapshot_hash": "06a2627ba0eec00bd885fd8730fa858792f2d1150d8c01a922a08cc070f7afd7", "sport": "SOCCER"}</t>
        </is>
      </c>
    </row>
    <row r="775" ht="36" customHeight="1">
      <c r="A775" s="24" t="inlineStr">
        <is>
          <t>28104ea294c949e6</t>
        </is>
      </c>
      <c r="B775" s="24" t="inlineStr">
        <is>
          <t>2026-10-06T22:24:10.744333Z</t>
        </is>
      </c>
      <c r="C775" s="24" t="inlineStr">
        <is>
          <t>2026-10-07T00:35Z</t>
        </is>
      </c>
      <c r="D775" s="24" t="inlineStr">
        <is>
          <t>401860372</t>
        </is>
      </c>
      <c r="E775" s="24" t="inlineStr">
        <is>
          <t>SOCCER</t>
        </is>
      </c>
      <c r="F775" s="24" t="inlineStr">
        <is>
          <t>Juventude</t>
        </is>
      </c>
      <c r="G775" s="24" t="inlineStr">
        <is>
          <t>Ponte Preta</t>
        </is>
      </c>
      <c r="H775" s="24" t="inlineStr">
        <is>
          <t>moneyline</t>
        </is>
      </c>
      <c r="I775" s="24" t="inlineStr">
        <is>
          <t>home</t>
        </is>
      </c>
      <c r="J775" s="25" t="n"/>
      <c r="K775" s="24" t="inlineStr">
        <is>
          <t>polymarket_us</t>
        </is>
      </c>
      <c r="L775" s="26" t="n">
        <v>1150</v>
      </c>
      <c r="M775" s="27" t="n">
        <v>12.5</v>
      </c>
      <c r="N775" s="28" t="n">
        <v>0.08</v>
      </c>
      <c r="O775" s="28" t="n">
        <v>0.430486</v>
      </c>
      <c r="P775" s="28" t="n">
        <v>0.2</v>
      </c>
      <c r="Q775" s="28" t="n">
        <v>0.350486</v>
      </c>
      <c r="R775" s="26" t="n">
        <v>100</v>
      </c>
      <c r="S775" s="29" t="n">
        <v>2</v>
      </c>
      <c r="T775" s="24" t="inlineStr">
        <is>
          <t>soccer-poisson-dc-v1</t>
        </is>
      </c>
      <c r="U775" s="24" t="inlineStr">
        <is>
          <t>open</t>
        </is>
      </c>
      <c r="V775" s="24" t="n"/>
      <c r="W775" s="26" t="n"/>
      <c r="X775" s="26" t="n"/>
      <c r="Y775" s="25" t="n"/>
      <c r="Z775" s="26" t="n"/>
      <c r="AA775" s="28" t="n"/>
      <c r="AB775" s="28" t="n"/>
      <c r="AC775" s="30" t="n"/>
      <c r="AD775" s="24" t="n"/>
      <c r="AE775" s="31" t="inlineStr">
        <is>
          <t>Poisson-DC rates 1.59 (home) / 1.30 (away) from EWMA attack/defense strengths. Executable ask 0.0800 (atc-brb-pop-juv-2026-10-06-pop).</t>
        </is>
      </c>
      <c r="AF775" s="31" t="inlineStr">
        <is>
          <t>Research-only soccer score model; draw-aware, but not yet locked-holdout qualified.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Juventude</t>
        </is>
      </c>
      <c r="AQ775" s="24" t="inlineStr">
        <is>
          <t>Juventude</t>
        </is>
      </c>
      <c r="AR775" s="24" t="inlineStr">
        <is>
          <t>Juventude</t>
        </is>
      </c>
      <c r="AS775" s="24" t="inlineStr">
        <is>
          <t>Ponte Preta</t>
        </is>
      </c>
      <c r="AT775" s="24" t="inlineStr">
        <is>
          <t>Ponte Preta</t>
        </is>
      </c>
      <c r="AU775" s="24" t="inlineStr">
        <is>
          <t>Ponte Preta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3d16277c2cfc0628d7ec79d04feee92735e5c503a3be195cb225c7c52d024308</t>
        </is>
      </c>
      <c r="BB775" s="24" t="inlineStr">
        <is>
          <t>poisson_dixon_coles</t>
        </is>
      </c>
      <c r="BC775" s="24" t="inlineStr">
        <is>
          <t>soccer-poisson-dc-v1</t>
        </is>
      </c>
      <c r="BD775" s="24" t="inlineStr">
        <is>
          <t>3d16277c2cfc0628d7ec79d04feee92735e5c503a3be195cb225c7c52d024308</t>
        </is>
      </c>
      <c r="BE775" s="24" t="inlineStr">
        <is>
          <t>soccer-poisson-dc-v1</t>
        </is>
      </c>
      <c r="BF775" s="24" t="inlineStr">
        <is>
          <t>1</t>
        </is>
      </c>
      <c r="BG775" s="24" t="inlineStr">
        <is>
          <t>3d16277c2cfc0628d7ec79d04feee92735e5c503a3be195cb225c7c52d024308</t>
        </is>
      </c>
      <c r="BH775" s="24" t="inlineStr">
        <is>
          <t>2026-10-06T22:15:44.874734Z</t>
        </is>
      </c>
      <c r="BI775" s="24" t="inlineStr">
        <is>
          <t>["same_event","same_team_same_day","same_league_same_day"]</t>
        </is>
      </c>
      <c r="BJ775" s="25" t="n"/>
      <c r="BK775" s="26" t="n">
        <v>1150</v>
      </c>
      <c r="BL775" s="27" t="n">
        <v>12.5</v>
      </c>
      <c r="BM775" s="28" t="n">
        <v>0.08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n"/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"3d16277c2cfc0628d7ec79d04feee92735e5c503a3be195cb225c7c52d024308", "away_team": "Juventude", "event_id": "401860372", "event_start_utc": "2026-10-07T00:35Z", "features": {"away_goal_rate": 1.297, "history_games": 9181, "home_goal_rate": 1.5876, "league_goals_per_team": 1.4281, "min_team_games": 0.0}, "historical_source_observation_times_verified": false, "home_team": "Ponte Preta",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"2026-10-06T22:24:10.045090+00:00", "probabilities": {"away": 0.30089, "draw": 0.268624, "home": 0.430486}, "replay_scope": "Exact full-precision serving state and rounding; upstream historical observation times are not certified.", "schema": "coded-moneyline-replay-v1", "snapshot_hash": "84c494a62e0e4501601a54444e96c6f374ec65a7f6017b73561bcabab8123b99", "sport": "SOCCER"}</t>
        </is>
      </c>
    </row>
    <row r="776" ht="36" customHeight="1">
      <c r="A776" s="24" t="inlineStr">
        <is>
          <t>5912e90163ac4fc2</t>
        </is>
      </c>
      <c r="B776" s="24" t="inlineStr">
        <is>
          <t>2026-10-06T22:24:10.744333Z</t>
        </is>
      </c>
      <c r="C776" s="24" t="inlineStr">
        <is>
          <t>2026-10-06T23:00Z</t>
        </is>
      </c>
      <c r="D776" s="24" t="inlineStr">
        <is>
          <t>401921408</t>
        </is>
      </c>
      <c r="E776" s="24" t="inlineStr">
        <is>
          <t>SOCCER</t>
        </is>
      </c>
      <c r="F776" s="24" t="inlineStr">
        <is>
          <t>Benin</t>
        </is>
      </c>
      <c r="G776" s="24" t="inlineStr">
        <is>
          <t>Argentina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-9900</v>
      </c>
      <c r="M776" s="27" t="n">
        <v>1.010101</v>
      </c>
      <c r="N776" s="28" t="n">
        <v>0.99</v>
      </c>
      <c r="O776" s="28" t="n">
        <v>0.605639</v>
      </c>
      <c r="P776" s="28" t="n">
        <v>0.2</v>
      </c>
      <c r="Q776" s="28" t="n">
        <v>-0.384361</v>
      </c>
      <c r="R776" s="26" t="n">
        <v>0</v>
      </c>
      <c r="S776" s="29" t="n">
        <v>1</v>
      </c>
      <c r="T776" s="24" t="inlineStr">
        <is>
          <t>soccer-poisson-dc-v1</t>
        </is>
      </c>
      <c r="U776" s="24" t="inlineStr">
        <is>
          <t>open</t>
        </is>
      </c>
      <c r="V776" s="24" t="n"/>
      <c r="W776" s="26" t="n"/>
      <c r="X776" s="26" t="n"/>
      <c r="Y776" s="25" t="n"/>
      <c r="Z776" s="26" t="n"/>
      <c r="AA776" s="28" t="n"/>
      <c r="AB776" s="28" t="n"/>
      <c r="AC776" s="30" t="n"/>
      <c r="AD776" s="24" t="n"/>
      <c r="AE776" s="31" t="inlineStr">
        <is>
          <t>Poisson-DC rates 2.13 (home) / 1.08 (away) from EWMA attack/defense strengths. Executable ask 0.9900 (atc-intf-arg-ben-2026-10-06-arg).</t>
        </is>
      </c>
      <c r="AF776" s="31" t="inlineStr">
        <is>
          <t>Research-only soccer score model; draw-aware, but not yet locked-holdout qualified.</t>
        </is>
      </c>
      <c r="AG776" s="24" t="inlineStr">
        <is>
          <t>not_applicable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Benin</t>
        </is>
      </c>
      <c r="AQ776" s="24" t="inlineStr">
        <is>
          <t>Benin</t>
        </is>
      </c>
      <c r="AR776" s="24" t="inlineStr">
        <is>
          <t>Benin</t>
        </is>
      </c>
      <c r="AS776" s="24" t="inlineStr">
        <is>
          <t>Argentina</t>
        </is>
      </c>
      <c r="AT776" s="24" t="inlineStr">
        <is>
          <t>Argentina</t>
        </is>
      </c>
      <c r="AU776" s="24" t="inlineStr">
        <is>
          <t>Argentina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3d16277c2cfc0628d7ec79d04feee92735e5c503a3be195cb225c7c52d024308</t>
        </is>
      </c>
      <c r="BB776" s="24" t="inlineStr">
        <is>
          <t>poisson_dixon_coles</t>
        </is>
      </c>
      <c r="BC776" s="24" t="inlineStr">
        <is>
          <t>soccer-poisson-dc-v1</t>
        </is>
      </c>
      <c r="BD776" s="24" t="inlineStr">
        <is>
          <t>3d16277c2cfc0628d7ec79d04feee92735e5c503a3be195cb225c7c52d024308</t>
        </is>
      </c>
      <c r="BE776" s="24" t="inlineStr">
        <is>
          <t>soccer-poisson-dc-v1</t>
        </is>
      </c>
      <c r="BF776" s="24" t="inlineStr">
        <is>
          <t>1</t>
        </is>
      </c>
      <c r="BG776" s="24" t="inlineStr">
        <is>
          <t>3d16277c2cfc0628d7ec79d04feee92735e5c503a3be195cb225c7c52d024308</t>
        </is>
      </c>
      <c r="BH776" s="24" t="inlineStr">
        <is>
          <t>2026-10-06T10:14:31.085481Z</t>
        </is>
      </c>
      <c r="BI776" s="24" t="inlineStr">
        <is>
          <t>["same_event","same_team_same_day","same_league_same_day"]</t>
        </is>
      </c>
      <c r="BJ776" s="25" t="n"/>
      <c r="BK776" s="26" t="n">
        <v>-9900</v>
      </c>
      <c r="BL776" s="27" t="n">
        <v>1.010101</v>
      </c>
      <c r="BM776" s="28" t="n">
        <v>0.99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n"/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"3d16277c2cfc0628d7ec79d04feee92735e5c503a3be195cb225c7c52d024308", "away_team": "Benin", "event_id": "401921408", "event_start_utc": "2026-10-06T23:00Z", "features": {"away_goal_rate": 1.0758, "history_games": 9181, "home_goal_rate": 2.1307, "league_goals_per_team": 1.4281, "min_team_games": 0.0}, "historical_source_observation_times_verified": false, "home_team": "Argentina", "inference_inputs": {"away_rate": 1.0758417190562526, "code_sha256": {"models/soccer.py": "3d16277c2cfc0628d7ec79d04feee92735e5c503a3be195cb225c7c52d024308"}, "home_rate": 2.130651938301031, "sport": "SOCCER"}, "market_type": "moneyline", "model_version": "soccer-poisson-dc-v1", "observed_at_utc": "2026-10-06T22:24:10.045090+00:00", "probabilities": {"away": 0.173582, "draw": 0.220779, "home": 0.605639}, "replay_scope": "Exact full-precision serving state and rounding; upstream historical observation times are not certified.", "schema": "coded-moneyline-replay-v1", "snapshot_hash": "92e78d5b3d0a9d4e5c1651daca40db94d18ef9dcb9ebe336386280dcc240d6df", "sport": "SOCCER"}</t>
        </is>
      </c>
    </row>
    <row r="777" ht="36" customHeight="1">
      <c r="A777" s="24" t="inlineStr">
        <is>
          <t>bb718daa6bb44fcf</t>
        </is>
      </c>
      <c r="B777" s="24" t="inlineStr">
        <is>
          <t>2026-10-06T22:24:10.744333Z</t>
        </is>
      </c>
      <c r="C777" s="24" t="inlineStr">
        <is>
          <t>2026-10-07T00:00Z</t>
        </is>
      </c>
      <c r="D777" s="24" t="inlineStr">
        <is>
          <t>401905188</t>
        </is>
      </c>
      <c r="E777" s="24" t="inlineStr">
        <is>
          <t>SOCCER</t>
        </is>
      </c>
      <c r="F777" s="24" t="inlineStr">
        <is>
          <t>Canada</t>
        </is>
      </c>
      <c r="G777" s="24" t="inlineStr">
        <is>
          <t>United States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-150</v>
      </c>
      <c r="M777" s="27" t="n">
        <v>1.666667</v>
      </c>
      <c r="N777" s="28" t="n">
        <v>0.6</v>
      </c>
      <c r="O777" s="28" t="n">
        <v>0.468098</v>
      </c>
      <c r="P777" s="28" t="n">
        <v>0.15</v>
      </c>
      <c r="Q777" s="28" t="n">
        <v>-0.131902</v>
      </c>
      <c r="R777" s="26" t="n">
        <v>0</v>
      </c>
      <c r="S777" s="29" t="n">
        <v>1</v>
      </c>
      <c r="T777" s="24" t="inlineStr">
        <is>
          <t>soccer-poisson-dc-v1</t>
        </is>
      </c>
      <c r="U777" s="24" t="inlineStr">
        <is>
          <t>open</t>
        </is>
      </c>
      <c r="V777" s="24" t="n"/>
      <c r="W777" s="26" t="n"/>
      <c r="X777" s="26" t="n"/>
      <c r="Y777" s="25" t="n"/>
      <c r="Z777" s="26" t="n"/>
      <c r="AA777" s="28" t="n"/>
      <c r="AB777" s="28" t="n"/>
      <c r="AC777" s="30" t="n"/>
      <c r="AD777" s="24" t="n"/>
      <c r="AE777" s="31" t="inlineStr">
        <is>
          <t>Poisson-DC rates 1.86 (home) / 1.42 (away) from EWMA attack/defense strengths. Executable ask 0.6000 (atc-intf-usa-can-2026-10-06-usa).</t>
        </is>
      </c>
      <c r="AF777" s="31" t="inlineStr">
        <is>
          <t>Research-only soccer score model; draw-aware, but not yet locked-holdout qualified.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Canada</t>
        </is>
      </c>
      <c r="AQ777" s="24" t="inlineStr">
        <is>
          <t>Canada</t>
        </is>
      </c>
      <c r="AR777" s="24" t="inlineStr">
        <is>
          <t>Canada</t>
        </is>
      </c>
      <c r="AS777" s="24" t="inlineStr">
        <is>
          <t>United States</t>
        </is>
      </c>
      <c r="AT777" s="24" t="inlineStr">
        <is>
          <t>United States</t>
        </is>
      </c>
      <c r="AU777" s="24" t="inlineStr">
        <is>
          <t>United States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3d16277c2cfc0628d7ec79d04feee92735e5c503a3be195cb225c7c52d024308</t>
        </is>
      </c>
      <c r="BB777" s="24" t="inlineStr">
        <is>
          <t>poisson_dixon_coles</t>
        </is>
      </c>
      <c r="BC777" s="24" t="inlineStr">
        <is>
          <t>soccer-poisson-dc-v1</t>
        </is>
      </c>
      <c r="BD777" s="24" t="inlineStr">
        <is>
          <t>3d16277c2cfc0628d7ec79d04feee92735e5c503a3be195cb225c7c52d024308</t>
        </is>
      </c>
      <c r="BE777" s="24" t="inlineStr">
        <is>
          <t>soccer-poisson-dc-v1</t>
        </is>
      </c>
      <c r="BF777" s="24" t="inlineStr">
        <is>
          <t>1</t>
        </is>
      </c>
      <c r="BG777" s="24" t="inlineStr">
        <is>
          <t>3d16277c2cfc0628d7ec79d04feee92735e5c503a3be195cb225c7c52d024308</t>
        </is>
      </c>
      <c r="BH777" s="24" t="inlineStr">
        <is>
          <t>2026-10-06T16:14:40.123117Z</t>
        </is>
      </c>
      <c r="BI777" s="24" t="inlineStr">
        <is>
          <t>["same_event","same_team_same_day","same_league_same_day"]</t>
        </is>
      </c>
      <c r="BJ777" s="25" t="n"/>
      <c r="BK777" s="26" t="n">
        <v>-150</v>
      </c>
      <c r="BL777" s="27" t="n">
        <v>1.666667</v>
      </c>
      <c r="BM777" s="28" t="n">
        <v>0.6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n"/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"3d16277c2cfc0628d7ec79d04feee92735e5c503a3be195cb225c7c52d024308", "away_team": "Canada", "event_id": "401905188", "event_start_utc": "2026-10-07T00:00Z", "features": {"away_goal_rate": 1.4249, "history_games": 9181, "home_goal_rate": 1.8578, "league_goals_per_team": 1.4281, "min_team_games": 5.0}, "historical_source_observation_times_verified": false, "home_team": "United States", "inference_inputs": {"away_rate": 1.424927740599089, "code_sha256": {"models/soccer.py": "3d16277c2cfc0628d7ec79d04feee92735e5c503a3be195cb225c7c52d024308"}, "home_rate": 1.8578242464495291, "sport": "SOCCER"}, "market_type": "moneyline", "model_version": "soccer-poisson-dc-v1", "observed_at_utc": "2026-10-06T22:24:10.045090+00:00", "probabilities": {"away": 0.286524, "draw": 0.245378, "home": 0.468098}, "replay_scope": "Exact full-precision serving state and rounding; upstream historical observation times are not certified.", "schema": "coded-moneyline-replay-v1", "snapshot_hash": "fd858b9799c490f1ab2f98d7f1691d11cba4c8d488b21086132b9ea9ce2d0f9d", "sport": "SOCCER"}</t>
        </is>
      </c>
    </row>
    <row r="778" ht="36" customHeight="1">
      <c r="A778" s="24" t="inlineStr">
        <is>
          <t>0a86a48c649c495f</t>
        </is>
      </c>
      <c r="B778" s="24" t="inlineStr">
        <is>
          <t>2026-10-06T22:24:10.744333Z</t>
        </is>
      </c>
      <c r="C778" s="24" t="inlineStr">
        <is>
          <t>2026-10-07T02:30Z</t>
        </is>
      </c>
      <c r="D778" s="24" t="inlineStr">
        <is>
          <t>401903298</t>
        </is>
      </c>
      <c r="E778" s="24" t="inlineStr">
        <is>
          <t>SOCCER</t>
        </is>
      </c>
      <c r="F778" s="24" t="inlineStr">
        <is>
          <t>Chile</t>
        </is>
      </c>
      <c r="G778" s="24" t="inlineStr">
        <is>
          <t>Mexico</t>
        </is>
      </c>
      <c r="H778" s="24" t="inlineStr">
        <is>
          <t>moneyline</t>
        </is>
      </c>
      <c r="I778" s="24" t="inlineStr">
        <is>
          <t>home</t>
        </is>
      </c>
      <c r="J778" s="25" t="n"/>
      <c r="K778" s="24" t="inlineStr">
        <is>
          <t>polymarket_us</t>
        </is>
      </c>
      <c r="L778" s="26" t="n">
        <v>-163</v>
      </c>
      <c r="M778" s="27" t="n">
        <v>1.613497</v>
      </c>
      <c r="N778" s="28" t="n">
        <v>0.619772</v>
      </c>
      <c r="O778" s="28" t="n">
        <v>0.575413</v>
      </c>
      <c r="P778" s="28" t="n">
        <v>0.2</v>
      </c>
      <c r="Q778" s="28" t="n">
        <v>-0.044359</v>
      </c>
      <c r="R778" s="26" t="n">
        <v>0</v>
      </c>
      <c r="S778" s="29" t="n">
        <v>1</v>
      </c>
      <c r="T778" s="24" t="inlineStr">
        <is>
          <t>soccer-poisson-dc-v1</t>
        </is>
      </c>
      <c r="U778" s="24" t="inlineStr">
        <is>
          <t>open</t>
        </is>
      </c>
      <c r="V778" s="24" t="n"/>
      <c r="W778" s="26" t="n"/>
      <c r="X778" s="26" t="n"/>
      <c r="Y778" s="25" t="n"/>
      <c r="Z778" s="26" t="n"/>
      <c r="AA778" s="28" t="n"/>
      <c r="AB778" s="28" t="n"/>
      <c r="AC778" s="30" t="n"/>
      <c r="AD778" s="24" t="n"/>
      <c r="AE778" s="31" t="inlineStr">
        <is>
          <t>Poisson-DC rates 1.90 (home) / 0.99 (away) from EWMA attack/defense strengths. Executable ask 0.6200 (atc-intf-mex-chl-2026-10-05-mex).</t>
        </is>
      </c>
      <c r="AF778" s="31" t="inlineStr">
        <is>
          <t>Research-only soccer score model; draw-aware, but not yet locked-holdout qualified.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Chile</t>
        </is>
      </c>
      <c r="AQ778" s="24" t="inlineStr">
        <is>
          <t>Chile</t>
        </is>
      </c>
      <c r="AR778" s="24" t="inlineStr">
        <is>
          <t>Chile</t>
        </is>
      </c>
      <c r="AS778" s="24" t="inlineStr">
        <is>
          <t>Mexico</t>
        </is>
      </c>
      <c r="AT778" s="24" t="inlineStr">
        <is>
          <t>Mexico</t>
        </is>
      </c>
      <c r="AU778" s="24" t="inlineStr">
        <is>
          <t>Mexico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3d16277c2cfc0628d7ec79d04feee92735e5c503a3be195cb225c7c52d024308</t>
        </is>
      </c>
      <c r="BB778" s="24" t="inlineStr">
        <is>
          <t>poisson_dixon_coles</t>
        </is>
      </c>
      <c r="BC778" s="24" t="inlineStr">
        <is>
          <t>soccer-poisson-dc-v1</t>
        </is>
      </c>
      <c r="BD778" s="24" t="inlineStr">
        <is>
          <t>3d16277c2cfc0628d7ec79d04feee92735e5c503a3be195cb225c7c52d024308</t>
        </is>
      </c>
      <c r="BE778" s="24" t="inlineStr">
        <is>
          <t>soccer-poisson-dc-v1</t>
        </is>
      </c>
      <c r="BF778" s="24" t="inlineStr">
        <is>
          <t>1</t>
        </is>
      </c>
      <c r="BG778" s="24" t="inlineStr">
        <is>
          <t>3d16277c2cfc0628d7ec79d04feee92735e5c503a3be195cb225c7c52d024308</t>
        </is>
      </c>
      <c r="BH778" s="24" t="inlineStr">
        <is>
          <t>2026-10-06T22:16:14.478449Z</t>
        </is>
      </c>
      <c r="BI778" s="24" t="inlineStr">
        <is>
          <t>["same_event","same_team_same_day","same_league_same_day"]</t>
        </is>
      </c>
      <c r="BJ778" s="25" t="n"/>
      <c r="BK778" s="26" t="n">
        <v>-163</v>
      </c>
      <c r="BL778" s="27" t="n">
        <v>1.613497</v>
      </c>
      <c r="BM778" s="28" t="n">
        <v>0.619772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n"/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"3d16277c2cfc0628d7ec79d04feee92735e5c503a3be195cb225c7c52d024308", "away_team": "Chile", "event_id": "401903298", "event_start_utc": "2026-10-07T02:30Z", "features": {"away_goal_rate": 0.9936, "history_games": 9181, "home_goal_rate": 1.9011, "league_goals_per_team": 1.4281, "min_team_games": 0.0}, "historical_source_observation_times_verified": false, "home_team": "Mexico", "inference_inputs": {"away_rate": 0.9935825146460958, "code_sha256": {"models/soccer.py": "3d16277c2cfc0628d7ec79d04feee92735e5c503a3be195cb225c7c52d024308"}, "home_rate": 1.9011366479974803, "sport": "SOCCER"}, "market_type": "moneyline", "model_version": "soccer-poisson-dc-v1", "observed_at_utc": "2026-10-06T22:24:10.045090+00:00", "probabilities": {"away": 0.182871, "draw": 0.241716, "home": 0.575413}, "replay_scope": "Exact full-precision serving state and rounding; upstream historical observation times are not certified.", "schema": "coded-moneyline-replay-v1", "snapshot_hash": "3100a70bdd3d0b947ba31837a785499ba8978c167b409c0f73ff48c052fac7e2", "sport": "SOCCER"}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2026-10-06T22:29:20Z</dcterms:created>
  <dcterms:modified xmlns:dcterms="http://purl.org/dc/terms/" xmlns:xsi="http://www.w3.org/2001/XMLSchema-instance" xsi:type="dcterms:W3CDTF">2026-10-06T22:29:20Z</dcterms:modified>
</cp:coreProperties>
</file>