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49" headerRowCount="1">
  <autoFilter ref="A1:DQ4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COUNTA('Picks'!$A$2:$A$49)</f>
        <v/>
      </c>
      <c r="C4" s="6">
        <f>COUNTIF('Picks'!$U$2:$U$49,"open")</f>
        <v/>
      </c>
      <c r="E4" s="6">
        <f>COUNTIF('Picks'!$U$2:$U$49,"settled")</f>
        <v/>
      </c>
      <c r="G4" s="6">
        <f>IF(COUNTIFS('Picks'!$U$2:$U$49,"settled",'Picks'!$V$2:$V$49,"win")+COUNTIFS('Picks'!$U$2:$U$49,"settled",'Picks'!$V$2:$V$49,"loss")&gt;=$L$2,"Ready","Insufficient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COUNTIF('Picks'!$BX$2:$BX$49,"&gt;0")</f>
        <v/>
      </c>
      <c r="C7" s="6">
        <f>COUNTIFS('Picks'!$BX$2:$BX$49,"&gt;0",'Picks'!$V$2:$V$49,"win")&amp;"-"&amp;COUNTIFS('Picks'!$BX$2:$BX$49,"&gt;0",'Picks'!$V$2:$V$49,"loss")</f>
        <v/>
      </c>
      <c r="E7" s="7">
        <f>IFERROR(COUNTIFS('Picks'!$BX$2:$BX$49,"&gt;0",'Picks'!$V$2:$V$49,"win")/(COUNTIFS('Picks'!$BX$2:$BX$49,"&gt;0",'Picks'!$V$2:$V$49,"win")+COUNTIFS('Picks'!$BX$2:$BX$49,"&gt;0",'Picks'!$V$2:$V$49,"loss")),0)</f>
        <v/>
      </c>
      <c r="G7" s="7">
        <f>IFERROR(SUM('Picks'!$BY$2:$BY$49)/SUM('Picks'!$BX$2:$BX$49),0)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SUM('Picks'!$BY$2:$BY$49)</f>
        <v/>
      </c>
      <c r="C10" s="9">
        <f>IFERROR(AVERAGEIF('Picks'!$AB$2:$AB$49,"&lt;&gt;",'Picks'!$AB$2:$AB$49),0)</f>
        <v/>
      </c>
      <c r="E10" s="6">
        <f>COUNTIFS('Picks'!$AM$2:$AM$49,"QUALIFIED_SHADOW_CALL",'Picks'!$U$2:$U$49,"settled")</f>
        <v/>
      </c>
      <c r="G10" s="8">
        <f>SUMIFS('Picks'!$AC$2:$AC$49,'Picks'!$AM$2:$AM$49,"QUALIFIED_SHADOW_CALL")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COUNTIFS('Picks'!$H$2:$H$49,$A14,'Picks'!$U$2:$U$49,"settled")</f>
        <v/>
      </c>
      <c r="C14" s="13">
        <f>COUNTIFS('Picks'!$H$2:$H$49,$A14,'Picks'!$U$2:$U$49,"settled",'Picks'!$V$2:$V$49,"win")</f>
        <v/>
      </c>
      <c r="D14" s="13">
        <f>COUNTIFS('Picks'!$H$2:$H$49,$A14,'Picks'!$U$2:$U$49,"settled",'Picks'!$V$2:$V$49,"loss")</f>
        <v/>
      </c>
      <c r="E14" s="14">
        <f>IFERROR(C14/(C14+D14),0)</f>
        <v/>
      </c>
      <c r="F14" s="15">
        <f>SUMIFS('Picks'!$BY$2:$BY$49,'Picks'!$H$2:$H$49,$A14)</f>
        <v/>
      </c>
      <c r="G14" s="16">
        <f>IFERROR(AVERAGEIFS('Picks'!$AB$2:$AB$49,'Picks'!$H$2:$H$49,$A14,'Picks'!$U$2:$U$49,"settled"),0)</f>
        <v/>
      </c>
    </row>
    <row r="15">
      <c r="A15" s="17" t="inlineStr">
        <is>
          <t>spread</t>
        </is>
      </c>
      <c r="B15" s="18">
        <f>COUNTIFS('Picks'!$H$2:$H$49,$A15,'Picks'!$U$2:$U$49,"settled")</f>
        <v/>
      </c>
      <c r="C15" s="18">
        <f>COUNTIFS('Picks'!$H$2:$H$49,$A15,'Picks'!$U$2:$U$49,"settled",'Picks'!$V$2:$V$49,"win")</f>
        <v/>
      </c>
      <c r="D15" s="18">
        <f>COUNTIFS('Picks'!$H$2:$H$49,$A15,'Picks'!$U$2:$U$49,"settled",'Picks'!$V$2:$V$49,"loss")</f>
        <v/>
      </c>
      <c r="E15" s="19">
        <f>IFERROR(C15/(C15+D15),0)</f>
        <v/>
      </c>
      <c r="F15" s="20">
        <f>SUMIFS('Picks'!$BY$2:$BY$49,'Picks'!$H$2:$H$49,$A15)</f>
        <v/>
      </c>
      <c r="G15" s="21">
        <f>IFERROR(AVERAGEIFS('Picks'!$AB$2:$AB$49,'Picks'!$H$2:$H$49,$A15,'Picks'!$U$2:$U$49,"settled"),0)</f>
        <v/>
      </c>
    </row>
    <row r="16">
      <c r="A16" s="12" t="inlineStr">
        <is>
          <t>total</t>
        </is>
      </c>
      <c r="B16" s="13">
        <f>COUNTIFS('Picks'!$H$2:$H$49,$A16,'Picks'!$U$2:$U$49,"settled")</f>
        <v/>
      </c>
      <c r="C16" s="13">
        <f>COUNTIFS('Picks'!$H$2:$H$49,$A16,'Picks'!$U$2:$U$49,"settled",'Picks'!$V$2:$V$49,"win")</f>
        <v/>
      </c>
      <c r="D16" s="13">
        <f>COUNTIFS('Picks'!$H$2:$H$49,$A16,'Picks'!$U$2:$U$49,"settled",'Picks'!$V$2:$V$49,"loss")</f>
        <v/>
      </c>
      <c r="E16" s="14">
        <f>IFERROR(C16/(C16+D16),0)</f>
        <v/>
      </c>
      <c r="F16" s="15">
        <f>SUMIFS('Picks'!$BY$2:$BY$49,'Picks'!$H$2:$H$49,$A16)</f>
        <v/>
      </c>
      <c r="G16" s="16">
        <f>IFERROR(AVERAGEIFS('Picks'!$AB$2:$AB$49,'Picks'!$H$2:$H$49,$A16,'Picks'!$U$2:$U$49,"settled"),0)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bf8dd5fa7c134ac0</t>
        </is>
      </c>
      <c r="B2" s="24" t="inlineStr">
        <is>
          <t>2026-08-09T14:01:43.911021Z</t>
        </is>
      </c>
      <c r="C2" s="24" t="inlineStr">
        <is>
          <t>2026-08-09T17:00:00Z</t>
        </is>
      </c>
      <c r="D2" s="24" t="inlineStr">
        <is>
          <t>75283</t>
        </is>
      </c>
      <c r="E2" s="24" t="inlineStr">
        <is>
          <t>RAINBOW_SIX</t>
        </is>
      </c>
      <c r="F2" s="24" t="inlineStr">
        <is>
          <t>Weibo Gaming</t>
        </is>
      </c>
      <c r="G2" s="24" t="inlineStr">
        <is>
          <t>Virtus.pro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0.5820070000000001</v>
      </c>
      <c r="P2" s="28" t="n"/>
      <c r="Q2" s="28" t="n">
        <v>0.201779</v>
      </c>
      <c r="R2" s="26" t="n">
        <v>100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178</v>
      </c>
      <c r="AA2" s="28" t="n">
        <v>0.36</v>
      </c>
      <c r="AB2" s="28" t="n">
        <v>-0.020228</v>
      </c>
      <c r="AC2" s="30" t="n">
        <v>2.0375</v>
      </c>
      <c r="AD2" s="24" t="inlineStr">
        <is>
          <t>2026-08-09T17:05:20.172404Z</t>
        </is>
      </c>
      <c r="AE2" s="31" t="inlineStr">
        <is>
          <t>Neutral Elo baseline; executable ask 0.3800 (market_slug=aec-r6-vp-wbg-2026-08-09).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Weibo Gaming</t>
        </is>
      </c>
      <c r="AQ2" s="24" t="inlineStr">
        <is>
          <t>Weibo Gaming</t>
        </is>
      </c>
      <c r="AR2" s="24" t="inlineStr">
        <is>
          <t>Weibo Gaming</t>
        </is>
      </c>
      <c r="AS2" s="24" t="inlineStr">
        <is>
          <t>Virtus.pro</t>
        </is>
      </c>
      <c r="AT2" s="24" t="inlineStr">
        <is>
          <t>Virtus.pro</t>
        </is>
      </c>
      <c r="AU2" s="24" t="inlineStr">
        <is>
          <t>Virtus.pro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3b81c1a225385446e6c2efcb53bbcef49ca7c03c0ccb69faec9e458b1a6f00c1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3b81c1a225385446e6c2efcb53bbcef49ca7c03c0ccb69faec9e458b1a6f00c1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2026-08-09T14:01:43.349448Z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2.78</v>
      </c>
      <c r="BR2" s="28" t="n">
        <v>0.36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3ea18b4364c845ca</t>
        </is>
      </c>
      <c r="B3" s="24" t="inlineStr">
        <is>
          <t>2026-08-13T13:47:13.395027Z</t>
        </is>
      </c>
      <c r="C3" s="24" t="inlineStr">
        <is>
          <t>2026-08-13T14:00:00Z</t>
        </is>
      </c>
      <c r="D3" s="24" t="inlineStr">
        <is>
          <t>77319</t>
        </is>
      </c>
      <c r="E3" s="24" t="inlineStr">
        <is>
          <t>RAINBOW_SIX</t>
        </is>
      </c>
      <c r="F3" s="24" t="inlineStr">
        <is>
          <t>Team Secret</t>
        </is>
      </c>
      <c r="G3" s="24" t="inlineStr">
        <is>
          <t>Geekay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0.642788</v>
      </c>
      <c r="P3" s="28" t="n"/>
      <c r="Q3" s="28" t="n">
        <v>0.033413</v>
      </c>
      <c r="R3" s="26" t="n">
        <v>37</v>
      </c>
      <c r="S3" s="29" t="n">
        <v>1.5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-156</v>
      </c>
      <c r="AA3" s="28" t="n">
        <v>0.61</v>
      </c>
      <c r="AB3" s="28" t="n">
        <v>0.000625</v>
      </c>
      <c r="AC3" s="30" t="n">
        <v>0.9615</v>
      </c>
      <c r="AD3" s="24" t="inlineStr">
        <is>
          <t>2026-08-13T16:50:25.715804Z</t>
        </is>
      </c>
      <c r="AE3" s="31" t="inlineStr">
        <is>
          <t>Neutral Elo baseline; executable ask 0.6100 (market_slug=aec-r6-ge-secret-2026-08-13).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Secret</t>
        </is>
      </c>
      <c r="AQ3" s="24" t="inlineStr">
        <is>
          <t>Team Secret</t>
        </is>
      </c>
      <c r="AR3" s="24" t="inlineStr">
        <is>
          <t>Team Secret</t>
        </is>
      </c>
      <c r="AS3" s="24" t="inlineStr">
        <is>
          <t>Geekay Esports</t>
        </is>
      </c>
      <c r="AT3" s="24" t="inlineStr">
        <is>
          <t>Geekay Esports</t>
        </is>
      </c>
      <c r="AU3" s="24" t="inlineStr">
        <is>
          <t>Geekay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5abfbacc5cb76b78275a1604ae93eb223c0b4a7794a63b0d764f8921f60f0e7b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5abfbacc5cb76b78275a1604ae93eb223c0b4a7794a63b0d764f8921f60f0e7b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2026-08-13T13:47:12.403984Z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>
        <v>1.641026</v>
      </c>
      <c r="BR3" s="28" t="n">
        <v>0.61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2245a28d1f404c1d</t>
        </is>
      </c>
      <c r="B4" s="24" t="inlineStr">
        <is>
          <t>2026-09-03T04:36:12.635938Z</t>
        </is>
      </c>
      <c r="C4" s="24" t="inlineStr">
        <is>
          <t>2026-09-03T08:00:00Z</t>
        </is>
      </c>
      <c r="D4" s="24" t="inlineStr">
        <is>
          <t>98304</t>
        </is>
      </c>
      <c r="E4" s="24" t="inlineStr">
        <is>
          <t>RAINBOW_SIX</t>
        </is>
      </c>
      <c r="F4" s="24" t="inlineStr">
        <is>
          <t>Circular Spheres</t>
        </is>
      </c>
      <c r="G4" s="24" t="inlineStr">
        <is>
          <t>Arcade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0.527469</v>
      </c>
      <c r="P4" s="28" t="n"/>
      <c r="Q4" s="28" t="n">
        <v>-0.062695</v>
      </c>
      <c r="R4" s="26" t="n">
        <v>0</v>
      </c>
      <c r="S4" s="29" t="n">
        <v>1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-144</v>
      </c>
      <c r="AA4" s="28" t="n">
        <v>0.59</v>
      </c>
      <c r="AB4" s="28" t="n">
        <v>-0.000164</v>
      </c>
      <c r="AC4" s="30" t="n">
        <v>0.6944</v>
      </c>
      <c r="AD4" s="24" t="inlineStr">
        <is>
          <t>2026-09-03T16:09:27.878665Z</t>
        </is>
      </c>
      <c r="AE4" s="31" t="inlineStr">
        <is>
          <t>Neutral Elo baseline; executable ask 0.5900 (market_slug=aec-r6-arc-cs-2026-09-03).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Circular Spheres</t>
        </is>
      </c>
      <c r="AQ4" s="24" t="inlineStr">
        <is>
          <t>Circular Spheres</t>
        </is>
      </c>
      <c r="AR4" s="24" t="inlineStr">
        <is>
          <t>Circular Spheres</t>
        </is>
      </c>
      <c r="AS4" s="24" t="inlineStr">
        <is>
          <t>Arcade Esports</t>
        </is>
      </c>
      <c r="AT4" s="24" t="inlineStr">
        <is>
          <t>Arcade Esports</t>
        </is>
      </c>
      <c r="AU4" s="24" t="inlineStr">
        <is>
          <t>Arcade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a9e6e5ad72d180246e3c5f9de30497e0c01cb67d04b6a556c4b4c494085be0fe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a9e6e5ad72d180246e3c5f9de30497e0c01cb67d04b6a556c4b4c494085be0fe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2026-09-03T04:36:11.590061Z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>
        <v>1.694444</v>
      </c>
      <c r="BR4" s="28" t="n">
        <v>0.59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0.590164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70f2e32901af47ad</t>
        </is>
      </c>
      <c r="B5" s="24" t="inlineStr">
        <is>
          <t>2026-09-04T10:04:45.935043Z</t>
        </is>
      </c>
      <c r="C5" s="24" t="inlineStr">
        <is>
          <t>2026-09-04T12:30:00Z</t>
        </is>
      </c>
      <c r="D5" s="24" t="inlineStr">
        <is>
          <t>100409</t>
        </is>
      </c>
      <c r="E5" s="24" t="inlineStr">
        <is>
          <t>RAINBOW_SIX</t>
        </is>
      </c>
      <c r="F5" s="24" t="inlineStr">
        <is>
          <t>EDward Gaming</t>
        </is>
      </c>
      <c r="G5" s="24" t="inlineStr">
        <is>
          <t>All Gamers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-163</v>
      </c>
      <c r="M5" s="27" t="n">
        <v>1.613497</v>
      </c>
      <c r="N5" s="28" t="n">
        <v>0.619772</v>
      </c>
      <c r="O5" s="28" t="n">
        <v>0.541365</v>
      </c>
      <c r="P5" s="28" t="n"/>
      <c r="Q5" s="28" t="n">
        <v>-0.078407</v>
      </c>
      <c r="R5" s="26" t="n">
        <v>0</v>
      </c>
      <c r="S5" s="29" t="n">
        <v>1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-163</v>
      </c>
      <c r="AA5" s="28" t="n">
        <v>0.62</v>
      </c>
      <c r="AB5" s="28" t="n">
        <v>0.000228</v>
      </c>
      <c r="AC5" s="30" t="n">
        <v>-1</v>
      </c>
      <c r="AD5" s="24" t="inlineStr">
        <is>
          <t>2026-09-04T16:02:03.941610Z</t>
        </is>
      </c>
      <c r="AE5" s="31" t="inlineStr">
        <is>
          <t>Neutral Elo baseline; executable ask 0.6200 (market_slug=aec-r6-ag-edg-2026-09-04).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EDward Gaming</t>
        </is>
      </c>
      <c r="AQ5" s="24" t="inlineStr">
        <is>
          <t>EDward Gaming</t>
        </is>
      </c>
      <c r="AR5" s="24" t="inlineStr">
        <is>
          <t>EDward Gaming</t>
        </is>
      </c>
      <c r="AS5" s="24" t="inlineStr">
        <is>
          <t>All Gamers</t>
        </is>
      </c>
      <c r="AT5" s="24" t="inlineStr">
        <is>
          <t>All Gamers</t>
        </is>
      </c>
      <c r="AU5" s="24" t="inlineStr">
        <is>
          <t>All Gamers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cd70337218f53848d5223e968d10c4542e01063807918da7e5a682491f8990a6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cd70337218f53848d5223e968d10c4542e01063807918da7e5a682491f8990a6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2026-09-04T10:04:44.894370Z</t>
        </is>
      </c>
      <c r="BI5" s="24" t="inlineStr">
        <is>
          <t>["same_event","same_team_same_day","same_league_same_day"]</t>
        </is>
      </c>
      <c r="BJ5" s="25" t="n"/>
      <c r="BK5" s="26" t="n">
        <v>-163</v>
      </c>
      <c r="BL5" s="27" t="n">
        <v>1.613497</v>
      </c>
      <c r="BM5" s="28" t="n">
        <v>0.619772</v>
      </c>
      <c r="BN5" s="28" t="n"/>
      <c r="BO5" s="28" t="n"/>
      <c r="BP5" s="25" t="n"/>
      <c r="BQ5" s="27" t="n">
        <v>1.613497</v>
      </c>
      <c r="BR5" s="28" t="n">
        <v>0.62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0.619772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7d069181a4f84739</t>
        </is>
      </c>
      <c r="B6" s="24" t="inlineStr">
        <is>
          <t>2026-09-04T10:04:45.935043Z</t>
        </is>
      </c>
      <c r="C6" s="24" t="inlineStr">
        <is>
          <t>2026-09-04T13:00:00Z</t>
        </is>
      </c>
      <c r="D6" s="24" t="inlineStr">
        <is>
          <t>100451</t>
        </is>
      </c>
      <c r="E6" s="24" t="inlineStr">
        <is>
          <t>RAINBOW_SIX</t>
        </is>
      </c>
      <c r="F6" s="24" t="inlineStr">
        <is>
          <t>Weibo Gaming</t>
        </is>
      </c>
      <c r="G6" s="24" t="inlineStr">
        <is>
          <t>Ex-Elevate Academy APAC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0.625451</v>
      </c>
      <c r="P6" s="28" t="n"/>
      <c r="Q6" s="28" t="n">
        <v>-0.05506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-213</v>
      </c>
      <c r="AA6" s="28" t="n">
        <v>0.68</v>
      </c>
      <c r="AB6" s="28" t="n">
        <v>-0.000511</v>
      </c>
      <c r="AC6" s="30" t="n">
        <v>0.4695</v>
      </c>
      <c r="AD6" s="24" t="inlineStr">
        <is>
          <t>2026-09-04T16:02:04.152094Z</t>
        </is>
      </c>
      <c r="AE6" s="31" t="inlineStr">
        <is>
          <t>Neutral Elo baseline; executable ask 0.6800 (market_slug=aec-r6-exelvapa-wbg-2026-09-04).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Weibo Gaming</t>
        </is>
      </c>
      <c r="AQ6" s="24" t="inlineStr">
        <is>
          <t>Weibo Gaming</t>
        </is>
      </c>
      <c r="AR6" s="24" t="inlineStr">
        <is>
          <t>Weibo Gaming</t>
        </is>
      </c>
      <c r="AS6" s="24" t="inlineStr">
        <is>
          <t>Ex-Elevate Academy APAC</t>
        </is>
      </c>
      <c r="AT6" s="24" t="inlineStr">
        <is>
          <t>Ex-Elevate Academy APAC</t>
        </is>
      </c>
      <c r="AU6" s="24" t="inlineStr">
        <is>
          <t>Ex-Elevate Academy APAC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cd70337218f53848d5223e968d10c4542e01063807918da7e5a682491f8990a6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cd70337218f53848d5223e968d10c4542e01063807918da7e5a682491f8990a6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2026-09-04T10:04:44.952178Z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>
        <v>1.469484</v>
      </c>
      <c r="BR6" s="28" t="n">
        <v>0.68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0.680511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9138aa3e44c647f5</t>
        </is>
      </c>
      <c r="B7" s="24" t="inlineStr">
        <is>
          <t>2026-09-06T16:03:59.730607Z</t>
        </is>
      </c>
      <c r="C7" s="24" t="inlineStr">
        <is>
          <t>2026-09-06T18:30:00Z</t>
        </is>
      </c>
      <c r="D7" s="24" t="inlineStr">
        <is>
          <t>101767</t>
        </is>
      </c>
      <c r="E7" s="24" t="inlineStr">
        <is>
          <t>RAINBOW_SIX</t>
        </is>
      </c>
      <c r="F7" s="24" t="inlineStr">
        <is>
          <t>Black Dragons e-Sports</t>
        </is>
      </c>
      <c r="G7" s="24" t="inlineStr">
        <is>
          <t>Lucky Five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0.5342209999999999</v>
      </c>
      <c r="P7" s="28" t="n"/>
      <c r="Q7" s="28" t="n">
        <v>0.01499</v>
      </c>
      <c r="R7" s="26" t="n">
        <v>27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-108</v>
      </c>
      <c r="AA7" s="28" t="n">
        <v>0.52</v>
      </c>
      <c r="AB7" s="28" t="n">
        <v>0.000769</v>
      </c>
      <c r="AC7" s="30" t="n">
        <v>0.9258999999999999</v>
      </c>
      <c r="AD7" s="24" t="inlineStr">
        <is>
          <t>2026-09-06T22:02:58.143841Z</t>
        </is>
      </c>
      <c r="AE7" s="31" t="inlineStr">
        <is>
          <t>Neutral Elo baseline; executable ask 0.5200 (market_slug=aec-r6-l5-bd-2026-09-06).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Black Dragons e-Sports</t>
        </is>
      </c>
      <c r="AQ7" s="24" t="inlineStr">
        <is>
          <t>Black Dragons e-Sports</t>
        </is>
      </c>
      <c r="AR7" s="24" t="inlineStr">
        <is>
          <t>Black Dragons e-Sports</t>
        </is>
      </c>
      <c r="AS7" s="24" t="inlineStr">
        <is>
          <t>Lucky Five</t>
        </is>
      </c>
      <c r="AT7" s="24" t="inlineStr">
        <is>
          <t>Lucky Five</t>
        </is>
      </c>
      <c r="AU7" s="24" t="inlineStr">
        <is>
          <t>Lucky Five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0c3327b687d0a13dd438e3cac429ec2853fcd1e81b9808bd9c1896f2c1c1edc1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0c3327b687d0a13dd438e3cac429ec2853fcd1e81b9808bd9c1896f2c1c1edc1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2026-09-06T16:03:58.172953Z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>
        <v>1.925926</v>
      </c>
      <c r="BR7" s="28" t="n">
        <v>0.52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0.519231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e0047a2c2ac64baa</t>
        </is>
      </c>
      <c r="B8" s="24" t="inlineStr">
        <is>
          <t>2026-09-06T16:03:59.730607Z</t>
        </is>
      </c>
      <c r="C8" s="24" t="inlineStr">
        <is>
          <t>2026-09-06T19:45:00Z</t>
        </is>
      </c>
      <c r="D8" s="24" t="inlineStr">
        <is>
          <t>102089</t>
        </is>
      </c>
      <c r="E8" s="24" t="inlineStr">
        <is>
          <t>RAINBOW_SIX</t>
        </is>
      </c>
      <c r="F8" s="24" t="inlineStr">
        <is>
          <t>LOS</t>
        </is>
      </c>
      <c r="G8" s="24" t="inlineStr">
        <is>
          <t>LOUD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117</v>
      </c>
      <c r="M8" s="27" t="n">
        <v>2.17</v>
      </c>
      <c r="N8" s="28" t="n">
        <v>0.460829</v>
      </c>
      <c r="O8" s="28" t="n">
        <v>0.575813</v>
      </c>
      <c r="P8" s="28" t="n"/>
      <c r="Q8" s="28" t="n">
        <v>0.114984</v>
      </c>
      <c r="R8" s="26" t="n">
        <v>77</v>
      </c>
      <c r="S8" s="29" t="n">
        <v>1.5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117</v>
      </c>
      <c r="AA8" s="28" t="n">
        <v>0.46</v>
      </c>
      <c r="AB8" s="28" t="n">
        <v>-0.000829</v>
      </c>
      <c r="AC8" s="30" t="n">
        <v>-1.5</v>
      </c>
      <c r="AD8" s="24" t="inlineStr">
        <is>
          <t>2026-09-06T22:02:58.272171Z</t>
        </is>
      </c>
      <c r="AE8" s="31" t="inlineStr">
        <is>
          <t>Neutral Elo baseline; executable ask 0.4600 (market_slug=aec-r6-loud-los-2026-09-06).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LOS</t>
        </is>
      </c>
      <c r="AQ8" s="24" t="inlineStr">
        <is>
          <t>LOS</t>
        </is>
      </c>
      <c r="AR8" s="24" t="inlineStr">
        <is>
          <t>LOS</t>
        </is>
      </c>
      <c r="AS8" s="24" t="inlineStr">
        <is>
          <t>LOUD</t>
        </is>
      </c>
      <c r="AT8" s="24" t="inlineStr">
        <is>
          <t>LOUD</t>
        </is>
      </c>
      <c r="AU8" s="24" t="inlineStr">
        <is>
          <t>LOUD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0c3327b687d0a13dd438e3cac429ec2853fcd1e81b9808bd9c1896f2c1c1edc1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0c3327b687d0a13dd438e3cac429ec2853fcd1e81b9808bd9c1896f2c1c1edc1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2026-09-06T16:03:58.251590Z</t>
        </is>
      </c>
      <c r="BI8" s="24" t="inlineStr">
        <is>
          <t>["same_event","same_team_same_day","same_league_same_day"]</t>
        </is>
      </c>
      <c r="BJ8" s="25" t="n"/>
      <c r="BK8" s="26" t="n">
        <v>117</v>
      </c>
      <c r="BL8" s="27" t="n">
        <v>2.17</v>
      </c>
      <c r="BM8" s="28" t="n">
        <v>0.460829</v>
      </c>
      <c r="BN8" s="28" t="n"/>
      <c r="BO8" s="28" t="n"/>
      <c r="BP8" s="25" t="n"/>
      <c r="BQ8" s="27" t="n">
        <v>2.17</v>
      </c>
      <c r="BR8" s="28" t="n">
        <v>0.46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0.460829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680b189943244cf7</t>
        </is>
      </c>
      <c r="B9" s="24" t="inlineStr">
        <is>
          <t>2026-09-07T04:34:12.701031Z</t>
        </is>
      </c>
      <c r="C9" s="24" t="inlineStr">
        <is>
          <t>2026-09-07T09:00:00Z</t>
        </is>
      </c>
      <c r="D9" s="24" t="inlineStr">
        <is>
          <t>102356</t>
        </is>
      </c>
      <c r="E9" s="24" t="inlineStr">
        <is>
          <t>RAINBOW_SIX</t>
        </is>
      </c>
      <c r="F9" s="24" t="inlineStr">
        <is>
          <t>Man eSports LFO</t>
        </is>
      </c>
      <c r="G9" s="24" t="inlineStr">
        <is>
          <t>Arcade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0.602392</v>
      </c>
      <c r="P9" s="28" t="n"/>
      <c r="Q9" s="28" t="n">
        <v>-0.057472</v>
      </c>
      <c r="R9" s="26" t="n">
        <v>0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0.5155</v>
      </c>
      <c r="AD9" s="24" t="inlineStr">
        <is>
          <t>2026-09-07T16:01:52.245109Z</t>
        </is>
      </c>
      <c r="AE9" s="31" t="inlineStr">
        <is>
          <t>Neutral Elo baseline; executable ask 0.6600 (market_slug=aec-r6-arc-man-2026-09-07).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Man eSports LFO</t>
        </is>
      </c>
      <c r="AQ9" s="24" t="inlineStr">
        <is>
          <t>Man eSports LFO</t>
        </is>
      </c>
      <c r="AR9" s="24" t="inlineStr">
        <is>
          <t>Man eSports LFO</t>
        </is>
      </c>
      <c r="AS9" s="24" t="inlineStr">
        <is>
          <t>Arcade Esports</t>
        </is>
      </c>
      <c r="AT9" s="24" t="inlineStr">
        <is>
          <t>Arcade Esports</t>
        </is>
      </c>
      <c r="AU9" s="24" t="inlineStr">
        <is>
          <t>Arcade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17e4573cf2f00370b231bb789e28ed02b9174ae2a31ea9ecd2a30c9648ab3eac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17e4573cf2f00370b231bb789e28ed02b9174ae2a31ea9ecd2a30c9648ab3eac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2026-09-07T04:34:11.588612Z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6ad802681a2445e9</t>
        </is>
      </c>
      <c r="B10" s="24" t="inlineStr">
        <is>
          <t>2026-09-07T16:03:47.999920Z</t>
        </is>
      </c>
      <c r="C10" s="24" t="inlineStr">
        <is>
          <t>2026-09-07T19:00:00Z</t>
        </is>
      </c>
      <c r="D10" s="24" t="inlineStr">
        <is>
          <t>102682</t>
        </is>
      </c>
      <c r="E10" s="24" t="inlineStr">
        <is>
          <t>RAINBOW_SIX</t>
        </is>
      </c>
      <c r="F10" s="24" t="inlineStr">
        <is>
          <t>Team Secret</t>
        </is>
      </c>
      <c r="G10" s="24" t="inlineStr">
        <is>
          <t>Shifters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104</v>
      </c>
      <c r="M10" s="27" t="n">
        <v>2.04</v>
      </c>
      <c r="N10" s="28" t="n">
        <v>0.490196</v>
      </c>
      <c r="O10" s="28" t="n">
        <v>0.5751810000000001</v>
      </c>
      <c r="P10" s="28" t="n"/>
      <c r="Q10" s="28" t="n">
        <v>0.084985</v>
      </c>
      <c r="R10" s="26" t="n">
        <v>62</v>
      </c>
      <c r="S10" s="29" t="n">
        <v>1.25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-138</v>
      </c>
      <c r="AA10" s="28" t="n">
        <v>0.58</v>
      </c>
      <c r="AB10" s="28" t="n">
        <v>0.08980399999999999</v>
      </c>
      <c r="AC10" s="30" t="n">
        <v>-1.25</v>
      </c>
      <c r="AD10" s="24" t="inlineStr">
        <is>
          <t>2026-09-07T22:03:04.835347Z</t>
        </is>
      </c>
      <c r="AE10" s="31" t="inlineStr">
        <is>
          <t>Neutral Elo baseline; executable ask 0.4900 (market_slug=aec-r6-shi-secret-2026-09-07).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Team Secret</t>
        </is>
      </c>
      <c r="AQ10" s="24" t="inlineStr">
        <is>
          <t>Team Secret</t>
        </is>
      </c>
      <c r="AR10" s="24" t="inlineStr">
        <is>
          <t>Team Secret</t>
        </is>
      </c>
      <c r="AS10" s="24" t="inlineStr">
        <is>
          <t>Shifters</t>
        </is>
      </c>
      <c r="AT10" s="24" t="inlineStr">
        <is>
          <t>Shifters</t>
        </is>
      </c>
      <c r="AU10" s="24" t="inlineStr">
        <is>
          <t>Shifters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079800066258b1ff76531bd8980458fa718ecd6788a485ce166f6d9d7dcf7463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079800066258b1ff76531bd8980458fa718ecd6788a485ce166f6d9d7dcf7463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2026-09-07T16:03:46.395251Z</t>
        </is>
      </c>
      <c r="BI10" s="24" t="inlineStr">
        <is>
          <t>["same_event","same_team_same_day","same_league_same_day"]</t>
        </is>
      </c>
      <c r="BJ10" s="25" t="n"/>
      <c r="BK10" s="26" t="n">
        <v>104</v>
      </c>
      <c r="BL10" s="27" t="n">
        <v>2.04</v>
      </c>
      <c r="BM10" s="28" t="n">
        <v>0.490196</v>
      </c>
      <c r="BN10" s="28" t="n"/>
      <c r="BO10" s="28" t="n"/>
      <c r="BP10" s="25" t="n"/>
      <c r="BQ10" s="27" t="n">
        <v>1.724638</v>
      </c>
      <c r="BR10" s="28" t="n">
        <v>0.58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0.490196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bdde8ac48db947dd</t>
        </is>
      </c>
      <c r="B11" s="24" t="inlineStr">
        <is>
          <t>2026-09-08T04:36:09.084725Z</t>
        </is>
      </c>
      <c r="C11" s="24" t="inlineStr">
        <is>
          <t>2026-09-08T08:00:00Z</t>
        </is>
      </c>
      <c r="D11" s="24" t="inlineStr">
        <is>
          <t>103034</t>
        </is>
      </c>
      <c r="E11" s="24" t="inlineStr">
        <is>
          <t>RAINBOW_SIX</t>
        </is>
      </c>
      <c r="F11" s="24" t="inlineStr">
        <is>
          <t>7VEN</t>
        </is>
      </c>
      <c r="G11" s="24" t="inlineStr">
        <is>
          <t>Shaiikademy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0.550497</v>
      </c>
      <c r="P11" s="28" t="n"/>
      <c r="Q11" s="28" t="n">
        <v>0.011326</v>
      </c>
      <c r="R11" s="26" t="n">
        <v>26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-1</v>
      </c>
      <c r="AD11" s="24" t="inlineStr">
        <is>
          <t>2026-09-08T10:02:36.817371Z</t>
        </is>
      </c>
      <c r="AE11" s="31" t="inlineStr">
        <is>
          <t>Neutral Elo baseline; executable ask 0.5400 (market_slug=aec-r6-sha-7ven-2026-09-08).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7VEN</t>
        </is>
      </c>
      <c r="AQ11" s="24" t="inlineStr">
        <is>
          <t>7VEN</t>
        </is>
      </c>
      <c r="AR11" s="24" t="inlineStr">
        <is>
          <t>7VEN</t>
        </is>
      </c>
      <c r="AS11" s="24" t="inlineStr">
        <is>
          <t>Shaiikademy</t>
        </is>
      </c>
      <c r="AT11" s="24" t="inlineStr">
        <is>
          <t>Shaiikademy</t>
        </is>
      </c>
      <c r="AU11" s="24" t="inlineStr">
        <is>
          <t>Shaiikademy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bd8234dc9af0a866257b2e5f443f4e6e976d8b0d83cba3e369e6cf530398385d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bd8234dc9af0a866257b2e5f443f4e6e976d8b0d83cba3e369e6cf530398385d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2026-09-08T04:36:07.619295Z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/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0.539171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9c1ad55d94e04c5c</t>
        </is>
      </c>
      <c r="B12" s="24" t="inlineStr">
        <is>
          <t>2026-09-08T16:17:14.147835Z</t>
        </is>
      </c>
      <c r="C12" s="24" t="inlineStr">
        <is>
          <t>2026-09-08T17:00:00Z</t>
        </is>
      </c>
      <c r="D12" s="24" t="inlineStr">
        <is>
          <t>103347</t>
        </is>
      </c>
      <c r="E12" s="24" t="inlineStr">
        <is>
          <t>RAINBOW_SIX</t>
        </is>
      </c>
      <c r="F12" s="24" t="inlineStr">
        <is>
          <t>Geekay Esports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0.658606</v>
      </c>
      <c r="P12" s="28" t="n"/>
      <c r="Q12" s="28" t="n">
        <v>0.049231</v>
      </c>
      <c r="R12" s="26" t="n">
        <v>45</v>
      </c>
      <c r="S12" s="29" t="n">
        <v>1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-163</v>
      </c>
      <c r="AA12" s="28" t="n">
        <v>0.62</v>
      </c>
      <c r="AB12" s="28" t="n">
        <v>0.010625</v>
      </c>
      <c r="AC12" s="30" t="n">
        <v>-1</v>
      </c>
      <c r="AD12" s="24" t="inlineStr">
        <is>
          <t>2026-09-08T23:00:46.860247Z</t>
        </is>
      </c>
      <c r="AE12" s="31" t="inlineStr">
        <is>
          <t>Neutral Elo baseline; executable ask 0.6100 (market_slug=aec-r6-shi-ge-2026-09-08).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Geekay Esports</t>
        </is>
      </c>
      <c r="AQ12" s="24" t="inlineStr">
        <is>
          <t>Geekay Esports</t>
        </is>
      </c>
      <c r="AR12" s="24" t="inlineStr">
        <is>
          <t>Geekay Esports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be326b30a7d6da8a64ac7220729d16acd486cdd22cbab2b7b1eb8e02d10b4fa8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be326b30a7d6da8a64ac7220729d16acd486cdd22cbab2b7b1eb8e02d10b4fa8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2026-09-08T16:17:13.259829Z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1.613497</v>
      </c>
      <c r="BR12" s="28" t="n">
        <v>0.62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0.609375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e9a70bbd2f9b419c</t>
        </is>
      </c>
      <c r="B13" s="24" t="inlineStr">
        <is>
          <t>2026-09-08T16:17:14.147835Z</t>
        </is>
      </c>
      <c r="C13" s="24" t="inlineStr">
        <is>
          <t>2026-09-08T18:00:00Z</t>
        </is>
      </c>
      <c r="D13" s="24" t="inlineStr">
        <is>
          <t>103515</t>
        </is>
      </c>
      <c r="E13" s="24" t="inlineStr">
        <is>
          <t>RAINBOW_SIX</t>
        </is>
      </c>
      <c r="F13" s="24" t="inlineStr">
        <is>
          <t>Falcons Esport</t>
        </is>
      </c>
      <c r="G13" s="24" t="inlineStr">
        <is>
          <t>G2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0.503798</v>
      </c>
      <c r="P13" s="28" t="n"/>
      <c r="Q13" s="28" t="n">
        <v>-0.055673</v>
      </c>
      <c r="R13" s="26" t="n">
        <v>0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-1</v>
      </c>
      <c r="AD13" s="24" t="inlineStr">
        <is>
          <t>2026-09-08T23:00:47.285851Z</t>
        </is>
      </c>
      <c r="AE13" s="31" t="inlineStr">
        <is>
          <t>Neutral Elo baseline; executable ask 0.5600 (market_slug=aec-r6-g2-flcs-2026-09-08).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Falcons Esport</t>
        </is>
      </c>
      <c r="AQ13" s="24" t="inlineStr">
        <is>
          <t>Falcons Esport</t>
        </is>
      </c>
      <c r="AR13" s="24" t="inlineStr">
        <is>
          <t>Falcons Esport</t>
        </is>
      </c>
      <c r="AS13" s="24" t="inlineStr">
        <is>
          <t>G2 Esports</t>
        </is>
      </c>
      <c r="AT13" s="24" t="inlineStr">
        <is>
          <t>G2 Esports</t>
        </is>
      </c>
      <c r="AU13" s="24" t="inlineStr">
        <is>
          <t>G2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be326b30a7d6da8a64ac7220729d16acd486cdd22cbab2b7b1eb8e02d10b4fa8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be326b30a7d6da8a64ac7220729d16acd486cdd22cbab2b7b1eb8e02d10b4fa8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2026-09-08T16:17:13.323858Z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f1d87421ea16429d</t>
        </is>
      </c>
      <c r="B14" s="24" t="inlineStr">
        <is>
          <t>2026-09-09T16:04:46.574497Z</t>
        </is>
      </c>
      <c r="C14" s="24" t="inlineStr">
        <is>
          <t>2026-09-09T18:00:00Z</t>
        </is>
      </c>
      <c r="D14" s="24" t="inlineStr">
        <is>
          <t>104828</t>
        </is>
      </c>
      <c r="E14" s="24" t="inlineStr">
        <is>
          <t>RAINBOW_SIX</t>
        </is>
      </c>
      <c r="F14" s="24" t="inlineStr">
        <is>
          <t>Wildcard Gaming</t>
        </is>
      </c>
      <c r="G14" s="24" t="inlineStr">
        <is>
          <t>DarkZero Esports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0.558874</v>
      </c>
      <c r="P14" s="28" t="n"/>
      <c r="Q14" s="28" t="n">
        <v>0.028358</v>
      </c>
      <c r="R14" s="26" t="n">
        <v>34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-113</v>
      </c>
      <c r="AA14" s="28" t="n">
        <v>0.53</v>
      </c>
      <c r="AB14" s="28" t="n">
        <v>-0.000516</v>
      </c>
      <c r="AC14" s="30" t="n">
        <v>-1</v>
      </c>
      <c r="AD14" s="24" t="inlineStr">
        <is>
          <t>2026-09-09T22:04:24.166644Z</t>
        </is>
      </c>
      <c r="AE14" s="31" t="inlineStr">
        <is>
          <t>Neutral Elo baseline; executable ask 0.5300 (market_slug=aec-r6-dz-wcg-2026-09-09).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Wildcard Gaming</t>
        </is>
      </c>
      <c r="AQ14" s="24" t="inlineStr">
        <is>
          <t>Wildcard Gaming</t>
        </is>
      </c>
      <c r="AR14" s="24" t="inlineStr">
        <is>
          <t>Wildcard Gaming</t>
        </is>
      </c>
      <c r="AS14" s="24" t="inlineStr">
        <is>
          <t>DarkZero Esports</t>
        </is>
      </c>
      <c r="AT14" s="24" t="inlineStr">
        <is>
          <t>DarkZero Esports</t>
        </is>
      </c>
      <c r="AU14" s="24" t="inlineStr">
        <is>
          <t>DarkZero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21e2223551d91a62ecde2d827a4549cf5bb950fc1b2206e36f2cbf6a4855f026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21e2223551d91a62ecde2d827a4549cf5bb950fc1b2206e36f2cbf6a4855f026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2026-09-09T16:04:45.399787Z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>
        <v>1.884956</v>
      </c>
      <c r="BR14" s="28" t="n">
        <v>0.53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d62f52ec71b841a1</t>
        </is>
      </c>
      <c r="B15" s="24" t="inlineStr">
        <is>
          <t>2026-09-09T16:04:46.574497Z</t>
        </is>
      </c>
      <c r="C15" s="24" t="inlineStr">
        <is>
          <t>2026-09-09T20:00:00Z</t>
        </is>
      </c>
      <c r="D15" s="24" t="inlineStr">
        <is>
          <t>105205</t>
        </is>
      </c>
      <c r="E15" s="24" t="inlineStr">
        <is>
          <t>RAINBOW_SIX</t>
        </is>
      </c>
      <c r="F15" s="24" t="inlineStr">
        <is>
          <t>Shopify Rebellion</t>
        </is>
      </c>
      <c r="G15" s="24" t="inlineStr">
        <is>
          <t>M80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0.545451</v>
      </c>
      <c r="P15" s="28" t="n"/>
      <c r="Q15" s="28" t="n">
        <v>-0.025364</v>
      </c>
      <c r="R15" s="26" t="n">
        <v>7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-133</v>
      </c>
      <c r="AA15" s="28" t="n">
        <v>0.57</v>
      </c>
      <c r="AB15" s="28" t="n">
        <v>-0.000815</v>
      </c>
      <c r="AC15" s="30" t="n">
        <v>-1</v>
      </c>
      <c r="AD15" s="24" t="inlineStr">
        <is>
          <t>2026-09-09T22:04:24.495942Z</t>
        </is>
      </c>
      <c r="AE15" s="31" t="inlineStr">
        <is>
          <t>Neutral Elo baseline; executable ask 0.5700 (market_slug=aec-r6-m80-sr-2026-09-09).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Shopify Rebellion</t>
        </is>
      </c>
      <c r="AQ15" s="24" t="inlineStr">
        <is>
          <t>Shopify Rebellion</t>
        </is>
      </c>
      <c r="AR15" s="24" t="inlineStr">
        <is>
          <t>Shopify Rebellion</t>
        </is>
      </c>
      <c r="AS15" s="24" t="inlineStr">
        <is>
          <t>M80</t>
        </is>
      </c>
      <c r="AT15" s="24" t="inlineStr">
        <is>
          <t>M80</t>
        </is>
      </c>
      <c r="AU15" s="24" t="inlineStr">
        <is>
          <t>M80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21e2223551d91a62ecde2d827a4549cf5bb950fc1b2206e36f2cbf6a4855f026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21e2223551d91a62ecde2d827a4549cf5bb950fc1b2206e36f2cbf6a4855f026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2026-09-09T16:04:45.625016Z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>
        <v>1.75188</v>
      </c>
      <c r="BR15" s="28" t="n">
        <v>0.57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0.570815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021c2f8f86a44f19</t>
        </is>
      </c>
      <c r="B16" s="24" t="inlineStr">
        <is>
          <t>2026-09-11T16:05:31.003662Z</t>
        </is>
      </c>
      <c r="C16" s="24" t="inlineStr">
        <is>
          <t>2026-09-11T18:00:00Z</t>
        </is>
      </c>
      <c r="D16" s="24" t="inlineStr">
        <is>
          <t>107090</t>
        </is>
      </c>
      <c r="E16" s="24" t="inlineStr">
        <is>
          <t>RAINBOW_SIX</t>
        </is>
      </c>
      <c r="F16" s="24" t="inlineStr">
        <is>
          <t>M80</t>
        </is>
      </c>
      <c r="G16" s="24" t="inlineStr">
        <is>
          <t>Spacestation Gaming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-213</v>
      </c>
      <c r="M16" s="27" t="n">
        <v>1.469484</v>
      </c>
      <c r="N16" s="28" t="n">
        <v>0.680511</v>
      </c>
      <c r="O16" s="28" t="n">
        <v>0.519766</v>
      </c>
      <c r="P16" s="28" t="n"/>
      <c r="Q16" s="28" t="n">
        <v>-0.160745</v>
      </c>
      <c r="R16" s="26" t="n">
        <v>0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-213</v>
      </c>
      <c r="AA16" s="28" t="n">
        <v>0.68</v>
      </c>
      <c r="AB16" s="28" t="n">
        <v>-0.000511</v>
      </c>
      <c r="AC16" s="30" t="n">
        <v>-1</v>
      </c>
      <c r="AD16" s="24" t="inlineStr">
        <is>
          <t>2026-09-11T22:02:31.881668Z</t>
        </is>
      </c>
      <c r="AE16" s="31" t="inlineStr">
        <is>
          <t>Neutral Elo baseline; executable ask 0.6800 (market_slug=aec-r6-ssg-m80-2026-09-11).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Spacestation Gaming</t>
        </is>
      </c>
      <c r="AT16" s="24" t="inlineStr">
        <is>
          <t>Spacestation Gaming</t>
        </is>
      </c>
      <c r="AU16" s="24" t="inlineStr">
        <is>
          <t>Spacestation Gaming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a3aa3c90a606ceb5a4f18c5aa349883976229f4d71835f63d430260eabea7091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a3aa3c90a606ceb5a4f18c5aa349883976229f4d71835f63d430260eabea7091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2026-09-11T16:05:29.566097Z</t>
        </is>
      </c>
      <c r="BI16" s="24" t="inlineStr">
        <is>
          <t>["same_event","same_team_same_day","same_league_same_day"]</t>
        </is>
      </c>
      <c r="BJ16" s="25" t="n"/>
      <c r="BK16" s="26" t="n">
        <v>-213</v>
      </c>
      <c r="BL16" s="27" t="n">
        <v>1.469484</v>
      </c>
      <c r="BM16" s="28" t="n">
        <v>0.680511</v>
      </c>
      <c r="BN16" s="28" t="n"/>
      <c r="BO16" s="28" t="n"/>
      <c r="BP16" s="25" t="n"/>
      <c r="BQ16" s="27" t="n">
        <v>1.469484</v>
      </c>
      <c r="BR16" s="28" t="n">
        <v>0.68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0.680511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7" ht="36" customHeight="1">
      <c r="A17" s="24" t="inlineStr">
        <is>
          <t>34ed2efe9c524d13</t>
        </is>
      </c>
      <c r="B17" s="24" t="inlineStr">
        <is>
          <t>2026-09-11T16:05:31.003662Z</t>
        </is>
      </c>
      <c r="C17" s="24" t="inlineStr">
        <is>
          <t>2026-09-11T19:00:00Z</t>
        </is>
      </c>
      <c r="D17" s="24" t="inlineStr">
        <is>
          <t>107248</t>
        </is>
      </c>
      <c r="E17" s="24" t="inlineStr">
        <is>
          <t>RAINBOW_SIX</t>
        </is>
      </c>
      <c r="F17" s="24" t="inlineStr">
        <is>
          <t>Five Fears</t>
        </is>
      </c>
      <c r="G17" s="24" t="inlineStr">
        <is>
          <t>Cloud9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0.527864</v>
      </c>
      <c r="P17" s="28" t="n"/>
      <c r="Q17" s="28" t="n">
        <v>-0.081511</v>
      </c>
      <c r="R17" s="26" t="n">
        <v>0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-156</v>
      </c>
      <c r="AA17" s="28" t="n">
        <v>0.61</v>
      </c>
      <c r="AB17" s="28" t="n">
        <v>0.000625</v>
      </c>
      <c r="AC17" s="30" t="n">
        <v>0.641</v>
      </c>
      <c r="AD17" s="24" t="inlineStr">
        <is>
          <t>2026-09-11T22:02:32.039163Z</t>
        </is>
      </c>
      <c r="AE17" s="31" t="inlineStr">
        <is>
          <t>Neutral Elo baseline; executable ask 0.6100 (market_slug=aec-r6-c9-5f-2026-09-11).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Five Fears</t>
        </is>
      </c>
      <c r="AQ17" s="24" t="inlineStr">
        <is>
          <t>Five Fears</t>
        </is>
      </c>
      <c r="AR17" s="24" t="inlineStr">
        <is>
          <t>Five Fears</t>
        </is>
      </c>
      <c r="AS17" s="24" t="inlineStr">
        <is>
          <t>Cloud9</t>
        </is>
      </c>
      <c r="AT17" s="24" t="inlineStr">
        <is>
          <t>Cloud9</t>
        </is>
      </c>
      <c r="AU17" s="24" t="inlineStr">
        <is>
          <t>Cloud9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a3aa3c90a606ceb5a4f18c5aa349883976229f4d71835f63d430260eabea7091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a3aa3c90a606ceb5a4f18c5aa349883976229f4d71835f63d430260eabea7091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2026-09-11T16:05:29.626239Z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>
        <v>1.641026</v>
      </c>
      <c r="BR17" s="28" t="n">
        <v>0.61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18" ht="36" customHeight="1">
      <c r="A18" s="24" t="inlineStr">
        <is>
          <t>d056e2b4ebcd471d</t>
        </is>
      </c>
      <c r="B18" s="24" t="inlineStr">
        <is>
          <t>2026-09-11T22:04:30.962966Z</t>
        </is>
      </c>
      <c r="C18" s="24" t="inlineStr">
        <is>
          <t>2026-09-11T22:30:00Z</t>
        </is>
      </c>
      <c r="D18" s="24" t="inlineStr">
        <is>
          <t>107494</t>
        </is>
      </c>
      <c r="E18" s="24" t="inlineStr">
        <is>
          <t>RAINBOW_SIX</t>
        </is>
      </c>
      <c r="F18" s="24" t="inlineStr">
        <is>
          <t>Wildcard Gaming</t>
        </is>
      </c>
      <c r="G18" s="24" t="inlineStr">
        <is>
          <t>Shopify Rebellion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-113</v>
      </c>
      <c r="M18" s="27" t="n">
        <v>1.884956</v>
      </c>
      <c r="N18" s="28" t="n">
        <v>0.530516</v>
      </c>
      <c r="O18" s="28" t="n">
        <v>0.523827</v>
      </c>
      <c r="P18" s="28" t="n"/>
      <c r="Q18" s="28" t="n">
        <v>-0.006689</v>
      </c>
      <c r="R18" s="26" t="n">
        <v>17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-113</v>
      </c>
      <c r="AA18" s="28" t="n">
        <v>0.53</v>
      </c>
      <c r="AB18" s="28" t="n">
        <v>-0.000516</v>
      </c>
      <c r="AC18" s="30" t="n">
        <v>0.885</v>
      </c>
      <c r="AD18" s="24" t="inlineStr">
        <is>
          <t>2026-09-12T04:33:18.438063Z</t>
        </is>
      </c>
      <c r="AE18" s="31" t="inlineStr">
        <is>
          <t>Neutral Elo baseline; executable ask 0.5300 (market_slug=aec-r6-sr-wcg-2026-09-11).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Wildcard Gaming</t>
        </is>
      </c>
      <c r="AQ18" s="24" t="inlineStr">
        <is>
          <t>Wildcard Gaming</t>
        </is>
      </c>
      <c r="AR18" s="24" t="inlineStr">
        <is>
          <t>Wildcard Gaming</t>
        </is>
      </c>
      <c r="AS18" s="24" t="inlineStr">
        <is>
          <t>Shopify Rebellion</t>
        </is>
      </c>
      <c r="AT18" s="24" t="inlineStr">
        <is>
          <t>Shopify Rebellion</t>
        </is>
      </c>
      <c r="AU18" s="24" t="inlineStr">
        <is>
          <t>Shopify Rebellion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2082a05e899d1dbcdd7c6e917012c7b7bf2cd57db1ebe0781be18c7293f17523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2082a05e899d1dbcdd7c6e917012c7b7bf2cd57db1ebe0781be18c7293f17523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2026-09-11T22:04:29.179316Z</t>
        </is>
      </c>
      <c r="BI18" s="24" t="inlineStr">
        <is>
          <t>["same_event","same_team_same_day","same_league_same_day"]</t>
        </is>
      </c>
      <c r="BJ18" s="25" t="n"/>
      <c r="BK18" s="26" t="n">
        <v>-113</v>
      </c>
      <c r="BL18" s="27" t="n">
        <v>1.884956</v>
      </c>
      <c r="BM18" s="28" t="n">
        <v>0.530516</v>
      </c>
      <c r="BN18" s="28" t="n"/>
      <c r="BO18" s="28" t="n"/>
      <c r="BP18" s="25" t="n"/>
      <c r="BQ18" s="27" t="n">
        <v>1.884956</v>
      </c>
      <c r="BR18" s="28" t="n">
        <v>0.53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0.530516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19" ht="36" customHeight="1">
      <c r="A19" s="24" t="inlineStr">
        <is>
          <t>13eb31a746114a93</t>
        </is>
      </c>
      <c r="B19" s="24" t="inlineStr">
        <is>
          <t>2026-09-12T10:07:54.099378Z</t>
        </is>
      </c>
      <c r="C19" s="24" t="inlineStr">
        <is>
          <t>2026-09-12T11:00:00Z</t>
        </is>
      </c>
      <c r="D19" s="24" t="inlineStr">
        <is>
          <t>107854</t>
        </is>
      </c>
      <c r="E19" s="24" t="inlineStr">
        <is>
          <t>RAINBOW_SIX</t>
        </is>
      </c>
      <c r="F19" s="24" t="inlineStr">
        <is>
          <t>Dplus</t>
        </is>
      </c>
      <c r="G19" s="24" t="inlineStr">
        <is>
          <t>KINOTROPE gaming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0.629116</v>
      </c>
      <c r="P19" s="28" t="n"/>
      <c r="Q19" s="28" t="n">
        <v>-0.040851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0.4926</v>
      </c>
      <c r="AD19" s="24" t="inlineStr">
        <is>
          <t>2026-09-12T16:03:05.103496Z</t>
        </is>
      </c>
      <c r="AE19" s="31" t="inlineStr">
        <is>
          <t>Neutral Elo baseline; executable ask 0.6700 (market_slug=aec-r6-knt-dk-2026-09-12).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Dplus</t>
        </is>
      </c>
      <c r="AQ19" s="24" t="inlineStr">
        <is>
          <t>Dplus</t>
        </is>
      </c>
      <c r="AR19" s="24" t="inlineStr">
        <is>
          <t>Dplus</t>
        </is>
      </c>
      <c r="AS19" s="24" t="inlineStr">
        <is>
          <t>KINOTROPE gaming</t>
        </is>
      </c>
      <c r="AT19" s="24" t="inlineStr">
        <is>
          <t>KINOTROPE gaming</t>
        </is>
      </c>
      <c r="AU19" s="24" t="inlineStr">
        <is>
          <t>KINOTROPE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3562d4706176830535a6a6cdb7a7079707b5b0f1afba6228fe27a43dd4bcd2be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3562d4706176830535a6a6cdb7a7079707b5b0f1afba6228fe27a43dd4bcd2be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2026-09-12T10:07:51.885762Z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0" ht="36" customHeight="1">
      <c r="A20" s="24" t="inlineStr">
        <is>
          <t>3f6083467cb64466</t>
        </is>
      </c>
      <c r="B20" s="24" t="inlineStr">
        <is>
          <t>2026-09-12T16:08:20.780039Z</t>
        </is>
      </c>
      <c r="C20" s="24" t="inlineStr">
        <is>
          <t>2026-09-12T17:15:00Z</t>
        </is>
      </c>
      <c r="D20" s="24" t="inlineStr">
        <is>
          <t>108035</t>
        </is>
      </c>
      <c r="E20" s="24" t="inlineStr">
        <is>
          <t>RAINBOW_SIX</t>
        </is>
      </c>
      <c r="F20" s="24" t="inlineStr">
        <is>
          <t>Team Liquid</t>
        </is>
      </c>
      <c r="G20" s="24" t="inlineStr">
        <is>
          <t>FURIA Esports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0.646367</v>
      </c>
      <c r="P20" s="28" t="n"/>
      <c r="Q20" s="28" t="n">
        <v>0.07555199999999999</v>
      </c>
      <c r="R20" s="26" t="n">
        <v>58</v>
      </c>
      <c r="S20" s="29" t="n">
        <v>1.25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-133</v>
      </c>
      <c r="AA20" s="28" t="n">
        <v>0.57</v>
      </c>
      <c r="AB20" s="28" t="n">
        <v>-0.000815</v>
      </c>
      <c r="AC20" s="30" t="n">
        <v>-1.25</v>
      </c>
      <c r="AD20" s="24" t="inlineStr">
        <is>
          <t>2026-09-12T22:04:14.363936Z</t>
        </is>
      </c>
      <c r="AE20" s="31" t="inlineStr">
        <is>
          <t>Neutral Elo baseline; executable ask 0.5700 (market_slug=aec-r6-furia-liquid-2026-09-12).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Team Liquid</t>
        </is>
      </c>
      <c r="AQ20" s="24" t="inlineStr">
        <is>
          <t>Team Liquid</t>
        </is>
      </c>
      <c r="AR20" s="24" t="inlineStr">
        <is>
          <t>Team Liquid</t>
        </is>
      </c>
      <c r="AS20" s="24" t="inlineStr">
        <is>
          <t>FURIA Esports</t>
        </is>
      </c>
      <c r="AT20" s="24" t="inlineStr">
        <is>
          <t>FURIA Esports</t>
        </is>
      </c>
      <c r="AU20" s="24" t="inlineStr">
        <is>
          <t>FURIA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601b616e18575ae667b39e6c3d477bb6b6e95d6c845b1637f0ebbb1579f75a19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601b616e18575ae667b39e6c3d477bb6b6e95d6c845b1637f0ebbb1579f75a19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2026-09-12T16:08:19.861788Z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>
        <v>1.75188</v>
      </c>
      <c r="BR20" s="28" t="n">
        <v>0.57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1" ht="36" customHeight="1">
      <c r="A21" s="24" t="inlineStr">
        <is>
          <t>58f9770c5746445c</t>
        </is>
      </c>
      <c r="B21" s="24" t="inlineStr">
        <is>
          <t>2026-09-14T04:51:53.244739Z</t>
        </is>
      </c>
      <c r="C21" s="24" t="inlineStr">
        <is>
          <t>2026-09-14T08:00:00Z</t>
        </is>
      </c>
      <c r="D21" s="24" t="inlineStr">
        <is>
          <t>109448</t>
        </is>
      </c>
      <c r="E21" s="24" t="inlineStr">
        <is>
          <t>RAINBOW_SIX</t>
        </is>
      </c>
      <c r="F21" s="24" t="inlineStr">
        <is>
          <t>Arcade Esports</t>
        </is>
      </c>
      <c r="G21" s="24" t="inlineStr">
        <is>
          <t>7VEN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0.6365690000000001</v>
      </c>
      <c r="P21" s="28" t="n"/>
      <c r="Q21" s="28" t="n">
        <v>0.087019</v>
      </c>
      <c r="R21" s="26" t="n">
        <v>64</v>
      </c>
      <c r="S21" s="29" t="n">
        <v>1.25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1.0246</v>
      </c>
      <c r="AD21" s="24" t="inlineStr">
        <is>
          <t>2026-09-14T16:03:50.033460Z</t>
        </is>
      </c>
      <c r="AE21" s="31" t="inlineStr">
        <is>
          <t>Neutral Elo baseline; executable ask 0.5500 (market_slug=aec-r6-7ven-arc-2026-09-14).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Arcade Esports</t>
        </is>
      </c>
      <c r="AQ21" s="24" t="inlineStr">
        <is>
          <t>Arcade Esports</t>
        </is>
      </c>
      <c r="AR21" s="24" t="inlineStr">
        <is>
          <t>Arcade Esports</t>
        </is>
      </c>
      <c r="AS21" s="24" t="inlineStr">
        <is>
          <t>7VEN</t>
        </is>
      </c>
      <c r="AT21" s="24" t="inlineStr">
        <is>
          <t>7VEN</t>
        </is>
      </c>
      <c r="AU21" s="24" t="inlineStr">
        <is>
          <t>7VEN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96b4e15802dc319286591d54f70362c1679c9d8f4bc627e4bc503ecde2df7b80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96b4e15802dc319286591d54f70362c1679c9d8f4bc627e4bc503ecde2df7b80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2026-09-14T04:50:55.565830Z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0.54955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2" ht="36" customHeight="1">
      <c r="A22" s="24" t="inlineStr">
        <is>
          <t>062f541e9f9e42be</t>
        </is>
      </c>
      <c r="B22" s="24" t="inlineStr">
        <is>
          <t>2026-09-15T04:41:03.812382Z</t>
        </is>
      </c>
      <c r="C22" s="24" t="inlineStr">
        <is>
          <t>2026-09-15T08:00:00Z</t>
        </is>
      </c>
      <c r="D22" s="24" t="inlineStr">
        <is>
          <t>110187</t>
        </is>
      </c>
      <c r="E22" s="24" t="inlineStr">
        <is>
          <t>RAINBOW_SIX</t>
        </is>
      </c>
      <c r="F22" s="24" t="inlineStr">
        <is>
          <t>Shaiikademy</t>
        </is>
      </c>
      <c r="G22" s="24" t="inlineStr">
        <is>
          <t>Arcade Esports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0.632437</v>
      </c>
      <c r="P22" s="28" t="n"/>
      <c r="Q22" s="28" t="n">
        <v>-0.067263</v>
      </c>
      <c r="R22" s="26" t="n">
        <v>0</v>
      </c>
      <c r="S22" s="29" t="n">
        <v>1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0.4292</v>
      </c>
      <c r="AD22" s="24" t="inlineStr">
        <is>
          <t>2026-09-15T10:03:05.030988Z</t>
        </is>
      </c>
      <c r="AE22" s="31" t="inlineStr">
        <is>
          <t>Neutral Elo baseline; executable ask 0.7000 (market_slug=aec-r6-arc-sha-2026-09-15).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Shaiikademy</t>
        </is>
      </c>
      <c r="AQ22" s="24" t="inlineStr">
        <is>
          <t>Shaiikademy</t>
        </is>
      </c>
      <c r="AR22" s="24" t="inlineStr">
        <is>
          <t>Shaiikademy</t>
        </is>
      </c>
      <c r="AS22" s="24" t="inlineStr">
        <is>
          <t>Arcade Esports</t>
        </is>
      </c>
      <c r="AT22" s="24" t="inlineStr">
        <is>
          <t>Arcade Esports</t>
        </is>
      </c>
      <c r="AU22" s="24" t="inlineStr">
        <is>
          <t>Arcade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4bfb945d12d61816ea10c6105d0ba0dbfa0c591deb2571ad66db8cdd371e466d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4bfb945d12d61816ea10c6105d0ba0dbfa0c591deb2571ad66db8cdd371e466d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2026-09-15T04:40:19.365685Z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0.6997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3" ht="36" customHeight="1">
      <c r="A23" s="24" t="inlineStr">
        <is>
          <t>ed7d13f8317147e4</t>
        </is>
      </c>
      <c r="B23" s="24" t="inlineStr">
        <is>
          <t>2026-09-15T16:14:25.816820Z</t>
        </is>
      </c>
      <c r="C23" s="24" t="inlineStr">
        <is>
          <t>2026-09-15T17:00:00Z</t>
        </is>
      </c>
      <c r="D23" s="24" t="inlineStr">
        <is>
          <t>110464</t>
        </is>
      </c>
      <c r="E23" s="24" t="inlineStr">
        <is>
          <t>RAINBOW_SIX</t>
        </is>
      </c>
      <c r="F23" s="24" t="inlineStr">
        <is>
          <t>Geekay Esports</t>
        </is>
      </c>
      <c r="G23" s="24" t="inlineStr">
        <is>
          <t>Virtus.pro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0.620573</v>
      </c>
      <c r="P23" s="28" t="n"/>
      <c r="Q23" s="28" t="n">
        <v>-0.069829</v>
      </c>
      <c r="R23" s="26" t="n">
        <v>0</v>
      </c>
      <c r="S23" s="29" t="n">
        <v>1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2026-09-16T06:37:21.951353Z</t>
        </is>
      </c>
      <c r="AE23" s="31" t="inlineStr">
        <is>
          <t>Neutral Elo baseline; executable ask 0.6900 (market_slug=aec-r6-vp-ge-2026-09-15).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Geekay Esports</t>
        </is>
      </c>
      <c r="AQ23" s="24" t="inlineStr">
        <is>
          <t>Geekay Esports</t>
        </is>
      </c>
      <c r="AR23" s="24" t="inlineStr">
        <is>
          <t>Geekay Esports</t>
        </is>
      </c>
      <c r="AS23" s="24" t="inlineStr">
        <is>
          <t>Virtus.pro</t>
        </is>
      </c>
      <c r="AT23" s="24" t="inlineStr">
        <is>
          <t>Virtus.pro</t>
        </is>
      </c>
      <c r="AU23" s="24" t="inlineStr">
        <is>
          <t>Virtus.pro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c657070edf75311010423cfc3edc6edbdc8e9801e6a1c33436806c58c54d8134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c657070edf75311010423cfc3edc6edbdc8e9801e6a1c33436806c58c54d8134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2026-09-15T16:14:03.895871Z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4" ht="36" customHeight="1">
      <c r="A24" s="24" t="inlineStr">
        <is>
          <t>c55d747517204564</t>
        </is>
      </c>
      <c r="B24" s="24" t="inlineStr">
        <is>
          <t>2026-09-17T16:35:17.195438Z</t>
        </is>
      </c>
      <c r="C24" s="24" t="inlineStr">
        <is>
          <t>2026-09-17T18:00:00Z</t>
        </is>
      </c>
      <c r="D24" s="24" t="inlineStr">
        <is>
          <t>112768</t>
        </is>
      </c>
      <c r="E24" s="24" t="inlineStr">
        <is>
          <t>RAINBOW_SIX</t>
        </is>
      </c>
      <c r="F24" s="24" t="inlineStr">
        <is>
          <t>Five Fears</t>
        </is>
      </c>
      <c r="G24" s="24" t="inlineStr">
        <is>
          <t>For Fun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0.589812</v>
      </c>
      <c r="P24" s="28" t="n"/>
      <c r="Q24" s="28" t="n">
        <v>0.040262</v>
      </c>
      <c r="R24" s="26" t="n">
        <v>40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0.8197</v>
      </c>
      <c r="AD24" s="24" t="inlineStr">
        <is>
          <t>2026-09-17T22:04:08.375424Z</t>
        </is>
      </c>
      <c r="AE24" s="31" t="inlineStr">
        <is>
          <t>Neutral Elo baseline; executable ask 0.5500 (market_slug=aec-r6-ff-5f-2026-09-17).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Five Fears</t>
        </is>
      </c>
      <c r="AQ24" s="24" t="inlineStr">
        <is>
          <t>Five Fears</t>
        </is>
      </c>
      <c r="AR24" s="24" t="inlineStr">
        <is>
          <t>Five Fears</t>
        </is>
      </c>
      <c r="AS24" s="24" t="inlineStr">
        <is>
          <t>For Fun Esports</t>
        </is>
      </c>
      <c r="AT24" s="24" t="inlineStr">
        <is>
          <t>For Fun Esports</t>
        </is>
      </c>
      <c r="AU24" s="24" t="inlineStr">
        <is>
          <t>For Fun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313367002e8c887889d6964ba5266e3d808cf12e13c6319b5d05a3b85777719a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313367002e8c887889d6964ba5266e3d808cf12e13c6319b5d05a3b85777719a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2026-09-17T16:18:50.721425Z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0.54955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5" ht="36" customHeight="1">
      <c r="A25" s="24" t="inlineStr">
        <is>
          <t>32bf8247b0cc424e</t>
        </is>
      </c>
      <c r="B25" s="24" t="inlineStr">
        <is>
          <t>2026-09-17T16:35:17.195438Z</t>
        </is>
      </c>
      <c r="C25" s="24" t="inlineStr">
        <is>
          <t>2026-09-17T19:00:00Z</t>
        </is>
      </c>
      <c r="D25" s="24" t="inlineStr">
        <is>
          <t>112905</t>
        </is>
      </c>
      <c r="E25" s="24" t="inlineStr">
        <is>
          <t>RAINBOW_SIX</t>
        </is>
      </c>
      <c r="F25" s="24" t="inlineStr">
        <is>
          <t>Spacestation Gaming</t>
        </is>
      </c>
      <c r="G25" s="24" t="inlineStr">
        <is>
          <t>Wildcard Gaming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-194</v>
      </c>
      <c r="M25" s="27" t="n">
        <v>1.515464</v>
      </c>
      <c r="N25" s="28" t="n">
        <v>0.659864</v>
      </c>
      <c r="O25" s="28" t="n">
        <v>0.683351</v>
      </c>
      <c r="P25" s="28" t="n"/>
      <c r="Q25" s="28" t="n">
        <v>0.023487</v>
      </c>
      <c r="R25" s="26" t="n">
        <v>32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0.5155</v>
      </c>
      <c r="AD25" s="24" t="inlineStr">
        <is>
          <t>2026-09-17T22:04:08.736907Z</t>
        </is>
      </c>
      <c r="AE25" s="31" t="inlineStr">
        <is>
          <t>Neutral Elo baseline; executable ask 0.6600 (market_slug=aec-r6-wcg-ssg-2026-09-17).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Spacestation Gaming</t>
        </is>
      </c>
      <c r="AQ25" s="24" t="inlineStr">
        <is>
          <t>Spacestation Gaming</t>
        </is>
      </c>
      <c r="AR25" s="24" t="inlineStr">
        <is>
          <t>Spacestation Gaming</t>
        </is>
      </c>
      <c r="AS25" s="24" t="inlineStr">
        <is>
          <t>Wildcard Gaming</t>
        </is>
      </c>
      <c r="AT25" s="24" t="inlineStr">
        <is>
          <t>Wildcard Gaming</t>
        </is>
      </c>
      <c r="AU25" s="24" t="inlineStr">
        <is>
          <t>Wildcard Gaming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313367002e8c887889d6964ba5266e3d808cf12e13c6319b5d05a3b85777719a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313367002e8c887889d6964ba5266e3d808cf12e13c6319b5d05a3b85777719a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2026-09-17T16:18:50.911670Z</t>
        </is>
      </c>
      <c r="BI25" s="24" t="inlineStr">
        <is>
          <t>["same_event","same_team_same_day","same_league_same_day"]</t>
        </is>
      </c>
      <c r="BJ25" s="25" t="n"/>
      <c r="BK25" s="26" t="n">
        <v>-194</v>
      </c>
      <c r="BL25" s="27" t="n">
        <v>1.515464</v>
      </c>
      <c r="BM25" s="28" t="n">
        <v>0.659864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0.659864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6" ht="36" customHeight="1">
      <c r="A26" s="24" t="inlineStr">
        <is>
          <t>5d119f3697f844eb</t>
        </is>
      </c>
      <c r="B26" s="24" t="inlineStr">
        <is>
          <t>2026-09-20T05:04:00.761534Z</t>
        </is>
      </c>
      <c r="C26" s="24" t="inlineStr">
        <is>
          <t>2026-09-20T05:30:00Z</t>
        </is>
      </c>
      <c r="D26" s="24" t="inlineStr">
        <is>
          <t>115741</t>
        </is>
      </c>
      <c r="E26" s="24" t="inlineStr">
        <is>
          <t>RAINBOW_SIX</t>
        </is>
      </c>
      <c r="F26" s="24" t="inlineStr">
        <is>
          <t>EDward Gaming</t>
        </is>
      </c>
      <c r="G26" s="24" t="inlineStr">
        <is>
          <t>KINGZERO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0.624299</v>
      </c>
      <c r="P26" s="28" t="n"/>
      <c r="Q26" s="28" t="n">
        <v>-0.005331</v>
      </c>
      <c r="R26" s="26" t="n">
        <v>17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-3233</v>
      </c>
      <c r="AA26" s="28" t="n">
        <v>0.97</v>
      </c>
      <c r="AB26" s="28" t="n">
        <v>0.34037</v>
      </c>
      <c r="AC26" s="30" t="n">
        <v>0.5881999999999999</v>
      </c>
      <c r="AD26" s="24" t="inlineStr">
        <is>
          <t>2026-09-20T10:02:52.362117Z</t>
        </is>
      </c>
      <c r="AE26" s="31" t="inlineStr">
        <is>
          <t>Neutral Elo baseline; executable ask 0.6300 (market_slug=aec-r6-kz-edg-2026-09-20).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EDward Gaming</t>
        </is>
      </c>
      <c r="AQ26" s="24" t="inlineStr">
        <is>
          <t>EDward Gaming</t>
        </is>
      </c>
      <c r="AR26" s="24" t="inlineStr">
        <is>
          <t>EDward Gaming</t>
        </is>
      </c>
      <c r="AS26" s="24" t="inlineStr">
        <is>
          <t>KINGZERO eSports</t>
        </is>
      </c>
      <c r="AT26" s="24" t="inlineStr">
        <is>
          <t>KINGZERO eSports</t>
        </is>
      </c>
      <c r="AU26" s="24" t="inlineStr">
        <is>
          <t>KINGZERO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ce3a29e786e8c7e5828812d34ec2a25e13aebc85a15f086e9d8572f8017e366d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ce3a29e786e8c7e5828812d34ec2a25e13aebc85a15f086e9d8572f8017e366d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2026-09-20T05:03:14.726911Z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1.030931</v>
      </c>
      <c r="BR26" s="28" t="n">
        <v>0.97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0.62963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7" ht="36" customHeight="1">
      <c r="A27" s="24" t="inlineStr">
        <is>
          <t>a70ddefa01294414</t>
        </is>
      </c>
      <c r="B27" s="24" t="inlineStr">
        <is>
          <t>2026-09-20T05:04:00.761534Z</t>
        </is>
      </c>
      <c r="C27" s="24" t="inlineStr">
        <is>
          <t>2026-09-20T09:00:00Z</t>
        </is>
      </c>
      <c r="D27" s="24" t="inlineStr">
        <is>
          <t>115808</t>
        </is>
      </c>
      <c r="E27" s="24" t="inlineStr">
        <is>
          <t>RAINBOW_SIX</t>
        </is>
      </c>
      <c r="F27" s="24" t="inlineStr">
        <is>
          <t>One Coin</t>
        </is>
      </c>
      <c r="G27" s="24" t="inlineStr">
        <is>
          <t>All Gamers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0.723906</v>
      </c>
      <c r="P27" s="28" t="n"/>
      <c r="Q27" s="28" t="n">
        <v>0.174356</v>
      </c>
      <c r="R27" s="26" t="n">
        <v>100</v>
      </c>
      <c r="S27" s="29" t="n">
        <v>1.75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-1.75</v>
      </c>
      <c r="AD27" s="24" t="inlineStr">
        <is>
          <t>2026-09-20T16:02:47.494877Z</t>
        </is>
      </c>
      <c r="AE27" s="31" t="inlineStr">
        <is>
          <t>Neutral Elo baseline; executable ask 0.5500 (market_slug=aec-r6-ag-oc-2026-09-20).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One Coin</t>
        </is>
      </c>
      <c r="AQ27" s="24" t="inlineStr">
        <is>
          <t>One Coin</t>
        </is>
      </c>
      <c r="AR27" s="24" t="inlineStr">
        <is>
          <t>One Coin</t>
        </is>
      </c>
      <c r="AS27" s="24" t="inlineStr">
        <is>
          <t>All Gamers</t>
        </is>
      </c>
      <c r="AT27" s="24" t="inlineStr">
        <is>
          <t>All Gamers</t>
        </is>
      </c>
      <c r="AU27" s="24" t="inlineStr">
        <is>
          <t>All Gamers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ce3a29e786e8c7e5828812d34ec2a25e13aebc85a15f086e9d8572f8017e366d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ce3a29e786e8c7e5828812d34ec2a25e13aebc85a15f086e9d8572f8017e366d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2026-09-20T05:03:14.797975Z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28" ht="36" customHeight="1">
      <c r="A28" s="24" t="inlineStr">
        <is>
          <t>2a8dc8dc19044870</t>
        </is>
      </c>
      <c r="B28" s="24" t="inlineStr">
        <is>
          <t>2026-09-20T16:27:53.115656Z</t>
        </is>
      </c>
      <c r="C28" s="24" t="inlineStr">
        <is>
          <t>2026-09-20T17:15:00Z</t>
        </is>
      </c>
      <c r="D28" s="24" t="inlineStr">
        <is>
          <t>115974</t>
        </is>
      </c>
      <c r="E28" s="24" t="inlineStr">
        <is>
          <t>RAINBOW_SIX</t>
        </is>
      </c>
      <c r="F28" s="24" t="inlineStr">
        <is>
          <t>Lucky Five</t>
        </is>
      </c>
      <c r="G28" s="24" t="inlineStr">
        <is>
          <t>LOS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0.58822</v>
      </c>
      <c r="P28" s="28" t="n"/>
      <c r="Q28" s="28" t="n">
        <v>-0.04141</v>
      </c>
      <c r="R28" s="26" t="n">
        <v>0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2026-09-20T22:19:20.500860Z</t>
        </is>
      </c>
      <c r="AE28" s="31" t="inlineStr">
        <is>
          <t>Neutral Elo baseline; executable ask 0.6300 (market_slug=aec-r6-los-l5-2026-09-20).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Lucky Five</t>
        </is>
      </c>
      <c r="AQ28" s="24" t="inlineStr">
        <is>
          <t>Lucky Five</t>
        </is>
      </c>
      <c r="AR28" s="24" t="inlineStr">
        <is>
          <t>Lucky Five</t>
        </is>
      </c>
      <c r="AS28" s="24" t="inlineStr">
        <is>
          <t>LOS</t>
        </is>
      </c>
      <c r="AT28" s="24" t="inlineStr">
        <is>
          <t>LOS</t>
        </is>
      </c>
      <c r="AU28" s="24" t="inlineStr">
        <is>
          <t>LOS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46475e1d0fbaa89142bfe08c4c9c8657c1e3e4f0377ab1fde3a80f2f7bfebb07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46475e1d0fbaa89142bfe08c4c9c8657c1e3e4f0377ab1fde3a80f2f7bfebb07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2026-09-20T16:27:17.129161Z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29" ht="36" customHeight="1">
      <c r="A29" s="24" t="inlineStr">
        <is>
          <t>1db2c1228d7240ba</t>
        </is>
      </c>
      <c r="B29" s="24" t="inlineStr">
        <is>
          <t>2026-09-21T04:40:34.200104Z</t>
        </is>
      </c>
      <c r="C29" s="24" t="inlineStr">
        <is>
          <t>2026-09-21T09:00:00Z</t>
        </is>
      </c>
      <c r="D29" s="24" t="inlineStr">
        <is>
          <t>116694</t>
        </is>
      </c>
      <c r="E29" s="24" t="inlineStr">
        <is>
          <t>RAINBOW_SIX</t>
        </is>
      </c>
      <c r="F29" s="24" t="inlineStr">
        <is>
          <t>Shaiikademy</t>
        </is>
      </c>
      <c r="G29" s="24" t="inlineStr">
        <is>
          <t>Circular Spheres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-113</v>
      </c>
      <c r="M29" s="27" t="n">
        <v>1.884956</v>
      </c>
      <c r="N29" s="28" t="n">
        <v>0.530516</v>
      </c>
      <c r="O29" s="28" t="n">
        <v>0.54056</v>
      </c>
      <c r="P29" s="28" t="n"/>
      <c r="Q29" s="28" t="n">
        <v>0.010044</v>
      </c>
      <c r="R29" s="26" t="n">
        <v>25</v>
      </c>
      <c r="S29" s="29" t="n">
        <v>1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2026-09-21T10:02:36.369715Z</t>
        </is>
      </c>
      <c r="AE29" s="31" t="inlineStr">
        <is>
          <t>Neutral Elo baseline; executable ask 0.5300 (market_slug=aec-r6-cs-sha-2026-09-21).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Shaiikademy</t>
        </is>
      </c>
      <c r="AQ29" s="24" t="inlineStr">
        <is>
          <t>Shaiikademy</t>
        </is>
      </c>
      <c r="AR29" s="24" t="inlineStr">
        <is>
          <t>Shaiikademy</t>
        </is>
      </c>
      <c r="AS29" s="24" t="inlineStr">
        <is>
          <t>Circular Spheres</t>
        </is>
      </c>
      <c r="AT29" s="24" t="inlineStr">
        <is>
          <t>Circular Spheres</t>
        </is>
      </c>
      <c r="AU29" s="24" t="inlineStr">
        <is>
          <t>Circular Spheres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ee1a50b40304cfee6d3637eb071bb21eb59c65dfe6dee3e858f4d399db81cd89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ee1a50b40304cfee6d3637eb071bb21eb59c65dfe6dee3e858f4d399db81cd89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2026-09-21T04:39:29.238344Z</t>
        </is>
      </c>
      <c r="BI29" s="24" t="inlineStr">
        <is>
          <t>["same_event","same_team_same_day","same_league_same_day"]</t>
        </is>
      </c>
      <c r="BJ29" s="25" t="n"/>
      <c r="BK29" s="26" t="n">
        <v>-113</v>
      </c>
      <c r="BL29" s="27" t="n">
        <v>1.884956</v>
      </c>
      <c r="BM29" s="28" t="n">
        <v>0.530516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0.530516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0" ht="36" customHeight="1">
      <c r="A30" s="24" t="inlineStr">
        <is>
          <t>ffd1a547165b4bf5</t>
        </is>
      </c>
      <c r="B30" s="24" t="inlineStr">
        <is>
          <t>2026-09-21T10:09:18.486346Z</t>
        </is>
      </c>
      <c r="C30" s="24" t="inlineStr">
        <is>
          <t>2026-09-21T16:00:00Z</t>
        </is>
      </c>
      <c r="D30" s="24" t="inlineStr">
        <is>
          <t>116835</t>
        </is>
      </c>
      <c r="E30" s="24" t="inlineStr">
        <is>
          <t>RAINBOW_SIX</t>
        </is>
      </c>
      <c r="F30" s="24" t="inlineStr">
        <is>
          <t>Twisted Minds</t>
        </is>
      </c>
      <c r="G30" s="24" t="inlineStr">
        <is>
          <t>Virtus.pro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-163</v>
      </c>
      <c r="M30" s="27" t="n">
        <v>1.613497</v>
      </c>
      <c r="N30" s="28" t="n">
        <v>0.619772</v>
      </c>
      <c r="O30" s="28" t="n">
        <v>0.656444</v>
      </c>
      <c r="P30" s="28" t="n"/>
      <c r="Q30" s="28" t="n">
        <v>0.036672</v>
      </c>
      <c r="R30" s="26" t="n">
        <v>38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0.6135</v>
      </c>
      <c r="AD30" s="24" t="inlineStr">
        <is>
          <t>2026-09-21T22:03:11.770381Z</t>
        </is>
      </c>
      <c r="AE30" s="31" t="inlineStr">
        <is>
          <t>Neutral Elo baseline; executable ask 0.6200 (market_slug=aec-r6-vp-tm-2026-09-21).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Twisted Minds</t>
        </is>
      </c>
      <c r="AQ30" s="24" t="inlineStr">
        <is>
          <t>Twisted Minds</t>
        </is>
      </c>
      <c r="AR30" s="24" t="inlineStr">
        <is>
          <t>Twisted Minds</t>
        </is>
      </c>
      <c r="AS30" s="24" t="inlineStr">
        <is>
          <t>Virtus.pro</t>
        </is>
      </c>
      <c r="AT30" s="24" t="inlineStr">
        <is>
          <t>Virtus.pro</t>
        </is>
      </c>
      <c r="AU30" s="24" t="inlineStr">
        <is>
          <t>Virtus.pro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dcb8dbabece496384054f2bbfbe17776130e7e5cbcd97741b4d22fe13aad0004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dcb8dbabece496384054f2bbfbe17776130e7e5cbcd97741b4d22fe13aad0004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2026-09-21T10:08:30.176780Z</t>
        </is>
      </c>
      <c r="BI30" s="24" t="inlineStr">
        <is>
          <t>["same_event","same_team_same_day","same_league_same_day"]</t>
        </is>
      </c>
      <c r="BJ30" s="25" t="n"/>
      <c r="BK30" s="26" t="n">
        <v>-163</v>
      </c>
      <c r="BL30" s="27" t="n">
        <v>1.613497</v>
      </c>
      <c r="BM30" s="28" t="n">
        <v>0.619772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0.619772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1" ht="36" customHeight="1">
      <c r="A31" s="24" t="inlineStr">
        <is>
          <t>27d5d658bb7c4a45</t>
        </is>
      </c>
      <c r="B31" s="24" t="inlineStr">
        <is>
          <t>2026-09-22T04:51:36.755298Z</t>
        </is>
      </c>
      <c r="C31" s="24" t="inlineStr">
        <is>
          <t>2026-09-22T09:00:00Z</t>
        </is>
      </c>
      <c r="D31" s="24" t="inlineStr">
        <is>
          <t>117860</t>
        </is>
      </c>
      <c r="E31" s="24" t="inlineStr">
        <is>
          <t>RAINBOW_SIX</t>
        </is>
      </c>
      <c r="F31" s="24" t="inlineStr">
        <is>
          <t>Circular Spheres</t>
        </is>
      </c>
      <c r="G31" s="24" t="inlineStr">
        <is>
          <t>7VEN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-233</v>
      </c>
      <c r="M31" s="27" t="n">
        <v>1.429185</v>
      </c>
      <c r="N31" s="28" t="n">
        <v>0.6997</v>
      </c>
      <c r="O31" s="28" t="n">
        <v>0.583498</v>
      </c>
      <c r="P31" s="28" t="n"/>
      <c r="Q31" s="28" t="n">
        <v>-0.116202</v>
      </c>
      <c r="R31" s="26" t="n">
        <v>0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2026-09-22T16:03:39.085530Z</t>
        </is>
      </c>
      <c r="AE31" s="31" t="inlineStr">
        <is>
          <t>Neutral Elo baseline; executable ask 0.7000 (market_slug=aec-r6-7ven-cs-2026-09-22).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Circular Spheres</t>
        </is>
      </c>
      <c r="AQ31" s="24" t="inlineStr">
        <is>
          <t>Circular Spheres</t>
        </is>
      </c>
      <c r="AR31" s="24" t="inlineStr">
        <is>
          <t>Circular Spheres</t>
        </is>
      </c>
      <c r="AS31" s="24" t="inlineStr">
        <is>
          <t>7VEN</t>
        </is>
      </c>
      <c r="AT31" s="24" t="inlineStr">
        <is>
          <t>7VEN</t>
        </is>
      </c>
      <c r="AU31" s="24" t="inlineStr">
        <is>
          <t>7VEN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febe82fe250e93c8ae1c5018df1d0d2f6c7dbf5f48001db108a0dd9218b2a908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febe82fe250e93c8ae1c5018df1d0d2f6c7dbf5f48001db108a0dd9218b2a908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2026-09-22T04:50:59.508877Z</t>
        </is>
      </c>
      <c r="BI31" s="24" t="inlineStr">
        <is>
          <t>["same_event","same_team_same_day","same_league_same_day"]</t>
        </is>
      </c>
      <c r="BJ31" s="25" t="n"/>
      <c r="BK31" s="26" t="n">
        <v>-233</v>
      </c>
      <c r="BL31" s="27" t="n">
        <v>1.429185</v>
      </c>
      <c r="BM31" s="28" t="n">
        <v>0.6997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0.6997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2" ht="36" customHeight="1">
      <c r="A32" s="24" t="inlineStr">
        <is>
          <t>a24a9ebf2fac49b2</t>
        </is>
      </c>
      <c r="B32" s="24" t="inlineStr">
        <is>
          <t>2026-09-22T16:09:08.866035Z</t>
        </is>
      </c>
      <c r="C32" s="24" t="inlineStr">
        <is>
          <t>2026-09-22T17:00:00Z</t>
        </is>
      </c>
      <c r="D32" s="24" t="inlineStr">
        <is>
          <t>118092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Team Secret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186</v>
      </c>
      <c r="M32" s="27" t="n">
        <v>2.86</v>
      </c>
      <c r="N32" s="28" t="n">
        <v>0.34965</v>
      </c>
      <c r="O32" s="28" t="n">
        <v>0.550544</v>
      </c>
      <c r="P32" s="28" t="n"/>
      <c r="Q32" s="28" t="n">
        <v>0.200894</v>
      </c>
      <c r="R32" s="26" t="n">
        <v>100</v>
      </c>
      <c r="S32" s="29" t="n">
        <v>2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127</v>
      </c>
      <c r="AA32" s="28" t="n">
        <v>0.44</v>
      </c>
      <c r="AB32" s="28" t="n">
        <v>0.09035</v>
      </c>
      <c r="AC32" s="30" t="n">
        <v>3.72</v>
      </c>
      <c r="AD32" s="24" t="inlineStr">
        <is>
          <t>2026-09-23T04:35:00.478987Z</t>
        </is>
      </c>
      <c r="AE32" s="31" t="inlineStr">
        <is>
          <t>Neutral Elo baseline; executable ask 0.3500 (market_slug=aec-r6-secret-tm-2026-09-22).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Team Secret</t>
        </is>
      </c>
      <c r="AT32" s="24" t="inlineStr">
        <is>
          <t>Team Secret</t>
        </is>
      </c>
      <c r="AU32" s="24" t="inlineStr">
        <is>
          <t>Team Secret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ef7f14d1b45dbe90efc7d1f19a466523f1a098c530cb2f00b4a35922c23e9780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ef7f14d1b45dbe90efc7d1f19a466523f1a098c530cb2f00b4a35922c23e9780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2026-09-22T16:08:45.889286Z</t>
        </is>
      </c>
      <c r="BI32" s="24" t="inlineStr">
        <is>
          <t>["same_event","same_team_same_day","same_league_same_day"]</t>
        </is>
      </c>
      <c r="BJ32" s="25" t="n"/>
      <c r="BK32" s="26" t="n">
        <v>186</v>
      </c>
      <c r="BL32" s="27" t="n">
        <v>2.86</v>
      </c>
      <c r="BM32" s="28" t="n">
        <v>0.34965</v>
      </c>
      <c r="BN32" s="28" t="n"/>
      <c r="BO32" s="28" t="n"/>
      <c r="BP32" s="25" t="n"/>
      <c r="BQ32" s="27" t="n">
        <v>2.27</v>
      </c>
      <c r="BR32" s="28" t="n">
        <v>0.44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0.34965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3" ht="36" customHeight="1">
      <c r="A33" s="24" t="inlineStr">
        <is>
          <t>8d6ef013ba534f2a</t>
        </is>
      </c>
      <c r="B33" s="24" t="inlineStr">
        <is>
          <t>2026-09-25T04:44:54.810675Z</t>
        </is>
      </c>
      <c r="C33" s="24" t="inlineStr">
        <is>
          <t>2026-09-25T10:00:00Z</t>
        </is>
      </c>
      <c r="D33" s="24" t="inlineStr">
        <is>
          <t>121752</t>
        </is>
      </c>
      <c r="E33" s="24" t="inlineStr">
        <is>
          <t>RAINBOW_SIX</t>
        </is>
      </c>
      <c r="F33" s="24" t="inlineStr">
        <is>
          <t>SCARZ</t>
        </is>
      </c>
      <c r="G33" s="24" t="inlineStr">
        <is>
          <t>FearX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0.601102</v>
      </c>
      <c r="P33" s="28" t="n"/>
      <c r="Q33" s="28" t="n">
        <v>0.131618</v>
      </c>
      <c r="R33" s="26" t="n">
        <v>86</v>
      </c>
      <c r="S33" s="29" t="n">
        <v>1.5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-1.5</v>
      </c>
      <c r="AD33" s="24" t="inlineStr">
        <is>
          <t>2026-09-25T16:03:27.085971Z</t>
        </is>
      </c>
      <c r="AE33" s="31" t="inlineStr">
        <is>
          <t>Neutral Elo baseline; executable ask 0.4700 (market_slug=aec-r6-fx-sz-2026-09-25).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SCARZ</t>
        </is>
      </c>
      <c r="AQ33" s="24" t="inlineStr">
        <is>
          <t>SCARZ</t>
        </is>
      </c>
      <c r="AR33" s="24" t="inlineStr">
        <is>
          <t>SCARZ</t>
        </is>
      </c>
      <c r="AS33" s="24" t="inlineStr">
        <is>
          <t>FearX</t>
        </is>
      </c>
      <c r="AT33" s="24" t="inlineStr">
        <is>
          <t>FearX</t>
        </is>
      </c>
      <c r="AU33" s="24" t="inlineStr">
        <is>
          <t>FearX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7bacb548c2893f6dd447eb02f1bdc8eb4f51245f2dd0cb22b6283bb6b0205202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7bacb548c2893f6dd447eb02f1bdc8eb4f51245f2dd0cb22b6283bb6b0205202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2026-09-25T04:43:45.962796Z</t>
        </is>
      </c>
      <c r="BI33" s="24" t="inlineStr">
        <is>
          <t>["same_event","same_team_same_day","same_league_same_day"]</t>
        </is>
      </c>
      <c r="BJ33" s="25" t="n"/>
      <c r="BK33" s="26" t="n">
        <v>113</v>
      </c>
      <c r="BL33" s="27" t="n">
        <v>2.13</v>
      </c>
      <c r="BM33" s="28" t="n">
        <v>0.469484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4" ht="36" customHeight="1">
      <c r="A34" s="24" t="inlineStr">
        <is>
          <t>93d24ce6f48b470d</t>
        </is>
      </c>
      <c r="B34" s="24" t="inlineStr">
        <is>
          <t>2026-09-25T22:10:23.247103Z</t>
        </is>
      </c>
      <c r="C34" s="24" t="inlineStr">
        <is>
          <t>2026-09-25T22:30:00Z</t>
        </is>
      </c>
      <c r="D34" s="24" t="inlineStr">
        <is>
          <t>122748</t>
        </is>
      </c>
      <c r="E34" s="24" t="inlineStr">
        <is>
          <t>RAINBOW_SIX</t>
        </is>
      </c>
      <c r="F34" s="24" t="inlineStr">
        <is>
          <t>Cloud9</t>
        </is>
      </c>
      <c r="G34" s="24" t="inlineStr">
        <is>
          <t>Shopify Rebellion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0.649614</v>
      </c>
      <c r="P34" s="28" t="n"/>
      <c r="Q34" s="28" t="n">
        <v>0.05945</v>
      </c>
      <c r="R34" s="26" t="n">
        <v>50</v>
      </c>
      <c r="S34" s="29" t="n">
        <v>1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-1</v>
      </c>
      <c r="AD34" s="24" t="inlineStr">
        <is>
          <t>2026-09-26T08:45:52.462643Z</t>
        </is>
      </c>
      <c r="AE34" s="31" t="inlineStr">
        <is>
          <t>Neutral Elo baseline; executable ask 0.5900 (market_slug=aec-r6-sr-c9-2026-09-25).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Cloud9</t>
        </is>
      </c>
      <c r="AQ34" s="24" t="inlineStr">
        <is>
          <t>Cloud9</t>
        </is>
      </c>
      <c r="AR34" s="24" t="inlineStr">
        <is>
          <t>Cloud9</t>
        </is>
      </c>
      <c r="AS34" s="24" t="inlineStr">
        <is>
          <t>Shopify Rebellion</t>
        </is>
      </c>
      <c r="AT34" s="24" t="inlineStr">
        <is>
          <t>Shopify Rebellion</t>
        </is>
      </c>
      <c r="AU34" s="24" t="inlineStr">
        <is>
          <t>Shopify Rebellion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4716aa8fa64e4fcc82865a4e53bbe55fe6c74d1d53a4002746206b96efc0d717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4716aa8fa64e4fcc82865a4e53bbe55fe6c74d1d53a4002746206b96efc0d717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2026-09-25T22:09:38.117535Z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0.590164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5" ht="36" customHeight="1">
      <c r="A35" s="24" t="inlineStr">
        <is>
          <t>9ba0f1bdab084591</t>
        </is>
      </c>
      <c r="B35" s="24" t="inlineStr">
        <is>
          <t>2026-09-26T16:02:17.537198Z</t>
        </is>
      </c>
      <c r="C35" s="24" t="inlineStr">
        <is>
          <t>2026-09-26T19:45:00Z</t>
        </is>
      </c>
      <c r="D35" s="24" t="inlineStr">
        <is>
          <t>124114</t>
        </is>
      </c>
      <c r="E35" s="24" t="inlineStr">
        <is>
          <t>RAINBOW_SIX</t>
        </is>
      </c>
      <c r="F35" s="24" t="inlineStr">
        <is>
          <t>FURIA Esports</t>
        </is>
      </c>
      <c r="G35" s="24" t="inlineStr">
        <is>
          <t>FaZe Clan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-186</v>
      </c>
      <c r="M35" s="27" t="n">
        <v>1.537634</v>
      </c>
      <c r="N35" s="28" t="n">
        <v>0.65035</v>
      </c>
      <c r="O35" s="28" t="n">
        <v>0.645603</v>
      </c>
      <c r="P35" s="28" t="n"/>
      <c r="Q35" s="28" t="n">
        <v>-0.004747</v>
      </c>
      <c r="R35" s="26" t="n">
        <v>18</v>
      </c>
      <c r="S35" s="29" t="n">
        <v>1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</v>
      </c>
      <c r="AD35" s="24" t="inlineStr">
        <is>
          <t>2026-09-26T22:04:48.405294Z</t>
        </is>
      </c>
      <c r="AE35" s="31" t="inlineStr">
        <is>
          <t>Neutral Elo baseline; executable ask 0.6500 (market_slug=aec-r6-faze-furia-2026-09-26).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FURIA Esports</t>
        </is>
      </c>
      <c r="AQ35" s="24" t="inlineStr">
        <is>
          <t>FURIA Esports</t>
        </is>
      </c>
      <c r="AR35" s="24" t="inlineStr">
        <is>
          <t>FURIA Esports</t>
        </is>
      </c>
      <c r="AS35" s="24" t="inlineStr">
        <is>
          <t>FaZe Clan</t>
        </is>
      </c>
      <c r="AT35" s="24" t="inlineStr">
        <is>
          <t>FaZe Clan</t>
        </is>
      </c>
      <c r="AU35" s="24" t="inlineStr">
        <is>
          <t>FaZe Clan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cff7fc9561cfba9099c3f93602bf92eebacd92468493f980f7a82168139090ce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cff7fc9561cfba9099c3f93602bf92eebacd92468493f980f7a82168139090ce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2026-09-26T15:51:25.688423Z</t>
        </is>
      </c>
      <c r="BI35" s="24" t="inlineStr">
        <is>
          <t>["same_event","same_team_same_day","same_league_same_day"]</t>
        </is>
      </c>
      <c r="BJ35" s="25" t="n"/>
      <c r="BK35" s="26" t="n">
        <v>-186</v>
      </c>
      <c r="BL35" s="27" t="n">
        <v>1.537634</v>
      </c>
      <c r="BM35" s="28" t="n">
        <v>0.65035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0.65035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6" ht="36" customHeight="1">
      <c r="A36" s="24" t="inlineStr">
        <is>
          <t>97fad87102484873</t>
        </is>
      </c>
      <c r="B36" s="24" t="inlineStr">
        <is>
          <t>2026-09-27T16:27:07.628767Z</t>
        </is>
      </c>
      <c r="C36" s="24" t="inlineStr">
        <is>
          <t>2026-09-27T18:30:00Z</t>
        </is>
      </c>
      <c r="D36" s="24" t="inlineStr">
        <is>
          <t>125310</t>
        </is>
      </c>
      <c r="E36" s="24" t="inlineStr">
        <is>
          <t>RAINBOW_SIX</t>
        </is>
      </c>
      <c r="F36" s="24" t="inlineStr">
        <is>
          <t>Imperial Esports</t>
        </is>
      </c>
      <c r="G36" s="24" t="inlineStr">
        <is>
          <t>Black Dragons e-Sports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0.634304</v>
      </c>
      <c r="P36" s="28" t="n"/>
      <c r="Q36" s="28" t="n">
        <v>-0.02556</v>
      </c>
      <c r="R36" s="26" t="n">
        <v>7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0.5155</v>
      </c>
      <c r="AD36" s="24" t="inlineStr">
        <is>
          <t>2026-09-27T22:04:25.838363Z</t>
        </is>
      </c>
      <c r="AE36" s="31" t="inlineStr">
        <is>
          <t>Neutral Elo baseline; executable ask 0.6600 (market_slug=aec-r6-bd-imp-2026-09-27).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Imperial Esports</t>
        </is>
      </c>
      <c r="AQ36" s="24" t="inlineStr">
        <is>
          <t>Imperial Esports</t>
        </is>
      </c>
      <c r="AR36" s="24" t="inlineStr">
        <is>
          <t>Imperial Esports</t>
        </is>
      </c>
      <c r="AS36" s="24" t="inlineStr">
        <is>
          <t>Black Dragons e-Sports</t>
        </is>
      </c>
      <c r="AT36" s="24" t="inlineStr">
        <is>
          <t>Black Dragons e-Sports</t>
        </is>
      </c>
      <c r="AU36" s="24" t="inlineStr">
        <is>
          <t>Black Dragons e-Sports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2c42ae1e27c1f193e144291f2e5d57fa9312d64789a9f0dacc689b9abb17d973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2c42ae1e27c1f193e144291f2e5d57fa9312d64789a9f0dacc689b9abb17d973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2026-09-27T16:26:39.883862Z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0.659864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7" ht="36" customHeight="1">
      <c r="A37" s="24" t="inlineStr">
        <is>
          <t>84c4626593494fce</t>
        </is>
      </c>
      <c r="B37" s="24" t="inlineStr">
        <is>
          <t>2026-09-28T10:10:19.001644Z</t>
        </is>
      </c>
      <c r="C37" s="24" t="inlineStr">
        <is>
          <t>2026-09-28T16:00:00Z</t>
        </is>
      </c>
      <c r="D37" s="24" t="inlineStr">
        <is>
          <t>126496</t>
        </is>
      </c>
      <c r="E37" s="24" t="inlineStr">
        <is>
          <t>RAINBOW_SIX</t>
        </is>
      </c>
      <c r="F37" s="24" t="inlineStr">
        <is>
          <t>Heretics</t>
        </is>
      </c>
      <c r="G37" s="24" t="inlineStr">
        <is>
          <t>Rebels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-113</v>
      </c>
      <c r="M37" s="27" t="n">
        <v>1.884956</v>
      </c>
      <c r="N37" s="28" t="n">
        <v>0.530516</v>
      </c>
      <c r="O37" s="28" t="n">
        <v>0.571642</v>
      </c>
      <c r="P37" s="28" t="n"/>
      <c r="Q37" s="28" t="n">
        <v>0.041126</v>
      </c>
      <c r="R37" s="26" t="n">
        <v>41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2026-09-28T22:03:27.289328Z</t>
        </is>
      </c>
      <c r="AE37" s="31" t="inlineStr">
        <is>
          <t>Neutral Elo baseline; executable ask 0.5300 (market_slug=aec-r6-rbls-heretics-2026-09-28).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Heretics</t>
        </is>
      </c>
      <c r="AQ37" s="24" t="inlineStr">
        <is>
          <t>Heretics</t>
        </is>
      </c>
      <c r="AR37" s="24" t="inlineStr">
        <is>
          <t>Heretics</t>
        </is>
      </c>
      <c r="AS37" s="24" t="inlineStr">
        <is>
          <t>Rebels Gaming</t>
        </is>
      </c>
      <c r="AT37" s="24" t="inlineStr">
        <is>
          <t>Rebels Gaming</t>
        </is>
      </c>
      <c r="AU37" s="24" t="inlineStr">
        <is>
          <t>Rebels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7e23d0be625fb0fdceec9926fe9fde92ccb872f03af87007680f4645f13e82d9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7e23d0be625fb0fdceec9926fe9fde92ccb872f03af87007680f4645f13e82d9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2026-09-28T10:09:44.852273Z</t>
        </is>
      </c>
      <c r="BI37" s="24" t="inlineStr">
        <is>
          <t>["same_event","same_team_same_day","same_league_same_day"]</t>
        </is>
      </c>
      <c r="BJ37" s="25" t="n"/>
      <c r="BK37" s="26" t="n">
        <v>-113</v>
      </c>
      <c r="BL37" s="27" t="n">
        <v>1.884956</v>
      </c>
      <c r="BM37" s="28" t="n">
        <v>0.530516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0.530516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38" ht="36" customHeight="1">
      <c r="A38" s="24" t="inlineStr">
        <is>
          <t>a24f27130d114392</t>
        </is>
      </c>
      <c r="B38" s="24" t="inlineStr">
        <is>
          <t>2026-09-28T16:12:34.717017Z</t>
        </is>
      </c>
      <c r="C38" s="24" t="inlineStr">
        <is>
          <t>2026-09-28T18:00:00Z</t>
        </is>
      </c>
      <c r="D38" s="24" t="inlineStr">
        <is>
          <t>126715</t>
        </is>
      </c>
      <c r="E38" s="24" t="inlineStr">
        <is>
          <t>RAINBOW_SIX</t>
        </is>
      </c>
      <c r="F38" s="24" t="inlineStr">
        <is>
          <t>Virtus.pro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0.555185</v>
      </c>
      <c r="P38" s="28" t="n"/>
      <c r="Q38" s="28" t="n">
        <v>-0.004286</v>
      </c>
      <c r="R38" s="26" t="n">
        <v>18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0.7874</v>
      </c>
      <c r="AD38" s="24" t="inlineStr">
        <is>
          <t>2026-09-28T22:03:27.451747Z</t>
        </is>
      </c>
      <c r="AE38" s="31" t="inlineStr">
        <is>
          <t>Neutral Elo baseline; executable ask 0.5600 (market_slug=aec-r6-g2-vp-2026-09-28).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Virtus.pro</t>
        </is>
      </c>
      <c r="AQ38" s="24" t="inlineStr">
        <is>
          <t>Virtus.pro</t>
        </is>
      </c>
      <c r="AR38" s="24" t="inlineStr">
        <is>
          <t>Virtus.pro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f55a9f87d7f35e07578255fa4939427097562456c471dd4864aff23a703d0f42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f55a9f87d7f35e07578255fa4939427097562456c471dd4864aff23a703d0f42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2026-09-28T16:12:12.210301Z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39" ht="36" customHeight="1">
      <c r="A39" s="24" t="inlineStr">
        <is>
          <t>2b908f6c28ab4c6b</t>
        </is>
      </c>
      <c r="B39" s="24" t="inlineStr">
        <is>
          <t>2026-09-29T10:10:07.694980Z</t>
        </is>
      </c>
      <c r="C39" s="24" t="inlineStr">
        <is>
          <t>2026-09-29T16:00:00Z</t>
        </is>
      </c>
      <c r="D39" s="24" t="inlineStr">
        <is>
          <t>128339</t>
        </is>
      </c>
      <c r="E39" s="24" t="inlineStr">
        <is>
          <t>RAINBOW_SIX</t>
        </is>
      </c>
      <c r="F39" s="24" t="inlineStr">
        <is>
          <t>Falcons Esport</t>
        </is>
      </c>
      <c r="G39" s="24" t="inlineStr">
        <is>
          <t>Geekay Esports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0.519805</v>
      </c>
      <c r="P39" s="28" t="n"/>
      <c r="Q39" s="28" t="n">
        <v>-0.010711</v>
      </c>
      <c r="R39" s="26" t="n">
        <v>15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0.885</v>
      </c>
      <c r="AD39" s="24" t="inlineStr">
        <is>
          <t>2026-09-29T22:04:17.403002Z</t>
        </is>
      </c>
      <c r="AE39" s="31" t="inlineStr">
        <is>
          <t>Neutral Elo baseline; executable ask 0.5300 (market_slug=aec-r6-ge-flcs-2026-09-29).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Falcons Esport</t>
        </is>
      </c>
      <c r="AQ39" s="24" t="inlineStr">
        <is>
          <t>Falcons Esport</t>
        </is>
      </c>
      <c r="AR39" s="24" t="inlineStr">
        <is>
          <t>Falcons Esport</t>
        </is>
      </c>
      <c r="AS39" s="24" t="inlineStr">
        <is>
          <t>Geekay Esports</t>
        </is>
      </c>
      <c r="AT39" s="24" t="inlineStr">
        <is>
          <t>Geekay Esports</t>
        </is>
      </c>
      <c r="AU39" s="24" t="inlineStr">
        <is>
          <t>Geekay Esports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aeaae0db14f717a796d439d0405adeb91c30b5a80093617f0cab98d27f69ac24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aeaae0db14f717a796d439d0405adeb91c30b5a80093617f0cab98d27f69ac24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2026-09-29T10:09:22.905149Z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0" ht="36" customHeight="1">
      <c r="A40" s="24" t="inlineStr">
        <is>
          <t>2cee25860c4d4d56</t>
        </is>
      </c>
      <c r="B40" s="24" t="inlineStr">
        <is>
          <t>2026-09-30T18:02:03.073157Z</t>
        </is>
      </c>
      <c r="C40" s="24" t="inlineStr">
        <is>
          <t>2026-09-30T18:15:00Z</t>
        </is>
      </c>
      <c r="D40" s="24" t="inlineStr">
        <is>
          <t>130313</t>
        </is>
      </c>
      <c r="E40" s="24" t="inlineStr">
        <is>
          <t>RAINBOW_SIX</t>
        </is>
      </c>
      <c r="F40" s="24" t="inlineStr">
        <is>
          <t>Geekay Esports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-186</v>
      </c>
      <c r="M40" s="27" t="n">
        <v>1.537634</v>
      </c>
      <c r="N40" s="28" t="n">
        <v>0.65035</v>
      </c>
      <c r="O40" s="28" t="n">
        <v>0.6418700000000001</v>
      </c>
      <c r="P40" s="28" t="n"/>
      <c r="Q40" s="28" t="n">
        <v>-0.00848</v>
      </c>
      <c r="R40" s="26" t="n">
        <v>16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-163</v>
      </c>
      <c r="AA40" s="28" t="n">
        <v>0.62</v>
      </c>
      <c r="AB40" s="28" t="n">
        <v>-0.03035</v>
      </c>
      <c r="AC40" s="30" t="n">
        <v>0.5376</v>
      </c>
      <c r="AD40" s="24" t="inlineStr">
        <is>
          <t>2026-09-30T22:02:13.405948Z</t>
        </is>
      </c>
      <c r="AE40" s="31" t="inlineStr">
        <is>
          <t>Neutral Elo baseline; executable ask 0.6500 (market_slug=aec-r6-g2-ge-2026-09-30).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Geekay Esports</t>
        </is>
      </c>
      <c r="AQ40" s="24" t="inlineStr">
        <is>
          <t>Geekay Esports</t>
        </is>
      </c>
      <c r="AR40" s="24" t="inlineStr">
        <is>
          <t>Geekay Esports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950e5f4b4f35e287dfb1a16c2f56f40be9ed9d5fc5ef9771aced6ee40f084881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950e5f4b4f35e287dfb1a16c2f56f40be9ed9d5fc5ef9771aced6ee40f084881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2026-09-30T17:59:00.811889Z</t>
        </is>
      </c>
      <c r="BI40" s="24" t="inlineStr">
        <is>
          <t>["same_event","same_team_same_day","same_league_same_day"]</t>
        </is>
      </c>
      <c r="BJ40" s="25" t="n"/>
      <c r="BK40" s="26" t="n">
        <v>-186</v>
      </c>
      <c r="BL40" s="27" t="n">
        <v>1.537634</v>
      </c>
      <c r="BM40" s="28" t="n">
        <v>0.65035</v>
      </c>
      <c r="BN40" s="28" t="n"/>
      <c r="BO40" s="28" t="n"/>
      <c r="BP40" s="25" t="n"/>
      <c r="BQ40" s="27" t="n">
        <v>1.613497</v>
      </c>
      <c r="BR40" s="28" t="n">
        <v>0.62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0.65035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1" ht="36" customHeight="1">
      <c r="A41" s="24" t="inlineStr">
        <is>
          <t>d6b5f7cf27eb4347</t>
        </is>
      </c>
      <c r="B41" s="24" t="inlineStr">
        <is>
          <t>2026-10-01T10:11:37.093874Z</t>
        </is>
      </c>
      <c r="C41" s="24" t="inlineStr">
        <is>
          <t>2026-10-01T12:00:00Z</t>
        </is>
      </c>
      <c r="D41" s="24" t="inlineStr">
        <is>
          <t>131422</t>
        </is>
      </c>
      <c r="E41" s="24" t="inlineStr">
        <is>
          <t>RAINBOW_SIX</t>
        </is>
      </c>
      <c r="F41" s="24" t="inlineStr">
        <is>
          <t>Dplus</t>
        </is>
      </c>
      <c r="G41" s="24" t="inlineStr">
        <is>
          <t>SCARZ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-203</v>
      </c>
      <c r="M41" s="27" t="n">
        <v>1.492611</v>
      </c>
      <c r="N41" s="28" t="n">
        <v>0.669967</v>
      </c>
      <c r="O41" s="28" t="n">
        <v>0.560797</v>
      </c>
      <c r="P41" s="28" t="n"/>
      <c r="Q41" s="28" t="n">
        <v>-0.10917</v>
      </c>
      <c r="R41" s="26" t="n">
        <v>0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0.4926</v>
      </c>
      <c r="AD41" s="24" t="inlineStr">
        <is>
          <t>2026-10-01T16:03:06.612182Z</t>
        </is>
      </c>
      <c r="AE41" s="31" t="inlineStr">
        <is>
          <t>Neutral Elo baseline; executable ask 0.6700 (market_slug=aec-r6-sz-dk-2026-10-01).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Dplus</t>
        </is>
      </c>
      <c r="AQ41" s="24" t="inlineStr">
        <is>
          <t>Dplus</t>
        </is>
      </c>
      <c r="AR41" s="24" t="inlineStr">
        <is>
          <t>Dplus</t>
        </is>
      </c>
      <c r="AS41" s="24" t="inlineStr">
        <is>
          <t>SCARZ</t>
        </is>
      </c>
      <c r="AT41" s="24" t="inlineStr">
        <is>
          <t>SCARZ</t>
        </is>
      </c>
      <c r="AU41" s="24" t="inlineStr">
        <is>
          <t>SCARZ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93ce51a8a94dcf13fc035ab68e8d09ebcbcb5f182e518bd6392207b59bc8b4fe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93ce51a8a94dcf13fc035ab68e8d09ebcbcb5f182e518bd6392207b59bc8b4fe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2026-10-01T10:10:51.126036Z</t>
        </is>
      </c>
      <c r="BI41" s="24" t="inlineStr">
        <is>
          <t>["same_event","same_team_same_day","same_league_same_day"]</t>
        </is>
      </c>
      <c r="BJ41" s="25" t="n"/>
      <c r="BK41" s="26" t="n">
        <v>-203</v>
      </c>
      <c r="BL41" s="27" t="n">
        <v>1.492611</v>
      </c>
      <c r="BM41" s="28" t="n">
        <v>0.669967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0.669967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2" ht="36" customHeight="1">
      <c r="A42" s="24" t="inlineStr">
        <is>
          <t>92ea6649bbf84b86</t>
        </is>
      </c>
      <c r="B42" s="24" t="inlineStr">
        <is>
          <t>2026-10-01T16:09:10.754596Z</t>
        </is>
      </c>
      <c r="C42" s="24" t="inlineStr">
        <is>
          <t>2026-10-01T19:00:00Z</t>
        </is>
      </c>
      <c r="D42" s="24" t="inlineStr">
        <is>
          <t>132181</t>
        </is>
      </c>
      <c r="E42" s="24" t="inlineStr">
        <is>
          <t>RAINBOW_SIX</t>
        </is>
      </c>
      <c r="F42" s="24" t="inlineStr">
        <is>
          <t>Wildcard Gaming</t>
        </is>
      </c>
      <c r="G42" s="24" t="inlineStr">
        <is>
          <t>M80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-133</v>
      </c>
      <c r="M42" s="27" t="n">
        <v>1.75188</v>
      </c>
      <c r="N42" s="28" t="n">
        <v>0.570815</v>
      </c>
      <c r="O42" s="28" t="n">
        <v>0.566726</v>
      </c>
      <c r="P42" s="28" t="n"/>
      <c r="Q42" s="28" t="n">
        <v>-0.004089</v>
      </c>
      <c r="R42" s="26" t="n">
        <v>18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-144</v>
      </c>
      <c r="AA42" s="28" t="n">
        <v>0.59</v>
      </c>
      <c r="AB42" s="28" t="n">
        <v>0.019185</v>
      </c>
      <c r="AC42" s="30" t="n">
        <v>-1</v>
      </c>
      <c r="AD42" s="24" t="inlineStr">
        <is>
          <t>2026-10-01T22:02:46.363408Z</t>
        </is>
      </c>
      <c r="AE42" s="31" t="inlineStr">
        <is>
          <t>Neutral Elo baseline; executable ask 0.5700 (market_slug=aec-r6-m80-wcg-2026-10-01).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Wildcard Gaming</t>
        </is>
      </c>
      <c r="AQ42" s="24" t="inlineStr">
        <is>
          <t>Wildcard Gaming</t>
        </is>
      </c>
      <c r="AR42" s="24" t="inlineStr">
        <is>
          <t>Wildcard Gaming</t>
        </is>
      </c>
      <c r="AS42" s="24" t="inlineStr">
        <is>
          <t>M80</t>
        </is>
      </c>
      <c r="AT42" s="24" t="inlineStr">
        <is>
          <t>M80</t>
        </is>
      </c>
      <c r="AU42" s="24" t="inlineStr">
        <is>
          <t>M80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3655692b5355c980d5c274d139ecb1887df7962a4b968cc997d1adec882e4b70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3655692b5355c980d5c274d139ecb1887df7962a4b968cc997d1adec882e4b70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2026-10-01T16:08:34.882249Z</t>
        </is>
      </c>
      <c r="BI42" s="24" t="inlineStr">
        <is>
          <t>["same_event","same_team_same_day","same_league_same_day"]</t>
        </is>
      </c>
      <c r="BJ42" s="25" t="n"/>
      <c r="BK42" s="26" t="n">
        <v>-133</v>
      </c>
      <c r="BL42" s="27" t="n">
        <v>1.75188</v>
      </c>
      <c r="BM42" s="28" t="n">
        <v>0.570815</v>
      </c>
      <c r="BN42" s="28" t="n"/>
      <c r="BO42" s="28" t="n"/>
      <c r="BP42" s="25" t="n"/>
      <c r="BQ42" s="27" t="n">
        <v>1.694444</v>
      </c>
      <c r="BR42" s="28" t="n">
        <v>0.59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0.570815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3" ht="36" customHeight="1">
      <c r="A43" s="24" t="inlineStr">
        <is>
          <t>751e4e627a3a4365</t>
        </is>
      </c>
      <c r="B43" s="24" t="inlineStr">
        <is>
          <t>2026-10-02T04:40:57.271778Z</t>
        </is>
      </c>
      <c r="C43" s="24" t="inlineStr">
        <is>
          <t>2026-10-02T09:00:00Z</t>
        </is>
      </c>
      <c r="D43" s="24" t="inlineStr">
        <is>
          <t>132980</t>
        </is>
      </c>
      <c r="E43" s="24" t="inlineStr">
        <is>
          <t>RAINBOW_SIX</t>
        </is>
      </c>
      <c r="F43" s="24" t="inlineStr">
        <is>
          <t>One Coin</t>
        </is>
      </c>
      <c r="G43" s="24" t="inlineStr">
        <is>
          <t>Four Angry Men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0.500084</v>
      </c>
      <c r="P43" s="28" t="n"/>
      <c r="Q43" s="28" t="n">
        <v>0.039255</v>
      </c>
      <c r="R43" s="26" t="n">
        <v>40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113</v>
      </c>
      <c r="AA43" s="28" t="n">
        <v>0.47</v>
      </c>
      <c r="AB43" s="28" t="n">
        <v>0.009171</v>
      </c>
      <c r="AC43" s="30" t="n">
        <v>1.17</v>
      </c>
      <c r="AD43" s="24" t="inlineStr">
        <is>
          <t>2026-10-02T16:03:45.818918Z</t>
        </is>
      </c>
      <c r="AE43" s="31" t="inlineStr">
        <is>
          <t>Neutral Elo baseline; executable ask 0.4600 (market_slug=aec-r6-4am-oc-2026-10-02).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One Coin</t>
        </is>
      </c>
      <c r="AQ43" s="24" t="inlineStr">
        <is>
          <t>One Coin</t>
        </is>
      </c>
      <c r="AR43" s="24" t="inlineStr">
        <is>
          <t>One Coin</t>
        </is>
      </c>
      <c r="AS43" s="24" t="inlineStr">
        <is>
          <t>Four Angry Men</t>
        </is>
      </c>
      <c r="AT43" s="24" t="inlineStr">
        <is>
          <t>Four Angry Men</t>
        </is>
      </c>
      <c r="AU43" s="24" t="inlineStr">
        <is>
          <t>Four Angry Men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f71d27d4853c747cda3f541e9c137b5edfede545e88c5895ee106dcc426774bf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f71d27d4853c747cda3f541e9c137b5edfede545e88c5895ee106dcc426774bf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2026-10-02T04:40:29.236281Z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>
        <v>2.13</v>
      </c>
      <c r="BR43" s="28" t="n">
        <v>0.47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0.460829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4" ht="36" customHeight="1">
      <c r="A44" s="24" t="inlineStr">
        <is>
          <t>1d3c70fac71947b2</t>
        </is>
      </c>
      <c r="B44" s="24" t="inlineStr">
        <is>
          <t>2026-10-02T16:09:44.498402Z</t>
        </is>
      </c>
      <c r="C44" s="24" t="inlineStr">
        <is>
          <t>2026-10-02T21:00:00Z</t>
        </is>
      </c>
      <c r="D44" s="24" t="inlineStr">
        <is>
          <t>133874</t>
        </is>
      </c>
      <c r="E44" s="24" t="inlineStr">
        <is>
          <t>RAINBOW_SIX</t>
        </is>
      </c>
      <c r="F44" s="24" t="inlineStr">
        <is>
          <t>100 Thieves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0.532017</v>
      </c>
      <c r="P44" s="28" t="n"/>
      <c r="Q44" s="28" t="n">
        <v>-0.087755</v>
      </c>
      <c r="R44" s="26" t="n">
        <v>0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-178</v>
      </c>
      <c r="AA44" s="28" t="n">
        <v>0.64</v>
      </c>
      <c r="AB44" s="28" t="n">
        <v>0.020228</v>
      </c>
      <c r="AC44" s="30" t="n">
        <v>0.6135</v>
      </c>
      <c r="AD44" s="24" t="inlineStr">
        <is>
          <t>2026-10-02T22:03:08.620406Z</t>
        </is>
      </c>
      <c r="AE44" s="31" t="inlineStr">
        <is>
          <t>Neutral Elo baseline; executable ask 0.6200 (market_slug=aec-r6-m80-100t-2026-10-02).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100 Thieves</t>
        </is>
      </c>
      <c r="AQ44" s="24" t="inlineStr">
        <is>
          <t>100 Thieves</t>
        </is>
      </c>
      <c r="AR44" s="24" t="inlineStr">
        <is>
          <t>100 Thieves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5a2f564384e7f3b5c5c3aa0b5a857e4d3bda4a5b128650c1ac1132f8f4c2b015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5a2f564384e7f3b5c5c3aa0b5a857e4d3bda4a5b128650c1ac1132f8f4c2b015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2026-10-02T16:09:28.209146Z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/>
      <c r="BO44" s="28" t="n"/>
      <c r="BP44" s="25" t="n"/>
      <c r="BQ44" s="27" t="n">
        <v>1.561798</v>
      </c>
      <c r="BR44" s="28" t="n">
        <v>0.64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0.619772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5" ht="36" customHeight="1">
      <c r="A45" s="24" t="inlineStr">
        <is>
          <t>14f4aa55b95e4267</t>
        </is>
      </c>
      <c r="B45" s="24" t="inlineStr">
        <is>
          <t>2026-10-03T22:33:50.890758Z</t>
        </is>
      </c>
      <c r="C45" s="24" t="inlineStr">
        <is>
          <t>2026-10-04T16:00:00Z</t>
        </is>
      </c>
      <c r="D45" s="24" t="inlineStr">
        <is>
          <t>136783</t>
        </is>
      </c>
      <c r="E45" s="24" t="inlineStr">
        <is>
          <t>RAINBOW_SIX</t>
        </is>
      </c>
      <c r="F45" s="24" t="inlineStr">
        <is>
          <t>Imperial Esports</t>
        </is>
      </c>
      <c r="G45" s="24" t="inlineStr">
        <is>
          <t>INTZ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0.596788</v>
      </c>
      <c r="P45" s="28" t="n"/>
      <c r="Q45" s="28" t="n">
        <v>0.047238</v>
      </c>
      <c r="R45" s="26" t="n">
        <v>44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2026-10-04T21:06:56.957386Z</t>
        </is>
      </c>
      <c r="AE45" s="31" t="inlineStr">
        <is>
          <t>Neutral Elo baseline; executable ask 0.5500 (market_slug=aec-r6-intz-imp-2026-10-04).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Imperial Esports</t>
        </is>
      </c>
      <c r="AQ45" s="24" t="inlineStr">
        <is>
          <t>Imperial Esports</t>
        </is>
      </c>
      <c r="AR45" s="24" t="inlineStr">
        <is>
          <t>Imperial Esports</t>
        </is>
      </c>
      <c r="AS45" s="24" t="inlineStr">
        <is>
          <t>INTZ</t>
        </is>
      </c>
      <c r="AT45" s="24" t="inlineStr">
        <is>
          <t>INTZ</t>
        </is>
      </c>
      <c r="AU45" s="24" t="inlineStr">
        <is>
          <t>INTZ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179e413225be9340e6e2e1a2f0108cb82f339e0f8cd38dd9848709748cc40762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179e413225be9340e6e2e1a2f0108cb82f339e0f8cd38dd9848709748cc40762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2026-10-03T22:33:38.071651Z</t>
        </is>
      </c>
      <c r="BI45" s="24" t="inlineStr">
        <is>
          <t>["same_event","same_team_same_day","same_league_same_day"]</t>
        </is>
      </c>
      <c r="BJ45" s="25" t="n"/>
      <c r="BK45" s="26" t="n">
        <v>-122</v>
      </c>
      <c r="BL45" s="27" t="n">
        <v>1.819672</v>
      </c>
      <c r="BM45" s="28" t="n">
        <v>0.54955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6" ht="36" customHeight="1">
      <c r="A46" s="24" t="inlineStr">
        <is>
          <t>3248ff26f68046c9</t>
        </is>
      </c>
      <c r="B46" s="24" t="inlineStr">
        <is>
          <t>2026-10-03T22:33:50.890758Z</t>
        </is>
      </c>
      <c r="C46" s="24" t="inlineStr">
        <is>
          <t>2026-10-04T19:45:00Z</t>
        </is>
      </c>
      <c r="D46" s="24" t="inlineStr">
        <is>
          <t>137283</t>
        </is>
      </c>
      <c r="E46" s="24" t="inlineStr">
        <is>
          <t>RAINBOW_SIX</t>
        </is>
      </c>
      <c r="F46" s="24" t="inlineStr">
        <is>
          <t>LOUD</t>
        </is>
      </c>
      <c r="G46" s="24" t="inlineStr">
        <is>
          <t>Fluxo W7M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-213</v>
      </c>
      <c r="M46" s="27" t="n">
        <v>1.469484</v>
      </c>
      <c r="N46" s="28" t="n">
        <v>0.680511</v>
      </c>
      <c r="O46" s="28" t="n">
        <v>0.6512829999999999</v>
      </c>
      <c r="P46" s="28" t="n"/>
      <c r="Q46" s="28" t="n">
        <v>-0.029228</v>
      </c>
      <c r="R46" s="26" t="n">
        <v>5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0.4695</v>
      </c>
      <c r="AD46" s="24" t="inlineStr">
        <is>
          <t>2026-10-04T21:06:58.173838Z</t>
        </is>
      </c>
      <c r="AE46" s="31" t="inlineStr">
        <is>
          <t>Neutral Elo baseline; executable ask 0.6800 (market_slug=aec-r6-fx7m-loud-2026-10-04).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LOUD</t>
        </is>
      </c>
      <c r="AQ46" s="24" t="inlineStr">
        <is>
          <t>LOUD</t>
        </is>
      </c>
      <c r="AR46" s="24" t="inlineStr">
        <is>
          <t>LOUD</t>
        </is>
      </c>
      <c r="AS46" s="24" t="inlineStr">
        <is>
          <t>Fluxo W7M</t>
        </is>
      </c>
      <c r="AT46" s="24" t="inlineStr">
        <is>
          <t>Fluxo W7M</t>
        </is>
      </c>
      <c r="AU46" s="24" t="inlineStr">
        <is>
          <t>Fluxo W7M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179e413225be9340e6e2e1a2f0108cb82f339e0f8cd38dd9848709748cc40762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179e413225be9340e6e2e1a2f0108cb82f339e0f8cd38dd9848709748cc40762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2026-10-03T22:33:50.765879Z</t>
        </is>
      </c>
      <c r="BI46" s="24" t="inlineStr">
        <is>
          <t>["same_event","same_team_same_day","same_league_same_day"]</t>
        </is>
      </c>
      <c r="BJ46" s="25" t="n"/>
      <c r="BK46" s="26" t="n">
        <v>-213</v>
      </c>
      <c r="BL46" s="27" t="n">
        <v>1.469484</v>
      </c>
      <c r="BM46" s="28" t="n">
        <v>0.680511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0.680511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7" ht="36" customHeight="1">
      <c r="A47" s="24" t="inlineStr">
        <is>
          <t>20b92c9e4958455b</t>
        </is>
      </c>
      <c r="B47" s="24" t="inlineStr">
        <is>
          <t>2026-10-05T10:49:35.405166Z</t>
        </is>
      </c>
      <c r="C47" s="24" t="inlineStr">
        <is>
          <t>2026-10-05T16:00:00Z</t>
        </is>
      </c>
      <c r="D47" s="24" t="inlineStr">
        <is>
          <t>138393</t>
        </is>
      </c>
      <c r="E47" s="24" t="inlineStr">
        <is>
          <t>RAINBOW_SIX</t>
        </is>
      </c>
      <c r="F47" s="24" t="inlineStr">
        <is>
          <t>Geekay Esports</t>
        </is>
      </c>
      <c r="G47" s="24" t="inlineStr">
        <is>
          <t>Falcons Esport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0.634387</v>
      </c>
      <c r="P47" s="28" t="n"/>
      <c r="Q47" s="28" t="n">
        <v>0.063572</v>
      </c>
      <c r="R47" s="26" t="n">
        <v>52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-138</v>
      </c>
      <c r="AA47" s="28" t="n">
        <v>0.58</v>
      </c>
      <c r="AB47" s="28" t="n">
        <v>0.009185</v>
      </c>
      <c r="AC47" s="30" t="n">
        <v>0.7519</v>
      </c>
      <c r="AD47" s="24" t="inlineStr">
        <is>
          <t>2026-10-05T22:06:19.951144Z</t>
        </is>
      </c>
      <c r="AE47" s="31" t="inlineStr">
        <is>
          <t>Neutral Elo baseline; executable ask 0.5700 (market_slug=aec-r6-flcs-ge-2026-10-05).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Geekay Esports</t>
        </is>
      </c>
      <c r="AQ47" s="24" t="inlineStr">
        <is>
          <t>Geekay Esports</t>
        </is>
      </c>
      <c r="AR47" s="24" t="inlineStr">
        <is>
          <t>Geekay Esports</t>
        </is>
      </c>
      <c r="AS47" s="24" t="inlineStr">
        <is>
          <t>Falcons Esport</t>
        </is>
      </c>
      <c r="AT47" s="24" t="inlineStr">
        <is>
          <t>Falcons Esport</t>
        </is>
      </c>
      <c r="AU47" s="24" t="inlineStr">
        <is>
          <t>Falcons Esport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9a3d752083f0e7140dbd3b1b315d42f48ba983a9883e5e06602260bc3e82ded6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9a3d752083f0e7140dbd3b1b315d42f48ba983a9883e5e06602260bc3e82ded6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2026-10-05T10:49:35.331989Z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1.724638</v>
      </c>
      <c r="BR47" s="28" t="n">
        <v>0.58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48" ht="36" customHeight="1">
      <c r="A48" s="24" t="inlineStr">
        <is>
          <t>d1c2c8beea184d9e</t>
        </is>
      </c>
      <c r="B48" s="24" t="inlineStr">
        <is>
          <t>2026-10-05T16:34:28.380407Z</t>
        </is>
      </c>
      <c r="C48" s="24" t="inlineStr">
        <is>
          <t>2026-10-05T19:00:00Z</t>
        </is>
      </c>
      <c r="D48" s="24" t="inlineStr">
        <is>
          <t>138702</t>
        </is>
      </c>
      <c r="E48" s="24" t="inlineStr">
        <is>
          <t>RAINBOW_SIX</t>
        </is>
      </c>
      <c r="F48" s="24" t="inlineStr">
        <is>
          <t>Virtus.pro</t>
        </is>
      </c>
      <c r="G48" s="24" t="inlineStr">
        <is>
          <t>G2 Esports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-194</v>
      </c>
      <c r="M48" s="27" t="n">
        <v>1.515464</v>
      </c>
      <c r="N48" s="28" t="n">
        <v>0.659864</v>
      </c>
      <c r="O48" s="28" t="n">
        <v>0.616671</v>
      </c>
      <c r="P48" s="28" t="n"/>
      <c r="Q48" s="28" t="n">
        <v>-0.043193</v>
      </c>
      <c r="R48" s="26" t="n">
        <v>0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-194</v>
      </c>
      <c r="AA48" s="28" t="n">
        <v>0.66</v>
      </c>
      <c r="AB48" s="28" t="n">
        <v>0.000136</v>
      </c>
      <c r="AC48" s="30" t="n">
        <v>0.5155</v>
      </c>
      <c r="AD48" s="24" t="inlineStr">
        <is>
          <t>2026-10-05T22:06:21.525693Z</t>
        </is>
      </c>
      <c r="AE48" s="31" t="inlineStr">
        <is>
          <t>Neutral Elo baseline; executable ask 0.6600 (market_slug=aec-r6-g2-vp-2026-10-05).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Virtus.pro</t>
        </is>
      </c>
      <c r="AQ48" s="24" t="inlineStr">
        <is>
          <t>Virtus.pro</t>
        </is>
      </c>
      <c r="AR48" s="24" t="inlineStr">
        <is>
          <t>Virtus.pro</t>
        </is>
      </c>
      <c r="AS48" s="24" t="inlineStr">
        <is>
          <t>G2 Esports</t>
        </is>
      </c>
      <c r="AT48" s="24" t="inlineStr">
        <is>
          <t>G2 Esports</t>
        </is>
      </c>
      <c r="AU48" s="24" t="inlineStr">
        <is>
          <t>G2 Esports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70656544ecaf134932f3947a2932893b9bd8976d900ccbbfaab90f748e927834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70656544ecaf134932f3947a2932893b9bd8976d900ccbbfaab90f748e927834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2026-10-05T16:34:28.366388Z</t>
        </is>
      </c>
      <c r="BI48" s="24" t="inlineStr">
        <is>
          <t>["same_event","same_team_same_day","same_league_same_day"]</t>
        </is>
      </c>
      <c r="BJ48" s="25" t="n"/>
      <c r="BK48" s="26" t="n">
        <v>-194</v>
      </c>
      <c r="BL48" s="27" t="n">
        <v>1.515464</v>
      </c>
      <c r="BM48" s="28" t="n">
        <v>0.659864</v>
      </c>
      <c r="BN48" s="28" t="n"/>
      <c r="BO48" s="28" t="n"/>
      <c r="BP48" s="25" t="n"/>
      <c r="BQ48" s="27" t="n">
        <v>1.515464</v>
      </c>
      <c r="BR48" s="28" t="n">
        <v>0.66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  <row r="49" ht="36" customHeight="1">
      <c r="A49" s="24" t="inlineStr">
        <is>
          <t>ed71131812c142fa</t>
        </is>
      </c>
      <c r="B49" s="24" t="inlineStr">
        <is>
          <t>2026-10-06T10:51:13.499333Z</t>
        </is>
      </c>
      <c r="C49" s="24" t="inlineStr">
        <is>
          <t>2026-10-06T16:00:00Z</t>
        </is>
      </c>
      <c r="D49" s="24" t="inlineStr">
        <is>
          <t>144058</t>
        </is>
      </c>
      <c r="E49" s="24" t="inlineStr">
        <is>
          <t>RAINBOW_SIX</t>
        </is>
      </c>
      <c r="F49" s="24" t="inlineStr">
        <is>
          <t>Geekay Esports</t>
        </is>
      </c>
      <c r="G49" s="24" t="inlineStr">
        <is>
          <t>Shifters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-170</v>
      </c>
      <c r="M49" s="27" t="n">
        <v>1.588235</v>
      </c>
      <c r="N49" s="28" t="n">
        <v>0.62963</v>
      </c>
      <c r="O49" s="28" t="n">
        <v>0.54393</v>
      </c>
      <c r="P49" s="28" t="n"/>
      <c r="Q49" s="28" t="n">
        <v>-0.0857</v>
      </c>
      <c r="R49" s="26" t="n">
        <v>0</v>
      </c>
      <c r="S49" s="29" t="n">
        <v>1</v>
      </c>
      <c r="T49" s="24" t="inlineStr">
        <is>
          <t>rainbow_six-tiered-elo-v6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>
        <v>-170</v>
      </c>
      <c r="AA49" s="28" t="n">
        <v>0.63</v>
      </c>
      <c r="AB49" s="28" t="n">
        <v>0.00037</v>
      </c>
      <c r="AC49" s="30" t="n">
        <v>0.5881999999999999</v>
      </c>
      <c r="AD49" s="24" t="inlineStr">
        <is>
          <t>2026-10-06T22:05:29.868972Z</t>
        </is>
      </c>
      <c r="AE49" s="31" t="inlineStr">
        <is>
          <t>Neutral Elo baseline; executable ask 0.6300 (market_slug=aec-r6-shi-ge-2026-10-06).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Geekay Esports</t>
        </is>
      </c>
      <c r="AQ49" s="24" t="inlineStr">
        <is>
          <t>Geekay Esports</t>
        </is>
      </c>
      <c r="AR49" s="24" t="inlineStr">
        <is>
          <t>Geekay Esports</t>
        </is>
      </c>
      <c r="AS49" s="24" t="inlineStr">
        <is>
          <t>Shifters</t>
        </is>
      </c>
      <c r="AT49" s="24" t="inlineStr">
        <is>
          <t>Shifters</t>
        </is>
      </c>
      <c r="AU49" s="24" t="inlineStr">
        <is>
          <t>Shifters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9858f060c2a168107585edc8a721ca47c237812d7c1532146f3176089ebd00c8</t>
        </is>
      </c>
      <c r="BB49" s="24" t="inlineStr">
        <is>
          <t>neutral_elo</t>
        </is>
      </c>
      <c r="BC49" s="24" t="inlineStr">
        <is>
          <t>rainbow_six-tiered-elo-v6</t>
        </is>
      </c>
      <c r="BD49" s="24" t="inlineStr">
        <is>
          <t>9858f060c2a168107585edc8a721ca47c237812d7c1532146f3176089ebd00c8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rainbow_six-tiered-elo-v6</t>
        </is>
      </c>
      <c r="BH49" s="24" t="inlineStr">
        <is>
          <t>2026-10-06T10:50:53.274144Z</t>
        </is>
      </c>
      <c r="BI49" s="24" t="inlineStr">
        <is>
          <t>["same_event","same_team_same_day","same_league_same_day"]</t>
        </is>
      </c>
      <c r="BJ49" s="25" t="n"/>
      <c r="BK49" s="26" t="n">
        <v>-170</v>
      </c>
      <c r="BL49" s="27" t="n">
        <v>1.588235</v>
      </c>
      <c r="BM49" s="28" t="n">
        <v>0.62963</v>
      </c>
      <c r="BN49" s="28" t="n"/>
      <c r="BO49" s="28" t="n"/>
      <c r="BP49" s="25" t="n"/>
      <c r="BQ49" s="27" t="n">
        <v>1.588235</v>
      </c>
      <c r="BR49" s="28" t="n">
        <v>0.63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"9858f060c2a168107585edc8a721ca47c237812d7c1532146f3176089ebd00c8", "away_team": "Geekay Esports", "event_id": "144058", "event_start_utc": "2026-10-06T16:00:00Z", "features": {"away_elo": 1642.27105, "away_history_count": 61, "home_elo": 1566.086413, "home_history_count": 111}, "historical_source_observation_times_verified": false, "home_team": "Shifters", "inference_inputs": {"book_state": {"games_played": {"bo3:7:19340": 61, "bo3:7:19716": 111}, "inactivity_half_life_days": null, "inactivity_max_pull": null, "k": 32.0, "last_match_utc": {"bo3:7:19340": "2026-10-05T16:00:00Z", "bo3:7:19716": "2026-09-30T20:00:00Z"}, "minimum_reliable_games": null, "platt_intercept": 0.1370995612441656, "platt_slope": 0.763965360686399, "ratings": {"bo3:7:19340": 1642.27105, "bo3:7:19716": 1566.086413},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"2026-10-06T10:50:53.103147+00:00", "team_ids": ["bo3:7:19716", "bo3:7:19340"]}, "market_type": "moneyline", "model_version": "rainbow_six-tiered-elo-v6", "observed_at_utc": "2026-10-06T10:50:53.103147+00:00", "probabilities": {"away": 0.54393, "home": 0.45607}, "replay_scope": "Exact serving book state, calibration, temperature, inactivity reference and thin-history adjustments; training provenance not certified.", "schema": "esports-elo-replay-v1", "snapshot_hash": "35d45af2f9634daaecd155a5a9eb97f4a828a10292a99d3c614db99047ab3902",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2026-10-06T22:05:31Z</dcterms:created>
  <dcterms:modified xmlns:dcterms="http://purl.org/dc/terms/" xmlns:xsi="http://www.w3.org/2001/XMLSchema-instance" xsi:type="dcterms:W3CDTF">2026-10-06T22:05:31Z</dcterms:modified>
</cp:coreProperties>
</file>