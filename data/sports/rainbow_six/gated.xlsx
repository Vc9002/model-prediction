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right" vertical="top"/>
    </xf>
    <xf numFmtId="1" fontId="1" fillId="0" borderId="0" applyAlignment="1" pivotButton="0" quotePrefix="0" xfId="0">
      <alignment horizontal="right" vertical="top"/>
    </xf>
    <xf numFmtId="165" fontId="1" fillId="0" borderId="0" applyAlignment="1" pivotButton="0" quotePrefix="0" xfId="0">
      <alignment horizontal="right" vertical="top"/>
    </xf>
    <xf numFmtId="10" fontId="1" fillId="0" borderId="0" applyAlignment="1" pivotButton="0" quotePrefix="0" xfId="0">
      <alignment horizontal="right" vertical="top"/>
    </xf>
    <xf numFmtId="2" fontId="1" fillId="0" borderId="0" applyAlignment="1" pivotButton="0" quotePrefix="0" xfId="0">
      <alignment horizontal="right" vertical="top"/>
    </xf>
    <xf numFmtId="166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Q54" headerRowCount="1">
  <autoFilter ref="A1:DQ54"/>
  <tableColumns count="121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  <tableColumn id="121" name="model_input_snapshot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COUNTA('Picks'!$A$2:$A$54)</f>
        <v/>
      </c>
      <c r="C4" s="6">
        <f>COUNTIF('Picks'!$U$2:$U$54,"open")</f>
        <v/>
      </c>
      <c r="E4" s="6">
        <f>COUNTIF('Picks'!$U$2:$U$54,"settled")</f>
        <v/>
      </c>
      <c r="G4" s="6">
        <f>IF(COUNTIFS('Picks'!$U$2:$U$54,"settled",'Picks'!$V$2:$V$54,"win")+COUNTIFS('Picks'!$U$2:$U$54,"settled",'Picks'!$V$2:$V$54,"loss")&gt;=$L$2,"Ready","Insufficient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COUNTIF('Picks'!$BX$2:$BX$54,"&gt;0")</f>
        <v/>
      </c>
      <c r="C7" s="6">
        <f>COUNTIFS('Picks'!$BX$2:$BX$54,"&gt;0",'Picks'!$V$2:$V$54,"win")&amp;"-"&amp;COUNTIFS('Picks'!$BX$2:$BX$54,"&gt;0",'Picks'!$V$2:$V$54,"loss")</f>
        <v/>
      </c>
      <c r="E7" s="7">
        <f>IFERROR(COUNTIFS('Picks'!$BX$2:$BX$54,"&gt;0",'Picks'!$V$2:$V$54,"win")/(COUNTIFS('Picks'!$BX$2:$BX$54,"&gt;0",'Picks'!$V$2:$V$54,"win")+COUNTIFS('Picks'!$BX$2:$BX$54,"&gt;0",'Picks'!$V$2:$V$54,"loss")),0)</f>
        <v/>
      </c>
      <c r="G7" s="7">
        <f>IFERROR(SUM('Picks'!$BY$2:$BY$54)/SUM('Picks'!$BX$2:$BX$54),0)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SUM('Picks'!$BY$2:$BY$54)</f>
        <v/>
      </c>
      <c r="C10" s="9">
        <f>IFERROR(AVERAGEIF('Picks'!$AB$2:$AB$54,"&lt;&gt;",'Picks'!$AB$2:$AB$54),0)</f>
        <v/>
      </c>
      <c r="E10" s="6">
        <f>COUNTIFS('Picks'!$AM$2:$AM$54,"QUALIFIED_SHADOW_CALL",'Picks'!$U$2:$U$54,"settled")</f>
        <v/>
      </c>
      <c r="G10" s="8">
        <f>SUMIFS('Picks'!$AC$2:$AC$54,'Picks'!$AM$2:$AM$54,"QUALIFIED_SHADOW_CALL")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COUNTIFS('Picks'!$H$2:$H$54,$A14,'Picks'!$U$2:$U$54,"settled")</f>
        <v/>
      </c>
      <c r="C14" s="13">
        <f>COUNTIFS('Picks'!$H$2:$H$54,$A14,'Picks'!$U$2:$U$54,"settled",'Picks'!$V$2:$V$54,"win")</f>
        <v/>
      </c>
      <c r="D14" s="13">
        <f>COUNTIFS('Picks'!$H$2:$H$54,$A14,'Picks'!$U$2:$U$54,"settled",'Picks'!$V$2:$V$54,"loss")</f>
        <v/>
      </c>
      <c r="E14" s="14">
        <f>IFERROR(C14/(C14+D14),0)</f>
        <v/>
      </c>
      <c r="F14" s="15">
        <f>SUMIFS('Picks'!$BY$2:$BY$54,'Picks'!$H$2:$H$54,$A14)</f>
        <v/>
      </c>
      <c r="G14" s="16">
        <f>IFERROR(AVERAGEIFS('Picks'!$AB$2:$AB$54,'Picks'!$H$2:$H$54,$A14,'Picks'!$U$2:$U$54,"settled"),0)</f>
        <v/>
      </c>
    </row>
    <row r="15">
      <c r="A15" s="17" t="inlineStr">
        <is>
          <t>spread</t>
        </is>
      </c>
      <c r="B15" s="18">
        <f>COUNTIFS('Picks'!$H$2:$H$54,$A15,'Picks'!$U$2:$U$54,"settled")</f>
        <v/>
      </c>
      <c r="C15" s="18">
        <f>COUNTIFS('Picks'!$H$2:$H$54,$A15,'Picks'!$U$2:$U$54,"settled",'Picks'!$V$2:$V$54,"win")</f>
        <v/>
      </c>
      <c r="D15" s="18">
        <f>COUNTIFS('Picks'!$H$2:$H$54,$A15,'Picks'!$U$2:$U$54,"settled",'Picks'!$V$2:$V$54,"loss")</f>
        <v/>
      </c>
      <c r="E15" s="19">
        <f>IFERROR(C15/(C15+D15),0)</f>
        <v/>
      </c>
      <c r="F15" s="20">
        <f>SUMIFS('Picks'!$BY$2:$BY$54,'Picks'!$H$2:$H$54,$A15)</f>
        <v/>
      </c>
      <c r="G15" s="21">
        <f>IFERROR(AVERAGEIFS('Picks'!$AB$2:$AB$54,'Picks'!$H$2:$H$54,$A15,'Picks'!$U$2:$U$54,"settled"),0)</f>
        <v/>
      </c>
    </row>
    <row r="16">
      <c r="A16" s="12" t="inlineStr">
        <is>
          <t>total</t>
        </is>
      </c>
      <c r="B16" s="13">
        <f>COUNTIFS('Picks'!$H$2:$H$54,$A16,'Picks'!$U$2:$U$54,"settled")</f>
        <v/>
      </c>
      <c r="C16" s="13">
        <f>COUNTIFS('Picks'!$H$2:$H$54,$A16,'Picks'!$U$2:$U$54,"settled",'Picks'!$V$2:$V$54,"win")</f>
        <v/>
      </c>
      <c r="D16" s="13">
        <f>COUNTIFS('Picks'!$H$2:$H$54,$A16,'Picks'!$U$2:$U$54,"settled",'Picks'!$V$2:$V$54,"loss")</f>
        <v/>
      </c>
      <c r="E16" s="14">
        <f>IFERROR(C16/(C16+D16),0)</f>
        <v/>
      </c>
      <c r="F16" s="15">
        <f>SUMIFS('Picks'!$BY$2:$BY$54,'Picks'!$H$2:$H$54,$A16)</f>
        <v/>
      </c>
      <c r="G16" s="16">
        <f>IFERROR(AVERAGEIFS('Picks'!$AB$2:$AB$54,'Picks'!$H$2:$H$54,$A16,'Picks'!$U$2:$U$54,"settled"),0)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  <row r="2" ht="36" customHeight="1">
      <c r="A2" s="24" t="inlineStr">
        <is>
          <t>bf8dd5fa7c134ac0</t>
        </is>
      </c>
      <c r="B2" s="24" t="inlineStr">
        <is>
          <t>2026-08-09T14:01:43.911021Z</t>
        </is>
      </c>
      <c r="C2" s="24" t="inlineStr">
        <is>
          <t>2026-08-09T17:00:00Z</t>
        </is>
      </c>
      <c r="D2" s="24" t="inlineStr">
        <is>
          <t>75283</t>
        </is>
      </c>
      <c r="E2" s="24" t="inlineStr">
        <is>
          <t>RAINBOW_SIX</t>
        </is>
      </c>
      <c r="F2" s="24" t="inlineStr">
        <is>
          <t>Weibo Gaming</t>
        </is>
      </c>
      <c r="G2" s="24" t="inlineStr">
        <is>
          <t>Virtus.pro</t>
        </is>
      </c>
      <c r="H2" s="24" t="inlineStr">
        <is>
          <t>moneyline</t>
        </is>
      </c>
      <c r="I2" s="24" t="inlineStr">
        <is>
          <t>away</t>
        </is>
      </c>
      <c r="J2" s="25" t="n"/>
      <c r="K2" s="24" t="inlineStr">
        <is>
          <t>polymarket_us</t>
        </is>
      </c>
      <c r="L2" s="26" t="n">
        <v>163</v>
      </c>
      <c r="M2" s="27" t="n">
        <v>2.63</v>
      </c>
      <c r="N2" s="28" t="n">
        <v>0.380228</v>
      </c>
      <c r="O2" s="28" t="n">
        <v>0.5820070000000001</v>
      </c>
      <c r="P2" s="28" t="n"/>
      <c r="Q2" s="28" t="n">
        <v>0.201779</v>
      </c>
      <c r="R2" s="26" t="n">
        <v>100</v>
      </c>
      <c r="S2" s="29" t="n">
        <v>1.25</v>
      </c>
      <c r="T2" s="24" t="inlineStr">
        <is>
          <t>rainbow_six-tiered-elo-v6</t>
        </is>
      </c>
      <c r="U2" s="24" t="inlineStr">
        <is>
          <t>settled</t>
        </is>
      </c>
      <c r="V2" s="24" t="inlineStr">
        <is>
          <t>win</t>
        </is>
      </c>
      <c r="W2" s="26" t="n">
        <v>1</v>
      </c>
      <c r="X2" s="26" t="n">
        <v>0</v>
      </c>
      <c r="Y2" s="25" t="n"/>
      <c r="Z2" s="26" t="n">
        <v>178</v>
      </c>
      <c r="AA2" s="28" t="n">
        <v>0.36</v>
      </c>
      <c r="AB2" s="28" t="n">
        <v>-0.020228</v>
      </c>
      <c r="AC2" s="30" t="n">
        <v>2.0375</v>
      </c>
      <c r="AD2" s="24" t="inlineStr">
        <is>
          <t>2026-08-09T17:05:20.172404Z</t>
        </is>
      </c>
      <c r="AE2" s="31" t="inlineStr">
        <is>
          <t>Neutral Elo baseline; executable ask 0.3800 (market_slug=aec-r6-vp-wbg-2026-08-09).</t>
        </is>
      </c>
      <c r="AF2" s="31" t="inlineStr">
        <is>
          <t>Config-promoted esports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Weibo Gaming</t>
        </is>
      </c>
      <c r="AQ2" s="24" t="inlineStr">
        <is>
          <t>Weibo Gaming</t>
        </is>
      </c>
      <c r="AR2" s="24" t="inlineStr">
        <is>
          <t>Weibo Gaming</t>
        </is>
      </c>
      <c r="AS2" s="24" t="inlineStr">
        <is>
          <t>Virtus.pro</t>
        </is>
      </c>
      <c r="AT2" s="24" t="inlineStr">
        <is>
          <t>Virtus.pro</t>
        </is>
      </c>
      <c r="AU2" s="24" t="inlineStr">
        <is>
          <t>Virtus.pro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research</t>
        </is>
      </c>
      <c r="BA2" s="24" t="inlineStr">
        <is>
          <t>3b81c1a225385446e6c2efcb53bbcef49ca7c03c0ccb69faec9e458b1a6f00c1</t>
        </is>
      </c>
      <c r="BB2" s="24" t="inlineStr">
        <is>
          <t>neutral_elo</t>
        </is>
      </c>
      <c r="BC2" s="24" t="inlineStr">
        <is>
          <t>rainbow_six-tiered-elo-v6</t>
        </is>
      </c>
      <c r="BD2" s="24" t="inlineStr">
        <is>
          <t>3b81c1a225385446e6c2efcb53bbcef49ca7c03c0ccb69faec9e458b1a6f00c1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rainbow_six-tiered-elo-v6</t>
        </is>
      </c>
      <c r="BH2" s="24" t="inlineStr">
        <is>
          <t>2026-08-09T14:01:43.349448Z</t>
        </is>
      </c>
      <c r="BI2" s="24" t="inlineStr">
        <is>
          <t>["same_event","same_team_same_day","same_league_same_day"]</t>
        </is>
      </c>
      <c r="BJ2" s="25" t="n"/>
      <c r="BK2" s="26" t="n">
        <v>163</v>
      </c>
      <c r="BL2" s="27" t="n">
        <v>2.63</v>
      </c>
      <c r="BM2" s="28" t="n">
        <v>0.380228</v>
      </c>
      <c r="BN2" s="28" t="n"/>
      <c r="BO2" s="28" t="n"/>
      <c r="BP2" s="25" t="n"/>
      <c r="BQ2" s="27" t="n">
        <v>2.78</v>
      </c>
      <c r="BR2" s="28" t="n">
        <v>0.36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inlineStr">
        <is>
          <t>True</t>
        </is>
      </c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inlineStr">
        <is>
          <t>0.380228</t>
        </is>
      </c>
      <c r="DK2" s="24" t="n"/>
      <c r="DL2" s="24" t="n"/>
      <c r="DM2" s="24" t="n"/>
      <c r="DN2" s="24" t="n"/>
      <c r="DO2" s="24" t="n"/>
      <c r="DP2" s="24" t="n"/>
      <c r="DQ2" s="24" t="n"/>
    </row>
    <row r="3" ht="36" customHeight="1">
      <c r="A3" s="24" t="inlineStr">
        <is>
          <t>3ea18b4364c845ca</t>
        </is>
      </c>
      <c r="B3" s="24" t="inlineStr">
        <is>
          <t>2026-08-13T13:47:13.395027Z</t>
        </is>
      </c>
      <c r="C3" s="24" t="inlineStr">
        <is>
          <t>2026-08-13T14:00:00Z</t>
        </is>
      </c>
      <c r="D3" s="24" t="inlineStr">
        <is>
          <t>77319</t>
        </is>
      </c>
      <c r="E3" s="24" t="inlineStr">
        <is>
          <t>RAINBOW_SIX</t>
        </is>
      </c>
      <c r="F3" s="24" t="inlineStr">
        <is>
          <t>Team Secret</t>
        </is>
      </c>
      <c r="G3" s="24" t="inlineStr">
        <is>
          <t>Geekay Esports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-156</v>
      </c>
      <c r="M3" s="27" t="n">
        <v>1.641026</v>
      </c>
      <c r="N3" s="28" t="n">
        <v>0.609375</v>
      </c>
      <c r="O3" s="28" t="n">
        <v>0.642788</v>
      </c>
      <c r="P3" s="28" t="n"/>
      <c r="Q3" s="28" t="n">
        <v>0.033413</v>
      </c>
      <c r="R3" s="26" t="n">
        <v>37</v>
      </c>
      <c r="S3" s="29" t="n">
        <v>1.5</v>
      </c>
      <c r="T3" s="24" t="inlineStr">
        <is>
          <t>rainbow_six-tiered-elo-v6</t>
        </is>
      </c>
      <c r="U3" s="24" t="inlineStr">
        <is>
          <t>settled</t>
        </is>
      </c>
      <c r="V3" s="24" t="inlineStr">
        <is>
          <t>win</t>
        </is>
      </c>
      <c r="W3" s="26" t="n">
        <v>0</v>
      </c>
      <c r="X3" s="26" t="n">
        <v>1</v>
      </c>
      <c r="Y3" s="25" t="n"/>
      <c r="Z3" s="26" t="n">
        <v>-156</v>
      </c>
      <c r="AA3" s="28" t="n">
        <v>0.61</v>
      </c>
      <c r="AB3" s="28" t="n">
        <v>0.000625</v>
      </c>
      <c r="AC3" s="30" t="n">
        <v>0.9615</v>
      </c>
      <c r="AD3" s="24" t="inlineStr">
        <is>
          <t>2026-08-13T16:50:25.715804Z</t>
        </is>
      </c>
      <c r="AE3" s="31" t="inlineStr">
        <is>
          <t>Neutral Elo baseline; executable ask 0.6100 (market_slug=aec-r6-ge-secret-2026-08-13).</t>
        </is>
      </c>
      <c r="AF3" s="31" t="inlineStr">
        <is>
          <t>Config-promoted esports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Team Secret</t>
        </is>
      </c>
      <c r="AQ3" s="24" t="inlineStr">
        <is>
          <t>Team Secret</t>
        </is>
      </c>
      <c r="AR3" s="24" t="inlineStr">
        <is>
          <t>Team Secret</t>
        </is>
      </c>
      <c r="AS3" s="24" t="inlineStr">
        <is>
          <t>Geekay Esports</t>
        </is>
      </c>
      <c r="AT3" s="24" t="inlineStr">
        <is>
          <t>Geekay Esports</t>
        </is>
      </c>
      <c r="AU3" s="24" t="inlineStr">
        <is>
          <t>Geekay Esports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research</t>
        </is>
      </c>
      <c r="BA3" s="24" t="inlineStr">
        <is>
          <t>5abfbacc5cb76b78275a1604ae93eb223c0b4a7794a63b0d764f8921f60f0e7b</t>
        </is>
      </c>
      <c r="BB3" s="24" t="inlineStr">
        <is>
          <t>neutral_elo</t>
        </is>
      </c>
      <c r="BC3" s="24" t="inlineStr">
        <is>
          <t>rainbow_six-tiered-elo-v6</t>
        </is>
      </c>
      <c r="BD3" s="24" t="inlineStr">
        <is>
          <t>5abfbacc5cb76b78275a1604ae93eb223c0b4a7794a63b0d764f8921f60f0e7b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rainbow_six-tiered-elo-v6</t>
        </is>
      </c>
      <c r="BH3" s="24" t="inlineStr">
        <is>
          <t>2026-08-13T13:47:12.403984Z</t>
        </is>
      </c>
      <c r="BI3" s="24" t="inlineStr">
        <is>
          <t>["same_event","same_team_same_day","same_league_same_day"]</t>
        </is>
      </c>
      <c r="BJ3" s="25" t="n"/>
      <c r="BK3" s="26" t="n">
        <v>-156</v>
      </c>
      <c r="BL3" s="27" t="n">
        <v>1.641026</v>
      </c>
      <c r="BM3" s="28" t="n">
        <v>0.609375</v>
      </c>
      <c r="BN3" s="28" t="n"/>
      <c r="BO3" s="28" t="n"/>
      <c r="BP3" s="25" t="n"/>
      <c r="BQ3" s="27" t="n">
        <v>1.641026</v>
      </c>
      <c r="BR3" s="28" t="n">
        <v>0.61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inlineStr">
        <is>
          <t>True</t>
        </is>
      </c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inlineStr">
        <is>
          <t>0.609375</t>
        </is>
      </c>
      <c r="DK3" s="24" t="n"/>
      <c r="DL3" s="24" t="n"/>
      <c r="DM3" s="24" t="n"/>
      <c r="DN3" s="24" t="n"/>
      <c r="DO3" s="24" t="n"/>
      <c r="DP3" s="24" t="n"/>
      <c r="DQ3" s="24" t="n"/>
    </row>
    <row r="4" ht="36" customHeight="1">
      <c r="A4" s="24" t="inlineStr">
        <is>
          <t>2245a28d1f404c1d</t>
        </is>
      </c>
      <c r="B4" s="24" t="inlineStr">
        <is>
          <t>2026-09-03T04:36:12.635938Z</t>
        </is>
      </c>
      <c r="C4" s="24" t="inlineStr">
        <is>
          <t>2026-09-03T08:00:00Z</t>
        </is>
      </c>
      <c r="D4" s="24" t="inlineStr">
        <is>
          <t>98304</t>
        </is>
      </c>
      <c r="E4" s="24" t="inlineStr">
        <is>
          <t>RAINBOW_SIX</t>
        </is>
      </c>
      <c r="F4" s="24" t="inlineStr">
        <is>
          <t>Circular Spheres</t>
        </is>
      </c>
      <c r="G4" s="24" t="inlineStr">
        <is>
          <t>Arcade Esports</t>
        </is>
      </c>
      <c r="H4" s="24" t="inlineStr">
        <is>
          <t>moneyline</t>
        </is>
      </c>
      <c r="I4" s="24" t="inlineStr">
        <is>
          <t>away</t>
        </is>
      </c>
      <c r="J4" s="25" t="n"/>
      <c r="K4" s="24" t="inlineStr">
        <is>
          <t>polymarket_us</t>
        </is>
      </c>
      <c r="L4" s="26" t="n">
        <v>-144</v>
      </c>
      <c r="M4" s="27" t="n">
        <v>1.694444</v>
      </c>
      <c r="N4" s="28" t="n">
        <v>0.590164</v>
      </c>
      <c r="O4" s="28" t="n">
        <v>0.527469</v>
      </c>
      <c r="P4" s="28" t="n"/>
      <c r="Q4" s="28" t="n">
        <v>-0.062695</v>
      </c>
      <c r="R4" s="26" t="n">
        <v>0</v>
      </c>
      <c r="S4" s="29" t="n">
        <v>1</v>
      </c>
      <c r="T4" s="24" t="inlineStr">
        <is>
          <t>rainbow_six-tiered-elo-v6</t>
        </is>
      </c>
      <c r="U4" s="24" t="inlineStr">
        <is>
          <t>settled</t>
        </is>
      </c>
      <c r="V4" s="24" t="inlineStr">
        <is>
          <t>win</t>
        </is>
      </c>
      <c r="W4" s="26" t="n">
        <v>1</v>
      </c>
      <c r="X4" s="26" t="n">
        <v>0</v>
      </c>
      <c r="Y4" s="25" t="n"/>
      <c r="Z4" s="26" t="n">
        <v>-144</v>
      </c>
      <c r="AA4" s="28" t="n">
        <v>0.59</v>
      </c>
      <c r="AB4" s="28" t="n">
        <v>-0.000164</v>
      </c>
      <c r="AC4" s="30" t="n">
        <v>0.6944</v>
      </c>
      <c r="AD4" s="24" t="inlineStr">
        <is>
          <t>2026-09-03T16:09:27.878665Z</t>
        </is>
      </c>
      <c r="AE4" s="31" t="inlineStr">
        <is>
          <t>Neutral Elo baseline; executable ask 0.5900 (market_slug=aec-r6-arc-cs-2026-09-03).</t>
        </is>
      </c>
      <c r="AF4" s="31" t="inlineStr">
        <is>
          <t>Config-promoted esports baseline; gates enforced at log time.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paper_call</t>
        </is>
      </c>
      <c r="AL4" s="26" t="n">
        <v>4</v>
      </c>
      <c r="AM4" s="24" t="inlineStr">
        <is>
          <t>RESEARCH_OBSERVATION</t>
        </is>
      </c>
      <c r="AN4" s="24" t="inlineStr">
        <is>
          <t>CALL</t>
        </is>
      </c>
      <c r="AO4" s="24" t="inlineStr">
        <is>
          <t>PAPER_CALL_LOW_EDGE</t>
        </is>
      </c>
      <c r="AP4" s="24" t="inlineStr">
        <is>
          <t>Circular Spheres</t>
        </is>
      </c>
      <c r="AQ4" s="24" t="inlineStr">
        <is>
          <t>Circular Spheres</t>
        </is>
      </c>
      <c r="AR4" s="24" t="inlineStr">
        <is>
          <t>Circular Spheres</t>
        </is>
      </c>
      <c r="AS4" s="24" t="inlineStr">
        <is>
          <t>Arcade Esports</t>
        </is>
      </c>
      <c r="AT4" s="24" t="inlineStr">
        <is>
          <t>Arcade Esports</t>
        </is>
      </c>
      <c r="AU4" s="24" t="inlineStr">
        <is>
          <t>Arcade Esports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research</t>
        </is>
      </c>
      <c r="BA4" s="24" t="inlineStr">
        <is>
          <t>a9e6e5ad72d180246e3c5f9de30497e0c01cb67d04b6a556c4b4c494085be0fe</t>
        </is>
      </c>
      <c r="BB4" s="24" t="inlineStr">
        <is>
          <t>neutral_elo</t>
        </is>
      </c>
      <c r="BC4" s="24" t="inlineStr">
        <is>
          <t>rainbow_six-tiered-elo-v6</t>
        </is>
      </c>
      <c r="BD4" s="24" t="inlineStr">
        <is>
          <t>a9e6e5ad72d180246e3c5f9de30497e0c01cb67d04b6a556c4b4c494085be0fe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rainbow_six-tiered-elo-v6</t>
        </is>
      </c>
      <c r="BH4" s="24" t="inlineStr">
        <is>
          <t>2026-09-03T04:36:11.590061Z</t>
        </is>
      </c>
      <c r="BI4" s="24" t="inlineStr">
        <is>
          <t>["same_event","same_team_same_day","same_league_same_day"]</t>
        </is>
      </c>
      <c r="BJ4" s="25" t="n"/>
      <c r="BK4" s="26" t="n">
        <v>-144</v>
      </c>
      <c r="BL4" s="27" t="n">
        <v>1.694444</v>
      </c>
      <c r="BM4" s="28" t="n">
        <v>0.590164</v>
      </c>
      <c r="BN4" s="28" t="n"/>
      <c r="BO4" s="28" t="n"/>
      <c r="BP4" s="25" t="n"/>
      <c r="BQ4" s="27" t="n">
        <v>1.694444</v>
      </c>
      <c r="BR4" s="28" t="n">
        <v>0.59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False</t>
        </is>
      </c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inlineStr">
        <is>
          <t>0.590164</t>
        </is>
      </c>
      <c r="DK4" s="24" t="n"/>
      <c r="DL4" s="24" t="n"/>
      <c r="DM4" s="24" t="n"/>
      <c r="DN4" s="24" t="n"/>
      <c r="DO4" s="24" t="n"/>
      <c r="DP4" s="24" t="n"/>
      <c r="DQ4" s="24" t="n"/>
    </row>
    <row r="5" ht="36" customHeight="1">
      <c r="A5" s="24" t="inlineStr">
        <is>
          <t>70f2e32901af47ad</t>
        </is>
      </c>
      <c r="B5" s="24" t="inlineStr">
        <is>
          <t>2026-09-04T10:04:45.935043Z</t>
        </is>
      </c>
      <c r="C5" s="24" t="inlineStr">
        <is>
          <t>2026-09-04T12:30:00Z</t>
        </is>
      </c>
      <c r="D5" s="24" t="inlineStr">
        <is>
          <t>100409</t>
        </is>
      </c>
      <c r="E5" s="24" t="inlineStr">
        <is>
          <t>RAINBOW_SIX</t>
        </is>
      </c>
      <c r="F5" s="24" t="inlineStr">
        <is>
          <t>EDward Gaming</t>
        </is>
      </c>
      <c r="G5" s="24" t="inlineStr">
        <is>
          <t>All Gamers</t>
        </is>
      </c>
      <c r="H5" s="24" t="inlineStr">
        <is>
          <t>moneyline</t>
        </is>
      </c>
      <c r="I5" s="24" t="inlineStr">
        <is>
          <t>away</t>
        </is>
      </c>
      <c r="J5" s="25" t="n"/>
      <c r="K5" s="24" t="inlineStr">
        <is>
          <t>polymarket_us</t>
        </is>
      </c>
      <c r="L5" s="26" t="n">
        <v>-163</v>
      </c>
      <c r="M5" s="27" t="n">
        <v>1.613497</v>
      </c>
      <c r="N5" s="28" t="n">
        <v>0.619772</v>
      </c>
      <c r="O5" s="28" t="n">
        <v>0.541365</v>
      </c>
      <c r="P5" s="28" t="n"/>
      <c r="Q5" s="28" t="n">
        <v>-0.078407</v>
      </c>
      <c r="R5" s="26" t="n">
        <v>0</v>
      </c>
      <c r="S5" s="29" t="n">
        <v>1</v>
      </c>
      <c r="T5" s="24" t="inlineStr">
        <is>
          <t>rainbow_six-tiered-elo-v6</t>
        </is>
      </c>
      <c r="U5" s="24" t="inlineStr">
        <is>
          <t>settled</t>
        </is>
      </c>
      <c r="V5" s="24" t="inlineStr">
        <is>
          <t>loss</t>
        </is>
      </c>
      <c r="W5" s="26" t="n">
        <v>0</v>
      </c>
      <c r="X5" s="26" t="n">
        <v>1</v>
      </c>
      <c r="Y5" s="25" t="n"/>
      <c r="Z5" s="26" t="n">
        <v>-163</v>
      </c>
      <c r="AA5" s="28" t="n">
        <v>0.62</v>
      </c>
      <c r="AB5" s="28" t="n">
        <v>0.000228</v>
      </c>
      <c r="AC5" s="30" t="n">
        <v>-1</v>
      </c>
      <c r="AD5" s="24" t="inlineStr">
        <is>
          <t>2026-09-04T16:02:03.941610Z</t>
        </is>
      </c>
      <c r="AE5" s="31" t="inlineStr">
        <is>
          <t>Neutral Elo baseline; executable ask 0.6200 (market_slug=aec-r6-ag-edg-2026-09-04).</t>
        </is>
      </c>
      <c r="AF5" s="31" t="inlineStr">
        <is>
          <t>Config-promoted esports baseline; gates enforced at log time.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paper_call</t>
        </is>
      </c>
      <c r="AL5" s="26" t="n">
        <v>4</v>
      </c>
      <c r="AM5" s="24" t="inlineStr">
        <is>
          <t>RESEARCH_OBSERVATION</t>
        </is>
      </c>
      <c r="AN5" s="24" t="inlineStr">
        <is>
          <t>CALL</t>
        </is>
      </c>
      <c r="AO5" s="24" t="inlineStr">
        <is>
          <t>PAPER_CALL_LOW_EDGE</t>
        </is>
      </c>
      <c r="AP5" s="24" t="inlineStr">
        <is>
          <t>EDward Gaming</t>
        </is>
      </c>
      <c r="AQ5" s="24" t="inlineStr">
        <is>
          <t>EDward Gaming</t>
        </is>
      </c>
      <c r="AR5" s="24" t="inlineStr">
        <is>
          <t>EDward Gaming</t>
        </is>
      </c>
      <c r="AS5" s="24" t="inlineStr">
        <is>
          <t>All Gamers</t>
        </is>
      </c>
      <c r="AT5" s="24" t="inlineStr">
        <is>
          <t>All Gamers</t>
        </is>
      </c>
      <c r="AU5" s="24" t="inlineStr">
        <is>
          <t>All Gamers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research</t>
        </is>
      </c>
      <c r="BA5" s="24" t="inlineStr">
        <is>
          <t>cd70337218f53848d5223e968d10c4542e01063807918da7e5a682491f8990a6</t>
        </is>
      </c>
      <c r="BB5" s="24" t="inlineStr">
        <is>
          <t>neutral_elo</t>
        </is>
      </c>
      <c r="BC5" s="24" t="inlineStr">
        <is>
          <t>rainbow_six-tiered-elo-v6</t>
        </is>
      </c>
      <c r="BD5" s="24" t="inlineStr">
        <is>
          <t>cd70337218f53848d5223e968d10c4542e01063807918da7e5a682491f8990a6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rainbow_six-tiered-elo-v6</t>
        </is>
      </c>
      <c r="BH5" s="24" t="inlineStr">
        <is>
          <t>2026-09-04T10:04:44.894370Z</t>
        </is>
      </c>
      <c r="BI5" s="24" t="inlineStr">
        <is>
          <t>["same_event","same_team_same_day","same_league_same_day"]</t>
        </is>
      </c>
      <c r="BJ5" s="25" t="n"/>
      <c r="BK5" s="26" t="n">
        <v>-163</v>
      </c>
      <c r="BL5" s="27" t="n">
        <v>1.613497</v>
      </c>
      <c r="BM5" s="28" t="n">
        <v>0.619772</v>
      </c>
      <c r="BN5" s="28" t="n"/>
      <c r="BO5" s="28" t="n"/>
      <c r="BP5" s="25" t="n"/>
      <c r="BQ5" s="27" t="n">
        <v>1.613497</v>
      </c>
      <c r="BR5" s="28" t="n">
        <v>0.62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False</t>
        </is>
      </c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inlineStr">
        <is>
          <t>0.619772</t>
        </is>
      </c>
      <c r="DK5" s="24" t="n"/>
      <c r="DL5" s="24" t="n"/>
      <c r="DM5" s="24" t="n"/>
      <c r="DN5" s="24" t="n"/>
      <c r="DO5" s="24" t="n"/>
      <c r="DP5" s="24" t="n"/>
      <c r="DQ5" s="24" t="n"/>
    </row>
    <row r="6" ht="36" customHeight="1">
      <c r="A6" s="24" t="inlineStr">
        <is>
          <t>7d069181a4f84739</t>
        </is>
      </c>
      <c r="B6" s="24" t="inlineStr">
        <is>
          <t>2026-09-04T10:04:45.935043Z</t>
        </is>
      </c>
      <c r="C6" s="24" t="inlineStr">
        <is>
          <t>2026-09-04T13:00:00Z</t>
        </is>
      </c>
      <c r="D6" s="24" t="inlineStr">
        <is>
          <t>100451</t>
        </is>
      </c>
      <c r="E6" s="24" t="inlineStr">
        <is>
          <t>RAINBOW_SIX</t>
        </is>
      </c>
      <c r="F6" s="24" t="inlineStr">
        <is>
          <t>Weibo Gaming</t>
        </is>
      </c>
      <c r="G6" s="24" t="inlineStr">
        <is>
          <t>Ex-Elevate Academy APAC</t>
        </is>
      </c>
      <c r="H6" s="24" t="inlineStr">
        <is>
          <t>moneyline</t>
        </is>
      </c>
      <c r="I6" s="24" t="inlineStr">
        <is>
          <t>away</t>
        </is>
      </c>
      <c r="J6" s="25" t="n"/>
      <c r="K6" s="24" t="inlineStr">
        <is>
          <t>polymarket_us</t>
        </is>
      </c>
      <c r="L6" s="26" t="n">
        <v>-213</v>
      </c>
      <c r="M6" s="27" t="n">
        <v>1.469484</v>
      </c>
      <c r="N6" s="28" t="n">
        <v>0.680511</v>
      </c>
      <c r="O6" s="28" t="n">
        <v>0.625451</v>
      </c>
      <c r="P6" s="28" t="n"/>
      <c r="Q6" s="28" t="n">
        <v>-0.05506</v>
      </c>
      <c r="R6" s="26" t="n">
        <v>0</v>
      </c>
      <c r="S6" s="29" t="n">
        <v>1</v>
      </c>
      <c r="T6" s="24" t="inlineStr">
        <is>
          <t>rainbow_six-tiered-elo-v6</t>
        </is>
      </c>
      <c r="U6" s="24" t="inlineStr">
        <is>
          <t>settled</t>
        </is>
      </c>
      <c r="V6" s="24" t="inlineStr">
        <is>
          <t>win</t>
        </is>
      </c>
      <c r="W6" s="26" t="n">
        <v>1</v>
      </c>
      <c r="X6" s="26" t="n">
        <v>0</v>
      </c>
      <c r="Y6" s="25" t="n"/>
      <c r="Z6" s="26" t="n">
        <v>-213</v>
      </c>
      <c r="AA6" s="28" t="n">
        <v>0.68</v>
      </c>
      <c r="AB6" s="28" t="n">
        <v>-0.000511</v>
      </c>
      <c r="AC6" s="30" t="n">
        <v>0.4695</v>
      </c>
      <c r="AD6" s="24" t="inlineStr">
        <is>
          <t>2026-09-04T16:02:04.152094Z</t>
        </is>
      </c>
      <c r="AE6" s="31" t="inlineStr">
        <is>
          <t>Neutral Elo baseline; executable ask 0.6800 (market_slug=aec-r6-exelvapa-wbg-2026-09-04).</t>
        </is>
      </c>
      <c r="AF6" s="31" t="inlineStr">
        <is>
          <t>Config-promoted esports baseline; gates enforced at log time.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paper_call</t>
        </is>
      </c>
      <c r="AL6" s="26" t="n">
        <v>4</v>
      </c>
      <c r="AM6" s="24" t="inlineStr">
        <is>
          <t>RESEARCH_OBSERVATION</t>
        </is>
      </c>
      <c r="AN6" s="24" t="inlineStr">
        <is>
          <t>CALL</t>
        </is>
      </c>
      <c r="AO6" s="24" t="inlineStr">
        <is>
          <t>PAPER_CALL_MODEL_UNVALIDATED</t>
        </is>
      </c>
      <c r="AP6" s="24" t="inlineStr">
        <is>
          <t>Weibo Gaming</t>
        </is>
      </c>
      <c r="AQ6" s="24" t="inlineStr">
        <is>
          <t>Weibo Gaming</t>
        </is>
      </c>
      <c r="AR6" s="24" t="inlineStr">
        <is>
          <t>Weibo Gaming</t>
        </is>
      </c>
      <c r="AS6" s="24" t="inlineStr">
        <is>
          <t>Ex-Elevate Academy APAC</t>
        </is>
      </c>
      <c r="AT6" s="24" t="inlineStr">
        <is>
          <t>Ex-Elevate Academy APAC</t>
        </is>
      </c>
      <c r="AU6" s="24" t="inlineStr">
        <is>
          <t>Ex-Elevate Academy APAC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research</t>
        </is>
      </c>
      <c r="BA6" s="24" t="inlineStr">
        <is>
          <t>cd70337218f53848d5223e968d10c4542e01063807918da7e5a682491f8990a6</t>
        </is>
      </c>
      <c r="BB6" s="24" t="inlineStr">
        <is>
          <t>neutral_elo</t>
        </is>
      </c>
      <c r="BC6" s="24" t="inlineStr">
        <is>
          <t>rainbow_six-tiered-elo-v6</t>
        </is>
      </c>
      <c r="BD6" s="24" t="inlineStr">
        <is>
          <t>cd70337218f53848d5223e968d10c4542e01063807918da7e5a682491f8990a6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rainbow_six-tiered-elo-v6</t>
        </is>
      </c>
      <c r="BH6" s="24" t="inlineStr">
        <is>
          <t>2026-09-04T10:04:44.952178Z</t>
        </is>
      </c>
      <c r="BI6" s="24" t="inlineStr">
        <is>
          <t>["same_event","same_team_same_day","same_league_same_day"]</t>
        </is>
      </c>
      <c r="BJ6" s="25" t="n"/>
      <c r="BK6" s="26" t="n">
        <v>-213</v>
      </c>
      <c r="BL6" s="27" t="n">
        <v>1.469484</v>
      </c>
      <c r="BM6" s="28" t="n">
        <v>0.680511</v>
      </c>
      <c r="BN6" s="28" t="n"/>
      <c r="BO6" s="28" t="n"/>
      <c r="BP6" s="25" t="n"/>
      <c r="BQ6" s="27" t="n">
        <v>1.469484</v>
      </c>
      <c r="BR6" s="28" t="n">
        <v>0.68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False</t>
        </is>
      </c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inlineStr">
        <is>
          <t>0.680511</t>
        </is>
      </c>
      <c r="DK6" s="24" t="n"/>
      <c r="DL6" s="24" t="n"/>
      <c r="DM6" s="24" t="n"/>
      <c r="DN6" s="24" t="n"/>
      <c r="DO6" s="24" t="n"/>
      <c r="DP6" s="24" t="n"/>
      <c r="DQ6" s="24" t="n"/>
    </row>
    <row r="7" ht="36" customHeight="1">
      <c r="A7" s="24" t="inlineStr">
        <is>
          <t>9138aa3e44c647f5</t>
        </is>
      </c>
      <c r="B7" s="24" t="inlineStr">
        <is>
          <t>2026-09-06T16:03:59.730607Z</t>
        </is>
      </c>
      <c r="C7" s="24" t="inlineStr">
        <is>
          <t>2026-09-06T18:30:00Z</t>
        </is>
      </c>
      <c r="D7" s="24" t="inlineStr">
        <is>
          <t>101767</t>
        </is>
      </c>
      <c r="E7" s="24" t="inlineStr">
        <is>
          <t>RAINBOW_SIX</t>
        </is>
      </c>
      <c r="F7" s="24" t="inlineStr">
        <is>
          <t>Black Dragons e-Sports</t>
        </is>
      </c>
      <c r="G7" s="24" t="inlineStr">
        <is>
          <t>Lucky Five</t>
        </is>
      </c>
      <c r="H7" s="24" t="inlineStr">
        <is>
          <t>moneyline</t>
        </is>
      </c>
      <c r="I7" s="24" t="inlineStr">
        <is>
          <t>away</t>
        </is>
      </c>
      <c r="J7" s="25" t="n"/>
      <c r="K7" s="24" t="inlineStr">
        <is>
          <t>polymarket_us</t>
        </is>
      </c>
      <c r="L7" s="26" t="n">
        <v>-108</v>
      </c>
      <c r="M7" s="27" t="n">
        <v>1.925926</v>
      </c>
      <c r="N7" s="28" t="n">
        <v>0.519231</v>
      </c>
      <c r="O7" s="28" t="n">
        <v>0.5342209999999999</v>
      </c>
      <c r="P7" s="28" t="n"/>
      <c r="Q7" s="28" t="n">
        <v>0.01499</v>
      </c>
      <c r="R7" s="26" t="n">
        <v>27</v>
      </c>
      <c r="S7" s="29" t="n">
        <v>1</v>
      </c>
      <c r="T7" s="24" t="inlineStr">
        <is>
          <t>rainbow_six-tiered-elo-v6</t>
        </is>
      </c>
      <c r="U7" s="24" t="inlineStr">
        <is>
          <t>settled</t>
        </is>
      </c>
      <c r="V7" s="24" t="inlineStr">
        <is>
          <t>win</t>
        </is>
      </c>
      <c r="W7" s="26" t="n">
        <v>1</v>
      </c>
      <c r="X7" s="26" t="n">
        <v>0</v>
      </c>
      <c r="Y7" s="25" t="n"/>
      <c r="Z7" s="26" t="n">
        <v>-108</v>
      </c>
      <c r="AA7" s="28" t="n">
        <v>0.52</v>
      </c>
      <c r="AB7" s="28" t="n">
        <v>0.000769</v>
      </c>
      <c r="AC7" s="30" t="n">
        <v>0.9258999999999999</v>
      </c>
      <c r="AD7" s="24" t="inlineStr">
        <is>
          <t>2026-09-06T22:02:58.143841Z</t>
        </is>
      </c>
      <c r="AE7" s="31" t="inlineStr">
        <is>
          <t>Neutral Elo baseline; executable ask 0.5200 (market_slug=aec-r6-l5-bd-2026-09-06).</t>
        </is>
      </c>
      <c r="AF7" s="31" t="inlineStr">
        <is>
          <t>Config-promoted esports baseline; gates enforced at log time.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paper_call</t>
        </is>
      </c>
      <c r="AL7" s="26" t="n">
        <v>4</v>
      </c>
      <c r="AM7" s="24" t="inlineStr">
        <is>
          <t>RESEARCH_OBSERVATION</t>
        </is>
      </c>
      <c r="AN7" s="24" t="inlineStr">
        <is>
          <t>CALL</t>
        </is>
      </c>
      <c r="AO7" s="24" t="inlineStr">
        <is>
          <t>PAPER_CALL_LOW_EDGE</t>
        </is>
      </c>
      <c r="AP7" s="24" t="inlineStr">
        <is>
          <t>Black Dragons e-Sports</t>
        </is>
      </c>
      <c r="AQ7" s="24" t="inlineStr">
        <is>
          <t>Black Dragons e-Sports</t>
        </is>
      </c>
      <c r="AR7" s="24" t="inlineStr">
        <is>
          <t>Black Dragons e-Sports</t>
        </is>
      </c>
      <c r="AS7" s="24" t="inlineStr">
        <is>
          <t>Lucky Five</t>
        </is>
      </c>
      <c r="AT7" s="24" t="inlineStr">
        <is>
          <t>Lucky Five</t>
        </is>
      </c>
      <c r="AU7" s="24" t="inlineStr">
        <is>
          <t>Lucky Five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research</t>
        </is>
      </c>
      <c r="BA7" s="24" t="inlineStr">
        <is>
          <t>0c3327b687d0a13dd438e3cac429ec2853fcd1e81b9808bd9c1896f2c1c1edc1</t>
        </is>
      </c>
      <c r="BB7" s="24" t="inlineStr">
        <is>
          <t>neutral_elo</t>
        </is>
      </c>
      <c r="BC7" s="24" t="inlineStr">
        <is>
          <t>rainbow_six-tiered-elo-v6</t>
        </is>
      </c>
      <c r="BD7" s="24" t="inlineStr">
        <is>
          <t>0c3327b687d0a13dd438e3cac429ec2853fcd1e81b9808bd9c1896f2c1c1edc1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rainbow_six-tiered-elo-v6</t>
        </is>
      </c>
      <c r="BH7" s="24" t="inlineStr">
        <is>
          <t>2026-09-06T16:03:58.172953Z</t>
        </is>
      </c>
      <c r="BI7" s="24" t="inlineStr">
        <is>
          <t>["same_event","same_team_same_day","same_league_same_day"]</t>
        </is>
      </c>
      <c r="BJ7" s="25" t="n"/>
      <c r="BK7" s="26" t="n">
        <v>-108</v>
      </c>
      <c r="BL7" s="27" t="n">
        <v>1.925926</v>
      </c>
      <c r="BM7" s="28" t="n">
        <v>0.519231</v>
      </c>
      <c r="BN7" s="28" t="n"/>
      <c r="BO7" s="28" t="n"/>
      <c r="BP7" s="25" t="n"/>
      <c r="BQ7" s="27" t="n">
        <v>1.925926</v>
      </c>
      <c r="BR7" s="28" t="n">
        <v>0.52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True</t>
        </is>
      </c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inlineStr">
        <is>
          <t>0.519231</t>
        </is>
      </c>
      <c r="DK7" s="24" t="n"/>
      <c r="DL7" s="24" t="n"/>
      <c r="DM7" s="24" t="n"/>
      <c r="DN7" s="24" t="n"/>
      <c r="DO7" s="24" t="n"/>
      <c r="DP7" s="24" t="n"/>
      <c r="DQ7" s="24" t="n"/>
    </row>
    <row r="8" ht="36" customHeight="1">
      <c r="A8" s="24" t="inlineStr">
        <is>
          <t>e0047a2c2ac64baa</t>
        </is>
      </c>
      <c r="B8" s="24" t="inlineStr">
        <is>
          <t>2026-09-06T16:03:59.730607Z</t>
        </is>
      </c>
      <c r="C8" s="24" t="inlineStr">
        <is>
          <t>2026-09-06T19:45:00Z</t>
        </is>
      </c>
      <c r="D8" s="24" t="inlineStr">
        <is>
          <t>102089</t>
        </is>
      </c>
      <c r="E8" s="24" t="inlineStr">
        <is>
          <t>RAINBOW_SIX</t>
        </is>
      </c>
      <c r="F8" s="24" t="inlineStr">
        <is>
          <t>LOS</t>
        </is>
      </c>
      <c r="G8" s="24" t="inlineStr">
        <is>
          <t>LOUD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117</v>
      </c>
      <c r="M8" s="27" t="n">
        <v>2.17</v>
      </c>
      <c r="N8" s="28" t="n">
        <v>0.460829</v>
      </c>
      <c r="O8" s="28" t="n">
        <v>0.575813</v>
      </c>
      <c r="P8" s="28" t="n"/>
      <c r="Q8" s="28" t="n">
        <v>0.114984</v>
      </c>
      <c r="R8" s="26" t="n">
        <v>77</v>
      </c>
      <c r="S8" s="29" t="n">
        <v>1.5</v>
      </c>
      <c r="T8" s="24" t="inlineStr">
        <is>
          <t>rainbow_six-tiered-elo-v6</t>
        </is>
      </c>
      <c r="U8" s="24" t="inlineStr">
        <is>
          <t>settled</t>
        </is>
      </c>
      <c r="V8" s="24" t="inlineStr">
        <is>
          <t>loss</t>
        </is>
      </c>
      <c r="W8" s="26" t="n">
        <v>1</v>
      </c>
      <c r="X8" s="26" t="n">
        <v>0</v>
      </c>
      <c r="Y8" s="25" t="n"/>
      <c r="Z8" s="26" t="n">
        <v>117</v>
      </c>
      <c r="AA8" s="28" t="n">
        <v>0.46</v>
      </c>
      <c r="AB8" s="28" t="n">
        <v>-0.000829</v>
      </c>
      <c r="AC8" s="30" t="n">
        <v>-1.5</v>
      </c>
      <c r="AD8" s="24" t="inlineStr">
        <is>
          <t>2026-09-06T22:02:58.272171Z</t>
        </is>
      </c>
      <c r="AE8" s="31" t="inlineStr">
        <is>
          <t>Neutral Elo baseline; executable ask 0.4600 (market_slug=aec-r6-loud-los-2026-09-06).</t>
        </is>
      </c>
      <c r="AF8" s="31" t="inlineStr">
        <is>
          <t>Config-promoted esports baseline; gates enforced at log time.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model_qualified</t>
        </is>
      </c>
      <c r="AL8" s="26" t="n">
        <v>4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LOS</t>
        </is>
      </c>
      <c r="AQ8" s="24" t="inlineStr">
        <is>
          <t>LOS</t>
        </is>
      </c>
      <c r="AR8" s="24" t="inlineStr">
        <is>
          <t>LOS</t>
        </is>
      </c>
      <c r="AS8" s="24" t="inlineStr">
        <is>
          <t>LOUD</t>
        </is>
      </c>
      <c r="AT8" s="24" t="inlineStr">
        <is>
          <t>LOUD</t>
        </is>
      </c>
      <c r="AU8" s="24" t="inlineStr">
        <is>
          <t>LOUD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research</t>
        </is>
      </c>
      <c r="BA8" s="24" t="inlineStr">
        <is>
          <t>0c3327b687d0a13dd438e3cac429ec2853fcd1e81b9808bd9c1896f2c1c1edc1</t>
        </is>
      </c>
      <c r="BB8" s="24" t="inlineStr">
        <is>
          <t>neutral_elo</t>
        </is>
      </c>
      <c r="BC8" s="24" t="inlineStr">
        <is>
          <t>rainbow_six-tiered-elo-v6</t>
        </is>
      </c>
      <c r="BD8" s="24" t="inlineStr">
        <is>
          <t>0c3327b687d0a13dd438e3cac429ec2853fcd1e81b9808bd9c1896f2c1c1edc1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rainbow_six-tiered-elo-v6</t>
        </is>
      </c>
      <c r="BH8" s="24" t="inlineStr">
        <is>
          <t>2026-09-06T16:03:58.251590Z</t>
        </is>
      </c>
      <c r="BI8" s="24" t="inlineStr">
        <is>
          <t>["same_event","same_team_same_day","same_league_same_day"]</t>
        </is>
      </c>
      <c r="BJ8" s="25" t="n"/>
      <c r="BK8" s="26" t="n">
        <v>117</v>
      </c>
      <c r="BL8" s="27" t="n">
        <v>2.17</v>
      </c>
      <c r="BM8" s="28" t="n">
        <v>0.460829</v>
      </c>
      <c r="BN8" s="28" t="n"/>
      <c r="BO8" s="28" t="n"/>
      <c r="BP8" s="25" t="n"/>
      <c r="BQ8" s="27" t="n">
        <v>2.17</v>
      </c>
      <c r="BR8" s="28" t="n">
        <v>0.46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True</t>
        </is>
      </c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inlineStr">
        <is>
          <t>0.460829</t>
        </is>
      </c>
      <c r="DK8" s="24" t="n"/>
      <c r="DL8" s="24" t="n"/>
      <c r="DM8" s="24" t="n"/>
      <c r="DN8" s="24" t="n"/>
      <c r="DO8" s="24" t="n"/>
      <c r="DP8" s="24" t="n"/>
      <c r="DQ8" s="24" t="n"/>
    </row>
    <row r="9" ht="36" customHeight="1">
      <c r="A9" s="24" t="inlineStr">
        <is>
          <t>680b189943244cf7</t>
        </is>
      </c>
      <c r="B9" s="24" t="inlineStr">
        <is>
          <t>2026-09-07T04:34:12.701031Z</t>
        </is>
      </c>
      <c r="C9" s="24" t="inlineStr">
        <is>
          <t>2026-09-07T09:00:00Z</t>
        </is>
      </c>
      <c r="D9" s="24" t="inlineStr">
        <is>
          <t>102356</t>
        </is>
      </c>
      <c r="E9" s="24" t="inlineStr">
        <is>
          <t>RAINBOW_SIX</t>
        </is>
      </c>
      <c r="F9" s="24" t="inlineStr">
        <is>
          <t>Man eSports LFO</t>
        </is>
      </c>
      <c r="G9" s="24" t="inlineStr">
        <is>
          <t>Arcade Esports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-194</v>
      </c>
      <c r="M9" s="27" t="n">
        <v>1.515464</v>
      </c>
      <c r="N9" s="28" t="n">
        <v>0.659864</v>
      </c>
      <c r="O9" s="28" t="n">
        <v>0.602392</v>
      </c>
      <c r="P9" s="28" t="n"/>
      <c r="Q9" s="28" t="n">
        <v>-0.057472</v>
      </c>
      <c r="R9" s="26" t="n">
        <v>0</v>
      </c>
      <c r="S9" s="29" t="n">
        <v>1</v>
      </c>
      <c r="T9" s="24" t="inlineStr">
        <is>
          <t>rainbow_six-tiered-elo-v6</t>
        </is>
      </c>
      <c r="U9" s="24" t="inlineStr">
        <is>
          <t>settled</t>
        </is>
      </c>
      <c r="V9" s="24" t="inlineStr">
        <is>
          <t>win</t>
        </is>
      </c>
      <c r="W9" s="26" t="n">
        <v>1</v>
      </c>
      <c r="X9" s="26" t="n">
        <v>0</v>
      </c>
      <c r="Y9" s="25" t="n"/>
      <c r="Z9" s="26" t="n">
        <v>-194</v>
      </c>
      <c r="AA9" s="28" t="n">
        <v>0.66</v>
      </c>
      <c r="AB9" s="28" t="n">
        <v>0.000136</v>
      </c>
      <c r="AC9" s="30" t="n">
        <v>0.5155</v>
      </c>
      <c r="AD9" s="24" t="inlineStr">
        <is>
          <t>2026-09-07T16:01:52.245109Z</t>
        </is>
      </c>
      <c r="AE9" s="31" t="inlineStr">
        <is>
          <t>Neutral Elo baseline; executable ask 0.6600 (market_slug=aec-r6-arc-man-2026-09-07).</t>
        </is>
      </c>
      <c r="AF9" s="31" t="inlineStr">
        <is>
          <t>Config-promoted esports baseline; gates enforced at log time.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paper_call</t>
        </is>
      </c>
      <c r="AL9" s="26" t="n">
        <v>4</v>
      </c>
      <c r="AM9" s="24" t="inlineStr">
        <is>
          <t>RESEARCH_OBSERVATION</t>
        </is>
      </c>
      <c r="AN9" s="24" t="inlineStr">
        <is>
          <t>CALL</t>
        </is>
      </c>
      <c r="AO9" s="24" t="inlineStr">
        <is>
          <t>PAPER_CALL_LOW_EDGE</t>
        </is>
      </c>
      <c r="AP9" s="24" t="inlineStr">
        <is>
          <t>Man eSports LFO</t>
        </is>
      </c>
      <c r="AQ9" s="24" t="inlineStr">
        <is>
          <t>Man eSports LFO</t>
        </is>
      </c>
      <c r="AR9" s="24" t="inlineStr">
        <is>
          <t>Man eSports LFO</t>
        </is>
      </c>
      <c r="AS9" s="24" t="inlineStr">
        <is>
          <t>Arcade Esports</t>
        </is>
      </c>
      <c r="AT9" s="24" t="inlineStr">
        <is>
          <t>Arcade Esports</t>
        </is>
      </c>
      <c r="AU9" s="24" t="inlineStr">
        <is>
          <t>Arcade Esports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research</t>
        </is>
      </c>
      <c r="BA9" s="24" t="inlineStr">
        <is>
          <t>17e4573cf2f00370b231bb789e28ed02b9174ae2a31ea9ecd2a30c9648ab3eac</t>
        </is>
      </c>
      <c r="BB9" s="24" t="inlineStr">
        <is>
          <t>neutral_elo</t>
        </is>
      </c>
      <c r="BC9" s="24" t="inlineStr">
        <is>
          <t>rainbow_six-tiered-elo-v6</t>
        </is>
      </c>
      <c r="BD9" s="24" t="inlineStr">
        <is>
          <t>17e4573cf2f00370b231bb789e28ed02b9174ae2a31ea9ecd2a30c9648ab3eac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rainbow_six-tiered-elo-v6</t>
        </is>
      </c>
      <c r="BH9" s="24" t="inlineStr">
        <is>
          <t>2026-09-07T04:34:11.588612Z</t>
        </is>
      </c>
      <c r="BI9" s="24" t="inlineStr">
        <is>
          <t>["same_event","same_team_same_day","same_league_same_day"]</t>
        </is>
      </c>
      <c r="BJ9" s="25" t="n"/>
      <c r="BK9" s="26" t="n">
        <v>-194</v>
      </c>
      <c r="BL9" s="27" t="n">
        <v>1.515464</v>
      </c>
      <c r="BM9" s="28" t="n">
        <v>0.659864</v>
      </c>
      <c r="BN9" s="28" t="n"/>
      <c r="BO9" s="28" t="n"/>
      <c r="BP9" s="25" t="n"/>
      <c r="BQ9" s="27" t="n">
        <v>1.515464</v>
      </c>
      <c r="BR9" s="28" t="n">
        <v>0.66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False</t>
        </is>
      </c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inlineStr">
        <is>
          <t>0.659864</t>
        </is>
      </c>
      <c r="DK9" s="24" t="n"/>
      <c r="DL9" s="24" t="n"/>
      <c r="DM9" s="24" t="n"/>
      <c r="DN9" s="24" t="n"/>
      <c r="DO9" s="24" t="n"/>
      <c r="DP9" s="24" t="n"/>
      <c r="DQ9" s="24" t="n"/>
    </row>
    <row r="10" ht="36" customHeight="1">
      <c r="A10" s="24" t="inlineStr">
        <is>
          <t>6ad802681a2445e9</t>
        </is>
      </c>
      <c r="B10" s="24" t="inlineStr">
        <is>
          <t>2026-09-07T16:03:47.999920Z</t>
        </is>
      </c>
      <c r="C10" s="24" t="inlineStr">
        <is>
          <t>2026-09-07T19:00:00Z</t>
        </is>
      </c>
      <c r="D10" s="24" t="inlineStr">
        <is>
          <t>102682</t>
        </is>
      </c>
      <c r="E10" s="24" t="inlineStr">
        <is>
          <t>RAINBOW_SIX</t>
        </is>
      </c>
      <c r="F10" s="24" t="inlineStr">
        <is>
          <t>Team Secret</t>
        </is>
      </c>
      <c r="G10" s="24" t="inlineStr">
        <is>
          <t>Shifters</t>
        </is>
      </c>
      <c r="H10" s="24" t="inlineStr">
        <is>
          <t>moneyline</t>
        </is>
      </c>
      <c r="I10" s="24" t="inlineStr">
        <is>
          <t>away</t>
        </is>
      </c>
      <c r="J10" s="25" t="n"/>
      <c r="K10" s="24" t="inlineStr">
        <is>
          <t>polymarket_us</t>
        </is>
      </c>
      <c r="L10" s="26" t="n">
        <v>104</v>
      </c>
      <c r="M10" s="27" t="n">
        <v>2.04</v>
      </c>
      <c r="N10" s="28" t="n">
        <v>0.490196</v>
      </c>
      <c r="O10" s="28" t="n">
        <v>0.5751810000000001</v>
      </c>
      <c r="P10" s="28" t="n"/>
      <c r="Q10" s="28" t="n">
        <v>0.084985</v>
      </c>
      <c r="R10" s="26" t="n">
        <v>62</v>
      </c>
      <c r="S10" s="29" t="n">
        <v>1.25</v>
      </c>
      <c r="T10" s="24" t="inlineStr">
        <is>
          <t>rainbow_six-tiered-elo-v6</t>
        </is>
      </c>
      <c r="U10" s="24" t="inlineStr">
        <is>
          <t>settled</t>
        </is>
      </c>
      <c r="V10" s="24" t="inlineStr">
        <is>
          <t>loss</t>
        </is>
      </c>
      <c r="W10" s="26" t="n">
        <v>0</v>
      </c>
      <c r="X10" s="26" t="n">
        <v>1</v>
      </c>
      <c r="Y10" s="25" t="n"/>
      <c r="Z10" s="26" t="n">
        <v>-138</v>
      </c>
      <c r="AA10" s="28" t="n">
        <v>0.58</v>
      </c>
      <c r="AB10" s="28" t="n">
        <v>0.08980399999999999</v>
      </c>
      <c r="AC10" s="30" t="n">
        <v>-1.25</v>
      </c>
      <c r="AD10" s="24" t="inlineStr">
        <is>
          <t>2026-09-07T22:03:04.835347Z</t>
        </is>
      </c>
      <c r="AE10" s="31" t="inlineStr">
        <is>
          <t>Neutral Elo baseline; executable ask 0.4900 (market_slug=aec-r6-shi-secret-2026-09-07).</t>
        </is>
      </c>
      <c r="AF10" s="31" t="inlineStr">
        <is>
          <t>Config-promoted esports baseline; gates enforced at log time.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4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Team Secret</t>
        </is>
      </c>
      <c r="AQ10" s="24" t="inlineStr">
        <is>
          <t>Team Secret</t>
        </is>
      </c>
      <c r="AR10" s="24" t="inlineStr">
        <is>
          <t>Team Secret</t>
        </is>
      </c>
      <c r="AS10" s="24" t="inlineStr">
        <is>
          <t>Shifters</t>
        </is>
      </c>
      <c r="AT10" s="24" t="inlineStr">
        <is>
          <t>Shifters</t>
        </is>
      </c>
      <c r="AU10" s="24" t="inlineStr">
        <is>
          <t>Shifters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research</t>
        </is>
      </c>
      <c r="BA10" s="24" t="inlineStr">
        <is>
          <t>079800066258b1ff76531bd8980458fa718ecd6788a485ce166f6d9d7dcf7463</t>
        </is>
      </c>
      <c r="BB10" s="24" t="inlineStr">
        <is>
          <t>neutral_elo</t>
        </is>
      </c>
      <c r="BC10" s="24" t="inlineStr">
        <is>
          <t>rainbow_six-tiered-elo-v6</t>
        </is>
      </c>
      <c r="BD10" s="24" t="inlineStr">
        <is>
          <t>079800066258b1ff76531bd8980458fa718ecd6788a485ce166f6d9d7dcf7463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rainbow_six-tiered-elo-v6</t>
        </is>
      </c>
      <c r="BH10" s="24" t="inlineStr">
        <is>
          <t>2026-09-07T16:03:46.395251Z</t>
        </is>
      </c>
      <c r="BI10" s="24" t="inlineStr">
        <is>
          <t>["same_event","same_team_same_day","same_league_same_day"]</t>
        </is>
      </c>
      <c r="BJ10" s="25" t="n"/>
      <c r="BK10" s="26" t="n">
        <v>104</v>
      </c>
      <c r="BL10" s="27" t="n">
        <v>2.04</v>
      </c>
      <c r="BM10" s="28" t="n">
        <v>0.490196</v>
      </c>
      <c r="BN10" s="28" t="n"/>
      <c r="BO10" s="28" t="n"/>
      <c r="BP10" s="25" t="n"/>
      <c r="BQ10" s="27" t="n">
        <v>1.724638</v>
      </c>
      <c r="BR10" s="28" t="n">
        <v>0.58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True</t>
        </is>
      </c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inlineStr">
        <is>
          <t>0.490196</t>
        </is>
      </c>
      <c r="DK10" s="24" t="n"/>
      <c r="DL10" s="24" t="n"/>
      <c r="DM10" s="24" t="n"/>
      <c r="DN10" s="24" t="n"/>
      <c r="DO10" s="24" t="n"/>
      <c r="DP10" s="24" t="n"/>
      <c r="DQ10" s="24" t="n"/>
    </row>
    <row r="11" ht="36" customHeight="1">
      <c r="A11" s="24" t="inlineStr">
        <is>
          <t>bdde8ac48db947dd</t>
        </is>
      </c>
      <c r="B11" s="24" t="inlineStr">
        <is>
          <t>2026-09-08T04:36:09.084725Z</t>
        </is>
      </c>
      <c r="C11" s="24" t="inlineStr">
        <is>
          <t>2026-09-08T08:00:00Z</t>
        </is>
      </c>
      <c r="D11" s="24" t="inlineStr">
        <is>
          <t>103034</t>
        </is>
      </c>
      <c r="E11" s="24" t="inlineStr">
        <is>
          <t>RAINBOW_SIX</t>
        </is>
      </c>
      <c r="F11" s="24" t="inlineStr">
        <is>
          <t>7VEN</t>
        </is>
      </c>
      <c r="G11" s="24" t="inlineStr">
        <is>
          <t>Shaiikademy</t>
        </is>
      </c>
      <c r="H11" s="24" t="inlineStr">
        <is>
          <t>moneyline</t>
        </is>
      </c>
      <c r="I11" s="24" t="inlineStr">
        <is>
          <t>home</t>
        </is>
      </c>
      <c r="J11" s="25" t="n"/>
      <c r="K11" s="24" t="inlineStr">
        <is>
          <t>polymarket_us</t>
        </is>
      </c>
      <c r="L11" s="26" t="n">
        <v>-117</v>
      </c>
      <c r="M11" s="27" t="n">
        <v>1.854701</v>
      </c>
      <c r="N11" s="28" t="n">
        <v>0.539171</v>
      </c>
      <c r="O11" s="28" t="n">
        <v>0.550497</v>
      </c>
      <c r="P11" s="28" t="n"/>
      <c r="Q11" s="28" t="n">
        <v>0.011326</v>
      </c>
      <c r="R11" s="26" t="n">
        <v>26</v>
      </c>
      <c r="S11" s="29" t="n">
        <v>1</v>
      </c>
      <c r="T11" s="24" t="inlineStr">
        <is>
          <t>rainbow_six-tiered-elo-v6</t>
        </is>
      </c>
      <c r="U11" s="24" t="inlineStr">
        <is>
          <t>settled</t>
        </is>
      </c>
      <c r="V11" s="24" t="inlineStr">
        <is>
          <t>loss</t>
        </is>
      </c>
      <c r="W11" s="26" t="n">
        <v>1</v>
      </c>
      <c r="X11" s="26" t="n">
        <v>0</v>
      </c>
      <c r="Y11" s="25" t="n"/>
      <c r="Z11" s="26" t="n">
        <v>-117</v>
      </c>
      <c r="AA11" s="28" t="n">
        <v>0.54</v>
      </c>
      <c r="AB11" s="28" t="n">
        <v>0.000829</v>
      </c>
      <c r="AC11" s="30" t="n">
        <v>-1</v>
      </c>
      <c r="AD11" s="24" t="inlineStr">
        <is>
          <t>2026-09-08T10:02:36.817371Z</t>
        </is>
      </c>
      <c r="AE11" s="31" t="inlineStr">
        <is>
          <t>Neutral Elo baseline; executable ask 0.5400 (market_slug=aec-r6-sha-7ven-2026-09-08).</t>
        </is>
      </c>
      <c r="AF11" s="31" t="inlineStr">
        <is>
          <t>Config-promoted esports baseline; gates enforced at log time.</t>
        </is>
      </c>
      <c r="AG11" s="24" t="inlineStr">
        <is>
          <t>review_required</t>
        </is>
      </c>
      <c r="AH11" s="24" t="n"/>
      <c r="AI11" s="31" t="n"/>
      <c r="AJ11" s="31" t="n"/>
      <c r="AK11" s="24" t="inlineStr">
        <is>
          <t>paper_call</t>
        </is>
      </c>
      <c r="AL11" s="26" t="n">
        <v>4</v>
      </c>
      <c r="AM11" s="24" t="inlineStr">
        <is>
          <t>RESEARCH_OBSERVATION</t>
        </is>
      </c>
      <c r="AN11" s="24" t="inlineStr">
        <is>
          <t>CALL</t>
        </is>
      </c>
      <c r="AO11" s="24" t="inlineStr">
        <is>
          <t>PAPER_CALL_LOW_EDGE</t>
        </is>
      </c>
      <c r="AP11" s="24" t="inlineStr">
        <is>
          <t>7VEN</t>
        </is>
      </c>
      <c r="AQ11" s="24" t="inlineStr">
        <is>
          <t>7VEN</t>
        </is>
      </c>
      <c r="AR11" s="24" t="inlineStr">
        <is>
          <t>7VEN</t>
        </is>
      </c>
      <c r="AS11" s="24" t="inlineStr">
        <is>
          <t>Shaiikademy</t>
        </is>
      </c>
      <c r="AT11" s="24" t="inlineStr">
        <is>
          <t>Shaiikademy</t>
        </is>
      </c>
      <c r="AU11" s="24" t="inlineStr">
        <is>
          <t>Shaiikademy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research</t>
        </is>
      </c>
      <c r="BA11" s="24" t="inlineStr">
        <is>
          <t>bd8234dc9af0a866257b2e5f443f4e6e976d8b0d83cba3e369e6cf530398385d</t>
        </is>
      </c>
      <c r="BB11" s="24" t="inlineStr">
        <is>
          <t>neutral_elo</t>
        </is>
      </c>
      <c r="BC11" s="24" t="inlineStr">
        <is>
          <t>rainbow_six-tiered-elo-v6</t>
        </is>
      </c>
      <c r="BD11" s="24" t="inlineStr">
        <is>
          <t>bd8234dc9af0a866257b2e5f443f4e6e976d8b0d83cba3e369e6cf530398385d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rainbow_six-tiered-elo-v6</t>
        </is>
      </c>
      <c r="BH11" s="24" t="inlineStr">
        <is>
          <t>2026-09-08T04:36:07.619295Z</t>
        </is>
      </c>
      <c r="BI11" s="24" t="inlineStr">
        <is>
          <t>["same_event","same_team_same_day","same_league_same_day"]</t>
        </is>
      </c>
      <c r="BJ11" s="25" t="n"/>
      <c r="BK11" s="26" t="n">
        <v>-117</v>
      </c>
      <c r="BL11" s="27" t="n">
        <v>1.854701</v>
      </c>
      <c r="BM11" s="28" t="n">
        <v>0.539171</v>
      </c>
      <c r="BN11" s="28" t="n"/>
      <c r="BO11" s="28" t="n"/>
      <c r="BP11" s="25" t="n"/>
      <c r="BQ11" s="27" t="n">
        <v>1.854701</v>
      </c>
      <c r="BR11" s="28" t="n">
        <v>0.54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True</t>
        </is>
      </c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inlineStr">
        <is>
          <t>0.539171</t>
        </is>
      </c>
      <c r="DK11" s="24" t="n"/>
      <c r="DL11" s="24" t="n"/>
      <c r="DM11" s="24" t="n"/>
      <c r="DN11" s="24" t="n"/>
      <c r="DO11" s="24" t="n"/>
      <c r="DP11" s="24" t="n"/>
      <c r="DQ11" s="24" t="n"/>
    </row>
    <row r="12" ht="36" customHeight="1">
      <c r="A12" s="24" t="inlineStr">
        <is>
          <t>9c1ad55d94e04c5c</t>
        </is>
      </c>
      <c r="B12" s="24" t="inlineStr">
        <is>
          <t>2026-09-08T16:17:14.147835Z</t>
        </is>
      </c>
      <c r="C12" s="24" t="inlineStr">
        <is>
          <t>2026-09-08T17:00:00Z</t>
        </is>
      </c>
      <c r="D12" s="24" t="inlineStr">
        <is>
          <t>103347</t>
        </is>
      </c>
      <c r="E12" s="24" t="inlineStr">
        <is>
          <t>RAINBOW_SIX</t>
        </is>
      </c>
      <c r="F12" s="24" t="inlineStr">
        <is>
          <t>Geekay Esports</t>
        </is>
      </c>
      <c r="G12" s="24" t="inlineStr">
        <is>
          <t>Shifters</t>
        </is>
      </c>
      <c r="H12" s="24" t="inlineStr">
        <is>
          <t>moneyline</t>
        </is>
      </c>
      <c r="I12" s="24" t="inlineStr">
        <is>
          <t>away</t>
        </is>
      </c>
      <c r="J12" s="25" t="n"/>
      <c r="K12" s="24" t="inlineStr">
        <is>
          <t>polymarket_us</t>
        </is>
      </c>
      <c r="L12" s="26" t="n">
        <v>-156</v>
      </c>
      <c r="M12" s="27" t="n">
        <v>1.641026</v>
      </c>
      <c r="N12" s="28" t="n">
        <v>0.609375</v>
      </c>
      <c r="O12" s="28" t="n">
        <v>0.658606</v>
      </c>
      <c r="P12" s="28" t="n"/>
      <c r="Q12" s="28" t="n">
        <v>0.049231</v>
      </c>
      <c r="R12" s="26" t="n">
        <v>45</v>
      </c>
      <c r="S12" s="29" t="n">
        <v>1</v>
      </c>
      <c r="T12" s="24" t="inlineStr">
        <is>
          <t>rainbow_six-tiered-elo-v6</t>
        </is>
      </c>
      <c r="U12" s="24" t="inlineStr">
        <is>
          <t>settled</t>
        </is>
      </c>
      <c r="V12" s="24" t="inlineStr">
        <is>
          <t>loss</t>
        </is>
      </c>
      <c r="W12" s="26" t="n">
        <v>0</v>
      </c>
      <c r="X12" s="26" t="n">
        <v>1</v>
      </c>
      <c r="Y12" s="25" t="n"/>
      <c r="Z12" s="26" t="n">
        <v>-163</v>
      </c>
      <c r="AA12" s="28" t="n">
        <v>0.62</v>
      </c>
      <c r="AB12" s="28" t="n">
        <v>0.010625</v>
      </c>
      <c r="AC12" s="30" t="n">
        <v>-1</v>
      </c>
      <c r="AD12" s="24" t="inlineStr">
        <is>
          <t>2026-09-08T23:00:46.860247Z</t>
        </is>
      </c>
      <c r="AE12" s="31" t="inlineStr">
        <is>
          <t>Neutral Elo baseline; executable ask 0.6100 (market_slug=aec-r6-shi-ge-2026-09-08).</t>
        </is>
      </c>
      <c r="AF12" s="31" t="inlineStr">
        <is>
          <t>Config-promoted esports baseline; gates enforced at log time.</t>
        </is>
      </c>
      <c r="AG12" s="24" t="inlineStr">
        <is>
          <t>review_required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4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Geekay Esports</t>
        </is>
      </c>
      <c r="AQ12" s="24" t="inlineStr">
        <is>
          <t>Geekay Esports</t>
        </is>
      </c>
      <c r="AR12" s="24" t="inlineStr">
        <is>
          <t>Geekay Esports</t>
        </is>
      </c>
      <c r="AS12" s="24" t="inlineStr">
        <is>
          <t>Shifters</t>
        </is>
      </c>
      <c r="AT12" s="24" t="inlineStr">
        <is>
          <t>Shifters</t>
        </is>
      </c>
      <c r="AU12" s="24" t="inlineStr">
        <is>
          <t>Shifters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research</t>
        </is>
      </c>
      <c r="BA12" s="24" t="inlineStr">
        <is>
          <t>be326b30a7d6da8a64ac7220729d16acd486cdd22cbab2b7b1eb8e02d10b4fa8</t>
        </is>
      </c>
      <c r="BB12" s="24" t="inlineStr">
        <is>
          <t>neutral_elo</t>
        </is>
      </c>
      <c r="BC12" s="24" t="inlineStr">
        <is>
          <t>rainbow_six-tiered-elo-v6</t>
        </is>
      </c>
      <c r="BD12" s="24" t="inlineStr">
        <is>
          <t>be326b30a7d6da8a64ac7220729d16acd486cdd22cbab2b7b1eb8e02d10b4fa8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rainbow_six-tiered-elo-v6</t>
        </is>
      </c>
      <c r="BH12" s="24" t="inlineStr">
        <is>
          <t>2026-09-08T16:17:13.259829Z</t>
        </is>
      </c>
      <c r="BI12" s="24" t="inlineStr">
        <is>
          <t>["same_event","same_team_same_day","same_league_same_day"]</t>
        </is>
      </c>
      <c r="BJ12" s="25" t="n"/>
      <c r="BK12" s="26" t="n">
        <v>-156</v>
      </c>
      <c r="BL12" s="27" t="n">
        <v>1.641026</v>
      </c>
      <c r="BM12" s="28" t="n">
        <v>0.609375</v>
      </c>
      <c r="BN12" s="28" t="n"/>
      <c r="BO12" s="28" t="n"/>
      <c r="BP12" s="25" t="n"/>
      <c r="BQ12" s="27" t="n">
        <v>1.613497</v>
      </c>
      <c r="BR12" s="28" t="n">
        <v>0.62</v>
      </c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True</t>
        </is>
      </c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inlineStr">
        <is>
          <t>0.609375</t>
        </is>
      </c>
      <c r="DK12" s="24" t="n"/>
      <c r="DL12" s="24" t="n"/>
      <c r="DM12" s="24" t="n"/>
      <c r="DN12" s="24" t="n"/>
      <c r="DO12" s="24" t="n"/>
      <c r="DP12" s="24" t="n"/>
      <c r="DQ12" s="24" t="n"/>
    </row>
    <row r="13" ht="36" customHeight="1">
      <c r="A13" s="24" t="inlineStr">
        <is>
          <t>e9a70bbd2f9b419c</t>
        </is>
      </c>
      <c r="B13" s="24" t="inlineStr">
        <is>
          <t>2026-09-08T16:17:14.147835Z</t>
        </is>
      </c>
      <c r="C13" s="24" t="inlineStr">
        <is>
          <t>2026-09-08T18:00:00Z</t>
        </is>
      </c>
      <c r="D13" s="24" t="inlineStr">
        <is>
          <t>103515</t>
        </is>
      </c>
      <c r="E13" s="24" t="inlineStr">
        <is>
          <t>RAINBOW_SIX</t>
        </is>
      </c>
      <c r="F13" s="24" t="inlineStr">
        <is>
          <t>Falcons Esport</t>
        </is>
      </c>
      <c r="G13" s="24" t="inlineStr">
        <is>
          <t>G2 Esports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-127</v>
      </c>
      <c r="M13" s="27" t="n">
        <v>1.787402</v>
      </c>
      <c r="N13" s="28" t="n">
        <v>0.5594710000000001</v>
      </c>
      <c r="O13" s="28" t="n">
        <v>0.503798</v>
      </c>
      <c r="P13" s="28" t="n"/>
      <c r="Q13" s="28" t="n">
        <v>-0.055673</v>
      </c>
      <c r="R13" s="26" t="n">
        <v>0</v>
      </c>
      <c r="S13" s="29" t="n">
        <v>1</v>
      </c>
      <c r="T13" s="24" t="inlineStr">
        <is>
          <t>rainbow_six-tiered-elo-v6</t>
        </is>
      </c>
      <c r="U13" s="24" t="inlineStr">
        <is>
          <t>settled</t>
        </is>
      </c>
      <c r="V13" s="24" t="inlineStr">
        <is>
          <t>loss</t>
        </is>
      </c>
      <c r="W13" s="26" t="n">
        <v>1</v>
      </c>
      <c r="X13" s="26" t="n">
        <v>0</v>
      </c>
      <c r="Y13" s="25" t="n"/>
      <c r="Z13" s="26" t="n">
        <v>-127</v>
      </c>
      <c r="AA13" s="28" t="n">
        <v>0.5600000000000001</v>
      </c>
      <c r="AB13" s="28" t="n">
        <v>0.000529</v>
      </c>
      <c r="AC13" s="30" t="n">
        <v>-1</v>
      </c>
      <c r="AD13" s="24" t="inlineStr">
        <is>
          <t>2026-09-08T23:00:47.285851Z</t>
        </is>
      </c>
      <c r="AE13" s="31" t="inlineStr">
        <is>
          <t>Neutral Elo baseline; executable ask 0.5600 (market_slug=aec-r6-g2-flcs-2026-09-08).</t>
        </is>
      </c>
      <c r="AF13" s="31" t="inlineStr">
        <is>
          <t>Config-promoted esports baseline; gates enforced at log time.</t>
        </is>
      </c>
      <c r="AG13" s="24" t="inlineStr">
        <is>
          <t>review_required</t>
        </is>
      </c>
      <c r="AH13" s="24" t="n"/>
      <c r="AI13" s="31" t="n"/>
      <c r="AJ13" s="31" t="n"/>
      <c r="AK13" s="24" t="inlineStr">
        <is>
          <t>paper_call</t>
        </is>
      </c>
      <c r="AL13" s="26" t="n">
        <v>4</v>
      </c>
      <c r="AM13" s="24" t="inlineStr">
        <is>
          <t>RESEARCH_OBSERVATION</t>
        </is>
      </c>
      <c r="AN13" s="24" t="inlineStr">
        <is>
          <t>CALL</t>
        </is>
      </c>
      <c r="AO13" s="24" t="inlineStr">
        <is>
          <t>PAPER_CALL_LOW_EDGE</t>
        </is>
      </c>
      <c r="AP13" s="24" t="inlineStr">
        <is>
          <t>Falcons Esport</t>
        </is>
      </c>
      <c r="AQ13" s="24" t="inlineStr">
        <is>
          <t>Falcons Esport</t>
        </is>
      </c>
      <c r="AR13" s="24" t="inlineStr">
        <is>
          <t>Falcons Esport</t>
        </is>
      </c>
      <c r="AS13" s="24" t="inlineStr">
        <is>
          <t>G2 Esports</t>
        </is>
      </c>
      <c r="AT13" s="24" t="inlineStr">
        <is>
          <t>G2 Esports</t>
        </is>
      </c>
      <c r="AU13" s="24" t="inlineStr">
        <is>
          <t>G2 Esports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research</t>
        </is>
      </c>
      <c r="BA13" s="24" t="inlineStr">
        <is>
          <t>be326b30a7d6da8a64ac7220729d16acd486cdd22cbab2b7b1eb8e02d10b4fa8</t>
        </is>
      </c>
      <c r="BB13" s="24" t="inlineStr">
        <is>
          <t>neutral_elo</t>
        </is>
      </c>
      <c r="BC13" s="24" t="inlineStr">
        <is>
          <t>rainbow_six-tiered-elo-v6</t>
        </is>
      </c>
      <c r="BD13" s="24" t="inlineStr">
        <is>
          <t>be326b30a7d6da8a64ac7220729d16acd486cdd22cbab2b7b1eb8e02d10b4fa8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rainbow_six-tiered-elo-v6</t>
        </is>
      </c>
      <c r="BH13" s="24" t="inlineStr">
        <is>
          <t>2026-09-08T16:17:13.323858Z</t>
        </is>
      </c>
      <c r="BI13" s="24" t="inlineStr">
        <is>
          <t>["same_event","same_team_same_day","same_league_same_day"]</t>
        </is>
      </c>
      <c r="BJ13" s="25" t="n"/>
      <c r="BK13" s="26" t="n">
        <v>-127</v>
      </c>
      <c r="BL13" s="27" t="n">
        <v>1.787402</v>
      </c>
      <c r="BM13" s="28" t="n">
        <v>0.5594710000000001</v>
      </c>
      <c r="BN13" s="28" t="n"/>
      <c r="BO13" s="28" t="n"/>
      <c r="BP13" s="25" t="n"/>
      <c r="BQ13" s="27" t="n">
        <v>1.787402</v>
      </c>
      <c r="BR13" s="28" t="n">
        <v>0.5600000000000001</v>
      </c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False</t>
        </is>
      </c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inlineStr">
        <is>
          <t>0.559471</t>
        </is>
      </c>
      <c r="DK13" s="24" t="n"/>
      <c r="DL13" s="24" t="n"/>
      <c r="DM13" s="24" t="n"/>
      <c r="DN13" s="24" t="n"/>
      <c r="DO13" s="24" t="n"/>
      <c r="DP13" s="24" t="n"/>
      <c r="DQ13" s="24" t="n"/>
    </row>
    <row r="14" ht="36" customHeight="1">
      <c r="A14" s="24" t="inlineStr">
        <is>
          <t>f1d87421ea16429d</t>
        </is>
      </c>
      <c r="B14" s="24" t="inlineStr">
        <is>
          <t>2026-09-09T16:04:46.574497Z</t>
        </is>
      </c>
      <c r="C14" s="24" t="inlineStr">
        <is>
          <t>2026-09-09T18:00:00Z</t>
        </is>
      </c>
      <c r="D14" s="24" t="inlineStr">
        <is>
          <t>104828</t>
        </is>
      </c>
      <c r="E14" s="24" t="inlineStr">
        <is>
          <t>RAINBOW_SIX</t>
        </is>
      </c>
      <c r="F14" s="24" t="inlineStr">
        <is>
          <t>Wildcard Gaming</t>
        </is>
      </c>
      <c r="G14" s="24" t="inlineStr">
        <is>
          <t>DarkZero Esports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-113</v>
      </c>
      <c r="M14" s="27" t="n">
        <v>1.884956</v>
      </c>
      <c r="N14" s="28" t="n">
        <v>0.530516</v>
      </c>
      <c r="O14" s="28" t="n">
        <v>0.558874</v>
      </c>
      <c r="P14" s="28" t="n"/>
      <c r="Q14" s="28" t="n">
        <v>0.028358</v>
      </c>
      <c r="R14" s="26" t="n">
        <v>34</v>
      </c>
      <c r="S14" s="29" t="n">
        <v>1</v>
      </c>
      <c r="T14" s="24" t="inlineStr">
        <is>
          <t>rainbow_six-tiered-elo-v6</t>
        </is>
      </c>
      <c r="U14" s="24" t="inlineStr">
        <is>
          <t>settled</t>
        </is>
      </c>
      <c r="V14" s="24" t="inlineStr">
        <is>
          <t>loss</t>
        </is>
      </c>
      <c r="W14" s="26" t="n">
        <v>1</v>
      </c>
      <c r="X14" s="26" t="n">
        <v>0</v>
      </c>
      <c r="Y14" s="25" t="n"/>
      <c r="Z14" s="26" t="n">
        <v>-113</v>
      </c>
      <c r="AA14" s="28" t="n">
        <v>0.53</v>
      </c>
      <c r="AB14" s="28" t="n">
        <v>-0.000516</v>
      </c>
      <c r="AC14" s="30" t="n">
        <v>-1</v>
      </c>
      <c r="AD14" s="24" t="inlineStr">
        <is>
          <t>2026-09-09T22:04:24.166644Z</t>
        </is>
      </c>
      <c r="AE14" s="31" t="inlineStr">
        <is>
          <t>Neutral Elo baseline; executable ask 0.5300 (market_slug=aec-r6-dz-wcg-2026-09-09).</t>
        </is>
      </c>
      <c r="AF14" s="31" t="inlineStr">
        <is>
          <t>Config-promoted esports baseline; gates enforced at log time.</t>
        </is>
      </c>
      <c r="AG14" s="24" t="inlineStr">
        <is>
          <t>review_required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4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Wildcard Gaming</t>
        </is>
      </c>
      <c r="AQ14" s="24" t="inlineStr">
        <is>
          <t>Wildcard Gaming</t>
        </is>
      </c>
      <c r="AR14" s="24" t="inlineStr">
        <is>
          <t>Wildcard Gaming</t>
        </is>
      </c>
      <c r="AS14" s="24" t="inlineStr">
        <is>
          <t>DarkZero Esports</t>
        </is>
      </c>
      <c r="AT14" s="24" t="inlineStr">
        <is>
          <t>DarkZero Esports</t>
        </is>
      </c>
      <c r="AU14" s="24" t="inlineStr">
        <is>
          <t>DarkZero Esports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research</t>
        </is>
      </c>
      <c r="BA14" s="24" t="inlineStr">
        <is>
          <t>21e2223551d91a62ecde2d827a4549cf5bb950fc1b2206e36f2cbf6a4855f026</t>
        </is>
      </c>
      <c r="BB14" s="24" t="inlineStr">
        <is>
          <t>neutral_elo</t>
        </is>
      </c>
      <c r="BC14" s="24" t="inlineStr">
        <is>
          <t>rainbow_six-tiered-elo-v6</t>
        </is>
      </c>
      <c r="BD14" s="24" t="inlineStr">
        <is>
          <t>21e2223551d91a62ecde2d827a4549cf5bb950fc1b2206e36f2cbf6a4855f026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rainbow_six-tiered-elo-v6</t>
        </is>
      </c>
      <c r="BH14" s="24" t="inlineStr">
        <is>
          <t>2026-09-09T16:04:45.399787Z</t>
        </is>
      </c>
      <c r="BI14" s="24" t="inlineStr">
        <is>
          <t>["same_event","same_team_same_day","same_league_same_day"]</t>
        </is>
      </c>
      <c r="BJ14" s="25" t="n"/>
      <c r="BK14" s="26" t="n">
        <v>-113</v>
      </c>
      <c r="BL14" s="27" t="n">
        <v>1.884956</v>
      </c>
      <c r="BM14" s="28" t="n">
        <v>0.530516</v>
      </c>
      <c r="BN14" s="28" t="n"/>
      <c r="BO14" s="28" t="n"/>
      <c r="BP14" s="25" t="n"/>
      <c r="BQ14" s="27" t="n">
        <v>1.884956</v>
      </c>
      <c r="BR14" s="28" t="n">
        <v>0.53</v>
      </c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True</t>
        </is>
      </c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inlineStr">
        <is>
          <t>0.530516</t>
        </is>
      </c>
      <c r="DK14" s="24" t="n"/>
      <c r="DL14" s="24" t="n"/>
      <c r="DM14" s="24" t="n"/>
      <c r="DN14" s="24" t="n"/>
      <c r="DO14" s="24" t="n"/>
      <c r="DP14" s="24" t="n"/>
      <c r="DQ14" s="24" t="n"/>
    </row>
    <row r="15" ht="36" customHeight="1">
      <c r="A15" s="24" t="inlineStr">
        <is>
          <t>d62f52ec71b841a1</t>
        </is>
      </c>
      <c r="B15" s="24" t="inlineStr">
        <is>
          <t>2026-09-09T16:04:46.574497Z</t>
        </is>
      </c>
      <c r="C15" s="24" t="inlineStr">
        <is>
          <t>2026-09-09T20:00:00Z</t>
        </is>
      </c>
      <c r="D15" s="24" t="inlineStr">
        <is>
          <t>105205</t>
        </is>
      </c>
      <c r="E15" s="24" t="inlineStr">
        <is>
          <t>RAINBOW_SIX</t>
        </is>
      </c>
      <c r="F15" s="24" t="inlineStr">
        <is>
          <t>Shopify Rebellion</t>
        </is>
      </c>
      <c r="G15" s="24" t="inlineStr">
        <is>
          <t>M80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-133</v>
      </c>
      <c r="M15" s="27" t="n">
        <v>1.75188</v>
      </c>
      <c r="N15" s="28" t="n">
        <v>0.570815</v>
      </c>
      <c r="O15" s="28" t="n">
        <v>0.545451</v>
      </c>
      <c r="P15" s="28" t="n"/>
      <c r="Q15" s="28" t="n">
        <v>-0.025364</v>
      </c>
      <c r="R15" s="26" t="n">
        <v>7</v>
      </c>
      <c r="S15" s="29" t="n">
        <v>1</v>
      </c>
      <c r="T15" s="24" t="inlineStr">
        <is>
          <t>rainbow_six-tiered-elo-v6</t>
        </is>
      </c>
      <c r="U15" s="24" t="inlineStr">
        <is>
          <t>settled</t>
        </is>
      </c>
      <c r="V15" s="24" t="inlineStr">
        <is>
          <t>loss</t>
        </is>
      </c>
      <c r="W15" s="26" t="n">
        <v>1</v>
      </c>
      <c r="X15" s="26" t="n">
        <v>0</v>
      </c>
      <c r="Y15" s="25" t="n"/>
      <c r="Z15" s="26" t="n">
        <v>-133</v>
      </c>
      <c r="AA15" s="28" t="n">
        <v>0.57</v>
      </c>
      <c r="AB15" s="28" t="n">
        <v>-0.000815</v>
      </c>
      <c r="AC15" s="30" t="n">
        <v>-1</v>
      </c>
      <c r="AD15" s="24" t="inlineStr">
        <is>
          <t>2026-09-09T22:04:24.495942Z</t>
        </is>
      </c>
      <c r="AE15" s="31" t="inlineStr">
        <is>
          <t>Neutral Elo baseline; executable ask 0.5700 (market_slug=aec-r6-m80-sr-2026-09-09).</t>
        </is>
      </c>
      <c r="AF15" s="31" t="inlineStr">
        <is>
          <t>Config-promoted esports baseline; gates enforced at log time.</t>
        </is>
      </c>
      <c r="AG15" s="24" t="inlineStr">
        <is>
          <t>review_required</t>
        </is>
      </c>
      <c r="AH15" s="24" t="n"/>
      <c r="AI15" s="31" t="n"/>
      <c r="AJ15" s="31" t="n"/>
      <c r="AK15" s="24" t="inlineStr">
        <is>
          <t>paper_call</t>
        </is>
      </c>
      <c r="AL15" s="26" t="n">
        <v>4</v>
      </c>
      <c r="AM15" s="24" t="inlineStr">
        <is>
          <t>RESEARCH_OBSERVATION</t>
        </is>
      </c>
      <c r="AN15" s="24" t="inlineStr">
        <is>
          <t>CALL</t>
        </is>
      </c>
      <c r="AO15" s="24" t="inlineStr">
        <is>
          <t>PAPER_CALL_LOW_EDGE</t>
        </is>
      </c>
      <c r="AP15" s="24" t="inlineStr">
        <is>
          <t>Shopify Rebellion</t>
        </is>
      </c>
      <c r="AQ15" s="24" t="inlineStr">
        <is>
          <t>Shopify Rebellion</t>
        </is>
      </c>
      <c r="AR15" s="24" t="inlineStr">
        <is>
          <t>Shopify Rebellion</t>
        </is>
      </c>
      <c r="AS15" s="24" t="inlineStr">
        <is>
          <t>M80</t>
        </is>
      </c>
      <c r="AT15" s="24" t="inlineStr">
        <is>
          <t>M80</t>
        </is>
      </c>
      <c r="AU15" s="24" t="inlineStr">
        <is>
          <t>M80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research</t>
        </is>
      </c>
      <c r="BA15" s="24" t="inlineStr">
        <is>
          <t>21e2223551d91a62ecde2d827a4549cf5bb950fc1b2206e36f2cbf6a4855f026</t>
        </is>
      </c>
      <c r="BB15" s="24" t="inlineStr">
        <is>
          <t>neutral_elo</t>
        </is>
      </c>
      <c r="BC15" s="24" t="inlineStr">
        <is>
          <t>rainbow_six-tiered-elo-v6</t>
        </is>
      </c>
      <c r="BD15" s="24" t="inlineStr">
        <is>
          <t>21e2223551d91a62ecde2d827a4549cf5bb950fc1b2206e36f2cbf6a4855f026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rainbow_six-tiered-elo-v6</t>
        </is>
      </c>
      <c r="BH15" s="24" t="inlineStr">
        <is>
          <t>2026-09-09T16:04:45.625016Z</t>
        </is>
      </c>
      <c r="BI15" s="24" t="inlineStr">
        <is>
          <t>["same_event","same_team_same_day","same_league_same_day"]</t>
        </is>
      </c>
      <c r="BJ15" s="25" t="n"/>
      <c r="BK15" s="26" t="n">
        <v>-133</v>
      </c>
      <c r="BL15" s="27" t="n">
        <v>1.75188</v>
      </c>
      <c r="BM15" s="28" t="n">
        <v>0.570815</v>
      </c>
      <c r="BN15" s="28" t="n"/>
      <c r="BO15" s="28" t="n"/>
      <c r="BP15" s="25" t="n"/>
      <c r="BQ15" s="27" t="n">
        <v>1.75188</v>
      </c>
      <c r="BR15" s="28" t="n">
        <v>0.57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False</t>
        </is>
      </c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inlineStr">
        <is>
          <t>0.570815</t>
        </is>
      </c>
      <c r="DK15" s="24" t="n"/>
      <c r="DL15" s="24" t="n"/>
      <c r="DM15" s="24" t="n"/>
      <c r="DN15" s="24" t="n"/>
      <c r="DO15" s="24" t="n"/>
      <c r="DP15" s="24" t="n"/>
      <c r="DQ15" s="24" t="n"/>
    </row>
    <row r="16" ht="36" customHeight="1">
      <c r="A16" s="24" t="inlineStr">
        <is>
          <t>021c2f8f86a44f19</t>
        </is>
      </c>
      <c r="B16" s="24" t="inlineStr">
        <is>
          <t>2026-09-11T16:05:31.003662Z</t>
        </is>
      </c>
      <c r="C16" s="24" t="inlineStr">
        <is>
          <t>2026-09-11T18:00:00Z</t>
        </is>
      </c>
      <c r="D16" s="24" t="inlineStr">
        <is>
          <t>107090</t>
        </is>
      </c>
      <c r="E16" s="24" t="inlineStr">
        <is>
          <t>RAINBOW_SIX</t>
        </is>
      </c>
      <c r="F16" s="24" t="inlineStr">
        <is>
          <t>M80</t>
        </is>
      </c>
      <c r="G16" s="24" t="inlineStr">
        <is>
          <t>Spacestation Gaming</t>
        </is>
      </c>
      <c r="H16" s="24" t="inlineStr">
        <is>
          <t>moneyline</t>
        </is>
      </c>
      <c r="I16" s="24" t="inlineStr">
        <is>
          <t>away</t>
        </is>
      </c>
      <c r="J16" s="25" t="n"/>
      <c r="K16" s="24" t="inlineStr">
        <is>
          <t>polymarket_us</t>
        </is>
      </c>
      <c r="L16" s="26" t="n">
        <v>-213</v>
      </c>
      <c r="M16" s="27" t="n">
        <v>1.469484</v>
      </c>
      <c r="N16" s="28" t="n">
        <v>0.680511</v>
      </c>
      <c r="O16" s="28" t="n">
        <v>0.519766</v>
      </c>
      <c r="P16" s="28" t="n"/>
      <c r="Q16" s="28" t="n">
        <v>-0.160745</v>
      </c>
      <c r="R16" s="26" t="n">
        <v>0</v>
      </c>
      <c r="S16" s="29" t="n">
        <v>1</v>
      </c>
      <c r="T16" s="24" t="inlineStr">
        <is>
          <t>rainbow_six-tiered-elo-v6</t>
        </is>
      </c>
      <c r="U16" s="24" t="inlineStr">
        <is>
          <t>settled</t>
        </is>
      </c>
      <c r="V16" s="24" t="inlineStr">
        <is>
          <t>loss</t>
        </is>
      </c>
      <c r="W16" s="26" t="n">
        <v>0</v>
      </c>
      <c r="X16" s="26" t="n">
        <v>1</v>
      </c>
      <c r="Y16" s="25" t="n"/>
      <c r="Z16" s="26" t="n">
        <v>-213</v>
      </c>
      <c r="AA16" s="28" t="n">
        <v>0.68</v>
      </c>
      <c r="AB16" s="28" t="n">
        <v>-0.000511</v>
      </c>
      <c r="AC16" s="30" t="n">
        <v>-1</v>
      </c>
      <c r="AD16" s="24" t="inlineStr">
        <is>
          <t>2026-09-11T22:02:31.881668Z</t>
        </is>
      </c>
      <c r="AE16" s="31" t="inlineStr">
        <is>
          <t>Neutral Elo baseline; executable ask 0.6800 (market_slug=aec-r6-ssg-m80-2026-09-11).</t>
        </is>
      </c>
      <c r="AF16" s="31" t="inlineStr">
        <is>
          <t>Config-promoted esports baseline; gates enforced at log time.</t>
        </is>
      </c>
      <c r="AG16" s="24" t="inlineStr">
        <is>
          <t>review_required</t>
        </is>
      </c>
      <c r="AH16" s="24" t="n"/>
      <c r="AI16" s="31" t="n"/>
      <c r="AJ16" s="31" t="n"/>
      <c r="AK16" s="24" t="inlineStr">
        <is>
          <t>paper_call</t>
        </is>
      </c>
      <c r="AL16" s="26" t="n">
        <v>4</v>
      </c>
      <c r="AM16" s="24" t="inlineStr">
        <is>
          <t>RESEARCH_OBSERVATION</t>
        </is>
      </c>
      <c r="AN16" s="24" t="inlineStr">
        <is>
          <t>CALL</t>
        </is>
      </c>
      <c r="AO16" s="24" t="inlineStr">
        <is>
          <t>PAPER_CALL_LOW_EDGE</t>
        </is>
      </c>
      <c r="AP16" s="24" t="inlineStr">
        <is>
          <t>M80</t>
        </is>
      </c>
      <c r="AQ16" s="24" t="inlineStr">
        <is>
          <t>M80</t>
        </is>
      </c>
      <c r="AR16" s="24" t="inlineStr">
        <is>
          <t>M80</t>
        </is>
      </c>
      <c r="AS16" s="24" t="inlineStr">
        <is>
          <t>Spacestation Gaming</t>
        </is>
      </c>
      <c r="AT16" s="24" t="inlineStr">
        <is>
          <t>Spacestation Gaming</t>
        </is>
      </c>
      <c r="AU16" s="24" t="inlineStr">
        <is>
          <t>Spacestation Gaming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research</t>
        </is>
      </c>
      <c r="BA16" s="24" t="inlineStr">
        <is>
          <t>a3aa3c90a606ceb5a4f18c5aa349883976229f4d71835f63d430260eabea7091</t>
        </is>
      </c>
      <c r="BB16" s="24" t="inlineStr">
        <is>
          <t>neutral_elo</t>
        </is>
      </c>
      <c r="BC16" s="24" t="inlineStr">
        <is>
          <t>rainbow_six-tiered-elo-v6</t>
        </is>
      </c>
      <c r="BD16" s="24" t="inlineStr">
        <is>
          <t>a3aa3c90a606ceb5a4f18c5aa349883976229f4d71835f63d430260eabea7091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rainbow_six-tiered-elo-v6</t>
        </is>
      </c>
      <c r="BH16" s="24" t="inlineStr">
        <is>
          <t>2026-09-11T16:05:29.566097Z</t>
        </is>
      </c>
      <c r="BI16" s="24" t="inlineStr">
        <is>
          <t>["same_event","same_team_same_day","same_league_same_day"]</t>
        </is>
      </c>
      <c r="BJ16" s="25" t="n"/>
      <c r="BK16" s="26" t="n">
        <v>-213</v>
      </c>
      <c r="BL16" s="27" t="n">
        <v>1.469484</v>
      </c>
      <c r="BM16" s="28" t="n">
        <v>0.680511</v>
      </c>
      <c r="BN16" s="28" t="n"/>
      <c r="BO16" s="28" t="n"/>
      <c r="BP16" s="25" t="n"/>
      <c r="BQ16" s="27" t="n">
        <v>1.469484</v>
      </c>
      <c r="BR16" s="28" t="n">
        <v>0.68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False</t>
        </is>
      </c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inlineStr">
        <is>
          <t>0.680511</t>
        </is>
      </c>
      <c r="DK16" s="24" t="n"/>
      <c r="DL16" s="24" t="n"/>
      <c r="DM16" s="24" t="n"/>
      <c r="DN16" s="24" t="n"/>
      <c r="DO16" s="24" t="n"/>
      <c r="DP16" s="24" t="n"/>
      <c r="DQ16" s="24" t="inlineStr">
        <is>
          <t>{"artifact_hash": "a3aa3c90a606ceb5a4f18c5aa349883976229f4d71835f63d430260eabea7091", "away_team": "M80", "event_id": "107090", "event_start_utc": "2026-09-11T18:00:00Z", "features": {"away_elo": 1642.037483, "away_history_count": 113, "home_elo": 1599.782819, "home_history_count": 121}, "historical_source_observation_times_verified": false, "home_team": "Spacestation Gaming", "inference_inputs": {"book_state": {"games_played": {"bo3:7:19363": 113, "bo3:7:19723": 121}, "inactivity_half_life_days": null, "inactivity_max_pull": null, "k": 24.0, "last_match_utc": {"bo3:7:19363": "2026-09-10T21:15:00Z", "bo3:7:19723": "2026-09-10T19:00:00Z"}, "minimum_reliable_games": null, "platt_intercept": 0.15919832848892446, "platt_slope": 1.0436825991382748, "ratings": {"bo3:7:19363": 1642.037483, "bo3:7:19723": 1599.782819},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"2026-09-11T16:05:29.349084+00:00", "team_ids": ["bo3:7:19723", "bo3:7:19363"]}, "market_type": "moneyline", "model_version": "rainbow_six-tiered-elo-v6", "observed_at_utc": "2026-09-11T16:05:29.349084+00:00", "probabilities": {"away": 0.519766, "home": 0.480234}, "replay_scope": "Exact serving book state, calibration, temperature, inactivity reference and thin-history adjustments; training provenance not certified.", "schema": "esports-elo-replay-v1", "snapshot_hash": "1ed61ab4b52978d60462970f73f9f0e04923480ac7360785726499828f2e047b", "sport": "RAINBOW_SIX"}</t>
        </is>
      </c>
    </row>
    <row r="17" ht="36" customHeight="1">
      <c r="A17" s="24" t="inlineStr">
        <is>
          <t>34ed2efe9c524d13</t>
        </is>
      </c>
      <c r="B17" s="24" t="inlineStr">
        <is>
          <t>2026-09-11T16:05:31.003662Z</t>
        </is>
      </c>
      <c r="C17" s="24" t="inlineStr">
        <is>
          <t>2026-09-11T19:00:00Z</t>
        </is>
      </c>
      <c r="D17" s="24" t="inlineStr">
        <is>
          <t>107248</t>
        </is>
      </c>
      <c r="E17" s="24" t="inlineStr">
        <is>
          <t>RAINBOW_SIX</t>
        </is>
      </c>
      <c r="F17" s="24" t="inlineStr">
        <is>
          <t>Five Fears</t>
        </is>
      </c>
      <c r="G17" s="24" t="inlineStr">
        <is>
          <t>Cloud9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-156</v>
      </c>
      <c r="M17" s="27" t="n">
        <v>1.641026</v>
      </c>
      <c r="N17" s="28" t="n">
        <v>0.609375</v>
      </c>
      <c r="O17" s="28" t="n">
        <v>0.527864</v>
      </c>
      <c r="P17" s="28" t="n"/>
      <c r="Q17" s="28" t="n">
        <v>-0.081511</v>
      </c>
      <c r="R17" s="26" t="n">
        <v>0</v>
      </c>
      <c r="S17" s="29" t="n">
        <v>1</v>
      </c>
      <c r="T17" s="24" t="inlineStr">
        <is>
          <t>rainbow_six-tiered-elo-v6</t>
        </is>
      </c>
      <c r="U17" s="24" t="inlineStr">
        <is>
          <t>settled</t>
        </is>
      </c>
      <c r="V17" s="24" t="inlineStr">
        <is>
          <t>win</t>
        </is>
      </c>
      <c r="W17" s="26" t="n">
        <v>0</v>
      </c>
      <c r="X17" s="26" t="n">
        <v>1</v>
      </c>
      <c r="Y17" s="25" t="n"/>
      <c r="Z17" s="26" t="n">
        <v>-156</v>
      </c>
      <c r="AA17" s="28" t="n">
        <v>0.61</v>
      </c>
      <c r="AB17" s="28" t="n">
        <v>0.000625</v>
      </c>
      <c r="AC17" s="30" t="n">
        <v>0.641</v>
      </c>
      <c r="AD17" s="24" t="inlineStr">
        <is>
          <t>2026-09-11T22:02:32.039163Z</t>
        </is>
      </c>
      <c r="AE17" s="31" t="inlineStr">
        <is>
          <t>Neutral Elo baseline; executable ask 0.6100 (market_slug=aec-r6-c9-5f-2026-09-11).</t>
        </is>
      </c>
      <c r="AF17" s="31" t="inlineStr">
        <is>
          <t>Config-promoted esports baseline; gates enforced at log time.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paper_call</t>
        </is>
      </c>
      <c r="AL17" s="26" t="n">
        <v>4</v>
      </c>
      <c r="AM17" s="24" t="inlineStr">
        <is>
          <t>RESEARCH_OBSERVATION</t>
        </is>
      </c>
      <c r="AN17" s="24" t="inlineStr">
        <is>
          <t>CALL</t>
        </is>
      </c>
      <c r="AO17" s="24" t="inlineStr">
        <is>
          <t>PAPER_CALL_LOW_EDGE</t>
        </is>
      </c>
      <c r="AP17" s="24" t="inlineStr">
        <is>
          <t>Five Fears</t>
        </is>
      </c>
      <c r="AQ17" s="24" t="inlineStr">
        <is>
          <t>Five Fears</t>
        </is>
      </c>
      <c r="AR17" s="24" t="inlineStr">
        <is>
          <t>Five Fears</t>
        </is>
      </c>
      <c r="AS17" s="24" t="inlineStr">
        <is>
          <t>Cloud9</t>
        </is>
      </c>
      <c r="AT17" s="24" t="inlineStr">
        <is>
          <t>Cloud9</t>
        </is>
      </c>
      <c r="AU17" s="24" t="inlineStr">
        <is>
          <t>Cloud9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research</t>
        </is>
      </c>
      <c r="BA17" s="24" t="inlineStr">
        <is>
          <t>a3aa3c90a606ceb5a4f18c5aa349883976229f4d71835f63d430260eabea7091</t>
        </is>
      </c>
      <c r="BB17" s="24" t="inlineStr">
        <is>
          <t>neutral_elo</t>
        </is>
      </c>
      <c r="BC17" s="24" t="inlineStr">
        <is>
          <t>rainbow_six-tiered-elo-v6</t>
        </is>
      </c>
      <c r="BD17" s="24" t="inlineStr">
        <is>
          <t>a3aa3c90a606ceb5a4f18c5aa349883976229f4d71835f63d430260eabea7091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rainbow_six-tiered-elo-v6</t>
        </is>
      </c>
      <c r="BH17" s="24" t="inlineStr">
        <is>
          <t>2026-09-11T16:05:29.626239Z</t>
        </is>
      </c>
      <c r="BI17" s="24" t="inlineStr">
        <is>
          <t>["same_event","same_team_same_day","same_league_same_day"]</t>
        </is>
      </c>
      <c r="BJ17" s="25" t="n"/>
      <c r="BK17" s="26" t="n">
        <v>-156</v>
      </c>
      <c r="BL17" s="27" t="n">
        <v>1.641026</v>
      </c>
      <c r="BM17" s="28" t="n">
        <v>0.609375</v>
      </c>
      <c r="BN17" s="28" t="n"/>
      <c r="BO17" s="28" t="n"/>
      <c r="BP17" s="25" t="n"/>
      <c r="BQ17" s="27" t="n">
        <v>1.641026</v>
      </c>
      <c r="BR17" s="28" t="n">
        <v>0.61</v>
      </c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False</t>
        </is>
      </c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inlineStr">
        <is>
          <t>0.609375</t>
        </is>
      </c>
      <c r="DK17" s="24" t="n"/>
      <c r="DL17" s="24" t="n"/>
      <c r="DM17" s="24" t="n"/>
      <c r="DN17" s="24" t="n"/>
      <c r="DO17" s="24" t="n"/>
      <c r="DP17" s="24" t="n"/>
      <c r="DQ17" s="24" t="inlineStr">
        <is>
          <t>{"artifact_hash": "a3aa3c90a606ceb5a4f18c5aa349883976229f4d71835f63d430260eabea7091", "away_team": "Five Fears", "event_id": "107248", "event_start_utc": "2026-09-11T19:00:00Z", "features": {"away_elo": 1492.089338, "away_history_count": 22, "home_elo": 1487.484014, "home_history_count": 45}, "historical_source_observation_times_verified": false, "home_team": "Cloud9", "inference_inputs": {"book_state": {"games_played": {"bo3:7:19685": 45, "bo3:7:23079": 22}, "inactivity_half_life_days": null, "inactivity_max_pull": null, "k": 24.0, "last_match_utc": {"bo3:7:19685": "2026-09-10T22:30:00Z", "bo3:7:23079": "2026-09-10T19:00:00Z"}, "minimum_reliable_games": null, "platt_intercept": 0.15919832848892446, "platt_slope": 1.0436825991382748, "ratings": {"bo3:7:19685": 1487.484014, "bo3:7:23079": 1492.089338},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"2026-09-11T16:05:29.349084+00:00", "team_ids": ["bo3:7:19685", "bo3:7:23079"]}, "market_type": "moneyline", "model_version": "rainbow_six-tiered-elo-v6", "observed_at_utc": "2026-09-11T16:05:29.349084+00:00", "probabilities": {"away": 0.472136, "home": 0.527864}, "replay_scope": "Exact serving book state, calibration, temperature, inactivity reference and thin-history adjustments; training provenance not certified.", "schema": "esports-elo-replay-v1", "snapshot_hash": "4db1add613559551e7c2b8a7b5e161505c1825ec01abf54997e03eb68b92c4df", "sport": "RAINBOW_SIX"}</t>
        </is>
      </c>
    </row>
    <row r="18" ht="36" customHeight="1">
      <c r="A18" s="24" t="inlineStr">
        <is>
          <t>d056e2b4ebcd471d</t>
        </is>
      </c>
      <c r="B18" s="24" t="inlineStr">
        <is>
          <t>2026-09-11T22:04:30.962966Z</t>
        </is>
      </c>
      <c r="C18" s="24" t="inlineStr">
        <is>
          <t>2026-09-11T22:30:00Z</t>
        </is>
      </c>
      <c r="D18" s="24" t="inlineStr">
        <is>
          <t>107494</t>
        </is>
      </c>
      <c r="E18" s="24" t="inlineStr">
        <is>
          <t>RAINBOW_SIX</t>
        </is>
      </c>
      <c r="F18" s="24" t="inlineStr">
        <is>
          <t>Wildcard Gaming</t>
        </is>
      </c>
      <c r="G18" s="24" t="inlineStr">
        <is>
          <t>Shopify Rebellion</t>
        </is>
      </c>
      <c r="H18" s="24" t="inlineStr">
        <is>
          <t>moneyline</t>
        </is>
      </c>
      <c r="I18" s="24" t="inlineStr">
        <is>
          <t>away</t>
        </is>
      </c>
      <c r="J18" s="25" t="n"/>
      <c r="K18" s="24" t="inlineStr">
        <is>
          <t>polymarket_us</t>
        </is>
      </c>
      <c r="L18" s="26" t="n">
        <v>-113</v>
      </c>
      <c r="M18" s="27" t="n">
        <v>1.884956</v>
      </c>
      <c r="N18" s="28" t="n">
        <v>0.530516</v>
      </c>
      <c r="O18" s="28" t="n">
        <v>0.523827</v>
      </c>
      <c r="P18" s="28" t="n"/>
      <c r="Q18" s="28" t="n">
        <v>-0.006689</v>
      </c>
      <c r="R18" s="26" t="n">
        <v>17</v>
      </c>
      <c r="S18" s="29" t="n">
        <v>1</v>
      </c>
      <c r="T18" s="24" t="inlineStr">
        <is>
          <t>rainbow_six-tiered-elo-v6</t>
        </is>
      </c>
      <c r="U18" s="24" t="inlineStr">
        <is>
          <t>settled</t>
        </is>
      </c>
      <c r="V18" s="24" t="inlineStr">
        <is>
          <t>win</t>
        </is>
      </c>
      <c r="W18" s="26" t="n">
        <v>1</v>
      </c>
      <c r="X18" s="26" t="n">
        <v>0</v>
      </c>
      <c r="Y18" s="25" t="n"/>
      <c r="Z18" s="26" t="n">
        <v>-113</v>
      </c>
      <c r="AA18" s="28" t="n">
        <v>0.53</v>
      </c>
      <c r="AB18" s="28" t="n">
        <v>-0.000516</v>
      </c>
      <c r="AC18" s="30" t="n">
        <v>0.885</v>
      </c>
      <c r="AD18" s="24" t="inlineStr">
        <is>
          <t>2026-09-12T04:33:18.438063Z</t>
        </is>
      </c>
      <c r="AE18" s="31" t="inlineStr">
        <is>
          <t>Neutral Elo baseline; executable ask 0.5300 (market_slug=aec-r6-sr-wcg-2026-09-11).</t>
        </is>
      </c>
      <c r="AF18" s="31" t="inlineStr">
        <is>
          <t>Config-promoted esports baseline; gates enforced at log time.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paper_call</t>
        </is>
      </c>
      <c r="AL18" s="26" t="n">
        <v>4</v>
      </c>
      <c r="AM18" s="24" t="inlineStr">
        <is>
          <t>RESEARCH_OBSERVATION</t>
        </is>
      </c>
      <c r="AN18" s="24" t="inlineStr">
        <is>
          <t>CALL</t>
        </is>
      </c>
      <c r="AO18" s="24" t="inlineStr">
        <is>
          <t>PAPER_CALL_LOW_EDGE</t>
        </is>
      </c>
      <c r="AP18" s="24" t="inlineStr">
        <is>
          <t>Wildcard Gaming</t>
        </is>
      </c>
      <c r="AQ18" s="24" t="inlineStr">
        <is>
          <t>Wildcard Gaming</t>
        </is>
      </c>
      <c r="AR18" s="24" t="inlineStr">
        <is>
          <t>Wildcard Gaming</t>
        </is>
      </c>
      <c r="AS18" s="24" t="inlineStr">
        <is>
          <t>Shopify Rebellion</t>
        </is>
      </c>
      <c r="AT18" s="24" t="inlineStr">
        <is>
          <t>Shopify Rebellion</t>
        </is>
      </c>
      <c r="AU18" s="24" t="inlineStr">
        <is>
          <t>Shopify Rebellion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research</t>
        </is>
      </c>
      <c r="BA18" s="24" t="inlineStr">
        <is>
          <t>2082a05e899d1dbcdd7c6e917012c7b7bf2cd57db1ebe0781be18c7293f17523</t>
        </is>
      </c>
      <c r="BB18" s="24" t="inlineStr">
        <is>
          <t>neutral_elo</t>
        </is>
      </c>
      <c r="BC18" s="24" t="inlineStr">
        <is>
          <t>rainbow_six-tiered-elo-v6</t>
        </is>
      </c>
      <c r="BD18" s="24" t="inlineStr">
        <is>
          <t>2082a05e899d1dbcdd7c6e917012c7b7bf2cd57db1ebe0781be18c7293f17523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rainbow_six-tiered-elo-v6</t>
        </is>
      </c>
      <c r="BH18" s="24" t="inlineStr">
        <is>
          <t>2026-09-11T22:04:29.179316Z</t>
        </is>
      </c>
      <c r="BI18" s="24" t="inlineStr">
        <is>
          <t>["same_event","same_team_same_day","same_league_same_day"]</t>
        </is>
      </c>
      <c r="BJ18" s="25" t="n"/>
      <c r="BK18" s="26" t="n">
        <v>-113</v>
      </c>
      <c r="BL18" s="27" t="n">
        <v>1.884956</v>
      </c>
      <c r="BM18" s="28" t="n">
        <v>0.530516</v>
      </c>
      <c r="BN18" s="28" t="n"/>
      <c r="BO18" s="28" t="n"/>
      <c r="BP18" s="25" t="n"/>
      <c r="BQ18" s="27" t="n">
        <v>1.884956</v>
      </c>
      <c r="BR18" s="28" t="n">
        <v>0.53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False</t>
        </is>
      </c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inlineStr">
        <is>
          <t>0.530516</t>
        </is>
      </c>
      <c r="DK18" s="24" t="n"/>
      <c r="DL18" s="24" t="n"/>
      <c r="DM18" s="24" t="n"/>
      <c r="DN18" s="24" t="n"/>
      <c r="DO18" s="24" t="n"/>
      <c r="DP18" s="24" t="n"/>
      <c r="DQ18" s="24" t="inlineStr">
        <is>
          <t>{"artifact_hash": "2082a05e899d1dbcdd7c6e917012c7b7bf2cd57db1ebe0781be18c7293f17523", "away_team": "Wildcard Gaming", "event_id": "107494", "event_start_utc": "2026-09-11T22:30:00Z", "features": {"away_elo": 1722.691097, "away_history_count": 111, "home_elo": 1679.025059, "home_history_count": 82}, "historical_source_observation_times_verified": false, "home_team": "Shopify Rebellion", "inference_inputs": {"book_state": {"games_played": {"bo3:7:19717": 111, "bo3:7:19762": 82}, "inactivity_half_life_days": null, "inactivity_max_pull": null, "k": 24.0, "last_match_utc": {"bo3:7:19717": "2026-09-10T20:00:00Z", "bo3:7:19762": "2026-09-10T18:00:00Z"}, "minimum_reliable_games": null, "platt_intercept": 0.154562938343229, "platt_slope": 1.0699968394940012, "ratings": {"bo3:7:19717": 1722.691097, "bo3:7:19762": 1679.025059},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"2026-09-11T22:04:29.081068+00:00", "team_ids": ["bo3:7:19762", "bo3:7:19717"]}, "market_type": "moneyline", "model_version": "rainbow_six-tiered-elo-v6", "observed_at_utc": "2026-09-11T22:04:29.081068+00:00", "probabilities": {"away": 0.523827, "home": 0.476173}, "replay_scope": "Exact serving book state, calibration, temperature, inactivity reference and thin-history adjustments; training provenance not certified.", "schema": "esports-elo-replay-v1", "snapshot_hash": "8a0d3fe896a6d46505347be600e3fc7c2d657c73280577a34997649fa5313253", "sport": "RAINBOW_SIX"}</t>
        </is>
      </c>
    </row>
    <row r="19" ht="36" customHeight="1">
      <c r="A19" s="24" t="inlineStr">
        <is>
          <t>13eb31a746114a93</t>
        </is>
      </c>
      <c r="B19" s="24" t="inlineStr">
        <is>
          <t>2026-09-12T10:07:54.099378Z</t>
        </is>
      </c>
      <c r="C19" s="24" t="inlineStr">
        <is>
          <t>2026-09-12T11:00:00Z</t>
        </is>
      </c>
      <c r="D19" s="24" t="inlineStr">
        <is>
          <t>107854</t>
        </is>
      </c>
      <c r="E19" s="24" t="inlineStr">
        <is>
          <t>RAINBOW_SIX</t>
        </is>
      </c>
      <c r="F19" s="24" t="inlineStr">
        <is>
          <t>Dplus</t>
        </is>
      </c>
      <c r="G19" s="24" t="inlineStr">
        <is>
          <t>KINOTROPE gaming</t>
        </is>
      </c>
      <c r="H19" s="24" t="inlineStr">
        <is>
          <t>moneyline</t>
        </is>
      </c>
      <c r="I19" s="24" t="inlineStr">
        <is>
          <t>away</t>
        </is>
      </c>
      <c r="J19" s="25" t="n"/>
      <c r="K19" s="24" t="inlineStr">
        <is>
          <t>polymarket_us</t>
        </is>
      </c>
      <c r="L19" s="26" t="n">
        <v>-203</v>
      </c>
      <c r="M19" s="27" t="n">
        <v>1.492611</v>
      </c>
      <c r="N19" s="28" t="n">
        <v>0.669967</v>
      </c>
      <c r="O19" s="28" t="n">
        <v>0.629116</v>
      </c>
      <c r="P19" s="28" t="n"/>
      <c r="Q19" s="28" t="n">
        <v>-0.040851</v>
      </c>
      <c r="R19" s="26" t="n">
        <v>0</v>
      </c>
      <c r="S19" s="29" t="n">
        <v>1</v>
      </c>
      <c r="T19" s="24" t="inlineStr">
        <is>
          <t>rainbow_six-tiered-elo-v6</t>
        </is>
      </c>
      <c r="U19" s="24" t="inlineStr">
        <is>
          <t>settled</t>
        </is>
      </c>
      <c r="V19" s="24" t="inlineStr">
        <is>
          <t>win</t>
        </is>
      </c>
      <c r="W19" s="26" t="n">
        <v>1</v>
      </c>
      <c r="X19" s="26" t="n">
        <v>0</v>
      </c>
      <c r="Y19" s="25" t="n"/>
      <c r="Z19" s="26" t="n">
        <v>-203</v>
      </c>
      <c r="AA19" s="28" t="n">
        <v>0.67</v>
      </c>
      <c r="AB19" s="28" t="n">
        <v>3.3e-05</v>
      </c>
      <c r="AC19" s="30" t="n">
        <v>0.4926</v>
      </c>
      <c r="AD19" s="24" t="inlineStr">
        <is>
          <t>2026-09-12T16:03:05.103496Z</t>
        </is>
      </c>
      <c r="AE19" s="31" t="inlineStr">
        <is>
          <t>Neutral Elo baseline; executable ask 0.6700 (market_slug=aec-r6-knt-dk-2026-09-12).</t>
        </is>
      </c>
      <c r="AF19" s="31" t="inlineStr">
        <is>
          <t>Config-promoted esports baseline; gates enforced at log time.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paper_call</t>
        </is>
      </c>
      <c r="AL19" s="26" t="n">
        <v>4</v>
      </c>
      <c r="AM19" s="24" t="inlineStr">
        <is>
          <t>RESEARCH_OBSERVATION</t>
        </is>
      </c>
      <c r="AN19" s="24" t="inlineStr">
        <is>
          <t>CALL</t>
        </is>
      </c>
      <c r="AO19" s="24" t="inlineStr">
        <is>
          <t>PAPER_CALL_LOW_EDGE</t>
        </is>
      </c>
      <c r="AP19" s="24" t="inlineStr">
        <is>
          <t>Dplus</t>
        </is>
      </c>
      <c r="AQ19" s="24" t="inlineStr">
        <is>
          <t>Dplus</t>
        </is>
      </c>
      <c r="AR19" s="24" t="inlineStr">
        <is>
          <t>Dplus</t>
        </is>
      </c>
      <c r="AS19" s="24" t="inlineStr">
        <is>
          <t>KINOTROPE gaming</t>
        </is>
      </c>
      <c r="AT19" s="24" t="inlineStr">
        <is>
          <t>KINOTROPE gaming</t>
        </is>
      </c>
      <c r="AU19" s="24" t="inlineStr">
        <is>
          <t>KINOTROPE gaming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research</t>
        </is>
      </c>
      <c r="BA19" s="24" t="inlineStr">
        <is>
          <t>3562d4706176830535a6a6cdb7a7079707b5b0f1afba6228fe27a43dd4bcd2be</t>
        </is>
      </c>
      <c r="BB19" s="24" t="inlineStr">
        <is>
          <t>neutral_elo</t>
        </is>
      </c>
      <c r="BC19" s="24" t="inlineStr">
        <is>
          <t>rainbow_six-tiered-elo-v6</t>
        </is>
      </c>
      <c r="BD19" s="24" t="inlineStr">
        <is>
          <t>3562d4706176830535a6a6cdb7a7079707b5b0f1afba6228fe27a43dd4bcd2be</t>
        </is>
      </c>
      <c r="BE19" s="24" t="inlineStr">
        <is>
          <t>1</t>
        </is>
      </c>
      <c r="BF19" s="24" t="inlineStr">
        <is>
          <t>1</t>
        </is>
      </c>
      <c r="BG19" s="24" t="inlineStr">
        <is>
          <t>rainbow_six-tiered-elo-v6</t>
        </is>
      </c>
      <c r="BH19" s="24" t="inlineStr">
        <is>
          <t>2026-09-12T10:07:51.885762Z</t>
        </is>
      </c>
      <c r="BI19" s="24" t="inlineStr">
        <is>
          <t>["same_event","same_team_same_day","same_league_same_day"]</t>
        </is>
      </c>
      <c r="BJ19" s="25" t="n"/>
      <c r="BK19" s="26" t="n">
        <v>-203</v>
      </c>
      <c r="BL19" s="27" t="n">
        <v>1.492611</v>
      </c>
      <c r="BM19" s="28" t="n">
        <v>0.669967</v>
      </c>
      <c r="BN19" s="28" t="n"/>
      <c r="BO19" s="28" t="n"/>
      <c r="BP19" s="25" t="n"/>
      <c r="BQ19" s="27" t="n">
        <v>1.492611</v>
      </c>
      <c r="BR19" s="28" t="n">
        <v>0.67</v>
      </c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False</t>
        </is>
      </c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inlineStr">
        <is>
          <t>0.669967</t>
        </is>
      </c>
      <c r="DK19" s="24" t="n"/>
      <c r="DL19" s="24" t="n"/>
      <c r="DM19" s="24" t="n"/>
      <c r="DN19" s="24" t="n"/>
      <c r="DO19" s="24" t="n"/>
      <c r="DP19" s="24" t="n"/>
      <c r="DQ19" s="24" t="inlineStr">
        <is>
          <t>{"artifact_hash": "3562d4706176830535a6a6cdb7a7079707b5b0f1afba6228fe27a43dd4bcd2be", "away_team": "Dplus", "event_id": "107854", "event_start_utc": "2026-09-12T11:00:00Z", "features": {"away_elo": 1638.365273, "away_history_count": 84, "home_elo": 1490.213529, "home_history_count": 64}, "historical_source_observation_times_verified": false, "home_team": "KINOTROPE gaming", "inference_inputs": {"book_state": {"games_played": {"bo3:7:19279": 64, "bo3:7:19336": 84}, "inactivity_half_life_days": null, "inactivity_max_pull": null, "k": 32.0, "last_match_utc": {"bo3:7:19279": "2026-09-11T12:20:00Z", "bo3:7:19336": "2026-09-11T09:15:00Z"}, "minimum_reliable_games": null, "platt_intercept": 0.15618607063141948, "platt_slope": 0.9229877702145932, "ratings": {"bo3:7:19279": 1490.213529, "bo3:7:19336": 1638.365273},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"2026-09-12T10:07:51.810939+00:00", "team_ids": ["bo3:7:19279", "bo3:7:19336"]}, "market_type": "moneyline", "model_version": "rainbow_six-tiered-elo-v6", "observed_at_utc": "2026-09-12T10:07:51.810939+00:00", "probabilities": {"away": 0.629116, "home": 0.370884}, "replay_scope": "Exact serving book state, calibration, temperature, inactivity reference and thin-history adjustments; training provenance not certified.", "schema": "esports-elo-replay-v1", "snapshot_hash": "49d8315443320f4fe7ee1ce91ee35269202bc8f3e87a3a43afd1a80050e04043", "sport": "RAINBOW_SIX"}</t>
        </is>
      </c>
    </row>
    <row r="20" ht="36" customHeight="1">
      <c r="A20" s="24" t="inlineStr">
        <is>
          <t>3f6083467cb64466</t>
        </is>
      </c>
      <c r="B20" s="24" t="inlineStr">
        <is>
          <t>2026-09-12T16:08:20.780039Z</t>
        </is>
      </c>
      <c r="C20" s="24" t="inlineStr">
        <is>
          <t>2026-09-12T17:15:00Z</t>
        </is>
      </c>
      <c r="D20" s="24" t="inlineStr">
        <is>
          <t>108035</t>
        </is>
      </c>
      <c r="E20" s="24" t="inlineStr">
        <is>
          <t>RAINBOW_SIX</t>
        </is>
      </c>
      <c r="F20" s="24" t="inlineStr">
        <is>
          <t>Team Liquid</t>
        </is>
      </c>
      <c r="G20" s="24" t="inlineStr">
        <is>
          <t>FURIA Esports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-133</v>
      </c>
      <c r="M20" s="27" t="n">
        <v>1.75188</v>
      </c>
      <c r="N20" s="28" t="n">
        <v>0.570815</v>
      </c>
      <c r="O20" s="28" t="n">
        <v>0.646367</v>
      </c>
      <c r="P20" s="28" t="n"/>
      <c r="Q20" s="28" t="n">
        <v>0.07555199999999999</v>
      </c>
      <c r="R20" s="26" t="n">
        <v>58</v>
      </c>
      <c r="S20" s="29" t="n">
        <v>1.25</v>
      </c>
      <c r="T20" s="24" t="inlineStr">
        <is>
          <t>rainbow_six-tiered-elo-v6</t>
        </is>
      </c>
      <c r="U20" s="24" t="inlineStr">
        <is>
          <t>settled</t>
        </is>
      </c>
      <c r="V20" s="24" t="inlineStr">
        <is>
          <t>loss</t>
        </is>
      </c>
      <c r="W20" s="26" t="n">
        <v>1</v>
      </c>
      <c r="X20" s="26" t="n">
        <v>0</v>
      </c>
      <c r="Y20" s="25" t="n"/>
      <c r="Z20" s="26" t="n">
        <v>-133</v>
      </c>
      <c r="AA20" s="28" t="n">
        <v>0.57</v>
      </c>
      <c r="AB20" s="28" t="n">
        <v>-0.000815</v>
      </c>
      <c r="AC20" s="30" t="n">
        <v>-1.25</v>
      </c>
      <c r="AD20" s="24" t="inlineStr">
        <is>
          <t>2026-09-12T22:04:14.363936Z</t>
        </is>
      </c>
      <c r="AE20" s="31" t="inlineStr">
        <is>
          <t>Neutral Elo baseline; executable ask 0.5700 (market_slug=aec-r6-furia-liquid-2026-09-12).</t>
        </is>
      </c>
      <c r="AF20" s="31" t="inlineStr">
        <is>
          <t>Config-promoted esports baseline; gates enforced at log time.</t>
        </is>
      </c>
      <c r="AG20" s="24" t="inlineStr">
        <is>
          <t>review_required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4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Team Liquid</t>
        </is>
      </c>
      <c r="AQ20" s="24" t="inlineStr">
        <is>
          <t>Team Liquid</t>
        </is>
      </c>
      <c r="AR20" s="24" t="inlineStr">
        <is>
          <t>Team Liquid</t>
        </is>
      </c>
      <c r="AS20" s="24" t="inlineStr">
        <is>
          <t>FURIA Esports</t>
        </is>
      </c>
      <c r="AT20" s="24" t="inlineStr">
        <is>
          <t>FURIA Esports</t>
        </is>
      </c>
      <c r="AU20" s="24" t="inlineStr">
        <is>
          <t>FURIA Esports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research</t>
        </is>
      </c>
      <c r="BA20" s="24" t="inlineStr">
        <is>
          <t>601b616e18575ae667b39e6c3d477bb6b6e95d6c845b1637f0ebbb1579f75a19</t>
        </is>
      </c>
      <c r="BB20" s="24" t="inlineStr">
        <is>
          <t>neutral_elo</t>
        </is>
      </c>
      <c r="BC20" s="24" t="inlineStr">
        <is>
          <t>rainbow_six-tiered-elo-v6</t>
        </is>
      </c>
      <c r="BD20" s="24" t="inlineStr">
        <is>
          <t>601b616e18575ae667b39e6c3d477bb6b6e95d6c845b1637f0ebbb1579f75a19</t>
        </is>
      </c>
      <c r="BE20" s="24" t="inlineStr">
        <is>
          <t>1</t>
        </is>
      </c>
      <c r="BF20" s="24" t="inlineStr">
        <is>
          <t>1</t>
        </is>
      </c>
      <c r="BG20" s="24" t="inlineStr">
        <is>
          <t>rainbow_six-tiered-elo-v6</t>
        </is>
      </c>
      <c r="BH20" s="24" t="inlineStr">
        <is>
          <t>2026-09-12T16:08:19.861788Z</t>
        </is>
      </c>
      <c r="BI20" s="24" t="inlineStr">
        <is>
          <t>["same_event","same_team_same_day","same_league_same_day"]</t>
        </is>
      </c>
      <c r="BJ20" s="25" t="n"/>
      <c r="BK20" s="26" t="n">
        <v>-133</v>
      </c>
      <c r="BL20" s="27" t="n">
        <v>1.75188</v>
      </c>
      <c r="BM20" s="28" t="n">
        <v>0.570815</v>
      </c>
      <c r="BN20" s="28" t="n"/>
      <c r="BO20" s="28" t="n"/>
      <c r="BP20" s="25" t="n"/>
      <c r="BQ20" s="27" t="n">
        <v>1.75188</v>
      </c>
      <c r="BR20" s="28" t="n">
        <v>0.57</v>
      </c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True</t>
        </is>
      </c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inlineStr">
        <is>
          <t>0.570815</t>
        </is>
      </c>
      <c r="DK20" s="24" t="n"/>
      <c r="DL20" s="24" t="n"/>
      <c r="DM20" s="24" t="n"/>
      <c r="DN20" s="24" t="n"/>
      <c r="DO20" s="24" t="n"/>
      <c r="DP20" s="24" t="n"/>
      <c r="DQ20" s="24" t="inlineStr">
        <is>
          <t>{"artifact_hash": "601b616e18575ae667b39e6c3d477bb6b6e95d6c845b1637f0ebbb1579f75a19", "away_team": "Team Liquid", "event_id": "108035", "event_start_utc": "2026-09-12T17:15:00Z", "features": {"away_elo": 1707.229153, "away_history_count": 116, "home_elo": 1815.509618, "home_history_count": 136}, "historical_source_observation_times_verified": false, "home_team": "FURIA Esports", "inference_inputs": {"book_state": {"games_played": {"bo3:7:19662": 136, "bo3:7:19720": 116}, "inactivity_half_life_days": null, "inactivity_max_pull": null, "k": 32.0, "last_match_utc": {"bo3:7:19662": "2026-09-06T17:15:00Z", "bo3:7:19720": "2026-09-06T16:00:00Z"}, "minimum_reliable_games": null, "platt_intercept": 0.15450269017685514, "platt_slope": 0.9426485232918906, "ratings": {"bo3:7:19662": 1815.509618, "bo3:7:19720": 1707.229153},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"2026-09-12T16:08:19.778717+00:00", "team_ids": ["bo3:7:19662", "bo3:7:19720"]}, "market_type": "moneyline", "model_version": "rainbow_six-tiered-elo-v6", "observed_at_utc": "2026-09-12T16:08:19.778717+00:00", "probabilities": {"away": 0.353633, "home": 0.646367}, "replay_scope": "Exact serving book state, calibration, temperature, inactivity reference and thin-history adjustments; training provenance not certified.", "schema": "esports-elo-replay-v1", "snapshot_hash": "10b8919be0adfbe9ec7d9dcfe77265d0b5ee572e3cf537292de62e4c776d6b5f", "sport": "RAINBOW_SIX"}</t>
        </is>
      </c>
    </row>
    <row r="21" ht="36" customHeight="1">
      <c r="A21" s="24" t="inlineStr">
        <is>
          <t>58f9770c5746445c</t>
        </is>
      </c>
      <c r="B21" s="24" t="inlineStr">
        <is>
          <t>2026-09-14T04:51:53.244739Z</t>
        </is>
      </c>
      <c r="C21" s="24" t="inlineStr">
        <is>
          <t>2026-09-14T08:00:00Z</t>
        </is>
      </c>
      <c r="D21" s="24" t="inlineStr">
        <is>
          <t>109448</t>
        </is>
      </c>
      <c r="E21" s="24" t="inlineStr">
        <is>
          <t>RAINBOW_SIX</t>
        </is>
      </c>
      <c r="F21" s="24" t="inlineStr">
        <is>
          <t>Arcade Esports</t>
        </is>
      </c>
      <c r="G21" s="24" t="inlineStr">
        <is>
          <t>7VEN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-122</v>
      </c>
      <c r="M21" s="27" t="n">
        <v>1.819672</v>
      </c>
      <c r="N21" s="28" t="n">
        <v>0.54955</v>
      </c>
      <c r="O21" s="28" t="n">
        <v>0.6365690000000001</v>
      </c>
      <c r="P21" s="28" t="n"/>
      <c r="Q21" s="28" t="n">
        <v>0.087019</v>
      </c>
      <c r="R21" s="26" t="n">
        <v>64</v>
      </c>
      <c r="S21" s="29" t="n">
        <v>1.25</v>
      </c>
      <c r="T21" s="24" t="inlineStr">
        <is>
          <t>rainbow_six-tiered-elo-v6</t>
        </is>
      </c>
      <c r="U21" s="24" t="inlineStr">
        <is>
          <t>settled</t>
        </is>
      </c>
      <c r="V21" s="24" t="inlineStr">
        <is>
          <t>win</t>
        </is>
      </c>
      <c r="W21" s="26" t="n">
        <v>0</v>
      </c>
      <c r="X21" s="26" t="n">
        <v>1</v>
      </c>
      <c r="Y21" s="25" t="n"/>
      <c r="Z21" s="26" t="n"/>
      <c r="AA21" s="28" t="n"/>
      <c r="AB21" s="28" t="n"/>
      <c r="AC21" s="30" t="n">
        <v>1.0246</v>
      </c>
      <c r="AD21" s="24" t="inlineStr">
        <is>
          <t>2026-09-14T16:03:50.033460Z</t>
        </is>
      </c>
      <c r="AE21" s="31" t="inlineStr">
        <is>
          <t>Neutral Elo baseline; executable ask 0.5500 (market_slug=aec-r6-7ven-arc-2026-09-14).</t>
        </is>
      </c>
      <c r="AF21" s="31" t="inlineStr">
        <is>
          <t>Config-promoted esports baseline; gates enforced at log time.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4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Arcade Esports</t>
        </is>
      </c>
      <c r="AQ21" s="24" t="inlineStr">
        <is>
          <t>Arcade Esports</t>
        </is>
      </c>
      <c r="AR21" s="24" t="inlineStr">
        <is>
          <t>Arcade Esports</t>
        </is>
      </c>
      <c r="AS21" s="24" t="inlineStr">
        <is>
          <t>7VEN</t>
        </is>
      </c>
      <c r="AT21" s="24" t="inlineStr">
        <is>
          <t>7VEN</t>
        </is>
      </c>
      <c r="AU21" s="24" t="inlineStr">
        <is>
          <t>7VEN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research</t>
        </is>
      </c>
      <c r="BA21" s="24" t="inlineStr">
        <is>
          <t>96b4e15802dc319286591d54f70362c1679c9d8f4bc627e4bc503ecde2df7b80</t>
        </is>
      </c>
      <c r="BB21" s="24" t="inlineStr">
        <is>
          <t>neutral_elo</t>
        </is>
      </c>
      <c r="BC21" s="24" t="inlineStr">
        <is>
          <t>rainbow_six-tiered-elo-v6</t>
        </is>
      </c>
      <c r="BD21" s="24" t="inlineStr">
        <is>
          <t>96b4e15802dc319286591d54f70362c1679c9d8f4bc627e4bc503ecde2df7b80</t>
        </is>
      </c>
      <c r="BE21" s="24" t="inlineStr">
        <is>
          <t>1</t>
        </is>
      </c>
      <c r="BF21" s="24" t="inlineStr">
        <is>
          <t>1</t>
        </is>
      </c>
      <c r="BG21" s="24" t="inlineStr">
        <is>
          <t>rainbow_six-tiered-elo-v6</t>
        </is>
      </c>
      <c r="BH21" s="24" t="inlineStr">
        <is>
          <t>2026-09-14T04:50:55.565830Z</t>
        </is>
      </c>
      <c r="BI21" s="24" t="inlineStr">
        <is>
          <t>["same_event","same_team_same_day","same_league_same_day"]</t>
        </is>
      </c>
      <c r="BJ21" s="25" t="n"/>
      <c r="BK21" s="26" t="n">
        <v>-122</v>
      </c>
      <c r="BL21" s="27" t="n">
        <v>1.819672</v>
      </c>
      <c r="BM21" s="28" t="n">
        <v>0.54955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True</t>
        </is>
      </c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inlineStr">
        <is>
          <t>0.54955</t>
        </is>
      </c>
      <c r="DK21" s="24" t="n"/>
      <c r="DL21" s="24" t="n"/>
      <c r="DM21" s="24" t="n"/>
      <c r="DN21" s="24" t="n"/>
      <c r="DO21" s="24" t="n"/>
      <c r="DP21" s="24" t="n"/>
      <c r="DQ21" s="24" t="inlineStr">
        <is>
          <t>{"artifact_hash": "96b4e15802dc319286591d54f70362c1679c9d8f4bc627e4bc503ecde2df7b80", "away_team": "Arcade Esports", "event_id": "109448", "event_start_utc": "2026-09-14T08:00:00Z", "features": {"away_elo": 1356.362203, "away_history_count": 10, "home_elo": 1513.120075, "home_history_count": 4}, "historical_source_observation_times_verified": false, "home_team": "7VEN", "inference_inputs": {"book_state": {"games_played": {"bo3:7:24388": 10, "bo3:7:24644": 4}, "inactivity_half_life_days": null, "inactivity_max_pull": null, "k": 32.0, "last_match_utc": {"bo3:7:24388": "2026-09-08T11:30:00Z", "bo3:7:24644": "2026-09-08T08:10:00Z"}, "minimum_reliable_games": null, "platt_intercept": 0.1449495260526242, "platt_slope": 0.9659723567522712, "ratings": {"bo3:7:24388": 1356.362203, "bo3:7:24644": 1513.120075},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"2026-09-14T04:50:55.366530+00:00", "team_ids": ["bo3:7:24644", "bo3:7:24388"]}, "market_type": "moneyline", "model_version": "rainbow_six-tiered-elo-v6", "observed_at_utc": "2026-09-14T04:50:55.366530+00:00", "probabilities": {"away": 0.363431, "home": 0.636569}, "replay_scope": "Exact serving book state, calibration, temperature, inactivity reference and thin-history adjustments; training provenance not certified.", "schema": "esports-elo-replay-v1", "snapshot_hash": "001518cd5f13140ac164389e601c5b2ef522eb60541a59a1cccd018a74cda8a9", "sport": "RAINBOW_SIX"}</t>
        </is>
      </c>
    </row>
    <row r="22" ht="36" customHeight="1">
      <c r="A22" s="24" t="inlineStr">
        <is>
          <t>062f541e9f9e42be</t>
        </is>
      </c>
      <c r="B22" s="24" t="inlineStr">
        <is>
          <t>2026-09-15T04:41:03.812382Z</t>
        </is>
      </c>
      <c r="C22" s="24" t="inlineStr">
        <is>
          <t>2026-09-15T08:00:00Z</t>
        </is>
      </c>
      <c r="D22" s="24" t="inlineStr">
        <is>
          <t>110187</t>
        </is>
      </c>
      <c r="E22" s="24" t="inlineStr">
        <is>
          <t>RAINBOW_SIX</t>
        </is>
      </c>
      <c r="F22" s="24" t="inlineStr">
        <is>
          <t>Shaiikademy</t>
        </is>
      </c>
      <c r="G22" s="24" t="inlineStr">
        <is>
          <t>Arcade Esports</t>
        </is>
      </c>
      <c r="H22" s="24" t="inlineStr">
        <is>
          <t>moneyline</t>
        </is>
      </c>
      <c r="I22" s="24" t="inlineStr">
        <is>
          <t>away</t>
        </is>
      </c>
      <c r="J22" s="25" t="n"/>
      <c r="K22" s="24" t="inlineStr">
        <is>
          <t>polymarket_us</t>
        </is>
      </c>
      <c r="L22" s="26" t="n">
        <v>-233</v>
      </c>
      <c r="M22" s="27" t="n">
        <v>1.429185</v>
      </c>
      <c r="N22" s="28" t="n">
        <v>0.6997</v>
      </c>
      <c r="O22" s="28" t="n">
        <v>0.632437</v>
      </c>
      <c r="P22" s="28" t="n"/>
      <c r="Q22" s="28" t="n">
        <v>-0.067263</v>
      </c>
      <c r="R22" s="26" t="n">
        <v>0</v>
      </c>
      <c r="S22" s="29" t="n">
        <v>1</v>
      </c>
      <c r="T22" s="24" t="inlineStr">
        <is>
          <t>rainbow_six-tiered-elo-v6</t>
        </is>
      </c>
      <c r="U22" s="24" t="inlineStr">
        <is>
          <t>settled</t>
        </is>
      </c>
      <c r="V22" s="24" t="inlineStr">
        <is>
          <t>win</t>
        </is>
      </c>
      <c r="W22" s="26" t="n">
        <v>1</v>
      </c>
      <c r="X22" s="26" t="n">
        <v>0</v>
      </c>
      <c r="Y22" s="25" t="n"/>
      <c r="Z22" s="26" t="n">
        <v>-233</v>
      </c>
      <c r="AA22" s="28" t="n">
        <v>0.7</v>
      </c>
      <c r="AB22" s="28" t="n">
        <v>0.0003</v>
      </c>
      <c r="AC22" s="30" t="n">
        <v>0.4292</v>
      </c>
      <c r="AD22" s="24" t="inlineStr">
        <is>
          <t>2026-09-15T10:03:05.030988Z</t>
        </is>
      </c>
      <c r="AE22" s="31" t="inlineStr">
        <is>
          <t>Neutral Elo baseline; executable ask 0.7000 (market_slug=aec-r6-arc-sha-2026-09-15).</t>
        </is>
      </c>
      <c r="AF22" s="31" t="inlineStr">
        <is>
          <t>Config-promoted esports baseline; gates enforced at log time.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paper_call</t>
        </is>
      </c>
      <c r="AL22" s="26" t="n">
        <v>4</v>
      </c>
      <c r="AM22" s="24" t="inlineStr">
        <is>
          <t>RESEARCH_OBSERVATION</t>
        </is>
      </c>
      <c r="AN22" s="24" t="inlineStr">
        <is>
          <t>CALL</t>
        </is>
      </c>
      <c r="AO22" s="24" t="inlineStr">
        <is>
          <t>PAPER_CALL_LOW_EDGE</t>
        </is>
      </c>
      <c r="AP22" s="24" t="inlineStr">
        <is>
          <t>Shaiikademy</t>
        </is>
      </c>
      <c r="AQ22" s="24" t="inlineStr">
        <is>
          <t>Shaiikademy</t>
        </is>
      </c>
      <c r="AR22" s="24" t="inlineStr">
        <is>
          <t>Shaiikademy</t>
        </is>
      </c>
      <c r="AS22" s="24" t="inlineStr">
        <is>
          <t>Arcade Esports</t>
        </is>
      </c>
      <c r="AT22" s="24" t="inlineStr">
        <is>
          <t>Arcade Esports</t>
        </is>
      </c>
      <c r="AU22" s="24" t="inlineStr">
        <is>
          <t>Arcade Esports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research</t>
        </is>
      </c>
      <c r="BA22" s="24" t="inlineStr">
        <is>
          <t>4bfb945d12d61816ea10c6105d0ba0dbfa0c591deb2571ad66db8cdd371e466d</t>
        </is>
      </c>
      <c r="BB22" s="24" t="inlineStr">
        <is>
          <t>neutral_elo</t>
        </is>
      </c>
      <c r="BC22" s="24" t="inlineStr">
        <is>
          <t>rainbow_six-tiered-elo-v6</t>
        </is>
      </c>
      <c r="BD22" s="24" t="inlineStr">
        <is>
          <t>4bfb945d12d61816ea10c6105d0ba0dbfa0c591deb2571ad66db8cdd371e466d</t>
        </is>
      </c>
      <c r="BE22" s="24" t="inlineStr">
        <is>
          <t>1</t>
        </is>
      </c>
      <c r="BF22" s="24" t="inlineStr">
        <is>
          <t>1</t>
        </is>
      </c>
      <c r="BG22" s="24" t="inlineStr">
        <is>
          <t>rainbow_six-tiered-elo-v6</t>
        </is>
      </c>
      <c r="BH22" s="24" t="inlineStr">
        <is>
          <t>2026-09-15T04:40:19.365685Z</t>
        </is>
      </c>
      <c r="BI22" s="24" t="inlineStr">
        <is>
          <t>["same_event","same_team_same_day","same_league_same_day"]</t>
        </is>
      </c>
      <c r="BJ22" s="25" t="n"/>
      <c r="BK22" s="26" t="n">
        <v>-233</v>
      </c>
      <c r="BL22" s="27" t="n">
        <v>1.429185</v>
      </c>
      <c r="BM22" s="28" t="n">
        <v>0.6997</v>
      </c>
      <c r="BN22" s="28" t="n"/>
      <c r="BO22" s="28" t="n"/>
      <c r="BP22" s="25" t="n"/>
      <c r="BQ22" s="27" t="n">
        <v>1.429185</v>
      </c>
      <c r="BR22" s="28" t="n">
        <v>0.7</v>
      </c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inlineStr">
        <is>
          <t>False</t>
        </is>
      </c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inlineStr">
        <is>
          <t>0.6997</t>
        </is>
      </c>
      <c r="DK22" s="24" t="n"/>
      <c r="DL22" s="24" t="n"/>
      <c r="DM22" s="24" t="n"/>
      <c r="DN22" s="24" t="n"/>
      <c r="DO22" s="24" t="n"/>
      <c r="DP22" s="24" t="n"/>
      <c r="DQ22" s="24" t="inlineStr">
        <is>
          <t>{"artifact_hash": "4bfb945d12d61816ea10c6105d0ba0dbfa0c591deb2571ad66db8cdd371e466d", "away_team": "Shaiikademy", "event_id": "110187", "event_start_utc": "2026-09-15T08:00:00Z", "features": {"away_elo": 1492.411861, "away_history_count": 20, "home_elo": 1374.026915, "home_history_count": 11}, "historical_source_observation_times_verified": false, "home_team": "Arcade Esports", "inference_inputs": {"book_state": {"games_played": {"bo3:7:23005": 20, "bo3:7:24388": 11}, "inactivity_half_life_days": null, "inactivity_max_pull": null, "k": 24.0, "last_match_utc": {"bo3:7:23005": "2026-09-14T09:30:00Z", "bo3:7:24388": "2026-09-14T08:25:00Z"}, "minimum_reliable_games": null, "platt_intercept": 0.14181642370927872, "platt_slope": 1.1567735614524368, "ratings": {"bo3:7:23005": 1492.411861, "bo3:7:24388": 1374.026915},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"2026-09-15T04:40:15.216499+00:00", "team_ids": ["bo3:7:24388", "bo3:7:23005"]}, "market_type": "moneyline", "model_version": "rainbow_six-tiered-elo-v6", "observed_at_utc": "2026-09-15T04:40:15.216499+00:00", "probabilities": {"away": 0.632437, "home": 0.367563}, "replay_scope": "Exact serving book state, calibration, temperature, inactivity reference and thin-history adjustments; training provenance not certified.", "schema": "esports-elo-replay-v1", "snapshot_hash": "9dbb0777c6b17090a8ce249058625251531aebe3decd2db10bb13d69c9f0ccb2", "sport": "RAINBOW_SIX"}</t>
        </is>
      </c>
    </row>
    <row r="23" ht="36" customHeight="1">
      <c r="A23" s="24" t="inlineStr">
        <is>
          <t>ed7d13f8317147e4</t>
        </is>
      </c>
      <c r="B23" s="24" t="inlineStr">
        <is>
          <t>2026-09-15T16:14:25.816820Z</t>
        </is>
      </c>
      <c r="C23" s="24" t="inlineStr">
        <is>
          <t>2026-09-15T17:00:00Z</t>
        </is>
      </c>
      <c r="D23" s="24" t="inlineStr">
        <is>
          <t>110464</t>
        </is>
      </c>
      <c r="E23" s="24" t="inlineStr">
        <is>
          <t>RAINBOW_SIX</t>
        </is>
      </c>
      <c r="F23" s="24" t="inlineStr">
        <is>
          <t>Geekay Esports</t>
        </is>
      </c>
      <c r="G23" s="24" t="inlineStr">
        <is>
          <t>Virtus.pro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-223</v>
      </c>
      <c r="M23" s="27" t="n">
        <v>1.44843</v>
      </c>
      <c r="N23" s="28" t="n">
        <v>0.690402</v>
      </c>
      <c r="O23" s="28" t="n">
        <v>0.620573</v>
      </c>
      <c r="P23" s="28" t="n"/>
      <c r="Q23" s="28" t="n">
        <v>-0.069829</v>
      </c>
      <c r="R23" s="26" t="n">
        <v>0</v>
      </c>
      <c r="S23" s="29" t="n">
        <v>1</v>
      </c>
      <c r="T23" s="24" t="inlineStr">
        <is>
          <t>rainbow_six-tiered-elo-v6</t>
        </is>
      </c>
      <c r="U23" s="24" t="inlineStr">
        <is>
          <t>settled</t>
        </is>
      </c>
      <c r="V23" s="24" t="inlineStr">
        <is>
          <t>loss</t>
        </is>
      </c>
      <c r="W23" s="26" t="n">
        <v>1</v>
      </c>
      <c r="X23" s="26" t="n">
        <v>0</v>
      </c>
      <c r="Y23" s="25" t="n"/>
      <c r="Z23" s="26" t="n"/>
      <c r="AA23" s="28" t="n"/>
      <c r="AB23" s="28" t="n"/>
      <c r="AC23" s="30" t="n">
        <v>-1</v>
      </c>
      <c r="AD23" s="24" t="inlineStr">
        <is>
          <t>2026-09-16T06:37:21.951353Z</t>
        </is>
      </c>
      <c r="AE23" s="31" t="inlineStr">
        <is>
          <t>Neutral Elo baseline; executable ask 0.6900 (market_slug=aec-r6-vp-ge-2026-09-15).</t>
        </is>
      </c>
      <c r="AF23" s="31" t="inlineStr">
        <is>
          <t>Config-promoted esports baseline; gates enforced at log time.</t>
        </is>
      </c>
      <c r="AG23" s="24" t="inlineStr">
        <is>
          <t>review_required</t>
        </is>
      </c>
      <c r="AH23" s="24" t="n"/>
      <c r="AI23" s="31" t="n"/>
      <c r="AJ23" s="31" t="n"/>
      <c r="AK23" s="24" t="inlineStr">
        <is>
          <t>paper_call</t>
        </is>
      </c>
      <c r="AL23" s="26" t="n">
        <v>4</v>
      </c>
      <c r="AM23" s="24" t="inlineStr">
        <is>
          <t>RESEARCH_OBSERVATION</t>
        </is>
      </c>
      <c r="AN23" s="24" t="inlineStr">
        <is>
          <t>CALL</t>
        </is>
      </c>
      <c r="AO23" s="24" t="inlineStr">
        <is>
          <t>PAPER_CALL_LOW_EDGE</t>
        </is>
      </c>
      <c r="AP23" s="24" t="inlineStr">
        <is>
          <t>Geekay Esports</t>
        </is>
      </c>
      <c r="AQ23" s="24" t="inlineStr">
        <is>
          <t>Geekay Esports</t>
        </is>
      </c>
      <c r="AR23" s="24" t="inlineStr">
        <is>
          <t>Geekay Esports</t>
        </is>
      </c>
      <c r="AS23" s="24" t="inlineStr">
        <is>
          <t>Virtus.pro</t>
        </is>
      </c>
      <c r="AT23" s="24" t="inlineStr">
        <is>
          <t>Virtus.pro</t>
        </is>
      </c>
      <c r="AU23" s="24" t="inlineStr">
        <is>
          <t>Virtus.pro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research</t>
        </is>
      </c>
      <c r="BA23" s="24" t="inlineStr">
        <is>
          <t>c657070edf75311010423cfc3edc6edbdc8e9801e6a1c33436806c58c54d8134</t>
        </is>
      </c>
      <c r="BB23" s="24" t="inlineStr">
        <is>
          <t>neutral_elo</t>
        </is>
      </c>
      <c r="BC23" s="24" t="inlineStr">
        <is>
          <t>rainbow_six-tiered-elo-v6</t>
        </is>
      </c>
      <c r="BD23" s="24" t="inlineStr">
        <is>
          <t>c657070edf75311010423cfc3edc6edbdc8e9801e6a1c33436806c58c54d8134</t>
        </is>
      </c>
      <c r="BE23" s="24" t="inlineStr">
        <is>
          <t>1</t>
        </is>
      </c>
      <c r="BF23" s="24" t="inlineStr">
        <is>
          <t>1</t>
        </is>
      </c>
      <c r="BG23" s="24" t="inlineStr">
        <is>
          <t>rainbow_six-tiered-elo-v6</t>
        </is>
      </c>
      <c r="BH23" s="24" t="inlineStr">
        <is>
          <t>2026-09-15T16:14:03.895871Z</t>
        </is>
      </c>
      <c r="BI23" s="24" t="inlineStr">
        <is>
          <t>["same_event","same_team_same_day","same_league_same_day"]</t>
        </is>
      </c>
      <c r="BJ23" s="25" t="n"/>
      <c r="BK23" s="26" t="n">
        <v>-223</v>
      </c>
      <c r="BL23" s="27" t="n">
        <v>1.44843</v>
      </c>
      <c r="BM23" s="28" t="n">
        <v>0.690402</v>
      </c>
      <c r="BN23" s="28" t="n"/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inlineStr">
        <is>
          <t>False</t>
        </is>
      </c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inlineStr">
        <is>
          <t>0.690402</t>
        </is>
      </c>
      <c r="DK23" s="24" t="n"/>
      <c r="DL23" s="24" t="n"/>
      <c r="DM23" s="24" t="n"/>
      <c r="DN23" s="24" t="n"/>
      <c r="DO23" s="24" t="n"/>
      <c r="DP23" s="24" t="n"/>
      <c r="DQ23" s="24" t="inlineStr">
        <is>
          <t>{"artifact_hash": "c657070edf75311010423cfc3edc6edbdc8e9801e6a1c33436806c58c54d8134", "away_team": "Geekay Esports", "event_id": "110464", "event_start_utc": "2026-09-15T17:00:00Z", "features": {"away_elo": 1628.04988, "away_history_count": 54, "home_elo": 1691.82598, "home_history_count": 105}, "historical_source_observation_times_verified": false, "home_team": "Virtus.pro", "inference_inputs": {"book_state": {"games_played": {"bo3:7:19340": 54, "bo3:7:19668": 105}, "inactivity_half_life_days": null, "inactivity_max_pull": null, "k": 24.0, "last_match_utc": {"bo3:7:19340": "2026-09-14T16:00:00Z", "bo3:7:19668": "2026-09-14T19:45:00Z"}, "minimum_reliable_games": null, "platt_intercept": 0.15566464805976946, "platt_slope": 1.1630942484747515, "ratings": {"bo3:7:19340": 1628.04988, "bo3:7:19668": 1691.82598},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"2026-09-15T16:14:03.797742+00:00", "team_ids": ["bo3:7:19668", "bo3:7:19340"]}, "market_type": "moneyline", "model_version": "rainbow_six-tiered-elo-v6", "observed_at_utc": "2026-09-15T16:14:03.797742+00:00", "probabilities": {"away": 0.379427, "home": 0.620573}, "replay_scope": "Exact serving book state, calibration, temperature, inactivity reference and thin-history adjustments; training provenance not certified.", "schema": "esports-elo-replay-v1", "snapshot_hash": "0dc9b156507020ed3b81ea9418d45a0c7da5c7c2fc2e4e00d610d7adfaebc1ff", "sport": "RAINBOW_SIX"}</t>
        </is>
      </c>
    </row>
    <row r="24" ht="36" customHeight="1">
      <c r="A24" s="24" t="inlineStr">
        <is>
          <t>c55d747517204564</t>
        </is>
      </c>
      <c r="B24" s="24" t="inlineStr">
        <is>
          <t>2026-09-17T16:35:17.195438Z</t>
        </is>
      </c>
      <c r="C24" s="24" t="inlineStr">
        <is>
          <t>2026-09-17T18:00:00Z</t>
        </is>
      </c>
      <c r="D24" s="24" t="inlineStr">
        <is>
          <t>112768</t>
        </is>
      </c>
      <c r="E24" s="24" t="inlineStr">
        <is>
          <t>RAINBOW_SIX</t>
        </is>
      </c>
      <c r="F24" s="24" t="inlineStr">
        <is>
          <t>Five Fears</t>
        </is>
      </c>
      <c r="G24" s="24" t="inlineStr">
        <is>
          <t>For Fun Esports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-122</v>
      </c>
      <c r="M24" s="27" t="n">
        <v>1.819672</v>
      </c>
      <c r="N24" s="28" t="n">
        <v>0.54955</v>
      </c>
      <c r="O24" s="28" t="n">
        <v>0.589812</v>
      </c>
      <c r="P24" s="28" t="n"/>
      <c r="Q24" s="28" t="n">
        <v>0.040262</v>
      </c>
      <c r="R24" s="26" t="n">
        <v>40</v>
      </c>
      <c r="S24" s="29" t="n">
        <v>1</v>
      </c>
      <c r="T24" s="24" t="inlineStr">
        <is>
          <t>rainbow_six-tiered-elo-v6</t>
        </is>
      </c>
      <c r="U24" s="24" t="inlineStr">
        <is>
          <t>settled</t>
        </is>
      </c>
      <c r="V24" s="24" t="inlineStr">
        <is>
          <t>win</t>
        </is>
      </c>
      <c r="W24" s="26" t="n">
        <v>0</v>
      </c>
      <c r="X24" s="26" t="n">
        <v>1</v>
      </c>
      <c r="Y24" s="25" t="n"/>
      <c r="Z24" s="26" t="n"/>
      <c r="AA24" s="28" t="n"/>
      <c r="AB24" s="28" t="n"/>
      <c r="AC24" s="30" t="n">
        <v>0.8197</v>
      </c>
      <c r="AD24" s="24" t="inlineStr">
        <is>
          <t>2026-09-17T22:04:08.375424Z</t>
        </is>
      </c>
      <c r="AE24" s="31" t="inlineStr">
        <is>
          <t>Neutral Elo baseline; executable ask 0.5500 (market_slug=aec-r6-ff-5f-2026-09-17).</t>
        </is>
      </c>
      <c r="AF24" s="31" t="inlineStr">
        <is>
          <t>Config-promoted esports baseline; gates enforced at log time.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model_qualified</t>
        </is>
      </c>
      <c r="AL24" s="26" t="n">
        <v>4</v>
      </c>
      <c r="AM24" s="24" t="inlineStr">
        <is>
          <t>QUALIFIED_SHADOW_CALL</t>
        </is>
      </c>
      <c r="AN24" s="24" t="inlineStr">
        <is>
          <t>CALL</t>
        </is>
      </c>
      <c r="AO24" s="24" t="inlineStr">
        <is>
          <t>QUALIFIED</t>
        </is>
      </c>
      <c r="AP24" s="24" t="inlineStr">
        <is>
          <t>Five Fears</t>
        </is>
      </c>
      <c r="AQ24" s="24" t="inlineStr">
        <is>
          <t>Five Fears</t>
        </is>
      </c>
      <c r="AR24" s="24" t="inlineStr">
        <is>
          <t>Five Fears</t>
        </is>
      </c>
      <c r="AS24" s="24" t="inlineStr">
        <is>
          <t>For Fun Esports</t>
        </is>
      </c>
      <c r="AT24" s="24" t="inlineStr">
        <is>
          <t>For Fun Esports</t>
        </is>
      </c>
      <c r="AU24" s="24" t="inlineStr">
        <is>
          <t>For Fun Esports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research</t>
        </is>
      </c>
      <c r="BA24" s="24" t="inlineStr">
        <is>
          <t>313367002e8c887889d6964ba5266e3d808cf12e13c6319b5d05a3b85777719a</t>
        </is>
      </c>
      <c r="BB24" s="24" t="inlineStr">
        <is>
          <t>neutral_elo</t>
        </is>
      </c>
      <c r="BC24" s="24" t="inlineStr">
        <is>
          <t>rainbow_six-tiered-elo-v6</t>
        </is>
      </c>
      <c r="BD24" s="24" t="inlineStr">
        <is>
          <t>313367002e8c887889d6964ba5266e3d808cf12e13c6319b5d05a3b85777719a</t>
        </is>
      </c>
      <c r="BE24" s="24" t="inlineStr">
        <is>
          <t>1</t>
        </is>
      </c>
      <c r="BF24" s="24" t="inlineStr">
        <is>
          <t>1</t>
        </is>
      </c>
      <c r="BG24" s="24" t="inlineStr">
        <is>
          <t>rainbow_six-tiered-elo-v6</t>
        </is>
      </c>
      <c r="BH24" s="24" t="inlineStr">
        <is>
          <t>2026-09-17T16:18:50.721425Z</t>
        </is>
      </c>
      <c r="BI24" s="24" t="inlineStr">
        <is>
          <t>["same_event","same_team_same_day","same_league_same_day"]</t>
        </is>
      </c>
      <c r="BJ24" s="25" t="n"/>
      <c r="BK24" s="26" t="n">
        <v>-122</v>
      </c>
      <c r="BL24" s="27" t="n">
        <v>1.819672</v>
      </c>
      <c r="BM24" s="28" t="n">
        <v>0.54955</v>
      </c>
      <c r="BN24" s="28" t="n"/>
      <c r="BO24" s="28" t="n"/>
      <c r="BP24" s="25" t="n"/>
      <c r="BQ24" s="27" t="n"/>
      <c r="BR24" s="28" t="n"/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True</t>
        </is>
      </c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inlineStr">
        <is>
          <t>0.54955</t>
        </is>
      </c>
      <c r="DK24" s="24" t="n"/>
      <c r="DL24" s="24" t="n"/>
      <c r="DM24" s="24" t="n"/>
      <c r="DN24" s="24" t="n"/>
      <c r="DO24" s="24" t="n"/>
      <c r="DP24" s="24" t="n"/>
      <c r="DQ24" s="24" t="inlineStr">
        <is>
          <t>{"artifact_hash": "313367002e8c887889d6964ba5266e3d808cf12e13c6319b5d05a3b85777719a", "away_team": "Five Fears", "event_id": "112768", "event_start_utc": "2026-09-17T18:00:00Z", "features": {"away_elo": 1476.063933, "away_history_count": 23, "home_elo": 1518.355015, "home_history_count": 13}, "historical_source_observation_times_verified": false, "home_team": "For Fun Esports", "inference_inputs": {"book_state": {"games_played": {"bo3:7:23079": 23, "bo3:7:24480": 13}, "inactivity_half_life_days": null, "inactivity_max_pull": null, "k": 24.0, "last_match_utc": {"bo3:7:23079": "2026-09-11T19:20:00Z", "bo3:7:24480": "2026-09-11T21:30:00Z"}, "minimum_reliable_games": null, "platt_intercept": 0.163419118508153, "platt_slope": 1.1483475465180992, "ratings": {"bo3:7:23079": 1476.063933, "bo3:7:24480": 1518.355015},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"2026-09-17T16:18:50.353265+00:00", "team_ids": ["bo3:7:24480", "bo3:7:23079"]}, "market_type": "moneyline", "model_version": "rainbow_six-tiered-elo-v6", "observed_at_utc": "2026-09-17T16:18:50.353265+00:00", "probabilities": {"away": 0.410188, "home": 0.589812}, "replay_scope": "Exact serving book state, calibration, temperature, inactivity reference and thin-history adjustments; training provenance not certified.", "schema": "esports-elo-replay-v1", "snapshot_hash": "5baeac131e39a4ae0fda559c52e3c1c36627eacc8c2ad5508f3c15708fe5de2c", "sport": "RAINBOW_SIX"}</t>
        </is>
      </c>
    </row>
    <row r="25" ht="36" customHeight="1">
      <c r="A25" s="24" t="inlineStr">
        <is>
          <t>32bf8247b0cc424e</t>
        </is>
      </c>
      <c r="B25" s="24" t="inlineStr">
        <is>
          <t>2026-09-17T16:35:17.195438Z</t>
        </is>
      </c>
      <c r="C25" s="24" t="inlineStr">
        <is>
          <t>2026-09-17T19:00:00Z</t>
        </is>
      </c>
      <c r="D25" s="24" t="inlineStr">
        <is>
          <t>112905</t>
        </is>
      </c>
      <c r="E25" s="24" t="inlineStr">
        <is>
          <t>RAINBOW_SIX</t>
        </is>
      </c>
      <c r="F25" s="24" t="inlineStr">
        <is>
          <t>Spacestation Gaming</t>
        </is>
      </c>
      <c r="G25" s="24" t="inlineStr">
        <is>
          <t>Wildcard Gaming</t>
        </is>
      </c>
      <c r="H25" s="24" t="inlineStr">
        <is>
          <t>moneyline</t>
        </is>
      </c>
      <c r="I25" s="24" t="inlineStr">
        <is>
          <t>home</t>
        </is>
      </c>
      <c r="J25" s="25" t="n"/>
      <c r="K25" s="24" t="inlineStr">
        <is>
          <t>polymarket_us</t>
        </is>
      </c>
      <c r="L25" s="26" t="n">
        <v>-194</v>
      </c>
      <c r="M25" s="27" t="n">
        <v>1.515464</v>
      </c>
      <c r="N25" s="28" t="n">
        <v>0.659864</v>
      </c>
      <c r="O25" s="28" t="n">
        <v>0.683351</v>
      </c>
      <c r="P25" s="28" t="n"/>
      <c r="Q25" s="28" t="n">
        <v>0.023487</v>
      </c>
      <c r="R25" s="26" t="n">
        <v>32</v>
      </c>
      <c r="S25" s="29" t="n">
        <v>1</v>
      </c>
      <c r="T25" s="24" t="inlineStr">
        <is>
          <t>rainbow_six-tiered-elo-v6</t>
        </is>
      </c>
      <c r="U25" s="24" t="inlineStr">
        <is>
          <t>settled</t>
        </is>
      </c>
      <c r="V25" s="24" t="inlineStr">
        <is>
          <t>win</t>
        </is>
      </c>
      <c r="W25" s="26" t="n">
        <v>0</v>
      </c>
      <c r="X25" s="26" t="n">
        <v>1</v>
      </c>
      <c r="Y25" s="25" t="n"/>
      <c r="Z25" s="26" t="n"/>
      <c r="AA25" s="28" t="n"/>
      <c r="AB25" s="28" t="n"/>
      <c r="AC25" s="30" t="n">
        <v>0.5155</v>
      </c>
      <c r="AD25" s="24" t="inlineStr">
        <is>
          <t>2026-09-17T22:04:08.736907Z</t>
        </is>
      </c>
      <c r="AE25" s="31" t="inlineStr">
        <is>
          <t>Neutral Elo baseline; executable ask 0.6600 (market_slug=aec-r6-wcg-ssg-2026-09-17).</t>
        </is>
      </c>
      <c r="AF25" s="31" t="inlineStr">
        <is>
          <t>Config-promoted esports baseline; gates enforced at log time.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paper_call</t>
        </is>
      </c>
      <c r="AL25" s="26" t="n">
        <v>4</v>
      </c>
      <c r="AM25" s="24" t="inlineStr">
        <is>
          <t>RESEARCH_OBSERVATION</t>
        </is>
      </c>
      <c r="AN25" s="24" t="inlineStr">
        <is>
          <t>CALL</t>
        </is>
      </c>
      <c r="AO25" s="24" t="inlineStr">
        <is>
          <t>PAPER_CALL_LOW_EDGE</t>
        </is>
      </c>
      <c r="AP25" s="24" t="inlineStr">
        <is>
          <t>Spacestation Gaming</t>
        </is>
      </c>
      <c r="AQ25" s="24" t="inlineStr">
        <is>
          <t>Spacestation Gaming</t>
        </is>
      </c>
      <c r="AR25" s="24" t="inlineStr">
        <is>
          <t>Spacestation Gaming</t>
        </is>
      </c>
      <c r="AS25" s="24" t="inlineStr">
        <is>
          <t>Wildcard Gaming</t>
        </is>
      </c>
      <c r="AT25" s="24" t="inlineStr">
        <is>
          <t>Wildcard Gaming</t>
        </is>
      </c>
      <c r="AU25" s="24" t="inlineStr">
        <is>
          <t>Wildcard Gaming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research</t>
        </is>
      </c>
      <c r="BA25" s="24" t="inlineStr">
        <is>
          <t>313367002e8c887889d6964ba5266e3d808cf12e13c6319b5d05a3b85777719a</t>
        </is>
      </c>
      <c r="BB25" s="24" t="inlineStr">
        <is>
          <t>neutral_elo</t>
        </is>
      </c>
      <c r="BC25" s="24" t="inlineStr">
        <is>
          <t>rainbow_six-tiered-elo-v6</t>
        </is>
      </c>
      <c r="BD25" s="24" t="inlineStr">
        <is>
          <t>313367002e8c887889d6964ba5266e3d808cf12e13c6319b5d05a3b85777719a</t>
        </is>
      </c>
      <c r="BE25" s="24" t="inlineStr">
        <is>
          <t>1</t>
        </is>
      </c>
      <c r="BF25" s="24" t="inlineStr">
        <is>
          <t>1</t>
        </is>
      </c>
      <c r="BG25" s="24" t="inlineStr">
        <is>
          <t>rainbow_six-tiered-elo-v6</t>
        </is>
      </c>
      <c r="BH25" s="24" t="inlineStr">
        <is>
          <t>2026-09-17T16:18:50.911670Z</t>
        </is>
      </c>
      <c r="BI25" s="24" t="inlineStr">
        <is>
          <t>["same_event","same_team_same_day","same_league_same_day"]</t>
        </is>
      </c>
      <c r="BJ25" s="25" t="n"/>
      <c r="BK25" s="26" t="n">
        <v>-194</v>
      </c>
      <c r="BL25" s="27" t="n">
        <v>1.515464</v>
      </c>
      <c r="BM25" s="28" t="n">
        <v>0.659864</v>
      </c>
      <c r="BN25" s="28" t="n"/>
      <c r="BO25" s="28" t="n"/>
      <c r="BP25" s="25" t="n"/>
      <c r="BQ25" s="27" t="n"/>
      <c r="BR25" s="28" t="n"/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inlineStr">
        <is>
          <t>True</t>
        </is>
      </c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 t="n"/>
      <c r="DJ25" s="24" t="inlineStr">
        <is>
          <t>0.659864</t>
        </is>
      </c>
      <c r="DK25" s="24" t="n"/>
      <c r="DL25" s="24" t="n"/>
      <c r="DM25" s="24" t="n"/>
      <c r="DN25" s="24" t="n"/>
      <c r="DO25" s="24" t="n"/>
      <c r="DP25" s="24" t="n"/>
      <c r="DQ25" s="24" t="inlineStr">
        <is>
          <t>{"artifact_hash": "313367002e8c887889d6964ba5266e3d808cf12e13c6319b5d05a3b85777719a", "away_team": "Spacestation Gaming", "event_id": "112905", "event_start_utc": "2026-09-17T19:00:00Z", "features": {"away_elo": 1617.975276, "away_history_count": 122, "home_elo": 1736.391165, "home_history_count": 112}, "historical_source_observation_times_verified": false, "home_team": "Wildcard Gaming", "inference_inputs": {"book_state": {"games_played": {"bo3:7:19717": 112, "bo3:7:19723": 122}, "inactivity_half_life_days": null, "inactivity_max_pull": null, "k": 24.0, "last_match_utc": {"bo3:7:19717": "2026-09-11T22:30:00Z", "bo3:7:19723": "2026-09-11T18:00:00Z"}, "minimum_reliable_games": null, "platt_intercept": 0.163419118508153, "platt_slope": 1.1483475465180992, "ratings": {"bo3:7:19717": 1736.391165, "bo3:7:19723": 1617.975276},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"2026-09-17T16:18:50.353265+00:00", "team_ids": ["bo3:7:19717", "bo3:7:19723"]}, "market_type": "moneyline", "model_version": "rainbow_six-tiered-elo-v6", "observed_at_utc": "2026-09-17T16:18:50.353265+00:00", "probabilities": {"away": 0.316649, "home": 0.683351}, "replay_scope": "Exact serving book state, calibration, temperature, inactivity reference and thin-history adjustments; training provenance not certified.", "schema": "esports-elo-replay-v1", "snapshot_hash": "74786b7f8f77ad880ffb8de8830b359ad298b05618e8ccd9b8a0dff61834ae66", "sport": "RAINBOW_SIX"}</t>
        </is>
      </c>
    </row>
    <row r="26" ht="36" customHeight="1">
      <c r="A26" s="24" t="inlineStr">
        <is>
          <t>5d119f3697f844eb</t>
        </is>
      </c>
      <c r="B26" s="24" t="inlineStr">
        <is>
          <t>2026-09-20T05:04:00.761534Z</t>
        </is>
      </c>
      <c r="C26" s="24" t="inlineStr">
        <is>
          <t>2026-09-20T05:30:00Z</t>
        </is>
      </c>
      <c r="D26" s="24" t="inlineStr">
        <is>
          <t>115741</t>
        </is>
      </c>
      <c r="E26" s="24" t="inlineStr">
        <is>
          <t>RAINBOW_SIX</t>
        </is>
      </c>
      <c r="F26" s="24" t="inlineStr">
        <is>
          <t>EDward Gaming</t>
        </is>
      </c>
      <c r="G26" s="24" t="inlineStr">
        <is>
          <t>KINGZERO eSports</t>
        </is>
      </c>
      <c r="H26" s="24" t="inlineStr">
        <is>
          <t>moneyline</t>
        </is>
      </c>
      <c r="I26" s="24" t="inlineStr">
        <is>
          <t>away</t>
        </is>
      </c>
      <c r="J26" s="25" t="n"/>
      <c r="K26" s="24" t="inlineStr">
        <is>
          <t>polymarket_us</t>
        </is>
      </c>
      <c r="L26" s="26" t="n">
        <v>-170</v>
      </c>
      <c r="M26" s="27" t="n">
        <v>1.588235</v>
      </c>
      <c r="N26" s="28" t="n">
        <v>0.62963</v>
      </c>
      <c r="O26" s="28" t="n">
        <v>0.624299</v>
      </c>
      <c r="P26" s="28" t="n"/>
      <c r="Q26" s="28" t="n">
        <v>-0.005331</v>
      </c>
      <c r="R26" s="26" t="n">
        <v>17</v>
      </c>
      <c r="S26" s="29" t="n">
        <v>1</v>
      </c>
      <c r="T26" s="24" t="inlineStr">
        <is>
          <t>rainbow_six-tiered-elo-v6</t>
        </is>
      </c>
      <c r="U26" s="24" t="inlineStr">
        <is>
          <t>settled</t>
        </is>
      </c>
      <c r="V26" s="24" t="inlineStr">
        <is>
          <t>win</t>
        </is>
      </c>
      <c r="W26" s="26" t="n">
        <v>1</v>
      </c>
      <c r="X26" s="26" t="n">
        <v>0</v>
      </c>
      <c r="Y26" s="25" t="n"/>
      <c r="Z26" s="26" t="n">
        <v>-3233</v>
      </c>
      <c r="AA26" s="28" t="n">
        <v>0.97</v>
      </c>
      <c r="AB26" s="28" t="n">
        <v>0.34037</v>
      </c>
      <c r="AC26" s="30" t="n">
        <v>0.5881999999999999</v>
      </c>
      <c r="AD26" s="24" t="inlineStr">
        <is>
          <t>2026-09-20T10:02:52.362117Z</t>
        </is>
      </c>
      <c r="AE26" s="31" t="inlineStr">
        <is>
          <t>Neutral Elo baseline; executable ask 0.6300 (market_slug=aec-r6-kz-edg-2026-09-20).</t>
        </is>
      </c>
      <c r="AF26" s="31" t="inlineStr">
        <is>
          <t>Config-promoted esports baseline; gates enforced at log time.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paper_call</t>
        </is>
      </c>
      <c r="AL26" s="26" t="n">
        <v>4</v>
      </c>
      <c r="AM26" s="24" t="inlineStr">
        <is>
          <t>RESEARCH_OBSERVATION</t>
        </is>
      </c>
      <c r="AN26" s="24" t="inlineStr">
        <is>
          <t>CALL</t>
        </is>
      </c>
      <c r="AO26" s="24" t="inlineStr">
        <is>
          <t>PAPER_CALL_LOW_EDGE</t>
        </is>
      </c>
      <c r="AP26" s="24" t="inlineStr">
        <is>
          <t>EDward Gaming</t>
        </is>
      </c>
      <c r="AQ26" s="24" t="inlineStr">
        <is>
          <t>EDward Gaming</t>
        </is>
      </c>
      <c r="AR26" s="24" t="inlineStr">
        <is>
          <t>EDward Gaming</t>
        </is>
      </c>
      <c r="AS26" s="24" t="inlineStr">
        <is>
          <t>KINGZERO eSports</t>
        </is>
      </c>
      <c r="AT26" s="24" t="inlineStr">
        <is>
          <t>KINGZERO eSports</t>
        </is>
      </c>
      <c r="AU26" s="24" t="inlineStr">
        <is>
          <t>KINGZERO eSports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research</t>
        </is>
      </c>
      <c r="BA26" s="24" t="inlineStr">
        <is>
          <t>ce3a29e786e8c7e5828812d34ec2a25e13aebc85a15f086e9d8572f8017e366d</t>
        </is>
      </c>
      <c r="BB26" s="24" t="inlineStr">
        <is>
          <t>neutral_elo</t>
        </is>
      </c>
      <c r="BC26" s="24" t="inlineStr">
        <is>
          <t>rainbow_six-tiered-elo-v6</t>
        </is>
      </c>
      <c r="BD26" s="24" t="inlineStr">
        <is>
          <t>ce3a29e786e8c7e5828812d34ec2a25e13aebc85a15f086e9d8572f8017e366d</t>
        </is>
      </c>
      <c r="BE26" s="24" t="inlineStr">
        <is>
          <t>1</t>
        </is>
      </c>
      <c r="BF26" s="24" t="inlineStr">
        <is>
          <t>1</t>
        </is>
      </c>
      <c r="BG26" s="24" t="inlineStr">
        <is>
          <t>rainbow_six-tiered-elo-v6</t>
        </is>
      </c>
      <c r="BH26" s="24" t="inlineStr">
        <is>
          <t>2026-09-20T05:03:14.726911Z</t>
        </is>
      </c>
      <c r="BI26" s="24" t="inlineStr">
        <is>
          <t>["same_event","same_team_same_day","same_league_same_day"]</t>
        </is>
      </c>
      <c r="BJ26" s="25" t="n"/>
      <c r="BK26" s="26" t="n">
        <v>-170</v>
      </c>
      <c r="BL26" s="27" t="n">
        <v>1.588235</v>
      </c>
      <c r="BM26" s="28" t="n">
        <v>0.62963</v>
      </c>
      <c r="BN26" s="28" t="n"/>
      <c r="BO26" s="28" t="n"/>
      <c r="BP26" s="25" t="n"/>
      <c r="BQ26" s="27" t="n">
        <v>1.030931</v>
      </c>
      <c r="BR26" s="28" t="n">
        <v>0.97</v>
      </c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inlineStr">
        <is>
          <t>False</t>
        </is>
      </c>
      <c r="CT26" s="24" t="n"/>
      <c r="CU26" s="24" t="n"/>
      <c r="CV26" s="24" t="n"/>
      <c r="CW26" s="24" t="n"/>
      <c r="CX26" s="24" t="n"/>
      <c r="CY26" s="24" t="n"/>
      <c r="CZ26" s="24" t="n"/>
      <c r="DA26" s="24" t="n"/>
      <c r="DB26" s="24" t="n"/>
      <c r="DC26" s="24" t="n"/>
      <c r="DD26" s="24" t="n"/>
      <c r="DE26" s="24" t="n"/>
      <c r="DF26" s="24" t="n"/>
      <c r="DG26" s="24" t="n"/>
      <c r="DH26" s="24" t="n"/>
      <c r="DI26" s="24" t="n"/>
      <c r="DJ26" s="24" t="inlineStr">
        <is>
          <t>0.62963</t>
        </is>
      </c>
      <c r="DK26" s="24" t="n"/>
      <c r="DL26" s="24" t="n"/>
      <c r="DM26" s="24" t="n"/>
      <c r="DN26" s="24" t="n"/>
      <c r="DO26" s="24" t="n"/>
      <c r="DP26" s="24" t="n"/>
      <c r="DQ26" s="24" t="inlineStr">
        <is>
          <t>{"artifact_hash": "ce3a29e786e8c7e5828812d34ec2a25e13aebc85a15f086e9d8572f8017e366d", "away_team": "EDward Gaming", "event_id": "115741", "event_start_utc": "2026-09-20T05:30:00Z", "features": {"away_elo": 1641.241229, "away_history_count": 29, "home_elo": 1508.830009, "home_history_count": 34}, "historical_source_observation_times_verified": false, "home_team": "KINGZERO eSports", "inference_inputs": {"book_state": {"games_played": {"bo3:7:22019": 34, "bo3:7:23212": 29}, "inactivity_half_life_days": null, "inactivity_max_pull": null, "k": 24.0, "last_match_utc": {"bo3:7:22019": "2026-09-12T05:30:00Z", "bo3:7:23212": "2026-09-13T09:30:00Z"}, "minimum_reliable_games": null, "platt_intercept": 0.15130792950935082, "platt_slope": 1.04659530880493, "ratings": {"bo3:7:22019": 1508.830009, "bo3:7:23212": 1641.241229},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"2026-09-20T05:03:14.590654+00:00", "team_ids": ["bo3:7:22019", "bo3:7:23212"]}, "market_type": "moneyline", "model_version": "rainbow_six-tiered-elo-v6", "observed_at_utc": "2026-09-20T05:03:14.590654+00:00", "probabilities": {"away": 0.624299, "home": 0.375701}, "replay_scope": "Exact serving book state, calibration, temperature, inactivity reference and thin-history adjustments; training provenance not certified.", "schema": "esports-elo-replay-v1", "snapshot_hash": "69ad170ee3081f22a7b9de3482f7756c198a06e66262855643d1897d998f376d", "sport": "RAINBOW_SIX"}</t>
        </is>
      </c>
    </row>
    <row r="27" ht="36" customHeight="1">
      <c r="A27" s="24" t="inlineStr">
        <is>
          <t>a70ddefa01294414</t>
        </is>
      </c>
      <c r="B27" s="24" t="inlineStr">
        <is>
          <t>2026-09-20T05:04:00.761534Z</t>
        </is>
      </c>
      <c r="C27" s="24" t="inlineStr">
        <is>
          <t>2026-09-20T09:00:00Z</t>
        </is>
      </c>
      <c r="D27" s="24" t="inlineStr">
        <is>
          <t>115808</t>
        </is>
      </c>
      <c r="E27" s="24" t="inlineStr">
        <is>
          <t>RAINBOW_SIX</t>
        </is>
      </c>
      <c r="F27" s="24" t="inlineStr">
        <is>
          <t>One Coin</t>
        </is>
      </c>
      <c r="G27" s="24" t="inlineStr">
        <is>
          <t>All Gamers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-122</v>
      </c>
      <c r="M27" s="27" t="n">
        <v>1.819672</v>
      </c>
      <c r="N27" s="28" t="n">
        <v>0.54955</v>
      </c>
      <c r="O27" s="28" t="n">
        <v>0.723906</v>
      </c>
      <c r="P27" s="28" t="n"/>
      <c r="Q27" s="28" t="n">
        <v>0.174356</v>
      </c>
      <c r="R27" s="26" t="n">
        <v>100</v>
      </c>
      <c r="S27" s="29" t="n">
        <v>1.75</v>
      </c>
      <c r="T27" s="24" t="inlineStr">
        <is>
          <t>rainbow_six-tiered-elo-v6</t>
        </is>
      </c>
      <c r="U27" s="24" t="inlineStr">
        <is>
          <t>settled</t>
        </is>
      </c>
      <c r="V27" s="24" t="inlineStr">
        <is>
          <t>loss</t>
        </is>
      </c>
      <c r="W27" s="26" t="n">
        <v>1</v>
      </c>
      <c r="X27" s="26" t="n">
        <v>0</v>
      </c>
      <c r="Y27" s="25" t="n"/>
      <c r="Z27" s="26" t="n"/>
      <c r="AA27" s="28" t="n"/>
      <c r="AB27" s="28" t="n"/>
      <c r="AC27" s="30" t="n">
        <v>-1.75</v>
      </c>
      <c r="AD27" s="24" t="inlineStr">
        <is>
          <t>2026-09-20T16:02:47.494877Z</t>
        </is>
      </c>
      <c r="AE27" s="31" t="inlineStr">
        <is>
          <t>Neutral Elo baseline; executable ask 0.5500 (market_slug=aec-r6-ag-oc-2026-09-20).</t>
        </is>
      </c>
      <c r="AF27" s="31" t="inlineStr">
        <is>
          <t>Config-promoted esports baseline; gates enforced at log time.</t>
        </is>
      </c>
      <c r="AG27" s="24" t="inlineStr">
        <is>
          <t>review_required</t>
        </is>
      </c>
      <c r="AH27" s="24" t="n"/>
      <c r="AI27" s="31" t="n"/>
      <c r="AJ27" s="31" t="n"/>
      <c r="AK27" s="24" t="inlineStr">
        <is>
          <t>model_qualified</t>
        </is>
      </c>
      <c r="AL27" s="26" t="n">
        <v>4</v>
      </c>
      <c r="AM27" s="24" t="inlineStr">
        <is>
          <t>QUALIFIED_SHADOW_CALL</t>
        </is>
      </c>
      <c r="AN27" s="24" t="inlineStr">
        <is>
          <t>CALL</t>
        </is>
      </c>
      <c r="AO27" s="24" t="inlineStr">
        <is>
          <t>QUALIFIED</t>
        </is>
      </c>
      <c r="AP27" s="24" t="inlineStr">
        <is>
          <t>One Coin</t>
        </is>
      </c>
      <c r="AQ27" s="24" t="inlineStr">
        <is>
          <t>One Coin</t>
        </is>
      </c>
      <c r="AR27" s="24" t="inlineStr">
        <is>
          <t>One Coin</t>
        </is>
      </c>
      <c r="AS27" s="24" t="inlineStr">
        <is>
          <t>All Gamers</t>
        </is>
      </c>
      <c r="AT27" s="24" t="inlineStr">
        <is>
          <t>All Gamers</t>
        </is>
      </c>
      <c r="AU27" s="24" t="inlineStr">
        <is>
          <t>All Gamers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research</t>
        </is>
      </c>
      <c r="BA27" s="24" t="inlineStr">
        <is>
          <t>ce3a29e786e8c7e5828812d34ec2a25e13aebc85a15f086e9d8572f8017e366d</t>
        </is>
      </c>
      <c r="BB27" s="24" t="inlineStr">
        <is>
          <t>neutral_elo</t>
        </is>
      </c>
      <c r="BC27" s="24" t="inlineStr">
        <is>
          <t>rainbow_six-tiered-elo-v6</t>
        </is>
      </c>
      <c r="BD27" s="24" t="inlineStr">
        <is>
          <t>ce3a29e786e8c7e5828812d34ec2a25e13aebc85a15f086e9d8572f8017e366d</t>
        </is>
      </c>
      <c r="BE27" s="24" t="inlineStr">
        <is>
          <t>1</t>
        </is>
      </c>
      <c r="BF27" s="24" t="inlineStr">
        <is>
          <t>1</t>
        </is>
      </c>
      <c r="BG27" s="24" t="inlineStr">
        <is>
          <t>rainbow_six-tiered-elo-v6</t>
        </is>
      </c>
      <c r="BH27" s="24" t="inlineStr">
        <is>
          <t>2026-09-20T05:03:14.797975Z</t>
        </is>
      </c>
      <c r="BI27" s="24" t="inlineStr">
        <is>
          <t>["same_event","same_team_same_day","same_league_same_day"]</t>
        </is>
      </c>
      <c r="BJ27" s="25" t="n"/>
      <c r="BK27" s="26" t="n">
        <v>-122</v>
      </c>
      <c r="BL27" s="27" t="n">
        <v>1.819672</v>
      </c>
      <c r="BM27" s="28" t="n">
        <v>0.54955</v>
      </c>
      <c r="BN27" s="28" t="n"/>
      <c r="BO27" s="28" t="n"/>
      <c r="BP27" s="25" t="n"/>
      <c r="BQ27" s="27" t="n"/>
      <c r="BR27" s="28" t="n"/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inlineStr">
        <is>
          <t>True</t>
        </is>
      </c>
      <c r="CT27" s="24" t="n"/>
      <c r="CU27" s="24" t="n"/>
      <c r="CV27" s="24" t="n"/>
      <c r="CW27" s="24" t="n"/>
      <c r="CX27" s="24" t="n"/>
      <c r="CY27" s="24" t="n"/>
      <c r="CZ27" s="24" t="n"/>
      <c r="DA27" s="24" t="n"/>
      <c r="DB27" s="24" t="n"/>
      <c r="DC27" s="24" t="n"/>
      <c r="DD27" s="24" t="n"/>
      <c r="DE27" s="24" t="n"/>
      <c r="DF27" s="24" t="n"/>
      <c r="DG27" s="24" t="n"/>
      <c r="DH27" s="24" t="n"/>
      <c r="DI27" s="24" t="n"/>
      <c r="DJ27" s="24" t="inlineStr">
        <is>
          <t>0.54955</t>
        </is>
      </c>
      <c r="DK27" s="24" t="n"/>
      <c r="DL27" s="24" t="n"/>
      <c r="DM27" s="24" t="n"/>
      <c r="DN27" s="24" t="n"/>
      <c r="DO27" s="24" t="n"/>
      <c r="DP27" s="24" t="n"/>
      <c r="DQ27" s="24" t="inlineStr">
        <is>
          <t>{"artifact_hash": "ce3a29e786e8c7e5828812d34ec2a25e13aebc85a15f086e9d8572f8017e366d", "away_team": "One Coin", "event_id": "115808", "event_start_utc": "2026-09-20T09:00:00Z", "features": {"away_elo": 1482.284274, "away_history_count": 23, "home_elo": 1648.232257, "home_history_count": 48}, "historical_source_observation_times_verified": false, "home_team": "All Gamers", "inference_inputs": {"book_state": {"games_played": {"bo3:7:22018": 48, "bo3:7:23213": 23}, "inactivity_half_life_days": null, "inactivity_max_pull": null, "k": 24.0, "last_match_utc": {"bo3:7:22018": "2026-09-19T08:10:00Z", "bo3:7:23213": "2026-09-13T05:30:00Z"}, "minimum_reliable_games": null, "platt_intercept": 0.15130792950935082, "platt_slope": 1.04659530880493, "ratings": {"bo3:7:22018": 1648.232257, "bo3:7:23213": 1482.284274},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"2026-09-20T05:03:14.590654+00:00", "team_ids": ["bo3:7:22018", "bo3:7:23213"]}, "market_type": "moneyline", "model_version": "rainbow_six-tiered-elo-v6", "observed_at_utc": "2026-09-20T05:03:14.590654+00:00", "probabilities": {"away": 0.276094, "home": 0.723906}, "replay_scope": "Exact serving book state, calibration, temperature, inactivity reference and thin-history adjustments; training provenance not certified.", "schema": "esports-elo-replay-v1", "snapshot_hash": "e7e92053556105b7bc5a1aefe31895d9b8b303703e9c7565a98fcc3b7ad9cacd", "sport": "RAINBOW_SIX"}</t>
        </is>
      </c>
    </row>
    <row r="28" ht="36" customHeight="1">
      <c r="A28" s="24" t="inlineStr">
        <is>
          <t>2a8dc8dc19044870</t>
        </is>
      </c>
      <c r="B28" s="24" t="inlineStr">
        <is>
          <t>2026-09-20T16:27:53.115656Z</t>
        </is>
      </c>
      <c r="C28" s="24" t="inlineStr">
        <is>
          <t>2026-09-20T17:15:00Z</t>
        </is>
      </c>
      <c r="D28" s="24" t="inlineStr">
        <is>
          <t>115974</t>
        </is>
      </c>
      <c r="E28" s="24" t="inlineStr">
        <is>
          <t>RAINBOW_SIX</t>
        </is>
      </c>
      <c r="F28" s="24" t="inlineStr">
        <is>
          <t>Lucky Five</t>
        </is>
      </c>
      <c r="G28" s="24" t="inlineStr">
        <is>
          <t>LOS</t>
        </is>
      </c>
      <c r="H28" s="24" t="inlineStr">
        <is>
          <t>moneyline</t>
        </is>
      </c>
      <c r="I28" s="24" t="inlineStr">
        <is>
          <t>home</t>
        </is>
      </c>
      <c r="J28" s="25" t="n"/>
      <c r="K28" s="24" t="inlineStr">
        <is>
          <t>polymarket_us</t>
        </is>
      </c>
      <c r="L28" s="26" t="n">
        <v>-170</v>
      </c>
      <c r="M28" s="27" t="n">
        <v>1.588235</v>
      </c>
      <c r="N28" s="28" t="n">
        <v>0.62963</v>
      </c>
      <c r="O28" s="28" t="n">
        <v>0.58822</v>
      </c>
      <c r="P28" s="28" t="n"/>
      <c r="Q28" s="28" t="n">
        <v>-0.04141</v>
      </c>
      <c r="R28" s="26" t="n">
        <v>0</v>
      </c>
      <c r="S28" s="29" t="n">
        <v>1</v>
      </c>
      <c r="T28" s="24" t="inlineStr">
        <is>
          <t>rainbow_six-tiered-elo-v6</t>
        </is>
      </c>
      <c r="U28" s="24" t="inlineStr">
        <is>
          <t>settled</t>
        </is>
      </c>
      <c r="V28" s="24" t="inlineStr">
        <is>
          <t>loss</t>
        </is>
      </c>
      <c r="W28" s="26" t="n">
        <v>1</v>
      </c>
      <c r="X28" s="26" t="n">
        <v>0</v>
      </c>
      <c r="Y28" s="25" t="n"/>
      <c r="Z28" s="26" t="n"/>
      <c r="AA28" s="28" t="n"/>
      <c r="AB28" s="28" t="n"/>
      <c r="AC28" s="30" t="n">
        <v>-1</v>
      </c>
      <c r="AD28" s="24" t="inlineStr">
        <is>
          <t>2026-09-20T22:19:20.500860Z</t>
        </is>
      </c>
      <c r="AE28" s="31" t="inlineStr">
        <is>
          <t>Neutral Elo baseline; executable ask 0.6300 (market_slug=aec-r6-los-l5-2026-09-20).</t>
        </is>
      </c>
      <c r="AF28" s="31" t="inlineStr">
        <is>
          <t>Config-promoted esports baseline; gates enforced at log time.</t>
        </is>
      </c>
      <c r="AG28" s="24" t="inlineStr">
        <is>
          <t>review_required</t>
        </is>
      </c>
      <c r="AH28" s="24" t="n"/>
      <c r="AI28" s="31" t="n"/>
      <c r="AJ28" s="31" t="n"/>
      <c r="AK28" s="24" t="inlineStr">
        <is>
          <t>paper_call</t>
        </is>
      </c>
      <c r="AL28" s="26" t="n">
        <v>4</v>
      </c>
      <c r="AM28" s="24" t="inlineStr">
        <is>
          <t>RESEARCH_OBSERVATION</t>
        </is>
      </c>
      <c r="AN28" s="24" t="inlineStr">
        <is>
          <t>CALL</t>
        </is>
      </c>
      <c r="AO28" s="24" t="inlineStr">
        <is>
          <t>PAPER_CALL_LOW_EDGE</t>
        </is>
      </c>
      <c r="AP28" s="24" t="inlineStr">
        <is>
          <t>Lucky Five</t>
        </is>
      </c>
      <c r="AQ28" s="24" t="inlineStr">
        <is>
          <t>Lucky Five</t>
        </is>
      </c>
      <c r="AR28" s="24" t="inlineStr">
        <is>
          <t>Lucky Five</t>
        </is>
      </c>
      <c r="AS28" s="24" t="inlineStr">
        <is>
          <t>LOS</t>
        </is>
      </c>
      <c r="AT28" s="24" t="inlineStr">
        <is>
          <t>LOS</t>
        </is>
      </c>
      <c r="AU28" s="24" t="inlineStr">
        <is>
          <t>LOS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research</t>
        </is>
      </c>
      <c r="BA28" s="24" t="inlineStr">
        <is>
          <t>46475e1d0fbaa89142bfe08c4c9c8657c1e3e4f0377ab1fde3a80f2f7bfebb07</t>
        </is>
      </c>
      <c r="BB28" s="24" t="inlineStr">
        <is>
          <t>neutral_elo</t>
        </is>
      </c>
      <c r="BC28" s="24" t="inlineStr">
        <is>
          <t>rainbow_six-tiered-elo-v6</t>
        </is>
      </c>
      <c r="BD28" s="24" t="inlineStr">
        <is>
          <t>46475e1d0fbaa89142bfe08c4c9c8657c1e3e4f0377ab1fde3a80f2f7bfebb07</t>
        </is>
      </c>
      <c r="BE28" s="24" t="inlineStr">
        <is>
          <t>1</t>
        </is>
      </c>
      <c r="BF28" s="24" t="inlineStr">
        <is>
          <t>1</t>
        </is>
      </c>
      <c r="BG28" s="24" t="inlineStr">
        <is>
          <t>rainbow_six-tiered-elo-v6</t>
        </is>
      </c>
      <c r="BH28" s="24" t="inlineStr">
        <is>
          <t>2026-09-20T16:27:17.129161Z</t>
        </is>
      </c>
      <c r="BI28" s="24" t="inlineStr">
        <is>
          <t>["same_event","same_team_same_day","same_league_same_day"]</t>
        </is>
      </c>
      <c r="BJ28" s="25" t="n"/>
      <c r="BK28" s="26" t="n">
        <v>-170</v>
      </c>
      <c r="BL28" s="27" t="n">
        <v>1.588235</v>
      </c>
      <c r="BM28" s="28" t="n">
        <v>0.62963</v>
      </c>
      <c r="BN28" s="28" t="n"/>
      <c r="BO28" s="28" t="n"/>
      <c r="BP28" s="25" t="n"/>
      <c r="BQ28" s="27" t="n"/>
      <c r="BR28" s="28" t="n"/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inlineStr">
        <is>
          <t>False</t>
        </is>
      </c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 t="n"/>
      <c r="DD28" s="24" t="n"/>
      <c r="DE28" s="24" t="n"/>
      <c r="DF28" s="24" t="n"/>
      <c r="DG28" s="24" t="n"/>
      <c r="DH28" s="24" t="n"/>
      <c r="DI28" s="24" t="n"/>
      <c r="DJ28" s="24" t="inlineStr">
        <is>
          <t>0.62963</t>
        </is>
      </c>
      <c r="DK28" s="24" t="n"/>
      <c r="DL28" s="24" t="n"/>
      <c r="DM28" s="24" t="n"/>
      <c r="DN28" s="24" t="n"/>
      <c r="DO28" s="24" t="n"/>
      <c r="DP28" s="24" t="n"/>
      <c r="DQ28" s="24" t="inlineStr">
        <is>
          <t>{"artifact_hash": "46475e1d0fbaa89142bfe08c4c9c8657c1e3e4f0377ab1fde3a80f2f7bfebb07", "away_team": "Lucky Five", "event_id": "115974", "event_start_utc": "2026-09-20T17:15:00Z", "features": {"away_elo": 1469.093144, "away_history_count": 5, "home_elo": 1538.002256, "home_history_count": 74}, "historical_source_observation_times_verified": false, "home_team": "LOS", "inference_inputs": {"book_state": {"games_played": {"bo3:7:19230": 74, "bo3:7:25262": 5}, "inactivity_half_life_days": null, "inactivity_max_pull": null, "k": 24.0, "last_match_utc": {"bo3:7:19230": "2026-09-19T17:15:00Z", "bo3:7:25262": "2026-09-19T18:45:00Z"}, "minimum_reliable_games": null, "platt_intercept": 0.1451409907640296, "platt_slope": 1.0696764204989753, "ratings": {"bo3:7:19230": 1538.002256, "bo3:7:25262": 1469.093144},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"2026-09-20T16:27:17.061333+00:00", "team_ids": ["bo3:7:19230", "bo3:7:25262"]}, "market_type": "moneyline", "model_version": "rainbow_six-tiered-elo-v6", "observed_at_utc": "2026-09-20T16:27:17.061333+00:00", "probabilities": {"away": 0.41178, "home": 0.58822}, "replay_scope": "Exact serving book state, calibration, temperature, inactivity reference and thin-history adjustments; training provenance not certified.", "schema": "esports-elo-replay-v1", "snapshot_hash": "3d949c38c51915e962200932f3fb18cd8c95c6cbc057040f0c6148595c9e5d3a", "sport": "RAINBOW_SIX"}</t>
        </is>
      </c>
    </row>
    <row r="29" ht="36" customHeight="1">
      <c r="A29" s="24" t="inlineStr">
        <is>
          <t>1db2c1228d7240ba</t>
        </is>
      </c>
      <c r="B29" s="24" t="inlineStr">
        <is>
          <t>2026-09-21T04:40:34.200104Z</t>
        </is>
      </c>
      <c r="C29" s="24" t="inlineStr">
        <is>
          <t>2026-09-21T09:00:00Z</t>
        </is>
      </c>
      <c r="D29" s="24" t="inlineStr">
        <is>
          <t>116694</t>
        </is>
      </c>
      <c r="E29" s="24" t="inlineStr">
        <is>
          <t>RAINBOW_SIX</t>
        </is>
      </c>
      <c r="F29" s="24" t="inlineStr">
        <is>
          <t>Shaiikademy</t>
        </is>
      </c>
      <c r="G29" s="24" t="inlineStr">
        <is>
          <t>Circular Spheres</t>
        </is>
      </c>
      <c r="H29" s="24" t="inlineStr">
        <is>
          <t>moneyline</t>
        </is>
      </c>
      <c r="I29" s="24" t="inlineStr">
        <is>
          <t>away</t>
        </is>
      </c>
      <c r="J29" s="25" t="n"/>
      <c r="K29" s="24" t="inlineStr">
        <is>
          <t>polymarket_us</t>
        </is>
      </c>
      <c r="L29" s="26" t="n">
        <v>-113</v>
      </c>
      <c r="M29" s="27" t="n">
        <v>1.884956</v>
      </c>
      <c r="N29" s="28" t="n">
        <v>0.530516</v>
      </c>
      <c r="O29" s="28" t="n">
        <v>0.54056</v>
      </c>
      <c r="P29" s="28" t="n"/>
      <c r="Q29" s="28" t="n">
        <v>0.010044</v>
      </c>
      <c r="R29" s="26" t="n">
        <v>25</v>
      </c>
      <c r="S29" s="29" t="n">
        <v>1</v>
      </c>
      <c r="T29" s="24" t="inlineStr">
        <is>
          <t>rainbow_six-tiered-elo-v6</t>
        </is>
      </c>
      <c r="U29" s="24" t="inlineStr">
        <is>
          <t>settled</t>
        </is>
      </c>
      <c r="V29" s="24" t="inlineStr">
        <is>
          <t>loss</t>
        </is>
      </c>
      <c r="W29" s="26" t="n">
        <v>0</v>
      </c>
      <c r="X29" s="26" t="n">
        <v>1</v>
      </c>
      <c r="Y29" s="25" t="n"/>
      <c r="Z29" s="26" t="n"/>
      <c r="AA29" s="28" t="n"/>
      <c r="AB29" s="28" t="n"/>
      <c r="AC29" s="30" t="n">
        <v>-1</v>
      </c>
      <c r="AD29" s="24" t="inlineStr">
        <is>
          <t>2026-09-21T10:02:36.369715Z</t>
        </is>
      </c>
      <c r="AE29" s="31" t="inlineStr">
        <is>
          <t>Neutral Elo baseline; executable ask 0.5300 (market_slug=aec-r6-cs-sha-2026-09-21).</t>
        </is>
      </c>
      <c r="AF29" s="31" t="inlineStr">
        <is>
          <t>Config-promoted esports baseline; gates enforced at log time.</t>
        </is>
      </c>
      <c r="AG29" s="24" t="inlineStr">
        <is>
          <t>review_required</t>
        </is>
      </c>
      <c r="AH29" s="24" t="n"/>
      <c r="AI29" s="31" t="n"/>
      <c r="AJ29" s="31" t="n"/>
      <c r="AK29" s="24" t="inlineStr">
        <is>
          <t>paper_call</t>
        </is>
      </c>
      <c r="AL29" s="26" t="n">
        <v>4</v>
      </c>
      <c r="AM29" s="24" t="inlineStr">
        <is>
          <t>RESEARCH_OBSERVATION</t>
        </is>
      </c>
      <c r="AN29" s="24" t="inlineStr">
        <is>
          <t>CALL</t>
        </is>
      </c>
      <c r="AO29" s="24" t="inlineStr">
        <is>
          <t>PAPER_CALL_LOW_EDGE</t>
        </is>
      </c>
      <c r="AP29" s="24" t="inlineStr">
        <is>
          <t>Shaiikademy</t>
        </is>
      </c>
      <c r="AQ29" s="24" t="inlineStr">
        <is>
          <t>Shaiikademy</t>
        </is>
      </c>
      <c r="AR29" s="24" t="inlineStr">
        <is>
          <t>Shaiikademy</t>
        </is>
      </c>
      <c r="AS29" s="24" t="inlineStr">
        <is>
          <t>Circular Spheres</t>
        </is>
      </c>
      <c r="AT29" s="24" t="inlineStr">
        <is>
          <t>Circular Spheres</t>
        </is>
      </c>
      <c r="AU29" s="24" t="inlineStr">
        <is>
          <t>Circular Spheres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research</t>
        </is>
      </c>
      <c r="BA29" s="24" t="inlineStr">
        <is>
          <t>ee1a50b40304cfee6d3637eb071bb21eb59c65dfe6dee3e858f4d399db81cd89</t>
        </is>
      </c>
      <c r="BB29" s="24" t="inlineStr">
        <is>
          <t>neutral_elo</t>
        </is>
      </c>
      <c r="BC29" s="24" t="inlineStr">
        <is>
          <t>rainbow_six-tiered-elo-v6</t>
        </is>
      </c>
      <c r="BD29" s="24" t="inlineStr">
        <is>
          <t>ee1a50b40304cfee6d3637eb071bb21eb59c65dfe6dee3e858f4d399db81cd89</t>
        </is>
      </c>
      <c r="BE29" s="24" t="inlineStr">
        <is>
          <t>1</t>
        </is>
      </c>
      <c r="BF29" s="24" t="inlineStr">
        <is>
          <t>1</t>
        </is>
      </c>
      <c r="BG29" s="24" t="inlineStr">
        <is>
          <t>rainbow_six-tiered-elo-v6</t>
        </is>
      </c>
      <c r="BH29" s="24" t="inlineStr">
        <is>
          <t>2026-09-21T04:39:29.238344Z</t>
        </is>
      </c>
      <c r="BI29" s="24" t="inlineStr">
        <is>
          <t>["same_event","same_team_same_day","same_league_same_day"]</t>
        </is>
      </c>
      <c r="BJ29" s="25" t="n"/>
      <c r="BK29" s="26" t="n">
        <v>-113</v>
      </c>
      <c r="BL29" s="27" t="n">
        <v>1.884956</v>
      </c>
      <c r="BM29" s="28" t="n">
        <v>0.530516</v>
      </c>
      <c r="BN29" s="28" t="n"/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inlineStr">
        <is>
          <t>True</t>
        </is>
      </c>
      <c r="CT29" s="24" t="n"/>
      <c r="CU29" s="24" t="n"/>
      <c r="CV29" s="24" t="n"/>
      <c r="CW29" s="24" t="n"/>
      <c r="CX29" s="24" t="n"/>
      <c r="CY29" s="24" t="n"/>
      <c r="CZ29" s="24" t="n"/>
      <c r="DA29" s="24" t="n"/>
      <c r="DB29" s="24" t="n"/>
      <c r="DC29" s="24" t="n"/>
      <c r="DD29" s="24" t="n"/>
      <c r="DE29" s="24" t="n"/>
      <c r="DF29" s="24" t="n"/>
      <c r="DG29" s="24" t="n"/>
      <c r="DH29" s="24" t="n"/>
      <c r="DI29" s="24" t="n"/>
      <c r="DJ29" s="24" t="inlineStr">
        <is>
          <t>0.530516</t>
        </is>
      </c>
      <c r="DK29" s="24" t="n"/>
      <c r="DL29" s="24" t="n"/>
      <c r="DM29" s="24" t="n"/>
      <c r="DN29" s="24" t="n"/>
      <c r="DO29" s="24" t="n"/>
      <c r="DP29" s="24" t="n"/>
      <c r="DQ29" s="24" t="inlineStr">
        <is>
          <t>{"artifact_hash": "ee1a50b40304cfee6d3637eb071bb21eb59c65dfe6dee3e858f4d399db81cd89", "away_team": "Shaiikademy", "event_id": "116694", "event_start_utc": "2026-09-21T09:00:00Z", "features": {"away_elo": 1503.602779, "away_history_count": 21, "home_elo": 1450.130023, "home_history_count": 34}, "historical_source_observation_times_verified": false, "home_team": "Circular Spheres", "inference_inputs": {"book_state": {"games_played": {"bo3:7:19345": 34, "bo3:7:23005": 21}, "inactivity_half_life_days": null, "inactivity_max_pull": null, "k": 24.0, "last_match_utc": {"bo3:7:19345": "2026-09-15T10:30:00Z", "bo3:7:23005": "2026-09-15T08:10:00Z"}, "minimum_reliable_games": null, "platt_intercept": 0.1261128127379014, "platt_slope": 1.0884910290678118, "ratings": {"bo3:7:19345": 1450.130023, "bo3:7:23005": 1503.602779},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"2026-09-21T04:39:29.090530+00:00", "team_ids": ["bo3:7:19345", "bo3:7:23005"]}, "market_type": "moneyline", "model_version": "rainbow_six-tiered-elo-v6", "observed_at_utc": "2026-09-21T04:39:29.090530+00:00", "probabilities": {"away": 0.54056, "home": 0.45944}, "replay_scope": "Exact serving book state, calibration, temperature, inactivity reference and thin-history adjustments; training provenance not certified.", "schema": "esports-elo-replay-v1", "snapshot_hash": "764d251eaef06e1023cab455f4ea5219dc40ff2276fb75abfc8531980f66ec59", "sport": "RAINBOW_SIX"}</t>
        </is>
      </c>
    </row>
    <row r="30" ht="36" customHeight="1">
      <c r="A30" s="24" t="inlineStr">
        <is>
          <t>ffd1a547165b4bf5</t>
        </is>
      </c>
      <c r="B30" s="24" t="inlineStr">
        <is>
          <t>2026-09-21T10:09:18.486346Z</t>
        </is>
      </c>
      <c r="C30" s="24" t="inlineStr">
        <is>
          <t>2026-09-21T16:00:00Z</t>
        </is>
      </c>
      <c r="D30" s="24" t="inlineStr">
        <is>
          <t>116835</t>
        </is>
      </c>
      <c r="E30" s="24" t="inlineStr">
        <is>
          <t>RAINBOW_SIX</t>
        </is>
      </c>
      <c r="F30" s="24" t="inlineStr">
        <is>
          <t>Twisted Minds</t>
        </is>
      </c>
      <c r="G30" s="24" t="inlineStr">
        <is>
          <t>Virtus.pro</t>
        </is>
      </c>
      <c r="H30" s="24" t="inlineStr">
        <is>
          <t>moneyline</t>
        </is>
      </c>
      <c r="I30" s="24" t="inlineStr">
        <is>
          <t>home</t>
        </is>
      </c>
      <c r="J30" s="25" t="n"/>
      <c r="K30" s="24" t="inlineStr">
        <is>
          <t>polymarket_us</t>
        </is>
      </c>
      <c r="L30" s="26" t="n">
        <v>-163</v>
      </c>
      <c r="M30" s="27" t="n">
        <v>1.613497</v>
      </c>
      <c r="N30" s="28" t="n">
        <v>0.619772</v>
      </c>
      <c r="O30" s="28" t="n">
        <v>0.656444</v>
      </c>
      <c r="P30" s="28" t="n"/>
      <c r="Q30" s="28" t="n">
        <v>0.036672</v>
      </c>
      <c r="R30" s="26" t="n">
        <v>38</v>
      </c>
      <c r="S30" s="29" t="n">
        <v>1</v>
      </c>
      <c r="T30" s="24" t="inlineStr">
        <is>
          <t>rainbow_six-tiered-elo-v6</t>
        </is>
      </c>
      <c r="U30" s="24" t="inlineStr">
        <is>
          <t>settled</t>
        </is>
      </c>
      <c r="V30" s="24" t="inlineStr">
        <is>
          <t>win</t>
        </is>
      </c>
      <c r="W30" s="26" t="n">
        <v>0</v>
      </c>
      <c r="X30" s="26" t="n">
        <v>1</v>
      </c>
      <c r="Y30" s="25" t="n"/>
      <c r="Z30" s="26" t="n"/>
      <c r="AA30" s="28" t="n"/>
      <c r="AB30" s="28" t="n"/>
      <c r="AC30" s="30" t="n">
        <v>0.6135</v>
      </c>
      <c r="AD30" s="24" t="inlineStr">
        <is>
          <t>2026-09-21T22:03:11.770381Z</t>
        </is>
      </c>
      <c r="AE30" s="31" t="inlineStr">
        <is>
          <t>Neutral Elo baseline; executable ask 0.6200 (market_slug=aec-r6-vp-tm-2026-09-21).</t>
        </is>
      </c>
      <c r="AF30" s="31" t="inlineStr">
        <is>
          <t>Config-promoted esports baseline; gates enforced at log time.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model_qualified</t>
        </is>
      </c>
      <c r="AL30" s="26" t="n">
        <v>4</v>
      </c>
      <c r="AM30" s="24" t="inlineStr">
        <is>
          <t>QUALIFIED_SHADOW_CALL</t>
        </is>
      </c>
      <c r="AN30" s="24" t="inlineStr">
        <is>
          <t>CALL</t>
        </is>
      </c>
      <c r="AO30" s="24" t="inlineStr">
        <is>
          <t>QUALIFIED</t>
        </is>
      </c>
      <c r="AP30" s="24" t="inlineStr">
        <is>
          <t>Twisted Minds</t>
        </is>
      </c>
      <c r="AQ30" s="24" t="inlineStr">
        <is>
          <t>Twisted Minds</t>
        </is>
      </c>
      <c r="AR30" s="24" t="inlineStr">
        <is>
          <t>Twisted Minds</t>
        </is>
      </c>
      <c r="AS30" s="24" t="inlineStr">
        <is>
          <t>Virtus.pro</t>
        </is>
      </c>
      <c r="AT30" s="24" t="inlineStr">
        <is>
          <t>Virtus.pro</t>
        </is>
      </c>
      <c r="AU30" s="24" t="inlineStr">
        <is>
          <t>Virtus.pro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research</t>
        </is>
      </c>
      <c r="BA30" s="24" t="inlineStr">
        <is>
          <t>dcb8dbabece496384054f2bbfbe17776130e7e5cbcd97741b4d22fe13aad0004</t>
        </is>
      </c>
      <c r="BB30" s="24" t="inlineStr">
        <is>
          <t>neutral_elo</t>
        </is>
      </c>
      <c r="BC30" s="24" t="inlineStr">
        <is>
          <t>rainbow_six-tiered-elo-v6</t>
        </is>
      </c>
      <c r="BD30" s="24" t="inlineStr">
        <is>
          <t>dcb8dbabece496384054f2bbfbe17776130e7e5cbcd97741b4d22fe13aad0004</t>
        </is>
      </c>
      <c r="BE30" s="24" t="inlineStr">
        <is>
          <t>1</t>
        </is>
      </c>
      <c r="BF30" s="24" t="inlineStr">
        <is>
          <t>1</t>
        </is>
      </c>
      <c r="BG30" s="24" t="inlineStr">
        <is>
          <t>rainbow_six-tiered-elo-v6</t>
        </is>
      </c>
      <c r="BH30" s="24" t="inlineStr">
        <is>
          <t>2026-09-21T10:08:30.176780Z</t>
        </is>
      </c>
      <c r="BI30" s="24" t="inlineStr">
        <is>
          <t>["same_event","same_team_same_day","same_league_same_day"]</t>
        </is>
      </c>
      <c r="BJ30" s="25" t="n"/>
      <c r="BK30" s="26" t="n">
        <v>-163</v>
      </c>
      <c r="BL30" s="27" t="n">
        <v>1.613497</v>
      </c>
      <c r="BM30" s="28" t="n">
        <v>0.619772</v>
      </c>
      <c r="BN30" s="28" t="n"/>
      <c r="BO30" s="28" t="n"/>
      <c r="BP30" s="25" t="n"/>
      <c r="BQ30" s="27" t="n"/>
      <c r="BR30" s="28" t="n"/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inlineStr">
        <is>
          <t>True</t>
        </is>
      </c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inlineStr">
        <is>
          <t>0.619772</t>
        </is>
      </c>
      <c r="DK30" s="24" t="n"/>
      <c r="DL30" s="24" t="n"/>
      <c r="DM30" s="24" t="n"/>
      <c r="DN30" s="24" t="n"/>
      <c r="DO30" s="24" t="n"/>
      <c r="DP30" s="24" t="n"/>
      <c r="DQ30" s="24" t="inlineStr">
        <is>
          <t>{"artifact_hash": "dcb8dbabece496384054f2bbfbe17776130e7e5cbcd97741b4d22fe13aad0004", "away_team": "Twisted Minds", "event_id": "116835", "event_start_utc": "2026-09-21T16:00:00Z", "features": {"away_elo": 1585.120958, "away_history_count": 49, "home_elo": 1710.454762, "home_history_count": 106}, "historical_source_observation_times_verified": false, "home_team": "Virtus.pro", "inference_inputs": {"book_state": {"games_played": {"bo3:7:19337": 49, "bo3:7:19668": 106}, "inactivity_half_life_days": null, "inactivity_max_pull": null, "k": 32.0, "last_match_utc": {"bo3:7:19337": "2026-09-15T16:00:00Z", "bo3:7:19668": "2026-09-15T17:30:00Z"}, "minimum_reliable_games": null, "platt_intercept": 0.126619189870412, "platt_slope": 0.9299999466607237, "ratings": {"bo3:7:19337": 1585.120958, "bo3:7:19668": 1710.454762},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"2026-09-21T10:08:30.002005+00:00", "team_ids": ["bo3:7:19668", "bo3:7:19337"]}, "market_type": "moneyline", "model_version": "rainbow_six-tiered-elo-v6", "observed_at_utc": "2026-09-21T10:08:30.002005+00:00", "probabilities": {"away": 0.343556, "home": 0.656444}, "replay_scope": "Exact serving book state, calibration, temperature, inactivity reference and thin-history adjustments; training provenance not certified.", "schema": "esports-elo-replay-v1", "snapshot_hash": "3e9b7588b750c9a99dd85809429555ca2edb0fc28a5f3d3aca444551d2761a25", "sport": "RAINBOW_SIX"}</t>
        </is>
      </c>
    </row>
    <row r="31" ht="36" customHeight="1">
      <c r="A31" s="24" t="inlineStr">
        <is>
          <t>27d5d658bb7c4a45</t>
        </is>
      </c>
      <c r="B31" s="24" t="inlineStr">
        <is>
          <t>2026-09-22T04:51:36.755298Z</t>
        </is>
      </c>
      <c r="C31" s="24" t="inlineStr">
        <is>
          <t>2026-09-22T09:00:00Z</t>
        </is>
      </c>
      <c r="D31" s="24" t="inlineStr">
        <is>
          <t>117860</t>
        </is>
      </c>
      <c r="E31" s="24" t="inlineStr">
        <is>
          <t>RAINBOW_SIX</t>
        </is>
      </c>
      <c r="F31" s="24" t="inlineStr">
        <is>
          <t>Circular Spheres</t>
        </is>
      </c>
      <c r="G31" s="24" t="inlineStr">
        <is>
          <t>7VEN</t>
        </is>
      </c>
      <c r="H31" s="24" t="inlineStr">
        <is>
          <t>moneyline</t>
        </is>
      </c>
      <c r="I31" s="24" t="inlineStr">
        <is>
          <t>home</t>
        </is>
      </c>
      <c r="J31" s="25" t="n"/>
      <c r="K31" s="24" t="inlineStr">
        <is>
          <t>polymarket_us</t>
        </is>
      </c>
      <c r="L31" s="26" t="n">
        <v>-233</v>
      </c>
      <c r="M31" s="27" t="n">
        <v>1.429185</v>
      </c>
      <c r="N31" s="28" t="n">
        <v>0.6997</v>
      </c>
      <c r="O31" s="28" t="n">
        <v>0.583498</v>
      </c>
      <c r="P31" s="28" t="n"/>
      <c r="Q31" s="28" t="n">
        <v>-0.116202</v>
      </c>
      <c r="R31" s="26" t="n">
        <v>0</v>
      </c>
      <c r="S31" s="29" t="n">
        <v>1</v>
      </c>
      <c r="T31" s="24" t="inlineStr">
        <is>
          <t>rainbow_six-tiered-elo-v6</t>
        </is>
      </c>
      <c r="U31" s="24" t="inlineStr">
        <is>
          <t>settled</t>
        </is>
      </c>
      <c r="V31" s="24" t="inlineStr">
        <is>
          <t>loss</t>
        </is>
      </c>
      <c r="W31" s="26" t="n">
        <v>1</v>
      </c>
      <c r="X31" s="26" t="n">
        <v>0</v>
      </c>
      <c r="Y31" s="25" t="n"/>
      <c r="Z31" s="26" t="n"/>
      <c r="AA31" s="28" t="n"/>
      <c r="AB31" s="28" t="n"/>
      <c r="AC31" s="30" t="n">
        <v>-1</v>
      </c>
      <c r="AD31" s="24" t="inlineStr">
        <is>
          <t>2026-09-22T16:03:39.085530Z</t>
        </is>
      </c>
      <c r="AE31" s="31" t="inlineStr">
        <is>
          <t>Neutral Elo baseline; executable ask 0.7000 (market_slug=aec-r6-7ven-cs-2026-09-22).</t>
        </is>
      </c>
      <c r="AF31" s="31" t="inlineStr">
        <is>
          <t>Config-promoted esports baseline; gates enforced at log time.</t>
        </is>
      </c>
      <c r="AG31" s="24" t="inlineStr">
        <is>
          <t>review_required</t>
        </is>
      </c>
      <c r="AH31" s="24" t="n"/>
      <c r="AI31" s="31" t="n"/>
      <c r="AJ31" s="31" t="n"/>
      <c r="AK31" s="24" t="inlineStr">
        <is>
          <t>paper_call</t>
        </is>
      </c>
      <c r="AL31" s="26" t="n">
        <v>4</v>
      </c>
      <c r="AM31" s="24" t="inlineStr">
        <is>
          <t>RESEARCH_OBSERVATION</t>
        </is>
      </c>
      <c r="AN31" s="24" t="inlineStr">
        <is>
          <t>CALL</t>
        </is>
      </c>
      <c r="AO31" s="24" t="inlineStr">
        <is>
          <t>PAPER_CALL_LOW_EDGE</t>
        </is>
      </c>
      <c r="AP31" s="24" t="inlineStr">
        <is>
          <t>Circular Spheres</t>
        </is>
      </c>
      <c r="AQ31" s="24" t="inlineStr">
        <is>
          <t>Circular Spheres</t>
        </is>
      </c>
      <c r="AR31" s="24" t="inlineStr">
        <is>
          <t>Circular Spheres</t>
        </is>
      </c>
      <c r="AS31" s="24" t="inlineStr">
        <is>
          <t>7VEN</t>
        </is>
      </c>
      <c r="AT31" s="24" t="inlineStr">
        <is>
          <t>7VEN</t>
        </is>
      </c>
      <c r="AU31" s="24" t="inlineStr">
        <is>
          <t>7VEN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research</t>
        </is>
      </c>
      <c r="BA31" s="24" t="inlineStr">
        <is>
          <t>febe82fe250e93c8ae1c5018df1d0d2f6c7dbf5f48001db108a0dd9218b2a908</t>
        </is>
      </c>
      <c r="BB31" s="24" t="inlineStr">
        <is>
          <t>neutral_elo</t>
        </is>
      </c>
      <c r="BC31" s="24" t="inlineStr">
        <is>
          <t>rainbow_six-tiered-elo-v6</t>
        </is>
      </c>
      <c r="BD31" s="24" t="inlineStr">
        <is>
          <t>febe82fe250e93c8ae1c5018df1d0d2f6c7dbf5f48001db108a0dd9218b2a908</t>
        </is>
      </c>
      <c r="BE31" s="24" t="inlineStr">
        <is>
          <t>1</t>
        </is>
      </c>
      <c r="BF31" s="24" t="inlineStr">
        <is>
          <t>1</t>
        </is>
      </c>
      <c r="BG31" s="24" t="inlineStr">
        <is>
          <t>rainbow_six-tiered-elo-v6</t>
        </is>
      </c>
      <c r="BH31" s="24" t="inlineStr">
        <is>
          <t>2026-09-22T04:50:59.508877Z</t>
        </is>
      </c>
      <c r="BI31" s="24" t="inlineStr">
        <is>
          <t>["same_event","same_team_same_day","same_league_same_day"]</t>
        </is>
      </c>
      <c r="BJ31" s="25" t="n"/>
      <c r="BK31" s="26" t="n">
        <v>-233</v>
      </c>
      <c r="BL31" s="27" t="n">
        <v>1.429185</v>
      </c>
      <c r="BM31" s="28" t="n">
        <v>0.6997</v>
      </c>
      <c r="BN31" s="28" t="n"/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False</t>
        </is>
      </c>
      <c r="CT31" s="24" t="n"/>
      <c r="CU31" s="24" t="n"/>
      <c r="CV31" s="24" t="n"/>
      <c r="CW31" s="24" t="n"/>
      <c r="CX31" s="24" t="n"/>
      <c r="CY31" s="24" t="n"/>
      <c r="CZ31" s="24" t="n"/>
      <c r="DA31" s="24" t="n"/>
      <c r="DB31" s="24" t="n"/>
      <c r="DC31" s="24" t="n"/>
      <c r="DD31" s="24" t="n"/>
      <c r="DE31" s="24" t="n"/>
      <c r="DF31" s="24" t="n"/>
      <c r="DG31" s="24" t="n"/>
      <c r="DH31" s="24" t="n"/>
      <c r="DI31" s="24" t="n"/>
      <c r="DJ31" s="24" t="inlineStr">
        <is>
          <t>0.6997</t>
        </is>
      </c>
      <c r="DK31" s="24" t="n"/>
      <c r="DL31" s="24" t="n"/>
      <c r="DM31" s="24" t="n"/>
      <c r="DN31" s="24" t="n"/>
      <c r="DO31" s="24" t="n"/>
      <c r="DP31" s="24" t="n"/>
      <c r="DQ31" s="24" t="inlineStr">
        <is>
          <t>{"artifact_hash": "febe82fe250e93c8ae1c5018df1d0d2f6c7dbf5f48001db108a0dd9218b2a908", "away_team": "Circular Spheres", "event_id": "117860", "event_start_utc": "2026-09-22T09:00:00Z", "features": {"away_elo": 1470.476615, "away_history_count": 35, "home_elo": 1532.2177, "home_history_count": 7}, "historical_source_observation_times_verified": false, "home_team": "7VEN", "inference_inputs": {"book_state": {"games_played": {"bo3:7:19345": 35, "bo3:7:24644": 7}, "inactivity_half_life_days": null, "inactivity_max_pull": null, "k": 32.0, "last_match_utc": {"bo3:7:19345": "2026-09-21T09:15:00Z", "bo3:7:24644": "2026-09-21T10:20:00Z"}, "minimum_reliable_games": null, "platt_intercept": 0.1312072713386264, "platt_slope": 0.9595712928882613, "ratings": {"bo3:7:19345": 1470.476615, "bo3:7:24644": 1532.2177},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"2026-09-22T04:50:53.592714+00:00", "team_ids": ["bo3:7:24644", "bo3:7:19345"]}, "market_type": "moneyline", "model_version": "rainbow_six-tiered-elo-v6", "observed_at_utc": "2026-09-22T04:50:53.592714+00:00", "probabilities": {"away": 0.416502, "home": 0.583498}, "replay_scope": "Exact serving book state, calibration, temperature, inactivity reference and thin-history adjustments; training provenance not certified.", "schema": "esports-elo-replay-v1", "snapshot_hash": "441bac33f7e2d9bf821f0119060cdc7bf4bda644f8f1e435377ef3e04f75f0ef", "sport": "RAINBOW_SIX"}</t>
        </is>
      </c>
    </row>
    <row r="32" ht="36" customHeight="1">
      <c r="A32" s="24" t="inlineStr">
        <is>
          <t>a24a9ebf2fac49b2</t>
        </is>
      </c>
      <c r="B32" s="24" t="inlineStr">
        <is>
          <t>2026-09-22T16:09:08.866035Z</t>
        </is>
      </c>
      <c r="C32" s="24" t="inlineStr">
        <is>
          <t>2026-09-22T17:00:00Z</t>
        </is>
      </c>
      <c r="D32" s="24" t="inlineStr">
        <is>
          <t>118092</t>
        </is>
      </c>
      <c r="E32" s="24" t="inlineStr">
        <is>
          <t>RAINBOW_SIX</t>
        </is>
      </c>
      <c r="F32" s="24" t="inlineStr">
        <is>
          <t>Twisted Minds</t>
        </is>
      </c>
      <c r="G32" s="24" t="inlineStr">
        <is>
          <t>Team Secret</t>
        </is>
      </c>
      <c r="H32" s="24" t="inlineStr">
        <is>
          <t>moneyline</t>
        </is>
      </c>
      <c r="I32" s="24" t="inlineStr">
        <is>
          <t>home</t>
        </is>
      </c>
      <c r="J32" s="25" t="n"/>
      <c r="K32" s="24" t="inlineStr">
        <is>
          <t>polymarket_us</t>
        </is>
      </c>
      <c r="L32" s="26" t="n">
        <v>186</v>
      </c>
      <c r="M32" s="27" t="n">
        <v>2.86</v>
      </c>
      <c r="N32" s="28" t="n">
        <v>0.34965</v>
      </c>
      <c r="O32" s="28" t="n">
        <v>0.550544</v>
      </c>
      <c r="P32" s="28" t="n"/>
      <c r="Q32" s="28" t="n">
        <v>0.200894</v>
      </c>
      <c r="R32" s="26" t="n">
        <v>100</v>
      </c>
      <c r="S32" s="29" t="n">
        <v>2</v>
      </c>
      <c r="T32" s="24" t="inlineStr">
        <is>
          <t>rainbow_six-tiered-elo-v6</t>
        </is>
      </c>
      <c r="U32" s="24" t="inlineStr">
        <is>
          <t>settled</t>
        </is>
      </c>
      <c r="V32" s="24" t="inlineStr">
        <is>
          <t>win</t>
        </is>
      </c>
      <c r="W32" s="26" t="n">
        <v>0</v>
      </c>
      <c r="X32" s="26" t="n">
        <v>1</v>
      </c>
      <c r="Y32" s="25" t="n"/>
      <c r="Z32" s="26" t="n">
        <v>127</v>
      </c>
      <c r="AA32" s="28" t="n">
        <v>0.44</v>
      </c>
      <c r="AB32" s="28" t="n">
        <v>0.09035</v>
      </c>
      <c r="AC32" s="30" t="n">
        <v>3.72</v>
      </c>
      <c r="AD32" s="24" t="inlineStr">
        <is>
          <t>2026-09-23T04:35:00.478987Z</t>
        </is>
      </c>
      <c r="AE32" s="31" t="inlineStr">
        <is>
          <t>Neutral Elo baseline; executable ask 0.3500 (market_slug=aec-r6-secret-tm-2026-09-22).</t>
        </is>
      </c>
      <c r="AF32" s="31" t="inlineStr">
        <is>
          <t>Config-promoted esports baseline; gates enforced at log time.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model_qualified</t>
        </is>
      </c>
      <c r="AL32" s="26" t="n">
        <v>4</v>
      </c>
      <c r="AM32" s="24" t="inlineStr">
        <is>
          <t>QUALIFIED_SHADOW_CALL</t>
        </is>
      </c>
      <c r="AN32" s="24" t="inlineStr">
        <is>
          <t>CALL</t>
        </is>
      </c>
      <c r="AO32" s="24" t="inlineStr">
        <is>
          <t>QUALIFIED</t>
        </is>
      </c>
      <c r="AP32" s="24" t="inlineStr">
        <is>
          <t>Twisted Minds</t>
        </is>
      </c>
      <c r="AQ32" s="24" t="inlineStr">
        <is>
          <t>Twisted Minds</t>
        </is>
      </c>
      <c r="AR32" s="24" t="inlineStr">
        <is>
          <t>Twisted Minds</t>
        </is>
      </c>
      <c r="AS32" s="24" t="inlineStr">
        <is>
          <t>Team Secret</t>
        </is>
      </c>
      <c r="AT32" s="24" t="inlineStr">
        <is>
          <t>Team Secret</t>
        </is>
      </c>
      <c r="AU32" s="24" t="inlineStr">
        <is>
          <t>Team Secret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research</t>
        </is>
      </c>
      <c r="BA32" s="24" t="inlineStr">
        <is>
          <t>ef7f14d1b45dbe90efc7d1f19a466523f1a098c530cb2f00b4a35922c23e9780</t>
        </is>
      </c>
      <c r="BB32" s="24" t="inlineStr">
        <is>
          <t>neutral_elo</t>
        </is>
      </c>
      <c r="BC32" s="24" t="inlineStr">
        <is>
          <t>rainbow_six-tiered-elo-v6</t>
        </is>
      </c>
      <c r="BD32" s="24" t="inlineStr">
        <is>
          <t>ef7f14d1b45dbe90efc7d1f19a466523f1a098c530cb2f00b4a35922c23e9780</t>
        </is>
      </c>
      <c r="BE32" s="24" t="inlineStr">
        <is>
          <t>1</t>
        </is>
      </c>
      <c r="BF32" s="24" t="inlineStr">
        <is>
          <t>1</t>
        </is>
      </c>
      <c r="BG32" s="24" t="inlineStr">
        <is>
          <t>rainbow_six-tiered-elo-v6</t>
        </is>
      </c>
      <c r="BH32" s="24" t="inlineStr">
        <is>
          <t>2026-09-22T16:08:45.889286Z</t>
        </is>
      </c>
      <c r="BI32" s="24" t="inlineStr">
        <is>
          <t>["same_event","same_team_same_day","same_league_same_day"]</t>
        </is>
      </c>
      <c r="BJ32" s="25" t="n"/>
      <c r="BK32" s="26" t="n">
        <v>186</v>
      </c>
      <c r="BL32" s="27" t="n">
        <v>2.86</v>
      </c>
      <c r="BM32" s="28" t="n">
        <v>0.34965</v>
      </c>
      <c r="BN32" s="28" t="n"/>
      <c r="BO32" s="28" t="n"/>
      <c r="BP32" s="25" t="n"/>
      <c r="BQ32" s="27" t="n">
        <v>2.27</v>
      </c>
      <c r="BR32" s="28" t="n">
        <v>0.44</v>
      </c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inlineStr">
        <is>
          <t>True</t>
        </is>
      </c>
      <c r="CT32" s="24" t="n"/>
      <c r="CU32" s="24" t="n"/>
      <c r="CV32" s="24" t="n"/>
      <c r="CW32" s="24" t="n"/>
      <c r="CX32" s="24" t="n"/>
      <c r="CY32" s="24" t="n"/>
      <c r="CZ32" s="24" t="n"/>
      <c r="DA32" s="24" t="n"/>
      <c r="DB32" s="24" t="n"/>
      <c r="DC32" s="24" t="n"/>
      <c r="DD32" s="24" t="n"/>
      <c r="DE32" s="24" t="n"/>
      <c r="DF32" s="24" t="n"/>
      <c r="DG32" s="24" t="n"/>
      <c r="DH32" s="24" t="n"/>
      <c r="DI32" s="24" t="n"/>
      <c r="DJ32" s="24" t="inlineStr">
        <is>
          <t>0.34965</t>
        </is>
      </c>
      <c r="DK32" s="24" t="n"/>
      <c r="DL32" s="24" t="n"/>
      <c r="DM32" s="24" t="n"/>
      <c r="DN32" s="24" t="n"/>
      <c r="DO32" s="24" t="n"/>
      <c r="DP32" s="24" t="n"/>
      <c r="DQ32" s="24" t="inlineStr">
        <is>
          <t>{"artifact_hash": "ef7f14d1b45dbe90efc7d1f19a466523f1a098c530cb2f00b4a35922c23e9780", "away_team": "Twisted Minds", "event_id": "118092", "event_start_utc": "2026-09-22T17:00:00Z", "features": {"away_elo": 1570.810792, "away_history_count": 50, "home_elo": 1589.024662, "home_history_count": 130}, "historical_source_observation_times_verified": false, "home_team": "Team Secret", "inference_inputs": {"book_state": {"games_played": {"bo3:7:19337": 50, "bo3:7:19764": 130}, "inactivity_half_life_days": null, "inactivity_max_pull": null, "k": 32.0, "last_match_utc": {"bo3:7:19337": "2026-09-21T16:30:00Z", "bo3:7:19764": "2026-09-21T21:30:00Z"}, "minimum_reliable_games": null, "platt_intercept": 0.1382373820988291, "platt_slope": 0.9644969948515171, "ratings": {"bo3:7:19337": 1570.810792, "bo3:7:19764": 1589.024662},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"2026-09-22T16:08:41.789509+00:00", "team_ids": ["bo3:7:19764", "bo3:7:19337"]}, "market_type": "moneyline", "model_version": "rainbow_six-tiered-elo-v6", "observed_at_utc": "2026-09-22T16:08:41.789509+00:00", "probabilities": {"away": 0.449456, "home": 0.550544}, "replay_scope": "Exact serving book state, calibration, temperature, inactivity reference and thin-history adjustments; training provenance not certified.", "schema": "esports-elo-replay-v1", "snapshot_hash": "e64356595b474fba97a57e61a9554e864a3b1b42302764721bdaaece5e406d13", "sport": "RAINBOW_SIX"}</t>
        </is>
      </c>
    </row>
    <row r="33" ht="36" customHeight="1">
      <c r="A33" s="24" t="inlineStr">
        <is>
          <t>8d6ef013ba534f2a</t>
        </is>
      </c>
      <c r="B33" s="24" t="inlineStr">
        <is>
          <t>2026-09-25T04:44:54.810675Z</t>
        </is>
      </c>
      <c r="C33" s="24" t="inlineStr">
        <is>
          <t>2026-09-25T10:00:00Z</t>
        </is>
      </c>
      <c r="D33" s="24" t="inlineStr">
        <is>
          <t>121752</t>
        </is>
      </c>
      <c r="E33" s="24" t="inlineStr">
        <is>
          <t>RAINBOW_SIX</t>
        </is>
      </c>
      <c r="F33" s="24" t="inlineStr">
        <is>
          <t>SCARZ</t>
        </is>
      </c>
      <c r="G33" s="24" t="inlineStr">
        <is>
          <t>FearX</t>
        </is>
      </c>
      <c r="H33" s="24" t="inlineStr">
        <is>
          <t>moneyline</t>
        </is>
      </c>
      <c r="I33" s="24" t="inlineStr">
        <is>
          <t>home</t>
        </is>
      </c>
      <c r="J33" s="25" t="n"/>
      <c r="K33" s="24" t="inlineStr">
        <is>
          <t>polymarket_us</t>
        </is>
      </c>
      <c r="L33" s="26" t="n">
        <v>113</v>
      </c>
      <c r="M33" s="27" t="n">
        <v>2.13</v>
      </c>
      <c r="N33" s="28" t="n">
        <v>0.469484</v>
      </c>
      <c r="O33" s="28" t="n">
        <v>0.601102</v>
      </c>
      <c r="P33" s="28" t="n"/>
      <c r="Q33" s="28" t="n">
        <v>0.131618</v>
      </c>
      <c r="R33" s="26" t="n">
        <v>86</v>
      </c>
      <c r="S33" s="29" t="n">
        <v>1.5</v>
      </c>
      <c r="T33" s="24" t="inlineStr">
        <is>
          <t>rainbow_six-tiered-elo-v6</t>
        </is>
      </c>
      <c r="U33" s="24" t="inlineStr">
        <is>
          <t>settled</t>
        </is>
      </c>
      <c r="V33" s="24" t="inlineStr">
        <is>
          <t>loss</t>
        </is>
      </c>
      <c r="W33" s="26" t="n">
        <v>1</v>
      </c>
      <c r="X33" s="26" t="n">
        <v>0</v>
      </c>
      <c r="Y33" s="25" t="n"/>
      <c r="Z33" s="26" t="n"/>
      <c r="AA33" s="28" t="n"/>
      <c r="AB33" s="28" t="n"/>
      <c r="AC33" s="30" t="n">
        <v>-1.5</v>
      </c>
      <c r="AD33" s="24" t="inlineStr">
        <is>
          <t>2026-09-25T16:03:27.085971Z</t>
        </is>
      </c>
      <c r="AE33" s="31" t="inlineStr">
        <is>
          <t>Neutral Elo baseline; executable ask 0.4700 (market_slug=aec-r6-fx-sz-2026-09-25).</t>
        </is>
      </c>
      <c r="AF33" s="31" t="inlineStr">
        <is>
          <t>Config-promoted esports baseline; gates enforced at log time.</t>
        </is>
      </c>
      <c r="AG33" s="24" t="inlineStr">
        <is>
          <t>review_required</t>
        </is>
      </c>
      <c r="AH33" s="24" t="n"/>
      <c r="AI33" s="31" t="n"/>
      <c r="AJ33" s="31" t="n"/>
      <c r="AK33" s="24" t="inlineStr">
        <is>
          <t>model_qualified</t>
        </is>
      </c>
      <c r="AL33" s="26" t="n">
        <v>4</v>
      </c>
      <c r="AM33" s="24" t="inlineStr">
        <is>
          <t>QUALIFIED_SHADOW_CALL</t>
        </is>
      </c>
      <c r="AN33" s="24" t="inlineStr">
        <is>
          <t>CALL</t>
        </is>
      </c>
      <c r="AO33" s="24" t="inlineStr">
        <is>
          <t>QUALIFIED</t>
        </is>
      </c>
      <c r="AP33" s="24" t="inlineStr">
        <is>
          <t>SCARZ</t>
        </is>
      </c>
      <c r="AQ33" s="24" t="inlineStr">
        <is>
          <t>SCARZ</t>
        </is>
      </c>
      <c r="AR33" s="24" t="inlineStr">
        <is>
          <t>SCARZ</t>
        </is>
      </c>
      <c r="AS33" s="24" t="inlineStr">
        <is>
          <t>FearX</t>
        </is>
      </c>
      <c r="AT33" s="24" t="inlineStr">
        <is>
          <t>FearX</t>
        </is>
      </c>
      <c r="AU33" s="24" t="inlineStr">
        <is>
          <t>FearX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research</t>
        </is>
      </c>
      <c r="BA33" s="24" t="inlineStr">
        <is>
          <t>7bacb548c2893f6dd447eb02f1bdc8eb4f51245f2dd0cb22b6283bb6b0205202</t>
        </is>
      </c>
      <c r="BB33" s="24" t="inlineStr">
        <is>
          <t>neutral_elo</t>
        </is>
      </c>
      <c r="BC33" s="24" t="inlineStr">
        <is>
          <t>rainbow_six-tiered-elo-v6</t>
        </is>
      </c>
      <c r="BD33" s="24" t="inlineStr">
        <is>
          <t>7bacb548c2893f6dd447eb02f1bdc8eb4f51245f2dd0cb22b6283bb6b0205202</t>
        </is>
      </c>
      <c r="BE33" s="24" t="inlineStr">
        <is>
          <t>1</t>
        </is>
      </c>
      <c r="BF33" s="24" t="inlineStr">
        <is>
          <t>1</t>
        </is>
      </c>
      <c r="BG33" s="24" t="inlineStr">
        <is>
          <t>rainbow_six-tiered-elo-v6</t>
        </is>
      </c>
      <c r="BH33" s="24" t="inlineStr">
        <is>
          <t>2026-09-25T04:43:45.962796Z</t>
        </is>
      </c>
      <c r="BI33" s="24" t="inlineStr">
        <is>
          <t>["same_event","same_team_same_day","same_league_same_day"]</t>
        </is>
      </c>
      <c r="BJ33" s="25" t="n"/>
      <c r="BK33" s="26" t="n">
        <v>113</v>
      </c>
      <c r="BL33" s="27" t="n">
        <v>2.13</v>
      </c>
      <c r="BM33" s="28" t="n">
        <v>0.469484</v>
      </c>
      <c r="BN33" s="28" t="n"/>
      <c r="BO33" s="28" t="n"/>
      <c r="BP33" s="25" t="n"/>
      <c r="BQ33" s="27" t="n"/>
      <c r="BR33" s="28" t="n"/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inlineStr">
        <is>
          <t>True</t>
        </is>
      </c>
      <c r="CT33" s="24" t="n"/>
      <c r="CU33" s="24" t="n"/>
      <c r="CV33" s="24" t="n"/>
      <c r="CW33" s="24" t="n"/>
      <c r="CX33" s="24" t="n"/>
      <c r="CY33" s="24" t="n"/>
      <c r="CZ33" s="24" t="n"/>
      <c r="DA33" s="24" t="n"/>
      <c r="DB33" s="24" t="n"/>
      <c r="DC33" s="24" t="n"/>
      <c r="DD33" s="24" t="n"/>
      <c r="DE33" s="24" t="n"/>
      <c r="DF33" s="24" t="n"/>
      <c r="DG33" s="24" t="n"/>
      <c r="DH33" s="24" t="n"/>
      <c r="DI33" s="24" t="n"/>
      <c r="DJ33" s="24" t="inlineStr">
        <is>
          <t>0.469484</t>
        </is>
      </c>
      <c r="DK33" s="24" t="n"/>
      <c r="DL33" s="24" t="n"/>
      <c r="DM33" s="24" t="n"/>
      <c r="DN33" s="24" t="n"/>
      <c r="DO33" s="24" t="n"/>
      <c r="DP33" s="24" t="n"/>
      <c r="DQ33" s="24" t="inlineStr">
        <is>
          <t>{"artifact_hash": "7bacb548c2893f6dd447eb02f1bdc8eb4f51245f2dd0cb22b6283bb6b0205202", "away_team": "SCARZ", "event_id": "121752", "event_start_utc": "2026-09-25T10:00:00Z", "features": {"away_elo": 1522.079013, "away_history_count": 80, "home_elo": 1587.033947, "home_history_count": 92}, "historical_source_observation_times_verified": false, "home_team": "FearX", "inference_inputs": {"book_state": {"games_played": {"bo3:7:19502": 92, "bo3:7:19684": 80}, "inactivity_half_life_days": null, "inactivity_max_pull": null, "k": 24.0, "last_match_utc": {"bo3:7:19502": "2026-09-19T12:00:00Z", "bo3:7:19684": "2026-09-19T10:00:00Z"}, "minimum_reliable_games": null, "platt_intercept": 0.1293138142396603, "platt_slope": 0.9983249705334375, "ratings": {"bo3:7:19502": 1587.033947, "bo3:7:19684": 1522.079013},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"2026-09-25T04:43:30.830618+00:00", "team_ids": ["bo3:7:19502", "bo3:7:19684"]}, "market_type": "moneyline", "model_version": "rainbow_six-tiered-elo-v6", "observed_at_utc": "2026-09-25T04:43:30.830618+00:00", "probabilities": {"away": 0.398898, "home": 0.601102}, "replay_scope": "Exact serving book state, calibration, temperature, inactivity reference and thin-history adjustments; training provenance not certified.", "schema": "esports-elo-replay-v1", "snapshot_hash": "9f7da34f9b5d900b056346f9ac1f692ee29aba2ceafcbf153df3e5fa2ffe9491", "sport": "RAINBOW_SIX"}</t>
        </is>
      </c>
    </row>
    <row r="34" ht="36" customHeight="1">
      <c r="A34" s="24" t="inlineStr">
        <is>
          <t>93d24ce6f48b470d</t>
        </is>
      </c>
      <c r="B34" s="24" t="inlineStr">
        <is>
          <t>2026-09-25T22:10:23.247103Z</t>
        </is>
      </c>
      <c r="C34" s="24" t="inlineStr">
        <is>
          <t>2026-09-25T22:30:00Z</t>
        </is>
      </c>
      <c r="D34" s="24" t="inlineStr">
        <is>
          <t>122748</t>
        </is>
      </c>
      <c r="E34" s="24" t="inlineStr">
        <is>
          <t>RAINBOW_SIX</t>
        </is>
      </c>
      <c r="F34" s="24" t="inlineStr">
        <is>
          <t>Cloud9</t>
        </is>
      </c>
      <c r="G34" s="24" t="inlineStr">
        <is>
          <t>Shopify Rebellion</t>
        </is>
      </c>
      <c r="H34" s="24" t="inlineStr">
        <is>
          <t>moneyline</t>
        </is>
      </c>
      <c r="I34" s="24" t="inlineStr">
        <is>
          <t>home</t>
        </is>
      </c>
      <c r="J34" s="25" t="n"/>
      <c r="K34" s="24" t="inlineStr">
        <is>
          <t>polymarket_us</t>
        </is>
      </c>
      <c r="L34" s="26" t="n">
        <v>-144</v>
      </c>
      <c r="M34" s="27" t="n">
        <v>1.694444</v>
      </c>
      <c r="N34" s="28" t="n">
        <v>0.590164</v>
      </c>
      <c r="O34" s="28" t="n">
        <v>0.649614</v>
      </c>
      <c r="P34" s="28" t="n"/>
      <c r="Q34" s="28" t="n">
        <v>0.05945</v>
      </c>
      <c r="R34" s="26" t="n">
        <v>50</v>
      </c>
      <c r="S34" s="29" t="n">
        <v>1</v>
      </c>
      <c r="T34" s="24" t="inlineStr">
        <is>
          <t>rainbow_six-tiered-elo-v6</t>
        </is>
      </c>
      <c r="U34" s="24" t="inlineStr">
        <is>
          <t>settled</t>
        </is>
      </c>
      <c r="V34" s="24" t="inlineStr">
        <is>
          <t>loss</t>
        </is>
      </c>
      <c r="W34" s="26" t="n">
        <v>1</v>
      </c>
      <c r="X34" s="26" t="n">
        <v>0</v>
      </c>
      <c r="Y34" s="25" t="n"/>
      <c r="Z34" s="26" t="n"/>
      <c r="AA34" s="28" t="n"/>
      <c r="AB34" s="28" t="n"/>
      <c r="AC34" s="30" t="n">
        <v>-1</v>
      </c>
      <c r="AD34" s="24" t="inlineStr">
        <is>
          <t>2026-09-26T08:45:52.462643Z</t>
        </is>
      </c>
      <c r="AE34" s="31" t="inlineStr">
        <is>
          <t>Neutral Elo baseline; executable ask 0.5900 (market_slug=aec-r6-sr-c9-2026-09-25).</t>
        </is>
      </c>
      <c r="AF34" s="31" t="inlineStr">
        <is>
          <t>Config-promoted esports baseline; gates enforced at log time.</t>
        </is>
      </c>
      <c r="AG34" s="24" t="inlineStr">
        <is>
          <t>review_required</t>
        </is>
      </c>
      <c r="AH34" s="24" t="n"/>
      <c r="AI34" s="31" t="n"/>
      <c r="AJ34" s="31" t="n"/>
      <c r="AK34" s="24" t="inlineStr">
        <is>
          <t>model_qualified</t>
        </is>
      </c>
      <c r="AL34" s="26" t="n">
        <v>4</v>
      </c>
      <c r="AM34" s="24" t="inlineStr">
        <is>
          <t>QUALIFIED_SHADOW_CALL</t>
        </is>
      </c>
      <c r="AN34" s="24" t="inlineStr">
        <is>
          <t>CALL</t>
        </is>
      </c>
      <c r="AO34" s="24" t="inlineStr">
        <is>
          <t>QUALIFIED</t>
        </is>
      </c>
      <c r="AP34" s="24" t="inlineStr">
        <is>
          <t>Cloud9</t>
        </is>
      </c>
      <c r="AQ34" s="24" t="inlineStr">
        <is>
          <t>Cloud9</t>
        </is>
      </c>
      <c r="AR34" s="24" t="inlineStr">
        <is>
          <t>Cloud9</t>
        </is>
      </c>
      <c r="AS34" s="24" t="inlineStr">
        <is>
          <t>Shopify Rebellion</t>
        </is>
      </c>
      <c r="AT34" s="24" t="inlineStr">
        <is>
          <t>Shopify Rebellion</t>
        </is>
      </c>
      <c r="AU34" s="24" t="inlineStr">
        <is>
          <t>Shopify Rebellion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research</t>
        </is>
      </c>
      <c r="BA34" s="24" t="inlineStr">
        <is>
          <t>4716aa8fa64e4fcc82865a4e53bbe55fe6c74d1d53a4002746206b96efc0d717</t>
        </is>
      </c>
      <c r="BB34" s="24" t="inlineStr">
        <is>
          <t>neutral_elo</t>
        </is>
      </c>
      <c r="BC34" s="24" t="inlineStr">
        <is>
          <t>rainbow_six-tiered-elo-v6</t>
        </is>
      </c>
      <c r="BD34" s="24" t="inlineStr">
        <is>
          <t>4716aa8fa64e4fcc82865a4e53bbe55fe6c74d1d53a4002746206b96efc0d717</t>
        </is>
      </c>
      <c r="BE34" s="24" t="inlineStr">
        <is>
          <t>1</t>
        </is>
      </c>
      <c r="BF34" s="24" t="inlineStr">
        <is>
          <t>1</t>
        </is>
      </c>
      <c r="BG34" s="24" t="inlineStr">
        <is>
          <t>rainbow_six-tiered-elo-v6</t>
        </is>
      </c>
      <c r="BH34" s="24" t="inlineStr">
        <is>
          <t>2026-09-25T22:09:38.117535Z</t>
        </is>
      </c>
      <c r="BI34" s="24" t="inlineStr">
        <is>
          <t>["same_event","same_team_same_day","same_league_same_day"]</t>
        </is>
      </c>
      <c r="BJ34" s="25" t="n"/>
      <c r="BK34" s="26" t="n">
        <v>-144</v>
      </c>
      <c r="BL34" s="27" t="n">
        <v>1.694444</v>
      </c>
      <c r="BM34" s="28" t="n">
        <v>0.590164</v>
      </c>
      <c r="BN34" s="28" t="n"/>
      <c r="BO34" s="28" t="n"/>
      <c r="BP34" s="25" t="n"/>
      <c r="BQ34" s="27" t="n"/>
      <c r="BR34" s="28" t="n"/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inlineStr">
        <is>
          <t>True</t>
        </is>
      </c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/>
      <c r="DH34" s="24" t="n"/>
      <c r="DI34" s="24" t="n"/>
      <c r="DJ34" s="24" t="inlineStr">
        <is>
          <t>0.590164</t>
        </is>
      </c>
      <c r="DK34" s="24" t="n"/>
      <c r="DL34" s="24" t="n"/>
      <c r="DM34" s="24" t="n"/>
      <c r="DN34" s="24" t="n"/>
      <c r="DO34" s="24" t="n"/>
      <c r="DP34" s="24" t="n"/>
      <c r="DQ34" s="24" t="inlineStr">
        <is>
          <t>{"artifact_hash": "4716aa8fa64e4fcc82865a4e53bbe55fe6c74d1d53a4002746206b96efc0d717", "away_team": "Cloud9", "event_id": "122748", "event_start_utc": "2026-09-25T22:30:00Z", "features": {"away_elo": 1565.155281, "away_history_count": 49, "home_elo": 1674.805501, "home_history_count": 86}, "historical_source_observation_times_verified": false, "home_team": "Shopify Rebellion", "inference_inputs": {"book_state": {"games_played": {"bo3:7:19685": 49, "bo3:7:19762": 86}, "inactivity_half_life_days": null, "inactivity_max_pull": null, "k": 24.0, "last_match_utc": {"bo3:7:19685": "2026-09-24T21:00:00Z", "bo3:7:19762": "2026-09-24T20:00:00Z"}, "minimum_reliable_games": null, "platt_intercept": 0.14688551906297184, "platt_slope": 0.9308999286522194, "ratings": {"bo3:7:19685": 1565.155281, "bo3:7:19762": 1674.805501},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"2026-09-25T22:09:36.352561+00:00", "team_ids": ["bo3:7:19762", "bo3:7:19685"]}, "market_type": "moneyline", "model_version": "rainbow_six-tiered-elo-v6", "observed_at_utc": "2026-09-25T22:09:36.352561+00:00", "probabilities": {"away": 0.350386, "home": 0.649614}, "replay_scope": "Exact serving book state, calibration, temperature, inactivity reference and thin-history adjustments; training provenance not certified.", "schema": "esports-elo-replay-v1", "snapshot_hash": "41061dd91d46047042b338a8f6206053a263f90841176ab0eb036a5ead133715", "sport": "RAINBOW_SIX"}</t>
        </is>
      </c>
    </row>
    <row r="35" ht="36" customHeight="1">
      <c r="A35" s="24" t="inlineStr">
        <is>
          <t>9ba0f1bdab084591</t>
        </is>
      </c>
      <c r="B35" s="24" t="inlineStr">
        <is>
          <t>2026-09-26T16:02:17.537198Z</t>
        </is>
      </c>
      <c r="C35" s="24" t="inlineStr">
        <is>
          <t>2026-09-26T19:45:00Z</t>
        </is>
      </c>
      <c r="D35" s="24" t="inlineStr">
        <is>
          <t>124114</t>
        </is>
      </c>
      <c r="E35" s="24" t="inlineStr">
        <is>
          <t>RAINBOW_SIX</t>
        </is>
      </c>
      <c r="F35" s="24" t="inlineStr">
        <is>
          <t>FURIA Esports</t>
        </is>
      </c>
      <c r="G35" s="24" t="inlineStr">
        <is>
          <t>FaZe Clan</t>
        </is>
      </c>
      <c r="H35" s="24" t="inlineStr">
        <is>
          <t>moneyline</t>
        </is>
      </c>
      <c r="I35" s="24" t="inlineStr">
        <is>
          <t>home</t>
        </is>
      </c>
      <c r="J35" s="25" t="n"/>
      <c r="K35" s="24" t="inlineStr">
        <is>
          <t>polymarket_us</t>
        </is>
      </c>
      <c r="L35" s="26" t="n">
        <v>-186</v>
      </c>
      <c r="M35" s="27" t="n">
        <v>1.537634</v>
      </c>
      <c r="N35" s="28" t="n">
        <v>0.65035</v>
      </c>
      <c r="O35" s="28" t="n">
        <v>0.645603</v>
      </c>
      <c r="P35" s="28" t="n"/>
      <c r="Q35" s="28" t="n">
        <v>-0.004747</v>
      </c>
      <c r="R35" s="26" t="n">
        <v>18</v>
      </c>
      <c r="S35" s="29" t="n">
        <v>1</v>
      </c>
      <c r="T35" s="24" t="inlineStr">
        <is>
          <t>rainbow_six-tiered-elo-v6</t>
        </is>
      </c>
      <c r="U35" s="24" t="inlineStr">
        <is>
          <t>settled</t>
        </is>
      </c>
      <c r="V35" s="24" t="inlineStr">
        <is>
          <t>loss</t>
        </is>
      </c>
      <c r="W35" s="26" t="n">
        <v>1</v>
      </c>
      <c r="X35" s="26" t="n">
        <v>0</v>
      </c>
      <c r="Y35" s="25" t="n"/>
      <c r="Z35" s="26" t="n"/>
      <c r="AA35" s="28" t="n"/>
      <c r="AB35" s="28" t="n"/>
      <c r="AC35" s="30" t="n">
        <v>-1</v>
      </c>
      <c r="AD35" s="24" t="inlineStr">
        <is>
          <t>2026-09-26T22:04:48.405294Z</t>
        </is>
      </c>
      <c r="AE35" s="31" t="inlineStr">
        <is>
          <t>Neutral Elo baseline; executable ask 0.6500 (market_slug=aec-r6-faze-furia-2026-09-26).</t>
        </is>
      </c>
      <c r="AF35" s="31" t="inlineStr">
        <is>
          <t>Config-promoted esports baseline; gates enforced at log time.</t>
        </is>
      </c>
      <c r="AG35" s="24" t="inlineStr">
        <is>
          <t>review_required</t>
        </is>
      </c>
      <c r="AH35" s="24" t="n"/>
      <c r="AI35" s="31" t="n"/>
      <c r="AJ35" s="31" t="n"/>
      <c r="AK35" s="24" t="inlineStr">
        <is>
          <t>paper_call</t>
        </is>
      </c>
      <c r="AL35" s="26" t="n">
        <v>4</v>
      </c>
      <c r="AM35" s="24" t="inlineStr">
        <is>
          <t>RESEARCH_OBSERVATION</t>
        </is>
      </c>
      <c r="AN35" s="24" t="inlineStr">
        <is>
          <t>CALL</t>
        </is>
      </c>
      <c r="AO35" s="24" t="inlineStr">
        <is>
          <t>PAPER_CALL_LOW_EDGE</t>
        </is>
      </c>
      <c r="AP35" s="24" t="inlineStr">
        <is>
          <t>FURIA Esports</t>
        </is>
      </c>
      <c r="AQ35" s="24" t="inlineStr">
        <is>
          <t>FURIA Esports</t>
        </is>
      </c>
      <c r="AR35" s="24" t="inlineStr">
        <is>
          <t>FURIA Esports</t>
        </is>
      </c>
      <c r="AS35" s="24" t="inlineStr">
        <is>
          <t>FaZe Clan</t>
        </is>
      </c>
      <c r="AT35" s="24" t="inlineStr">
        <is>
          <t>FaZe Clan</t>
        </is>
      </c>
      <c r="AU35" s="24" t="inlineStr">
        <is>
          <t>FaZe Clan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research</t>
        </is>
      </c>
      <c r="BA35" s="24" t="inlineStr">
        <is>
          <t>cff7fc9561cfba9099c3f93602bf92eebacd92468493f980f7a82168139090ce</t>
        </is>
      </c>
      <c r="BB35" s="24" t="inlineStr">
        <is>
          <t>neutral_elo</t>
        </is>
      </c>
      <c r="BC35" s="24" t="inlineStr">
        <is>
          <t>rainbow_six-tiered-elo-v6</t>
        </is>
      </c>
      <c r="BD35" s="24" t="inlineStr">
        <is>
          <t>cff7fc9561cfba9099c3f93602bf92eebacd92468493f980f7a82168139090ce</t>
        </is>
      </c>
      <c r="BE35" s="24" t="inlineStr">
        <is>
          <t>1</t>
        </is>
      </c>
      <c r="BF35" s="24" t="inlineStr">
        <is>
          <t>1</t>
        </is>
      </c>
      <c r="BG35" s="24" t="inlineStr">
        <is>
          <t>rainbow_six-tiered-elo-v6</t>
        </is>
      </c>
      <c r="BH35" s="24" t="inlineStr">
        <is>
          <t>2026-09-26T15:51:25.688423Z</t>
        </is>
      </c>
      <c r="BI35" s="24" t="inlineStr">
        <is>
          <t>["same_event","same_team_same_day","same_league_same_day"]</t>
        </is>
      </c>
      <c r="BJ35" s="25" t="n"/>
      <c r="BK35" s="26" t="n">
        <v>-186</v>
      </c>
      <c r="BL35" s="27" t="n">
        <v>1.537634</v>
      </c>
      <c r="BM35" s="28" t="n">
        <v>0.65035</v>
      </c>
      <c r="BN35" s="28" t="n"/>
      <c r="BO35" s="28" t="n"/>
      <c r="BP35" s="25" t="n"/>
      <c r="BQ35" s="27" t="n"/>
      <c r="BR35" s="28" t="n"/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inlineStr">
        <is>
          <t>False</t>
        </is>
      </c>
      <c r="CT35" s="24" t="n"/>
      <c r="CU35" s="24" t="n"/>
      <c r="CV35" s="24" t="n"/>
      <c r="CW35" s="24" t="n"/>
      <c r="CX35" s="24" t="n"/>
      <c r="CY35" s="24" t="n"/>
      <c r="CZ35" s="24" t="n"/>
      <c r="DA35" s="24" t="n"/>
      <c r="DB35" s="24" t="n"/>
      <c r="DC35" s="24" t="n"/>
      <c r="DD35" s="24" t="n"/>
      <c r="DE35" s="24" t="n"/>
      <c r="DF35" s="24" t="n"/>
      <c r="DG35" s="24" t="n"/>
      <c r="DH35" s="24" t="n"/>
      <c r="DI35" s="24" t="n"/>
      <c r="DJ35" s="24" t="inlineStr">
        <is>
          <t>0.65035</t>
        </is>
      </c>
      <c r="DK35" s="24" t="n"/>
      <c r="DL35" s="24" t="n"/>
      <c r="DM35" s="24" t="n"/>
      <c r="DN35" s="24" t="n"/>
      <c r="DO35" s="24" t="n"/>
      <c r="DP35" s="24" t="n"/>
      <c r="DQ35" s="24" t="inlineStr">
        <is>
          <t>{"artifact_hash": "cff7fc9561cfba9099c3f93602bf92eebacd92468493f980f7a82168139090ce", "away_team": "FURIA Esports", "event_id": "124114", "event_start_utc": "2026-09-26T19:45:00Z", "features": {"away_elo": 1768.790727, "away_history_count": 140, "home_elo": 1880.119121, "home_history_count": 154}, "historical_source_observation_times_verified": false, "home_team": "FaZe Clan", "inference_inputs": {"book_state": {"games_played": {"bo3:7:19662": 140, "bo3:7:19728": 154}, "inactivity_half_life_days": null, "inactivity_max_pull": null, "k": 24.0, "last_match_utc": {"bo3:7:19662": "2026-09-20T18:30:00Z", "bo3:7:19728": "2026-09-20T20:40:00Z"}, "minimum_reliable_games": null, "platt_intercept": 0.14760324068381164, "platt_slope": 0.9194741073959694, "ratings": {"bo3:7:19662": 1768.790727, "bo3:7:19728": 1880.119121},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"2026-09-26T15:51:12.111081+00:00", "team_ids": ["bo3:7:19728", "bo3:7:19662"]}, "market_type": "moneyline", "model_version": "rainbow_six-tiered-elo-v6", "observed_at_utc": "2026-09-26T15:51:12.111081+00:00", "probabilities": {"away": 0.354397, "home": 0.645603}, "replay_scope": "Exact serving book state, calibration, temperature, inactivity reference and thin-history adjustments; training provenance not certified.", "schema": "esports-elo-replay-v1", "snapshot_hash": "2775374b59308b1a710139d94ab553bd85460b9162c60f026825e61ab6e7f844", "sport": "RAINBOW_SIX"}</t>
        </is>
      </c>
    </row>
    <row r="36" ht="36" customHeight="1">
      <c r="A36" s="24" t="inlineStr">
        <is>
          <t>97fad87102484873</t>
        </is>
      </c>
      <c r="B36" s="24" t="inlineStr">
        <is>
          <t>2026-09-27T16:27:07.628767Z</t>
        </is>
      </c>
      <c r="C36" s="24" t="inlineStr">
        <is>
          <t>2026-09-27T18:30:00Z</t>
        </is>
      </c>
      <c r="D36" s="24" t="inlineStr">
        <is>
          <t>125310</t>
        </is>
      </c>
      <c r="E36" s="24" t="inlineStr">
        <is>
          <t>RAINBOW_SIX</t>
        </is>
      </c>
      <c r="F36" s="24" t="inlineStr">
        <is>
          <t>Imperial Esports</t>
        </is>
      </c>
      <c r="G36" s="24" t="inlineStr">
        <is>
          <t>Black Dragons e-Sports</t>
        </is>
      </c>
      <c r="H36" s="24" t="inlineStr">
        <is>
          <t>moneyline</t>
        </is>
      </c>
      <c r="I36" s="24" t="inlineStr">
        <is>
          <t>home</t>
        </is>
      </c>
      <c r="J36" s="25" t="n"/>
      <c r="K36" s="24" t="inlineStr">
        <is>
          <t>polymarket_us</t>
        </is>
      </c>
      <c r="L36" s="26" t="n">
        <v>-194</v>
      </c>
      <c r="M36" s="27" t="n">
        <v>1.515464</v>
      </c>
      <c r="N36" s="28" t="n">
        <v>0.659864</v>
      </c>
      <c r="O36" s="28" t="n">
        <v>0.634304</v>
      </c>
      <c r="P36" s="28" t="n"/>
      <c r="Q36" s="28" t="n">
        <v>-0.02556</v>
      </c>
      <c r="R36" s="26" t="n">
        <v>7</v>
      </c>
      <c r="S36" s="29" t="n">
        <v>1</v>
      </c>
      <c r="T36" s="24" t="inlineStr">
        <is>
          <t>rainbow_six-tiered-elo-v6</t>
        </is>
      </c>
      <c r="U36" s="24" t="inlineStr">
        <is>
          <t>settled</t>
        </is>
      </c>
      <c r="V36" s="24" t="inlineStr">
        <is>
          <t>win</t>
        </is>
      </c>
      <c r="W36" s="26" t="n">
        <v>0</v>
      </c>
      <c r="X36" s="26" t="n">
        <v>1</v>
      </c>
      <c r="Y36" s="25" t="n"/>
      <c r="Z36" s="26" t="n"/>
      <c r="AA36" s="28" t="n"/>
      <c r="AB36" s="28" t="n"/>
      <c r="AC36" s="30" t="n">
        <v>0.5155</v>
      </c>
      <c r="AD36" s="24" t="inlineStr">
        <is>
          <t>2026-09-27T22:04:25.838363Z</t>
        </is>
      </c>
      <c r="AE36" s="31" t="inlineStr">
        <is>
          <t>Neutral Elo baseline; executable ask 0.6600 (market_slug=aec-r6-bd-imp-2026-09-27).</t>
        </is>
      </c>
      <c r="AF36" s="31" t="inlineStr">
        <is>
          <t>Config-promoted esports baseline; gates enforced at log time.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paper_call</t>
        </is>
      </c>
      <c r="AL36" s="26" t="n">
        <v>4</v>
      </c>
      <c r="AM36" s="24" t="inlineStr">
        <is>
          <t>RESEARCH_OBSERVATION</t>
        </is>
      </c>
      <c r="AN36" s="24" t="inlineStr">
        <is>
          <t>CALL</t>
        </is>
      </c>
      <c r="AO36" s="24" t="inlineStr">
        <is>
          <t>PAPER_CALL_LOW_EDGE</t>
        </is>
      </c>
      <c r="AP36" s="24" t="inlineStr">
        <is>
          <t>Imperial Esports</t>
        </is>
      </c>
      <c r="AQ36" s="24" t="inlineStr">
        <is>
          <t>Imperial Esports</t>
        </is>
      </c>
      <c r="AR36" s="24" t="inlineStr">
        <is>
          <t>Imperial Esports</t>
        </is>
      </c>
      <c r="AS36" s="24" t="inlineStr">
        <is>
          <t>Black Dragons e-Sports</t>
        </is>
      </c>
      <c r="AT36" s="24" t="inlineStr">
        <is>
          <t>Black Dragons e-Sports</t>
        </is>
      </c>
      <c r="AU36" s="24" t="inlineStr">
        <is>
          <t>Black Dragons e-Sports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research</t>
        </is>
      </c>
      <c r="BA36" s="24" t="inlineStr">
        <is>
          <t>2c42ae1e27c1f193e144291f2e5d57fa9312d64789a9f0dacc689b9abb17d973</t>
        </is>
      </c>
      <c r="BB36" s="24" t="inlineStr">
        <is>
          <t>neutral_elo</t>
        </is>
      </c>
      <c r="BC36" s="24" t="inlineStr">
        <is>
          <t>rainbow_six-tiered-elo-v6</t>
        </is>
      </c>
      <c r="BD36" s="24" t="inlineStr">
        <is>
          <t>2c42ae1e27c1f193e144291f2e5d57fa9312d64789a9f0dacc689b9abb17d973</t>
        </is>
      </c>
      <c r="BE36" s="24" t="inlineStr">
        <is>
          <t>1</t>
        </is>
      </c>
      <c r="BF36" s="24" t="inlineStr">
        <is>
          <t>1</t>
        </is>
      </c>
      <c r="BG36" s="24" t="inlineStr">
        <is>
          <t>rainbow_six-tiered-elo-v6</t>
        </is>
      </c>
      <c r="BH36" s="24" t="inlineStr">
        <is>
          <t>2026-09-27T16:26:39.883862Z</t>
        </is>
      </c>
      <c r="BI36" s="24" t="inlineStr">
        <is>
          <t>["same_event","same_team_same_day","same_league_same_day"]</t>
        </is>
      </c>
      <c r="BJ36" s="25" t="n"/>
      <c r="BK36" s="26" t="n">
        <v>-194</v>
      </c>
      <c r="BL36" s="27" t="n">
        <v>1.515464</v>
      </c>
      <c r="BM36" s="28" t="n">
        <v>0.659864</v>
      </c>
      <c r="BN36" s="28" t="n"/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inlineStr">
        <is>
          <t>False</t>
        </is>
      </c>
      <c r="CT36" s="24" t="n"/>
      <c r="CU36" s="24" t="n"/>
      <c r="CV36" s="24" t="n"/>
      <c r="CW36" s="24" t="n"/>
      <c r="CX36" s="24" t="n"/>
      <c r="CY36" s="24" t="n"/>
      <c r="CZ36" s="24" t="n"/>
      <c r="DA36" s="24" t="n"/>
      <c r="DB36" s="24" t="n"/>
      <c r="DC36" s="24" t="n"/>
      <c r="DD36" s="24" t="n"/>
      <c r="DE36" s="24" t="n"/>
      <c r="DF36" s="24" t="n"/>
      <c r="DG36" s="24" t="n"/>
      <c r="DH36" s="24" t="n"/>
      <c r="DI36" s="24" t="n"/>
      <c r="DJ36" s="24" t="inlineStr">
        <is>
          <t>0.659864</t>
        </is>
      </c>
      <c r="DK36" s="24" t="n"/>
      <c r="DL36" s="24" t="n"/>
      <c r="DM36" s="24" t="n"/>
      <c r="DN36" s="24" t="n"/>
      <c r="DO36" s="24" t="n"/>
      <c r="DP36" s="24" t="n"/>
      <c r="DQ36" s="24" t="inlineStr">
        <is>
          <t>{"artifact_hash": "2c42ae1e27c1f193e144291f2e5d57fa9312d64789a9f0dacc689b9abb17d973", "away_team": "Imperial Esports", "event_id": "125310", "event_start_utc": "2026-09-27T18:30:00Z", "features": {"away_elo": 1437.337979, "away_history_count": 28, "home_elo": 1535.636067, "home_history_count": 95}, "historical_source_observation_times_verified": false, "home_team": "Black Dragons e-Sports", "inference_inputs": {"book_state": {"games_played": {"bo3:7:19707": 95, "bo3:7:22992": 28}, "inactivity_half_life_days": null, "inactivity_max_pull": null, "k": 24.0, "last_match_utc": {"bo3:7:19707": "2026-09-26T16:00:00Z", "bo3:7:22992": "2026-09-26T17:15:00Z"}, "minimum_reliable_games": null, "platt_intercept": 0.15662851583113568, "platt_slope": 0.8796070424034685, "ratings": {"bo3:7:19707": 1535.636067, "bo3:7:22992": 1437.337979},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"2026-09-27T16:26:32.136130+00:00", "team_ids": ["bo3:7:19707", "bo3:7:22992"]}, "market_type": "moneyline", "model_version": "rainbow_six-tiered-elo-v6", "observed_at_utc": "2026-09-27T16:26:32.136130+00:00", "probabilities": {"away": 0.365696, "home": 0.634304}, "replay_scope": "Exact serving book state, calibration, temperature, inactivity reference and thin-history adjustments; training provenance not certified.", "schema": "esports-elo-replay-v1", "snapshot_hash": "826243c4b47ec7c3c41b73c101f8b2e45a759aaceb19dc66cdab8f3c973d7118", "sport": "RAINBOW_SIX"}</t>
        </is>
      </c>
    </row>
    <row r="37" ht="36" customHeight="1">
      <c r="A37" s="24" t="inlineStr">
        <is>
          <t>84c4626593494fce</t>
        </is>
      </c>
      <c r="B37" s="24" t="inlineStr">
        <is>
          <t>2026-09-28T10:10:19.001644Z</t>
        </is>
      </c>
      <c r="C37" s="24" t="inlineStr">
        <is>
          <t>2026-09-28T16:00:00Z</t>
        </is>
      </c>
      <c r="D37" s="24" t="inlineStr">
        <is>
          <t>126496</t>
        </is>
      </c>
      <c r="E37" s="24" t="inlineStr">
        <is>
          <t>RAINBOW_SIX</t>
        </is>
      </c>
      <c r="F37" s="24" t="inlineStr">
        <is>
          <t>Heretics</t>
        </is>
      </c>
      <c r="G37" s="24" t="inlineStr">
        <is>
          <t>Rebels Gaming</t>
        </is>
      </c>
      <c r="H37" s="24" t="inlineStr">
        <is>
          <t>moneyline</t>
        </is>
      </c>
      <c r="I37" s="24" t="inlineStr">
        <is>
          <t>home</t>
        </is>
      </c>
      <c r="J37" s="25" t="n"/>
      <c r="K37" s="24" t="inlineStr">
        <is>
          <t>polymarket_us</t>
        </is>
      </c>
      <c r="L37" s="26" t="n">
        <v>-113</v>
      </c>
      <c r="M37" s="27" t="n">
        <v>1.884956</v>
      </c>
      <c r="N37" s="28" t="n">
        <v>0.530516</v>
      </c>
      <c r="O37" s="28" t="n">
        <v>0.571642</v>
      </c>
      <c r="P37" s="28" t="n"/>
      <c r="Q37" s="28" t="n">
        <v>0.041126</v>
      </c>
      <c r="R37" s="26" t="n">
        <v>41</v>
      </c>
      <c r="S37" s="29" t="n">
        <v>1</v>
      </c>
      <c r="T37" s="24" t="inlineStr">
        <is>
          <t>rainbow_six-tiered-elo-v6</t>
        </is>
      </c>
      <c r="U37" s="24" t="inlineStr">
        <is>
          <t>settled</t>
        </is>
      </c>
      <c r="V37" s="24" t="inlineStr">
        <is>
          <t>loss</t>
        </is>
      </c>
      <c r="W37" s="26" t="n">
        <v>1</v>
      </c>
      <c r="X37" s="26" t="n">
        <v>0</v>
      </c>
      <c r="Y37" s="25" t="n"/>
      <c r="Z37" s="26" t="n"/>
      <c r="AA37" s="28" t="n"/>
      <c r="AB37" s="28" t="n"/>
      <c r="AC37" s="30" t="n">
        <v>-1</v>
      </c>
      <c r="AD37" s="24" t="inlineStr">
        <is>
          <t>2026-09-28T22:03:27.289328Z</t>
        </is>
      </c>
      <c r="AE37" s="31" t="inlineStr">
        <is>
          <t>Neutral Elo baseline; executable ask 0.5300 (market_slug=aec-r6-rbls-heretics-2026-09-28).</t>
        </is>
      </c>
      <c r="AF37" s="31" t="inlineStr">
        <is>
          <t>Config-promoted esports baseline; gates enforced at log time.</t>
        </is>
      </c>
      <c r="AG37" s="24" t="inlineStr">
        <is>
          <t>review_required</t>
        </is>
      </c>
      <c r="AH37" s="24" t="n"/>
      <c r="AI37" s="31" t="n"/>
      <c r="AJ37" s="31" t="n"/>
      <c r="AK37" s="24" t="inlineStr">
        <is>
          <t>model_qualified</t>
        </is>
      </c>
      <c r="AL37" s="26" t="n">
        <v>4</v>
      </c>
      <c r="AM37" s="24" t="inlineStr">
        <is>
          <t>QUALIFIED_SHADOW_CALL</t>
        </is>
      </c>
      <c r="AN37" s="24" t="inlineStr">
        <is>
          <t>CALL</t>
        </is>
      </c>
      <c r="AO37" s="24" t="inlineStr">
        <is>
          <t>QUALIFIED</t>
        </is>
      </c>
      <c r="AP37" s="24" t="inlineStr">
        <is>
          <t>Heretics</t>
        </is>
      </c>
      <c r="AQ37" s="24" t="inlineStr">
        <is>
          <t>Heretics</t>
        </is>
      </c>
      <c r="AR37" s="24" t="inlineStr">
        <is>
          <t>Heretics</t>
        </is>
      </c>
      <c r="AS37" s="24" t="inlineStr">
        <is>
          <t>Rebels Gaming</t>
        </is>
      </c>
      <c r="AT37" s="24" t="inlineStr">
        <is>
          <t>Rebels Gaming</t>
        </is>
      </c>
      <c r="AU37" s="24" t="inlineStr">
        <is>
          <t>Rebels Gaming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research</t>
        </is>
      </c>
      <c r="BA37" s="24" t="inlineStr">
        <is>
          <t>7e23d0be625fb0fdceec9926fe9fde92ccb872f03af87007680f4645f13e82d9</t>
        </is>
      </c>
      <c r="BB37" s="24" t="inlineStr">
        <is>
          <t>neutral_elo</t>
        </is>
      </c>
      <c r="BC37" s="24" t="inlineStr">
        <is>
          <t>rainbow_six-tiered-elo-v6</t>
        </is>
      </c>
      <c r="BD37" s="24" t="inlineStr">
        <is>
          <t>7e23d0be625fb0fdceec9926fe9fde92ccb872f03af87007680f4645f13e82d9</t>
        </is>
      </c>
      <c r="BE37" s="24" t="inlineStr">
        <is>
          <t>1</t>
        </is>
      </c>
      <c r="BF37" s="24" t="inlineStr">
        <is>
          <t>1</t>
        </is>
      </c>
      <c r="BG37" s="24" t="inlineStr">
        <is>
          <t>rainbow_six-tiered-elo-v6</t>
        </is>
      </c>
      <c r="BH37" s="24" t="inlineStr">
        <is>
          <t>2026-09-28T10:09:44.852273Z</t>
        </is>
      </c>
      <c r="BI37" s="24" t="inlineStr">
        <is>
          <t>["same_event","same_team_same_day","same_league_same_day"]</t>
        </is>
      </c>
      <c r="BJ37" s="25" t="n"/>
      <c r="BK37" s="26" t="n">
        <v>-113</v>
      </c>
      <c r="BL37" s="27" t="n">
        <v>1.884956</v>
      </c>
      <c r="BM37" s="28" t="n">
        <v>0.530516</v>
      </c>
      <c r="BN37" s="28" t="n"/>
      <c r="BO37" s="28" t="n"/>
      <c r="BP37" s="25" t="n"/>
      <c r="BQ37" s="27" t="n"/>
      <c r="BR37" s="28" t="n"/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inlineStr">
        <is>
          <t>True</t>
        </is>
      </c>
      <c r="CT37" s="24" t="n"/>
      <c r="CU37" s="24" t="n"/>
      <c r="CV37" s="24" t="n"/>
      <c r="CW37" s="24" t="n"/>
      <c r="CX37" s="24" t="n"/>
      <c r="CY37" s="24" t="n"/>
      <c r="CZ37" s="24" t="n"/>
      <c r="DA37" s="24" t="n"/>
      <c r="DB37" s="24" t="n"/>
      <c r="DC37" s="24" t="n"/>
      <c r="DD37" s="24" t="n"/>
      <c r="DE37" s="24" t="n"/>
      <c r="DF37" s="24" t="n"/>
      <c r="DG37" s="24" t="n"/>
      <c r="DH37" s="24" t="n"/>
      <c r="DI37" s="24" t="n"/>
      <c r="DJ37" s="24" t="inlineStr">
        <is>
          <t>0.530516</t>
        </is>
      </c>
      <c r="DK37" s="24" t="n"/>
      <c r="DL37" s="24" t="n"/>
      <c r="DM37" s="24" t="n"/>
      <c r="DN37" s="24" t="n"/>
      <c r="DO37" s="24" t="n"/>
      <c r="DP37" s="24" t="n"/>
      <c r="DQ37" s="24" t="inlineStr">
        <is>
          <t>{"artifact_hash": "7e23d0be625fb0fdceec9926fe9fde92ccb872f03af87007680f4645f13e82d9", "away_team": "Heretics", "event_id": "126496", "event_start_utc": "2026-09-28T16:00:00Z", "features": {"away_elo": 1438.211436, "away_history_count": 32, "home_elo": 1476.695901, "home_history_count": 23}, "historical_source_observation_times_verified": false, "home_team": "Rebels Gaming", "inference_inputs": {"book_state": {"games_played": {"bo3:7:19435": 23, "bo3:7:19639": 32}, "inactivity_half_life_days": null, "inactivity_max_pull": null, "k": 24.0, "last_match_utc": {"bo3:7:19435": "2026-09-22T16:10:00Z", "bo3:7:19639": "2026-09-22T19:15:00Z"}, "minimum_reliable_games": null, "platt_intercept": 0.15384517301792586, "platt_slope": 0.8860297119659613, "ratings": {"bo3:7:19435": 1476.695901, "bo3:7:19639": 1438.211436},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"2026-09-28T10:09:44.788682+00:00", "team_ids": ["bo3:7:19435", "bo3:7:19639"]}, "market_type": "moneyline", "model_version": "rainbow_six-tiered-elo-v6", "observed_at_utc": "2026-09-28T10:09:44.788682+00:00", "probabilities": {"away": 0.428358, "home": 0.571642}, "replay_scope": "Exact serving book state, calibration, temperature, inactivity reference and thin-history adjustments; training provenance not certified.", "schema": "esports-elo-replay-v1", "snapshot_hash": "ceebb5738362d8d6089f1426f6b95a8fd13742fa2f960e4ffb682ffdc2194fe5", "sport": "RAINBOW_SIX"}</t>
        </is>
      </c>
    </row>
    <row r="38" ht="36" customHeight="1">
      <c r="A38" s="24" t="inlineStr">
        <is>
          <t>a24f27130d114392</t>
        </is>
      </c>
      <c r="B38" s="24" t="inlineStr">
        <is>
          <t>2026-09-28T16:12:34.717017Z</t>
        </is>
      </c>
      <c r="C38" s="24" t="inlineStr">
        <is>
          <t>2026-09-28T18:00:00Z</t>
        </is>
      </c>
      <c r="D38" s="24" t="inlineStr">
        <is>
          <t>126715</t>
        </is>
      </c>
      <c r="E38" s="24" t="inlineStr">
        <is>
          <t>RAINBOW_SIX</t>
        </is>
      </c>
      <c r="F38" s="24" t="inlineStr">
        <is>
          <t>Virtus.pro</t>
        </is>
      </c>
      <c r="G38" s="24" t="inlineStr">
        <is>
          <t>G2 Esports</t>
        </is>
      </c>
      <c r="H38" s="24" t="inlineStr">
        <is>
          <t>moneyline</t>
        </is>
      </c>
      <c r="I38" s="24" t="inlineStr">
        <is>
          <t>home</t>
        </is>
      </c>
      <c r="J38" s="25" t="n"/>
      <c r="K38" s="24" t="inlineStr">
        <is>
          <t>polymarket_us</t>
        </is>
      </c>
      <c r="L38" s="26" t="n">
        <v>-127</v>
      </c>
      <c r="M38" s="27" t="n">
        <v>1.787402</v>
      </c>
      <c r="N38" s="28" t="n">
        <v>0.5594710000000001</v>
      </c>
      <c r="O38" s="28" t="n">
        <v>0.555185</v>
      </c>
      <c r="P38" s="28" t="n"/>
      <c r="Q38" s="28" t="n">
        <v>-0.004286</v>
      </c>
      <c r="R38" s="26" t="n">
        <v>18</v>
      </c>
      <c r="S38" s="29" t="n">
        <v>1</v>
      </c>
      <c r="T38" s="24" t="inlineStr">
        <is>
          <t>rainbow_six-tiered-elo-v6</t>
        </is>
      </c>
      <c r="U38" s="24" t="inlineStr">
        <is>
          <t>settled</t>
        </is>
      </c>
      <c r="V38" s="24" t="inlineStr">
        <is>
          <t>win</t>
        </is>
      </c>
      <c r="W38" s="26" t="n">
        <v>0</v>
      </c>
      <c r="X38" s="26" t="n">
        <v>1</v>
      </c>
      <c r="Y38" s="25" t="n"/>
      <c r="Z38" s="26" t="n">
        <v>-127</v>
      </c>
      <c r="AA38" s="28" t="n">
        <v>0.5600000000000001</v>
      </c>
      <c r="AB38" s="28" t="n">
        <v>0.000529</v>
      </c>
      <c r="AC38" s="30" t="n">
        <v>0.7874</v>
      </c>
      <c r="AD38" s="24" t="inlineStr">
        <is>
          <t>2026-09-28T22:03:27.451747Z</t>
        </is>
      </c>
      <c r="AE38" s="31" t="inlineStr">
        <is>
          <t>Neutral Elo baseline; executable ask 0.5600 (market_slug=aec-r6-g2-vp-2026-09-28).</t>
        </is>
      </c>
      <c r="AF38" s="31" t="inlineStr">
        <is>
          <t>Config-promoted esports baseline; gates enforced at log time.</t>
        </is>
      </c>
      <c r="AG38" s="24" t="inlineStr">
        <is>
          <t>not_applicable</t>
        </is>
      </c>
      <c r="AH38" s="24" t="n"/>
      <c r="AI38" s="31" t="n"/>
      <c r="AJ38" s="31" t="n"/>
      <c r="AK38" s="24" t="inlineStr">
        <is>
          <t>paper_call</t>
        </is>
      </c>
      <c r="AL38" s="26" t="n">
        <v>4</v>
      </c>
      <c r="AM38" s="24" t="inlineStr">
        <is>
          <t>RESEARCH_OBSERVATION</t>
        </is>
      </c>
      <c r="AN38" s="24" t="inlineStr">
        <is>
          <t>CALL</t>
        </is>
      </c>
      <c r="AO38" s="24" t="inlineStr">
        <is>
          <t>PAPER_CALL_LOW_EDGE</t>
        </is>
      </c>
      <c r="AP38" s="24" t="inlineStr">
        <is>
          <t>Virtus.pro</t>
        </is>
      </c>
      <c r="AQ38" s="24" t="inlineStr">
        <is>
          <t>Virtus.pro</t>
        </is>
      </c>
      <c r="AR38" s="24" t="inlineStr">
        <is>
          <t>Virtus.pro</t>
        </is>
      </c>
      <c r="AS38" s="24" t="inlineStr">
        <is>
          <t>G2 Esports</t>
        </is>
      </c>
      <c r="AT38" s="24" t="inlineStr">
        <is>
          <t>G2 Esports</t>
        </is>
      </c>
      <c r="AU38" s="24" t="inlineStr">
        <is>
          <t>G2 Esports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research</t>
        </is>
      </c>
      <c r="BA38" s="24" t="inlineStr">
        <is>
          <t>f55a9f87d7f35e07578255fa4939427097562456c471dd4864aff23a703d0f42</t>
        </is>
      </c>
      <c r="BB38" s="24" t="inlineStr">
        <is>
          <t>neutral_elo</t>
        </is>
      </c>
      <c r="BC38" s="24" t="inlineStr">
        <is>
          <t>rainbow_six-tiered-elo-v6</t>
        </is>
      </c>
      <c r="BD38" s="24" t="inlineStr">
        <is>
          <t>f55a9f87d7f35e07578255fa4939427097562456c471dd4864aff23a703d0f42</t>
        </is>
      </c>
      <c r="BE38" s="24" t="inlineStr">
        <is>
          <t>1</t>
        </is>
      </c>
      <c r="BF38" s="24" t="inlineStr">
        <is>
          <t>1</t>
        </is>
      </c>
      <c r="BG38" s="24" t="inlineStr">
        <is>
          <t>rainbow_six-tiered-elo-v6</t>
        </is>
      </c>
      <c r="BH38" s="24" t="inlineStr">
        <is>
          <t>2026-09-28T16:12:12.210301Z</t>
        </is>
      </c>
      <c r="BI38" s="24" t="inlineStr">
        <is>
          <t>["same_event","same_team_same_day","same_league_same_day"]</t>
        </is>
      </c>
      <c r="BJ38" s="25" t="n"/>
      <c r="BK38" s="26" t="n">
        <v>-127</v>
      </c>
      <c r="BL38" s="27" t="n">
        <v>1.787402</v>
      </c>
      <c r="BM38" s="28" t="n">
        <v>0.5594710000000001</v>
      </c>
      <c r="BN38" s="28" t="n"/>
      <c r="BO38" s="28" t="n"/>
      <c r="BP38" s="25" t="n"/>
      <c r="BQ38" s="27" t="n">
        <v>1.787402</v>
      </c>
      <c r="BR38" s="28" t="n">
        <v>0.5600000000000001</v>
      </c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inlineStr">
        <is>
          <t>False</t>
        </is>
      </c>
      <c r="CT38" s="24" t="n"/>
      <c r="CU38" s="24" t="n"/>
      <c r="CV38" s="24" t="n"/>
      <c r="CW38" s="24" t="n"/>
      <c r="CX38" s="24" t="n"/>
      <c r="CY38" s="24" t="n"/>
      <c r="CZ38" s="24" t="n"/>
      <c r="DA38" s="24" t="n"/>
      <c r="DB38" s="24" t="n"/>
      <c r="DC38" s="24" t="n"/>
      <c r="DD38" s="24" t="n"/>
      <c r="DE38" s="24" t="n"/>
      <c r="DF38" s="24" t="n"/>
      <c r="DG38" s="24" t="n"/>
      <c r="DH38" s="24" t="n"/>
      <c r="DI38" s="24" t="n"/>
      <c r="DJ38" s="24" t="inlineStr">
        <is>
          <t>0.559471</t>
        </is>
      </c>
      <c r="DK38" s="24" t="n"/>
      <c r="DL38" s="24" t="n"/>
      <c r="DM38" s="24" t="n"/>
      <c r="DN38" s="24" t="n"/>
      <c r="DO38" s="24" t="n"/>
      <c r="DP38" s="24" t="n"/>
      <c r="DQ38" s="24" t="inlineStr">
        <is>
          <t>{"artifact_hash": "f55a9f87d7f35e07578255fa4939427097562456c471dd4864aff23a703d0f42", "away_team": "Virtus.pro", "event_id": "126715", "event_start_utc": "2026-09-28T18:00:00Z", "features": {"away_elo": 1701.037874, "away_history_count": 108, "home_elo": 1723.233473, "home_history_count": 145}, "historical_source_observation_times_verified": false, "home_team": "G2 Esports", "inference_inputs": {"book_state": {"games_played": {"bo3:7:19668": 108, "bo3:7:19715": 145}, "inactivity_half_life_days": null, "inactivity_max_pull": null, "k": 24.0, "last_match_utc": {"bo3:7:19668": "2026-09-22T18:15:00Z", "bo3:7:19715": "2026-09-22T19:15:00Z"}, "minimum_reliable_games": null, "platt_intercept": 0.15384517301792586, "platt_slope": 0.8860297119659613, "ratings": {"bo3:7:19668": 1701.037874, "bo3:7:19715": 1723.233473},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"2026-09-28T16:12:12.084121+00:00", "team_ids": ["bo3:7:19715", "bo3:7:19668"]}, "market_type": "moneyline", "model_version": "rainbow_six-tiered-elo-v6", "observed_at_utc": "2026-09-28T16:12:12.084121+00:00", "probabilities": {"away": 0.444815, "home": 0.555185}, "replay_scope": "Exact serving book state, calibration, temperature, inactivity reference and thin-history adjustments; training provenance not certified.", "schema": "esports-elo-replay-v1", "snapshot_hash": "346b09172e188a60148c6ffc3bb60d2faf8c1b3104d11fce66fbd6740a08b70f", "sport": "RAINBOW_SIX"}</t>
        </is>
      </c>
    </row>
    <row r="39" ht="36" customHeight="1">
      <c r="A39" s="24" t="inlineStr">
        <is>
          <t>2b908f6c28ab4c6b</t>
        </is>
      </c>
      <c r="B39" s="24" t="inlineStr">
        <is>
          <t>2026-09-29T10:10:07.694980Z</t>
        </is>
      </c>
      <c r="C39" s="24" t="inlineStr">
        <is>
          <t>2026-09-29T16:00:00Z</t>
        </is>
      </c>
      <c r="D39" s="24" t="inlineStr">
        <is>
          <t>128339</t>
        </is>
      </c>
      <c r="E39" s="24" t="inlineStr">
        <is>
          <t>RAINBOW_SIX</t>
        </is>
      </c>
      <c r="F39" s="24" t="inlineStr">
        <is>
          <t>Falcons Esport</t>
        </is>
      </c>
      <c r="G39" s="24" t="inlineStr">
        <is>
          <t>Geekay Esports</t>
        </is>
      </c>
      <c r="H39" s="24" t="inlineStr">
        <is>
          <t>moneyline</t>
        </is>
      </c>
      <c r="I39" s="24" t="inlineStr">
        <is>
          <t>away</t>
        </is>
      </c>
      <c r="J39" s="25" t="n"/>
      <c r="K39" s="24" t="inlineStr">
        <is>
          <t>polymarket_us</t>
        </is>
      </c>
      <c r="L39" s="26" t="n">
        <v>-113</v>
      </c>
      <c r="M39" s="27" t="n">
        <v>1.884956</v>
      </c>
      <c r="N39" s="28" t="n">
        <v>0.530516</v>
      </c>
      <c r="O39" s="28" t="n">
        <v>0.519805</v>
      </c>
      <c r="P39" s="28" t="n"/>
      <c r="Q39" s="28" t="n">
        <v>-0.010711</v>
      </c>
      <c r="R39" s="26" t="n">
        <v>15</v>
      </c>
      <c r="S39" s="29" t="n">
        <v>1</v>
      </c>
      <c r="T39" s="24" t="inlineStr">
        <is>
          <t>rainbow_six-tiered-elo-v6</t>
        </is>
      </c>
      <c r="U39" s="24" t="inlineStr">
        <is>
          <t>settled</t>
        </is>
      </c>
      <c r="V39" s="24" t="inlineStr">
        <is>
          <t>win</t>
        </is>
      </c>
      <c r="W39" s="26" t="n">
        <v>1</v>
      </c>
      <c r="X39" s="26" t="n">
        <v>0</v>
      </c>
      <c r="Y39" s="25" t="n"/>
      <c r="Z39" s="26" t="n"/>
      <c r="AA39" s="28" t="n"/>
      <c r="AB39" s="28" t="n"/>
      <c r="AC39" s="30" t="n">
        <v>0.885</v>
      </c>
      <c r="AD39" s="24" t="inlineStr">
        <is>
          <t>2026-09-29T22:04:17.403002Z</t>
        </is>
      </c>
      <c r="AE39" s="31" t="inlineStr">
        <is>
          <t>Neutral Elo baseline; executable ask 0.5300 (market_slug=aec-r6-ge-flcs-2026-09-29).</t>
        </is>
      </c>
      <c r="AF39" s="31" t="inlineStr">
        <is>
          <t>Config-promoted esports baseline; gates enforced at log time.</t>
        </is>
      </c>
      <c r="AG39" s="24" t="inlineStr">
        <is>
          <t>not_applicable</t>
        </is>
      </c>
      <c r="AH39" s="24" t="n"/>
      <c r="AI39" s="31" t="n"/>
      <c r="AJ39" s="31" t="n"/>
      <c r="AK39" s="24" t="inlineStr">
        <is>
          <t>paper_call</t>
        </is>
      </c>
      <c r="AL39" s="26" t="n">
        <v>4</v>
      </c>
      <c r="AM39" s="24" t="inlineStr">
        <is>
          <t>RESEARCH_OBSERVATION</t>
        </is>
      </c>
      <c r="AN39" s="24" t="inlineStr">
        <is>
          <t>CALL</t>
        </is>
      </c>
      <c r="AO39" s="24" t="inlineStr">
        <is>
          <t>PAPER_CALL_LOW_EDGE</t>
        </is>
      </c>
      <c r="AP39" s="24" t="inlineStr">
        <is>
          <t>Falcons Esport</t>
        </is>
      </c>
      <c r="AQ39" s="24" t="inlineStr">
        <is>
          <t>Falcons Esport</t>
        </is>
      </c>
      <c r="AR39" s="24" t="inlineStr">
        <is>
          <t>Falcons Esport</t>
        </is>
      </c>
      <c r="AS39" s="24" t="inlineStr">
        <is>
          <t>Geekay Esports</t>
        </is>
      </c>
      <c r="AT39" s="24" t="inlineStr">
        <is>
          <t>Geekay Esports</t>
        </is>
      </c>
      <c r="AU39" s="24" t="inlineStr">
        <is>
          <t>Geekay Esports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research</t>
        </is>
      </c>
      <c r="BA39" s="24" t="inlineStr">
        <is>
          <t>aeaae0db14f717a796d439d0405adeb91c30b5a80093617f0cab98d27f69ac24</t>
        </is>
      </c>
      <c r="BB39" s="24" t="inlineStr">
        <is>
          <t>neutral_elo</t>
        </is>
      </c>
      <c r="BC39" s="24" t="inlineStr">
        <is>
          <t>rainbow_six-tiered-elo-v6</t>
        </is>
      </c>
      <c r="BD39" s="24" t="inlineStr">
        <is>
          <t>aeaae0db14f717a796d439d0405adeb91c30b5a80093617f0cab98d27f69ac24</t>
        </is>
      </c>
      <c r="BE39" s="24" t="inlineStr">
        <is>
          <t>1</t>
        </is>
      </c>
      <c r="BF39" s="24" t="inlineStr">
        <is>
          <t>1</t>
        </is>
      </c>
      <c r="BG39" s="24" t="inlineStr">
        <is>
          <t>rainbow_six-tiered-elo-v6</t>
        </is>
      </c>
      <c r="BH39" s="24" t="inlineStr">
        <is>
          <t>2026-09-29T10:09:22.905149Z</t>
        </is>
      </c>
      <c r="BI39" s="24" t="inlineStr">
        <is>
          <t>["same_event","same_team_same_day","same_league_same_day"]</t>
        </is>
      </c>
      <c r="BJ39" s="25" t="n"/>
      <c r="BK39" s="26" t="n">
        <v>-113</v>
      </c>
      <c r="BL39" s="27" t="n">
        <v>1.884956</v>
      </c>
      <c r="BM39" s="28" t="n">
        <v>0.530516</v>
      </c>
      <c r="BN39" s="28" t="n"/>
      <c r="BO39" s="28" t="n"/>
      <c r="BP39" s="25" t="n"/>
      <c r="BQ39" s="27" t="n"/>
      <c r="BR39" s="28" t="n"/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inlineStr">
        <is>
          <t>False</t>
        </is>
      </c>
      <c r="CT39" s="24" t="n"/>
      <c r="CU39" s="24" t="n"/>
      <c r="CV39" s="24" t="n"/>
      <c r="CW39" s="24" t="n"/>
      <c r="CX39" s="24" t="n"/>
      <c r="CY39" s="24" t="n"/>
      <c r="CZ39" s="24" t="n"/>
      <c r="DA39" s="24" t="n"/>
      <c r="DB39" s="24" t="n"/>
      <c r="DC39" s="24" t="n"/>
      <c r="DD39" s="24" t="n"/>
      <c r="DE39" s="24" t="n"/>
      <c r="DF39" s="24" t="n"/>
      <c r="DG39" s="24" t="n"/>
      <c r="DH39" s="24" t="n"/>
      <c r="DI39" s="24" t="n"/>
      <c r="DJ39" s="24" t="inlineStr">
        <is>
          <t>0.530516</t>
        </is>
      </c>
      <c r="DK39" s="24" t="n"/>
      <c r="DL39" s="24" t="n"/>
      <c r="DM39" s="24" t="n"/>
      <c r="DN39" s="24" t="n"/>
      <c r="DO39" s="24" t="n"/>
      <c r="DP39" s="24" t="n"/>
      <c r="DQ39" s="24" t="inlineStr">
        <is>
          <t>{"artifact_hash": "aeaae0db14f717a796d439d0405adeb91c30b5a80093617f0cab98d27f69ac24", "away_team": "Falcons Esport", "event_id": "128339", "event_start_utc": "2026-09-29T16:00:00Z", "features": {"away_elo": 1745.328577, "away_history_count": 125, "home_elo": 1690.823451, "home_history_count": 58}, "historical_source_observation_times_verified": false, "home_team": "Geekay Esports", "inference_inputs": {"book_state": {"games_played": {"bo3:7:19340": 58, "bo3:7:19439": 125}, "inactivity_half_life_days": null, "inactivity_max_pull": null, "k": 32.0, "last_match_utc": {"bo3:7:19340": "2026-09-28T19:50:00Z", "bo3:7:19439": "2026-09-28T17:30:00Z"}, "minimum_reliable_games": null, "platt_intercept": 0.145220399719945, "platt_slope": 0.768227253148967, "ratings": {"bo3:7:19340": 1690.823451, "bo3:7:19439": 1745.328577},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"2026-09-29T10:09:22.816740+00:00", "team_ids": ["bo3:7:19340", "bo3:7:19439"]}, "market_type": "moneyline", "model_version": "rainbow_six-tiered-elo-v6", "observed_at_utc": "2026-09-29T10:09:22.816740+00:00", "probabilities": {"away": 0.519805, "home": 0.480195}, "replay_scope": "Exact serving book state, calibration, temperature, inactivity reference and thin-history adjustments; training provenance not certified.", "schema": "esports-elo-replay-v1", "snapshot_hash": "8ae90cfcb8c49ef73a380230dd4fbdbd98c3e6f8ae9b2694331454253f93ad86", "sport": "RAINBOW_SIX"}</t>
        </is>
      </c>
    </row>
    <row r="40" ht="36" customHeight="1">
      <c r="A40" s="24" t="inlineStr">
        <is>
          <t>2cee25860c4d4d56</t>
        </is>
      </c>
      <c r="B40" s="24" t="inlineStr">
        <is>
          <t>2026-09-30T18:02:03.073157Z</t>
        </is>
      </c>
      <c r="C40" s="24" t="inlineStr">
        <is>
          <t>2026-09-30T18:15:00Z</t>
        </is>
      </c>
      <c r="D40" s="24" t="inlineStr">
        <is>
          <t>130313</t>
        </is>
      </c>
      <c r="E40" s="24" t="inlineStr">
        <is>
          <t>RAINBOW_SIX</t>
        </is>
      </c>
      <c r="F40" s="24" t="inlineStr">
        <is>
          <t>Geekay Esports</t>
        </is>
      </c>
      <c r="G40" s="24" t="inlineStr">
        <is>
          <t>G2 Esports</t>
        </is>
      </c>
      <c r="H40" s="24" t="inlineStr">
        <is>
          <t>moneyline</t>
        </is>
      </c>
      <c r="I40" s="24" t="inlineStr">
        <is>
          <t>home</t>
        </is>
      </c>
      <c r="J40" s="25" t="n"/>
      <c r="K40" s="24" t="inlineStr">
        <is>
          <t>polymarket_us</t>
        </is>
      </c>
      <c r="L40" s="26" t="n">
        <v>-186</v>
      </c>
      <c r="M40" s="27" t="n">
        <v>1.537634</v>
      </c>
      <c r="N40" s="28" t="n">
        <v>0.65035</v>
      </c>
      <c r="O40" s="28" t="n">
        <v>0.6418700000000001</v>
      </c>
      <c r="P40" s="28" t="n"/>
      <c r="Q40" s="28" t="n">
        <v>-0.00848</v>
      </c>
      <c r="R40" s="26" t="n">
        <v>16</v>
      </c>
      <c r="S40" s="29" t="n">
        <v>1</v>
      </c>
      <c r="T40" s="24" t="inlineStr">
        <is>
          <t>rainbow_six-tiered-elo-v6</t>
        </is>
      </c>
      <c r="U40" s="24" t="inlineStr">
        <is>
          <t>settled</t>
        </is>
      </c>
      <c r="V40" s="24" t="inlineStr">
        <is>
          <t>win</t>
        </is>
      </c>
      <c r="W40" s="26" t="n">
        <v>0</v>
      </c>
      <c r="X40" s="26" t="n">
        <v>1</v>
      </c>
      <c r="Y40" s="25" t="n"/>
      <c r="Z40" s="26" t="n">
        <v>-163</v>
      </c>
      <c r="AA40" s="28" t="n">
        <v>0.62</v>
      </c>
      <c r="AB40" s="28" t="n">
        <v>-0.03035</v>
      </c>
      <c r="AC40" s="30" t="n">
        <v>0.5376</v>
      </c>
      <c r="AD40" s="24" t="inlineStr">
        <is>
          <t>2026-09-30T22:02:13.405948Z</t>
        </is>
      </c>
      <c r="AE40" s="31" t="inlineStr">
        <is>
          <t>Neutral Elo baseline; executable ask 0.6500 (market_slug=aec-r6-g2-ge-2026-09-30).</t>
        </is>
      </c>
      <c r="AF40" s="31" t="inlineStr">
        <is>
          <t>Config-promoted esports baseline; gates enforced at log time.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paper_call</t>
        </is>
      </c>
      <c r="AL40" s="26" t="n">
        <v>4</v>
      </c>
      <c r="AM40" s="24" t="inlineStr">
        <is>
          <t>RESEARCH_OBSERVATION</t>
        </is>
      </c>
      <c r="AN40" s="24" t="inlineStr">
        <is>
          <t>CALL</t>
        </is>
      </c>
      <c r="AO40" s="24" t="inlineStr">
        <is>
          <t>PAPER_CALL_LOW_EDGE</t>
        </is>
      </c>
      <c r="AP40" s="24" t="inlineStr">
        <is>
          <t>Geekay Esports</t>
        </is>
      </c>
      <c r="AQ40" s="24" t="inlineStr">
        <is>
          <t>Geekay Esports</t>
        </is>
      </c>
      <c r="AR40" s="24" t="inlineStr">
        <is>
          <t>Geekay Esports</t>
        </is>
      </c>
      <c r="AS40" s="24" t="inlineStr">
        <is>
          <t>G2 Esports</t>
        </is>
      </c>
      <c r="AT40" s="24" t="inlineStr">
        <is>
          <t>G2 Esports</t>
        </is>
      </c>
      <c r="AU40" s="24" t="inlineStr">
        <is>
          <t>G2 Esports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research</t>
        </is>
      </c>
      <c r="BA40" s="24" t="inlineStr">
        <is>
          <t>950e5f4b4f35e287dfb1a16c2f56f40be9ed9d5fc5ef9771aced6ee40f084881</t>
        </is>
      </c>
      <c r="BB40" s="24" t="inlineStr">
        <is>
          <t>neutral_elo</t>
        </is>
      </c>
      <c r="BC40" s="24" t="inlineStr">
        <is>
          <t>rainbow_six-tiered-elo-v6</t>
        </is>
      </c>
      <c r="BD40" s="24" t="inlineStr">
        <is>
          <t>950e5f4b4f35e287dfb1a16c2f56f40be9ed9d5fc5ef9771aced6ee40f084881</t>
        </is>
      </c>
      <c r="BE40" s="24" t="inlineStr">
        <is>
          <t>1</t>
        </is>
      </c>
      <c r="BF40" s="24" t="inlineStr">
        <is>
          <t>1</t>
        </is>
      </c>
      <c r="BG40" s="24" t="inlineStr">
        <is>
          <t>rainbow_six-tiered-elo-v6</t>
        </is>
      </c>
      <c r="BH40" s="24" t="inlineStr">
        <is>
          <t>2026-09-30T17:59:00.811889Z</t>
        </is>
      </c>
      <c r="BI40" s="24" t="inlineStr">
        <is>
          <t>["same_event","same_team_same_day","same_league_same_day"]</t>
        </is>
      </c>
      <c r="BJ40" s="25" t="n"/>
      <c r="BK40" s="26" t="n">
        <v>-186</v>
      </c>
      <c r="BL40" s="27" t="n">
        <v>1.537634</v>
      </c>
      <c r="BM40" s="28" t="n">
        <v>0.65035</v>
      </c>
      <c r="BN40" s="28" t="n"/>
      <c r="BO40" s="28" t="n"/>
      <c r="BP40" s="25" t="n"/>
      <c r="BQ40" s="27" t="n">
        <v>1.613497</v>
      </c>
      <c r="BR40" s="28" t="n">
        <v>0.62</v>
      </c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inlineStr">
        <is>
          <t>False</t>
        </is>
      </c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/>
      <c r="DH40" s="24" t="n"/>
      <c r="DI40" s="24" t="n"/>
      <c r="DJ40" s="24" t="inlineStr">
        <is>
          <t>0.65035</t>
        </is>
      </c>
      <c r="DK40" s="24" t="n"/>
      <c r="DL40" s="24" t="n"/>
      <c r="DM40" s="24" t="n"/>
      <c r="DN40" s="24" t="n"/>
      <c r="DO40" s="24" t="n"/>
      <c r="DP40" s="24" t="n"/>
      <c r="DQ40" s="24" t="inlineStr">
        <is>
          <t>{"artifact_hash": "950e5f4b4f35e287dfb1a16c2f56f40be9ed9d5fc5ef9771aced6ee40f084881", "away_team": "Geekay Esports", "event_id": "130313", "event_start_utc": "2026-09-30T18:15:00Z", "features": {"away_elo": 1637.773942, "away_history_count": 59, "home_elo": 1748.010103, "home_history_count": 147}, "historical_source_observation_times_verified": false, "home_team": "G2 Esports", "inference_inputs": {"book_state": {"games_played": {"bo3:7:19340": 59, "bo3:7:19715": 147}, "inactivity_half_life_days": null, "inactivity_max_pull": null, "k": 24.0, "last_match_utc": {"bo3:7:19340": "2026-09-29T16:00:00Z", "bo3:7:19715": "2026-09-29T18:20:00Z"}, "minimum_reliable_games": null, "platt_intercept": 0.13823322400635127, "platt_slope": 0.8741108414427137, "ratings": {"bo3:7:19340": 1637.773942, "bo3:7:19715": 1748.010103},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"2026-09-30T17:59:00.439309+00:00", "team_ids": ["bo3:7:19715", "bo3:7:19340"]}, "market_type": "moneyline", "model_version": "rainbow_six-tiered-elo-v6", "observed_at_utc": "2026-09-30T17:59:00.439309+00:00", "probabilities": {"away": 0.35813, "home": 0.64187}, "replay_scope": "Exact serving book state, calibration, temperature, inactivity reference and thin-history adjustments; training provenance not certified.", "schema": "esports-elo-replay-v1", "snapshot_hash": "41e07fc505eccc01b6a4475c92476d38253387c9190b4a756af8a0065e19d153", "sport": "RAINBOW_SIX"}</t>
        </is>
      </c>
    </row>
    <row r="41" ht="36" customHeight="1">
      <c r="A41" s="24" t="inlineStr">
        <is>
          <t>d6b5f7cf27eb4347</t>
        </is>
      </c>
      <c r="B41" s="24" t="inlineStr">
        <is>
          <t>2026-10-01T10:11:37.093874Z</t>
        </is>
      </c>
      <c r="C41" s="24" t="inlineStr">
        <is>
          <t>2026-10-01T12:00:00Z</t>
        </is>
      </c>
      <c r="D41" s="24" t="inlineStr">
        <is>
          <t>131422</t>
        </is>
      </c>
      <c r="E41" s="24" t="inlineStr">
        <is>
          <t>RAINBOW_SIX</t>
        </is>
      </c>
      <c r="F41" s="24" t="inlineStr">
        <is>
          <t>Dplus</t>
        </is>
      </c>
      <c r="G41" s="24" t="inlineStr">
        <is>
          <t>SCARZ</t>
        </is>
      </c>
      <c r="H41" s="24" t="inlineStr">
        <is>
          <t>moneyline</t>
        </is>
      </c>
      <c r="I41" s="24" t="inlineStr">
        <is>
          <t>away</t>
        </is>
      </c>
      <c r="J41" s="25" t="n"/>
      <c r="K41" s="24" t="inlineStr">
        <is>
          <t>polymarket_us</t>
        </is>
      </c>
      <c r="L41" s="26" t="n">
        <v>-203</v>
      </c>
      <c r="M41" s="27" t="n">
        <v>1.492611</v>
      </c>
      <c r="N41" s="28" t="n">
        <v>0.669967</v>
      </c>
      <c r="O41" s="28" t="n">
        <v>0.560797</v>
      </c>
      <c r="P41" s="28" t="n"/>
      <c r="Q41" s="28" t="n">
        <v>-0.10917</v>
      </c>
      <c r="R41" s="26" t="n">
        <v>0</v>
      </c>
      <c r="S41" s="29" t="n">
        <v>1</v>
      </c>
      <c r="T41" s="24" t="inlineStr">
        <is>
          <t>rainbow_six-tiered-elo-v6</t>
        </is>
      </c>
      <c r="U41" s="24" t="inlineStr">
        <is>
          <t>settled</t>
        </is>
      </c>
      <c r="V41" s="24" t="inlineStr">
        <is>
          <t>win</t>
        </is>
      </c>
      <c r="W41" s="26" t="n">
        <v>1</v>
      </c>
      <c r="X41" s="26" t="n">
        <v>0</v>
      </c>
      <c r="Y41" s="25" t="n"/>
      <c r="Z41" s="26" t="n"/>
      <c r="AA41" s="28" t="n"/>
      <c r="AB41" s="28" t="n"/>
      <c r="AC41" s="30" t="n">
        <v>0.4926</v>
      </c>
      <c r="AD41" s="24" t="inlineStr">
        <is>
          <t>2026-10-01T16:03:06.612182Z</t>
        </is>
      </c>
      <c r="AE41" s="31" t="inlineStr">
        <is>
          <t>Neutral Elo baseline; executable ask 0.6700 (market_slug=aec-r6-sz-dk-2026-10-01).</t>
        </is>
      </c>
      <c r="AF41" s="31" t="inlineStr">
        <is>
          <t>Config-promoted esports baseline; gates enforced at log time.</t>
        </is>
      </c>
      <c r="AG41" s="24" t="inlineStr">
        <is>
          <t>not_applicable</t>
        </is>
      </c>
      <c r="AH41" s="24" t="n"/>
      <c r="AI41" s="31" t="n"/>
      <c r="AJ41" s="31" t="n"/>
      <c r="AK41" s="24" t="inlineStr">
        <is>
          <t>paper_call</t>
        </is>
      </c>
      <c r="AL41" s="26" t="n">
        <v>4</v>
      </c>
      <c r="AM41" s="24" t="inlineStr">
        <is>
          <t>RESEARCH_OBSERVATION</t>
        </is>
      </c>
      <c r="AN41" s="24" t="inlineStr">
        <is>
          <t>CALL</t>
        </is>
      </c>
      <c r="AO41" s="24" t="inlineStr">
        <is>
          <t>PAPER_CALL_LOW_EDGE</t>
        </is>
      </c>
      <c r="AP41" s="24" t="inlineStr">
        <is>
          <t>Dplus</t>
        </is>
      </c>
      <c r="AQ41" s="24" t="inlineStr">
        <is>
          <t>Dplus</t>
        </is>
      </c>
      <c r="AR41" s="24" t="inlineStr">
        <is>
          <t>Dplus</t>
        </is>
      </c>
      <c r="AS41" s="24" t="inlineStr">
        <is>
          <t>SCARZ</t>
        </is>
      </c>
      <c r="AT41" s="24" t="inlineStr">
        <is>
          <t>SCARZ</t>
        </is>
      </c>
      <c r="AU41" s="24" t="inlineStr">
        <is>
          <t>SCARZ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research</t>
        </is>
      </c>
      <c r="BA41" s="24" t="inlineStr">
        <is>
          <t>93ce51a8a94dcf13fc035ab68e8d09ebcbcb5f182e518bd6392207b59bc8b4fe</t>
        </is>
      </c>
      <c r="BB41" s="24" t="inlineStr">
        <is>
          <t>neutral_elo</t>
        </is>
      </c>
      <c r="BC41" s="24" t="inlineStr">
        <is>
          <t>rainbow_six-tiered-elo-v6</t>
        </is>
      </c>
      <c r="BD41" s="24" t="inlineStr">
        <is>
          <t>93ce51a8a94dcf13fc035ab68e8d09ebcbcb5f182e518bd6392207b59bc8b4fe</t>
        </is>
      </c>
      <c r="BE41" s="24" t="inlineStr">
        <is>
          <t>1</t>
        </is>
      </c>
      <c r="BF41" s="24" t="inlineStr">
        <is>
          <t>1</t>
        </is>
      </c>
      <c r="BG41" s="24" t="inlineStr">
        <is>
          <t>rainbow_six-tiered-elo-v6</t>
        </is>
      </c>
      <c r="BH41" s="24" t="inlineStr">
        <is>
          <t>2026-10-01T10:10:51.126036Z</t>
        </is>
      </c>
      <c r="BI41" s="24" t="inlineStr">
        <is>
          <t>["same_event","same_team_same_day","same_league_same_day"]</t>
        </is>
      </c>
      <c r="BJ41" s="25" t="n"/>
      <c r="BK41" s="26" t="n">
        <v>-203</v>
      </c>
      <c r="BL41" s="27" t="n">
        <v>1.492611</v>
      </c>
      <c r="BM41" s="28" t="n">
        <v>0.669967</v>
      </c>
      <c r="BN41" s="28" t="n"/>
      <c r="BO41" s="28" t="n"/>
      <c r="BP41" s="25" t="n"/>
      <c r="BQ41" s="27" t="n"/>
      <c r="BR41" s="28" t="n"/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inlineStr">
        <is>
          <t>False</t>
        </is>
      </c>
      <c r="CT41" s="24" t="n"/>
      <c r="CU41" s="24" t="n"/>
      <c r="CV41" s="24" t="n"/>
      <c r="CW41" s="24" t="n"/>
      <c r="CX41" s="24" t="n"/>
      <c r="CY41" s="24" t="n"/>
      <c r="CZ41" s="24" t="n"/>
      <c r="DA41" s="24" t="n"/>
      <c r="DB41" s="24" t="n"/>
      <c r="DC41" s="24" t="n"/>
      <c r="DD41" s="24" t="n"/>
      <c r="DE41" s="24" t="n"/>
      <c r="DF41" s="24" t="n"/>
      <c r="DG41" s="24" t="n"/>
      <c r="DH41" s="24" t="n"/>
      <c r="DI41" s="24" t="n"/>
      <c r="DJ41" s="24" t="inlineStr">
        <is>
          <t>0.669967</t>
        </is>
      </c>
      <c r="DK41" s="24" t="n"/>
      <c r="DL41" s="24" t="n"/>
      <c r="DM41" s="24" t="n"/>
      <c r="DN41" s="24" t="n"/>
      <c r="DO41" s="24" t="n"/>
      <c r="DP41" s="24" t="n"/>
      <c r="DQ41" s="24" t="inlineStr">
        <is>
          <t>{"artifact_hash": "93ce51a8a94dcf13fc035ab68e8d09ebcbcb5f182e518bd6392207b59bc8b4fe", "away_team": "Dplus", "event_id": "131422", "event_start_utc": "2026-10-01T12:00:00Z", "features": {"away_elo": 1618.174966, "away_history_count": 89, "home_elo": 1527.671667, "home_history_count": 82}, "historical_source_observation_times_verified": false, "home_team": "SCARZ", "inference_inputs": {"book_state": {"games_played": {"bo3:7:19336": 89, "bo3:7:19684": 82}, "inactivity_half_life_days": null, "inactivity_max_pull": null, "k": 24.0, "last_match_utc": {"bo3:7:19336": "2026-09-26T11:35:00Z", "bo3:7:19684": "2026-09-26T11:35:00Z"}, "minimum_reliable_games": null, "platt_intercept": 0.14188548220227667, "platt_slope": 0.8638814400267979, "ratings": {"bo3:7:19336": 1618.174966, "bo3:7:19684": 1527.671667},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"2026-10-01T10:10:51.046054+00:00", "team_ids": ["bo3:7:19684", "bo3:7:19336"]}, "market_type": "moneyline", "model_version": "rainbow_six-tiered-elo-v6", "observed_at_utc": "2026-10-01T10:10:51.046054+00:00", "probabilities": {"away": 0.560797, "home": 0.439203}, "replay_scope": "Exact serving book state, calibration, temperature, inactivity reference and thin-history adjustments; training provenance not certified.", "schema": "esports-elo-replay-v1", "snapshot_hash": "5b110cfca864561daf567263965bc686c085ca0a8639c3ce4881e9f27003f3a9", "sport": "RAINBOW_SIX"}</t>
        </is>
      </c>
    </row>
    <row r="42" ht="36" customHeight="1">
      <c r="A42" s="24" t="inlineStr">
        <is>
          <t>92ea6649bbf84b86</t>
        </is>
      </c>
      <c r="B42" s="24" t="inlineStr">
        <is>
          <t>2026-10-01T16:09:10.754596Z</t>
        </is>
      </c>
      <c r="C42" s="24" t="inlineStr">
        <is>
          <t>2026-10-01T19:00:00Z</t>
        </is>
      </c>
      <c r="D42" s="24" t="inlineStr">
        <is>
          <t>132181</t>
        </is>
      </c>
      <c r="E42" s="24" t="inlineStr">
        <is>
          <t>RAINBOW_SIX</t>
        </is>
      </c>
      <c r="F42" s="24" t="inlineStr">
        <is>
          <t>Wildcard Gaming</t>
        </is>
      </c>
      <c r="G42" s="24" t="inlineStr">
        <is>
          <t>M80</t>
        </is>
      </c>
      <c r="H42" s="24" t="inlineStr">
        <is>
          <t>moneyline</t>
        </is>
      </c>
      <c r="I42" s="24" t="inlineStr">
        <is>
          <t>away</t>
        </is>
      </c>
      <c r="J42" s="25" t="n"/>
      <c r="K42" s="24" t="inlineStr">
        <is>
          <t>polymarket_us</t>
        </is>
      </c>
      <c r="L42" s="26" t="n">
        <v>-133</v>
      </c>
      <c r="M42" s="27" t="n">
        <v>1.75188</v>
      </c>
      <c r="N42" s="28" t="n">
        <v>0.570815</v>
      </c>
      <c r="O42" s="28" t="n">
        <v>0.566726</v>
      </c>
      <c r="P42" s="28" t="n"/>
      <c r="Q42" s="28" t="n">
        <v>-0.004089</v>
      </c>
      <c r="R42" s="26" t="n">
        <v>18</v>
      </c>
      <c r="S42" s="29" t="n">
        <v>1</v>
      </c>
      <c r="T42" s="24" t="inlineStr">
        <is>
          <t>rainbow_six-tiered-elo-v6</t>
        </is>
      </c>
      <c r="U42" s="24" t="inlineStr">
        <is>
          <t>settled</t>
        </is>
      </c>
      <c r="V42" s="24" t="inlineStr">
        <is>
          <t>loss</t>
        </is>
      </c>
      <c r="W42" s="26" t="n">
        <v>0</v>
      </c>
      <c r="X42" s="26" t="n">
        <v>1</v>
      </c>
      <c r="Y42" s="25" t="n"/>
      <c r="Z42" s="26" t="n">
        <v>-144</v>
      </c>
      <c r="AA42" s="28" t="n">
        <v>0.59</v>
      </c>
      <c r="AB42" s="28" t="n">
        <v>0.019185</v>
      </c>
      <c r="AC42" s="30" t="n">
        <v>-1</v>
      </c>
      <c r="AD42" s="24" t="inlineStr">
        <is>
          <t>2026-10-01T22:02:46.363408Z</t>
        </is>
      </c>
      <c r="AE42" s="31" t="inlineStr">
        <is>
          <t>Neutral Elo baseline; executable ask 0.5700 (market_slug=aec-r6-m80-wcg-2026-10-01).</t>
        </is>
      </c>
      <c r="AF42" s="31" t="inlineStr">
        <is>
          <t>Config-promoted esports baseline; gates enforced at log time.</t>
        </is>
      </c>
      <c r="AG42" s="24" t="inlineStr">
        <is>
          <t>review_required</t>
        </is>
      </c>
      <c r="AH42" s="24" t="n"/>
      <c r="AI42" s="31" t="n"/>
      <c r="AJ42" s="31" t="n"/>
      <c r="AK42" s="24" t="inlineStr">
        <is>
          <t>paper_call</t>
        </is>
      </c>
      <c r="AL42" s="26" t="n">
        <v>4</v>
      </c>
      <c r="AM42" s="24" t="inlineStr">
        <is>
          <t>RESEARCH_OBSERVATION</t>
        </is>
      </c>
      <c r="AN42" s="24" t="inlineStr">
        <is>
          <t>CALL</t>
        </is>
      </c>
      <c r="AO42" s="24" t="inlineStr">
        <is>
          <t>PAPER_CALL_LOW_EDGE</t>
        </is>
      </c>
      <c r="AP42" s="24" t="inlineStr">
        <is>
          <t>Wildcard Gaming</t>
        </is>
      </c>
      <c r="AQ42" s="24" t="inlineStr">
        <is>
          <t>Wildcard Gaming</t>
        </is>
      </c>
      <c r="AR42" s="24" t="inlineStr">
        <is>
          <t>Wildcard Gaming</t>
        </is>
      </c>
      <c r="AS42" s="24" t="inlineStr">
        <is>
          <t>M80</t>
        </is>
      </c>
      <c r="AT42" s="24" t="inlineStr">
        <is>
          <t>M80</t>
        </is>
      </c>
      <c r="AU42" s="24" t="inlineStr">
        <is>
          <t>M80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research</t>
        </is>
      </c>
      <c r="BA42" s="24" t="inlineStr">
        <is>
          <t>3655692b5355c980d5c274d139ecb1887df7962a4b968cc997d1adec882e4b70</t>
        </is>
      </c>
      <c r="BB42" s="24" t="inlineStr">
        <is>
          <t>neutral_elo</t>
        </is>
      </c>
      <c r="BC42" s="24" t="inlineStr">
        <is>
          <t>rainbow_six-tiered-elo-v6</t>
        </is>
      </c>
      <c r="BD42" s="24" t="inlineStr">
        <is>
          <t>3655692b5355c980d5c274d139ecb1887df7962a4b968cc997d1adec882e4b70</t>
        </is>
      </c>
      <c r="BE42" s="24" t="inlineStr">
        <is>
          <t>1</t>
        </is>
      </c>
      <c r="BF42" s="24" t="inlineStr">
        <is>
          <t>1</t>
        </is>
      </c>
      <c r="BG42" s="24" t="inlineStr">
        <is>
          <t>rainbow_six-tiered-elo-v6</t>
        </is>
      </c>
      <c r="BH42" s="24" t="inlineStr">
        <is>
          <t>2026-10-01T16:08:34.882249Z</t>
        </is>
      </c>
      <c r="BI42" s="24" t="inlineStr">
        <is>
          <t>["same_event","same_team_same_day","same_league_same_day"]</t>
        </is>
      </c>
      <c r="BJ42" s="25" t="n"/>
      <c r="BK42" s="26" t="n">
        <v>-133</v>
      </c>
      <c r="BL42" s="27" t="n">
        <v>1.75188</v>
      </c>
      <c r="BM42" s="28" t="n">
        <v>0.570815</v>
      </c>
      <c r="BN42" s="28" t="n"/>
      <c r="BO42" s="28" t="n"/>
      <c r="BP42" s="25" t="n"/>
      <c r="BQ42" s="27" t="n">
        <v>1.694444</v>
      </c>
      <c r="BR42" s="28" t="n">
        <v>0.59</v>
      </c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inlineStr">
        <is>
          <t>False</t>
        </is>
      </c>
      <c r="CT42" s="24" t="n"/>
      <c r="CU42" s="24" t="n"/>
      <c r="CV42" s="24" t="n"/>
      <c r="CW42" s="24" t="n"/>
      <c r="CX42" s="24" t="n"/>
      <c r="CY42" s="24" t="n"/>
      <c r="CZ42" s="24" t="n"/>
      <c r="DA42" s="24" t="n"/>
      <c r="DB42" s="24" t="n"/>
      <c r="DC42" s="24" t="n"/>
      <c r="DD42" s="24" t="n"/>
      <c r="DE42" s="24" t="n"/>
      <c r="DF42" s="24" t="n"/>
      <c r="DG42" s="24" t="n"/>
      <c r="DH42" s="24" t="n"/>
      <c r="DI42" s="24" t="n"/>
      <c r="DJ42" s="24" t="inlineStr">
        <is>
          <t>0.570815</t>
        </is>
      </c>
      <c r="DK42" s="24" t="n"/>
      <c r="DL42" s="24" t="n"/>
      <c r="DM42" s="24" t="n"/>
      <c r="DN42" s="24" t="n"/>
      <c r="DO42" s="24" t="n"/>
      <c r="DP42" s="24" t="n"/>
      <c r="DQ42" s="24" t="inlineStr">
        <is>
          <t>{"artifact_hash": "3655692b5355c980d5c274d139ecb1887df7962a4b968cc997d1adec882e4b70", "away_team": "Wildcard Gaming", "event_id": "132181", "event_start_utc": "2026-10-01T19:00:00Z", "features": {"away_elo": 1698.189698, "away_history_count": 116, "home_elo": 1601.354032, "home_history_count": 118}, "historical_source_observation_times_verified": false, "home_team": "M80", "inference_inputs": {"book_state": {"games_played": {"bo3:7:19363": 118, "bo3:7:19717": 116}, "inactivity_half_life_days": null, "inactivity_max_pull": null, "k": 24.0, "last_match_utc": {"bo3:7:19363": "2026-09-25T21:20:00Z", "bo3:7:19717": "2026-09-25T18:00:00Z"}, "minimum_reliable_games": null, "platt_intercept": 0.13902507968439398, "platt_slope": 0.8640507011039302, "ratings": {"bo3:7:19363": 1601.354032, "bo3:7:19717": 1698.189698},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"2026-10-01T16:08:34.741362+00:00", "team_ids": ["bo3:7:19363", "bo3:7:19717"]}, "market_type": "moneyline", "model_version": "rainbow_six-tiered-elo-v6", "observed_at_utc": "2026-10-01T16:08:34.741362+00:00", "probabilities": {"away": 0.566726, "home": 0.433274}, "replay_scope": "Exact serving book state, calibration, temperature, inactivity reference and thin-history adjustments; training provenance not certified.", "schema": "esports-elo-replay-v1", "snapshot_hash": "94eba11ff57b96d5411ea8ecb6e3800cf75fad7b8176fa453d5f809bb79e7208", "sport": "RAINBOW_SIX"}</t>
        </is>
      </c>
    </row>
    <row r="43" ht="36" customHeight="1">
      <c r="A43" s="24" t="inlineStr">
        <is>
          <t>751e4e627a3a4365</t>
        </is>
      </c>
      <c r="B43" s="24" t="inlineStr">
        <is>
          <t>2026-10-02T04:40:57.271778Z</t>
        </is>
      </c>
      <c r="C43" s="24" t="inlineStr">
        <is>
          <t>2026-10-02T09:00:00Z</t>
        </is>
      </c>
      <c r="D43" s="24" t="inlineStr">
        <is>
          <t>132980</t>
        </is>
      </c>
      <c r="E43" s="24" t="inlineStr">
        <is>
          <t>RAINBOW_SIX</t>
        </is>
      </c>
      <c r="F43" s="24" t="inlineStr">
        <is>
          <t>One Coin</t>
        </is>
      </c>
      <c r="G43" s="24" t="inlineStr">
        <is>
          <t>Four Angry Men</t>
        </is>
      </c>
      <c r="H43" s="24" t="inlineStr">
        <is>
          <t>moneyline</t>
        </is>
      </c>
      <c r="I43" s="24" t="inlineStr">
        <is>
          <t>home</t>
        </is>
      </c>
      <c r="J43" s="25" t="n"/>
      <c r="K43" s="24" t="inlineStr">
        <is>
          <t>polymarket_us</t>
        </is>
      </c>
      <c r="L43" s="26" t="n">
        <v>117</v>
      </c>
      <c r="M43" s="27" t="n">
        <v>2.17</v>
      </c>
      <c r="N43" s="28" t="n">
        <v>0.460829</v>
      </c>
      <c r="O43" s="28" t="n">
        <v>0.500084</v>
      </c>
      <c r="P43" s="28" t="n"/>
      <c r="Q43" s="28" t="n">
        <v>0.039255</v>
      </c>
      <c r="R43" s="26" t="n">
        <v>40</v>
      </c>
      <c r="S43" s="29" t="n">
        <v>1</v>
      </c>
      <c r="T43" s="24" t="inlineStr">
        <is>
          <t>rainbow_six-tiered-elo-v6</t>
        </is>
      </c>
      <c r="U43" s="24" t="inlineStr">
        <is>
          <t>settled</t>
        </is>
      </c>
      <c r="V43" s="24" t="inlineStr">
        <is>
          <t>win</t>
        </is>
      </c>
      <c r="W43" s="26" t="n">
        <v>0</v>
      </c>
      <c r="X43" s="26" t="n">
        <v>1</v>
      </c>
      <c r="Y43" s="25" t="n"/>
      <c r="Z43" s="26" t="n">
        <v>113</v>
      </c>
      <c r="AA43" s="28" t="n">
        <v>0.47</v>
      </c>
      <c r="AB43" s="28" t="n">
        <v>0.009171</v>
      </c>
      <c r="AC43" s="30" t="n">
        <v>1.17</v>
      </c>
      <c r="AD43" s="24" t="inlineStr">
        <is>
          <t>2026-10-02T16:03:45.818918Z</t>
        </is>
      </c>
      <c r="AE43" s="31" t="inlineStr">
        <is>
          <t>Neutral Elo baseline; executable ask 0.4600 (market_slug=aec-r6-4am-oc-2026-10-02).</t>
        </is>
      </c>
      <c r="AF43" s="31" t="inlineStr">
        <is>
          <t>Config-promoted esports baseline; gates enforced at log time.</t>
        </is>
      </c>
      <c r="AG43" s="24" t="inlineStr">
        <is>
          <t>not_applicable</t>
        </is>
      </c>
      <c r="AH43" s="24" t="n"/>
      <c r="AI43" s="31" t="n"/>
      <c r="AJ43" s="31" t="n"/>
      <c r="AK43" s="24" t="inlineStr">
        <is>
          <t>paper_call</t>
        </is>
      </c>
      <c r="AL43" s="26" t="n">
        <v>4</v>
      </c>
      <c r="AM43" s="24" t="inlineStr">
        <is>
          <t>RESEARCH_OBSERVATION</t>
        </is>
      </c>
      <c r="AN43" s="24" t="inlineStr">
        <is>
          <t>CALL</t>
        </is>
      </c>
      <c r="AO43" s="24" t="inlineStr">
        <is>
          <t>PAPER_CALL_LOW_EDGE</t>
        </is>
      </c>
      <c r="AP43" s="24" t="inlineStr">
        <is>
          <t>One Coin</t>
        </is>
      </c>
      <c r="AQ43" s="24" t="inlineStr">
        <is>
          <t>One Coin</t>
        </is>
      </c>
      <c r="AR43" s="24" t="inlineStr">
        <is>
          <t>One Coin</t>
        </is>
      </c>
      <c r="AS43" s="24" t="inlineStr">
        <is>
          <t>Four Angry Men</t>
        </is>
      </c>
      <c r="AT43" s="24" t="inlineStr">
        <is>
          <t>Four Angry Men</t>
        </is>
      </c>
      <c r="AU43" s="24" t="inlineStr">
        <is>
          <t>Four Angry Men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research</t>
        </is>
      </c>
      <c r="BA43" s="24" t="inlineStr">
        <is>
          <t>f71d27d4853c747cda3f541e9c137b5edfede545e88c5895ee106dcc426774bf</t>
        </is>
      </c>
      <c r="BB43" s="24" t="inlineStr">
        <is>
          <t>neutral_elo</t>
        </is>
      </c>
      <c r="BC43" s="24" t="inlineStr">
        <is>
          <t>rainbow_six-tiered-elo-v6</t>
        </is>
      </c>
      <c r="BD43" s="24" t="inlineStr">
        <is>
          <t>f71d27d4853c747cda3f541e9c137b5edfede545e88c5895ee106dcc426774bf</t>
        </is>
      </c>
      <c r="BE43" s="24" t="inlineStr">
        <is>
          <t>1</t>
        </is>
      </c>
      <c r="BF43" s="24" t="inlineStr">
        <is>
          <t>1</t>
        </is>
      </c>
      <c r="BG43" s="24" t="inlineStr">
        <is>
          <t>rainbow_six-tiered-elo-v6</t>
        </is>
      </c>
      <c r="BH43" s="24" t="inlineStr">
        <is>
          <t>2026-10-02T04:40:29.236281Z</t>
        </is>
      </c>
      <c r="BI43" s="24" t="inlineStr">
        <is>
          <t>["same_event","same_team_same_day","same_league_same_day"]</t>
        </is>
      </c>
      <c r="BJ43" s="25" t="n"/>
      <c r="BK43" s="26" t="n">
        <v>117</v>
      </c>
      <c r="BL43" s="27" t="n">
        <v>2.17</v>
      </c>
      <c r="BM43" s="28" t="n">
        <v>0.460829</v>
      </c>
      <c r="BN43" s="28" t="n"/>
      <c r="BO43" s="28" t="n"/>
      <c r="BP43" s="25" t="n"/>
      <c r="BQ43" s="27" t="n">
        <v>2.13</v>
      </c>
      <c r="BR43" s="28" t="n">
        <v>0.47</v>
      </c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inlineStr">
        <is>
          <t>True</t>
        </is>
      </c>
      <c r="CT43" s="24" t="n"/>
      <c r="CU43" s="24" t="n"/>
      <c r="CV43" s="24" t="n"/>
      <c r="CW43" s="24" t="n"/>
      <c r="CX43" s="24" t="n"/>
      <c r="CY43" s="24" t="n"/>
      <c r="CZ43" s="24" t="n"/>
      <c r="DA43" s="24" t="n"/>
      <c r="DB43" s="24" t="n"/>
      <c r="DC43" s="24" t="n"/>
      <c r="DD43" s="24" t="n"/>
      <c r="DE43" s="24" t="n"/>
      <c r="DF43" s="24" t="n"/>
      <c r="DG43" s="24" t="n"/>
      <c r="DH43" s="24" t="n"/>
      <c r="DI43" s="24" t="n"/>
      <c r="DJ43" s="24" t="inlineStr">
        <is>
          <t>0.460829</t>
        </is>
      </c>
      <c r="DK43" s="24" t="n"/>
      <c r="DL43" s="24" t="n"/>
      <c r="DM43" s="24" t="n"/>
      <c r="DN43" s="24" t="n"/>
      <c r="DO43" s="24" t="n"/>
      <c r="DP43" s="24" t="n"/>
      <c r="DQ43" s="24" t="inlineStr">
        <is>
          <t>{"artifact_hash": "f71d27d4853c747cda3f541e9c137b5edfede545e88c5895ee106dcc426774bf", "away_team": "One Coin", "event_id": "132980", "event_start_utc": "2026-10-02T09:00:00Z", "features": {"away_elo": 1475.383355, "away_history_count": 26, "home_elo": 1444.819244, "home_history_count": 39}, "historical_source_observation_times_verified": false, "home_team": "Four Angry Men", "inference_inputs": {"book_state": {"games_played": {"bo3:7:22022": 39, "bo3:7:23213": 26}, "inactivity_half_life_days": null, "inactivity_max_pull": null, "k": 24.0, "last_match_utc": {"bo3:7:22022": "2026-09-26T05:30:00Z", "bo3:7:23213": "2026-09-25T12:10:00Z"}, "minimum_reliable_games": null, "platt_intercept": 0.14312880885788098, "platt_slope": 0.8519638311648648, "ratings": {"bo3:7:22022": 1444.819244, "bo3:7:23213": 1475.383355},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"2026-10-02T04:40:29.134767+00:00", "team_ids": ["bo3:7:22022", "bo3:7:23213"]}, "market_type": "moneyline", "model_version": "rainbow_six-tiered-elo-v6", "observed_at_utc": "2026-10-02T04:40:29.134767+00:00", "probabilities": {"away": 0.499916, "home": 0.500084}, "replay_scope": "Exact serving book state, calibration, temperature, inactivity reference and thin-history adjustments; training provenance not certified.", "schema": "esports-elo-replay-v1", "snapshot_hash": "3da7b8d12e6fc42b93747da326da46499fa6923aa34ec2235c99c4f4836885c8", "sport": "RAINBOW_SIX"}</t>
        </is>
      </c>
    </row>
    <row r="44" ht="36" customHeight="1">
      <c r="A44" s="24" t="inlineStr">
        <is>
          <t>1d3c70fac71947b2</t>
        </is>
      </c>
      <c r="B44" s="24" t="inlineStr">
        <is>
          <t>2026-10-02T16:09:44.498402Z</t>
        </is>
      </c>
      <c r="C44" s="24" t="inlineStr">
        <is>
          <t>2026-10-02T21:00:00Z</t>
        </is>
      </c>
      <c r="D44" s="24" t="inlineStr">
        <is>
          <t>133874</t>
        </is>
      </c>
      <c r="E44" s="24" t="inlineStr">
        <is>
          <t>RAINBOW_SIX</t>
        </is>
      </c>
      <c r="F44" s="24" t="inlineStr">
        <is>
          <t>100 Thieves</t>
        </is>
      </c>
      <c r="G44" s="24" t="inlineStr">
        <is>
          <t>M80</t>
        </is>
      </c>
      <c r="H44" s="24" t="inlineStr">
        <is>
          <t>moneyline</t>
        </is>
      </c>
      <c r="I44" s="24" t="inlineStr">
        <is>
          <t>home</t>
        </is>
      </c>
      <c r="J44" s="25" t="n"/>
      <c r="K44" s="24" t="inlineStr">
        <is>
          <t>polymarket_us</t>
        </is>
      </c>
      <c r="L44" s="26" t="n">
        <v>-163</v>
      </c>
      <c r="M44" s="27" t="n">
        <v>1.613497</v>
      </c>
      <c r="N44" s="28" t="n">
        <v>0.619772</v>
      </c>
      <c r="O44" s="28" t="n">
        <v>0.532017</v>
      </c>
      <c r="P44" s="28" t="n"/>
      <c r="Q44" s="28" t="n">
        <v>-0.087755</v>
      </c>
      <c r="R44" s="26" t="n">
        <v>0</v>
      </c>
      <c r="S44" s="29" t="n">
        <v>1</v>
      </c>
      <c r="T44" s="24" t="inlineStr">
        <is>
          <t>rainbow_six-tiered-elo-v6</t>
        </is>
      </c>
      <c r="U44" s="24" t="inlineStr">
        <is>
          <t>settled</t>
        </is>
      </c>
      <c r="V44" s="24" t="inlineStr">
        <is>
          <t>win</t>
        </is>
      </c>
      <c r="W44" s="26" t="n">
        <v>0</v>
      </c>
      <c r="X44" s="26" t="n">
        <v>1</v>
      </c>
      <c r="Y44" s="25" t="n"/>
      <c r="Z44" s="26" t="n">
        <v>-178</v>
      </c>
      <c r="AA44" s="28" t="n">
        <v>0.64</v>
      </c>
      <c r="AB44" s="28" t="n">
        <v>0.020228</v>
      </c>
      <c r="AC44" s="30" t="n">
        <v>0.6135</v>
      </c>
      <c r="AD44" s="24" t="inlineStr">
        <is>
          <t>2026-10-02T22:03:08.620406Z</t>
        </is>
      </c>
      <c r="AE44" s="31" t="inlineStr">
        <is>
          <t>Neutral Elo baseline; executable ask 0.6200 (market_slug=aec-r6-m80-100t-2026-10-02).</t>
        </is>
      </c>
      <c r="AF44" s="31" t="inlineStr">
        <is>
          <t>Config-promoted esports baseline; gates enforced at log time.</t>
        </is>
      </c>
      <c r="AG44" s="24" t="inlineStr">
        <is>
          <t>not_applicable</t>
        </is>
      </c>
      <c r="AH44" s="24" t="n"/>
      <c r="AI44" s="31" t="n"/>
      <c r="AJ44" s="31" t="n"/>
      <c r="AK44" s="24" t="inlineStr">
        <is>
          <t>paper_call</t>
        </is>
      </c>
      <c r="AL44" s="26" t="n">
        <v>4</v>
      </c>
      <c r="AM44" s="24" t="inlineStr">
        <is>
          <t>RESEARCH_OBSERVATION</t>
        </is>
      </c>
      <c r="AN44" s="24" t="inlineStr">
        <is>
          <t>CALL</t>
        </is>
      </c>
      <c r="AO44" s="24" t="inlineStr">
        <is>
          <t>PAPER_CALL_LOW_EDGE</t>
        </is>
      </c>
      <c r="AP44" s="24" t="inlineStr">
        <is>
          <t>100 Thieves</t>
        </is>
      </c>
      <c r="AQ44" s="24" t="inlineStr">
        <is>
          <t>100 Thieves</t>
        </is>
      </c>
      <c r="AR44" s="24" t="inlineStr">
        <is>
          <t>100 Thieves</t>
        </is>
      </c>
      <c r="AS44" s="24" t="inlineStr">
        <is>
          <t>M80</t>
        </is>
      </c>
      <c r="AT44" s="24" t="inlineStr">
        <is>
          <t>M80</t>
        </is>
      </c>
      <c r="AU44" s="24" t="inlineStr">
        <is>
          <t>M80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research</t>
        </is>
      </c>
      <c r="BA44" s="24" t="inlineStr">
        <is>
          <t>5a2f564384e7f3b5c5c3aa0b5a857e4d3bda4a5b128650c1ac1132f8f4c2b015</t>
        </is>
      </c>
      <c r="BB44" s="24" t="inlineStr">
        <is>
          <t>neutral_elo</t>
        </is>
      </c>
      <c r="BC44" s="24" t="inlineStr">
        <is>
          <t>rainbow_six-tiered-elo-v6</t>
        </is>
      </c>
      <c r="BD44" s="24" t="inlineStr">
        <is>
          <t>5a2f564384e7f3b5c5c3aa0b5a857e4d3bda4a5b128650c1ac1132f8f4c2b015</t>
        </is>
      </c>
      <c r="BE44" s="24" t="inlineStr">
        <is>
          <t>1</t>
        </is>
      </c>
      <c r="BF44" s="24" t="inlineStr">
        <is>
          <t>1</t>
        </is>
      </c>
      <c r="BG44" s="24" t="inlineStr">
        <is>
          <t>rainbow_six-tiered-elo-v6</t>
        </is>
      </c>
      <c r="BH44" s="24" t="inlineStr">
        <is>
          <t>2026-10-02T16:09:28.209146Z</t>
        </is>
      </c>
      <c r="BI44" s="24" t="inlineStr">
        <is>
          <t>["same_event","same_team_same_day","same_league_same_day"]</t>
        </is>
      </c>
      <c r="BJ44" s="25" t="n"/>
      <c r="BK44" s="26" t="n">
        <v>-163</v>
      </c>
      <c r="BL44" s="27" t="n">
        <v>1.613497</v>
      </c>
      <c r="BM44" s="28" t="n">
        <v>0.619772</v>
      </c>
      <c r="BN44" s="28" t="n"/>
      <c r="BO44" s="28" t="n"/>
      <c r="BP44" s="25" t="n"/>
      <c r="BQ44" s="27" t="n">
        <v>1.561798</v>
      </c>
      <c r="BR44" s="28" t="n">
        <v>0.64</v>
      </c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inlineStr">
        <is>
          <t>False</t>
        </is>
      </c>
      <c r="CT44" s="24" t="n"/>
      <c r="CU44" s="24" t="n"/>
      <c r="CV44" s="24" t="n"/>
      <c r="CW44" s="24" t="n"/>
      <c r="CX44" s="24" t="n"/>
      <c r="CY44" s="24" t="n"/>
      <c r="CZ44" s="24" t="n"/>
      <c r="DA44" s="24" t="n"/>
      <c r="DB44" s="24" t="n"/>
      <c r="DC44" s="24" t="n"/>
      <c r="DD44" s="24" t="n"/>
      <c r="DE44" s="24" t="n"/>
      <c r="DF44" s="24" t="n"/>
      <c r="DG44" s="24" t="n"/>
      <c r="DH44" s="24" t="n"/>
      <c r="DI44" s="24" t="n"/>
      <c r="DJ44" s="24" t="inlineStr">
        <is>
          <t>0.619772</t>
        </is>
      </c>
      <c r="DK44" s="24" t="n"/>
      <c r="DL44" s="24" t="n"/>
      <c r="DM44" s="24" t="n"/>
      <c r="DN44" s="24" t="n"/>
      <c r="DO44" s="24" t="n"/>
      <c r="DP44" s="24" t="n"/>
      <c r="DQ44" s="24" t="inlineStr">
        <is>
          <t>{"artifact_hash": "5a2f564384e7f3b5c5c3aa0b5a857e4d3bda4a5b128650c1ac1132f8f4c2b015", "away_team": "100 Thieves", "event_id": "133874", "event_start_utc": "2026-10-02T21:00:00Z", "features": {"away_elo": 1632.737609, "away_history_count": 23, "home_elo": 1633.415333, "home_history_count": 119}, "historical_source_observation_times_verified": false, "home_team": "M80", "inference_inputs": {"book_state": {"games_played": {"bo3:7:19363": 119, "bo3:7:23109": 23}, "inactivity_half_life_days": null, "inactivity_max_pull": null, "k": 32.0, "last_match_utc": {"bo3:7:19363": "2026-10-01T19:25:00Z", "bo3:7:23109": "2026-10-01T18:00:00Z"}, "minimum_reliable_games": null, "platt_intercept": 0.14793180304176842, "platt_slope": 0.7930816259898985, "ratings": {"bo3:7:19363": 1633.415333, "bo3:7:23109": 1632.737609},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"2026-10-02T16:09:16.061947+00:00", "team_ids": ["bo3:7:19363", "bo3:7:23109"]}, "market_type": "moneyline", "model_version": "rainbow_six-tiered-elo-v6", "observed_at_utc": "2026-10-02T16:09:16.061947+00:00", "probabilities": {"away": 0.467983, "home": 0.532017}, "replay_scope": "Exact serving book state, calibration, temperature, inactivity reference and thin-history adjustments; training provenance not certified.", "schema": "esports-elo-replay-v1", "snapshot_hash": "7c59ea017ca0196193aaa835969563d61cb836c184c932147098199be9b6fb9c", "sport": "RAINBOW_SIX"}</t>
        </is>
      </c>
    </row>
    <row r="45" ht="36" customHeight="1">
      <c r="A45" s="24" t="inlineStr">
        <is>
          <t>14f4aa55b95e4267</t>
        </is>
      </c>
      <c r="B45" s="24" t="inlineStr">
        <is>
          <t>2026-10-03T22:33:50.890758Z</t>
        </is>
      </c>
      <c r="C45" s="24" t="inlineStr">
        <is>
          <t>2026-10-04T16:00:00Z</t>
        </is>
      </c>
      <c r="D45" s="24" t="inlineStr">
        <is>
          <t>136783</t>
        </is>
      </c>
      <c r="E45" s="24" t="inlineStr">
        <is>
          <t>RAINBOW_SIX</t>
        </is>
      </c>
      <c r="F45" s="24" t="inlineStr">
        <is>
          <t>Imperial Esports</t>
        </is>
      </c>
      <c r="G45" s="24" t="inlineStr">
        <is>
          <t>INTZ</t>
        </is>
      </c>
      <c r="H45" s="24" t="inlineStr">
        <is>
          <t>moneyline</t>
        </is>
      </c>
      <c r="I45" s="24" t="inlineStr">
        <is>
          <t>home</t>
        </is>
      </c>
      <c r="J45" s="25" t="n"/>
      <c r="K45" s="24" t="inlineStr">
        <is>
          <t>polymarket_us</t>
        </is>
      </c>
      <c r="L45" s="26" t="n">
        <v>-122</v>
      </c>
      <c r="M45" s="27" t="n">
        <v>1.819672</v>
      </c>
      <c r="N45" s="28" t="n">
        <v>0.54955</v>
      </c>
      <c r="O45" s="28" t="n">
        <v>0.596788</v>
      </c>
      <c r="P45" s="28" t="n"/>
      <c r="Q45" s="28" t="n">
        <v>0.047238</v>
      </c>
      <c r="R45" s="26" t="n">
        <v>44</v>
      </c>
      <c r="S45" s="29" t="n">
        <v>1</v>
      </c>
      <c r="T45" s="24" t="inlineStr">
        <is>
          <t>rainbow_six-tiered-elo-v6</t>
        </is>
      </c>
      <c r="U45" s="24" t="inlineStr">
        <is>
          <t>settled</t>
        </is>
      </c>
      <c r="V45" s="24" t="inlineStr">
        <is>
          <t>loss</t>
        </is>
      </c>
      <c r="W45" s="26" t="n">
        <v>1</v>
      </c>
      <c r="X45" s="26" t="n">
        <v>0</v>
      </c>
      <c r="Y45" s="25" t="n"/>
      <c r="Z45" s="26" t="n"/>
      <c r="AA45" s="28" t="n"/>
      <c r="AB45" s="28" t="n"/>
      <c r="AC45" s="30" t="n">
        <v>-1</v>
      </c>
      <c r="AD45" s="24" t="inlineStr">
        <is>
          <t>2026-10-04T21:06:56.957386Z</t>
        </is>
      </c>
      <c r="AE45" s="31" t="inlineStr">
        <is>
          <t>Neutral Elo baseline; executable ask 0.5500 (market_slug=aec-r6-intz-imp-2026-10-04).</t>
        </is>
      </c>
      <c r="AF45" s="31" t="inlineStr">
        <is>
          <t>Config-promoted esports baseline; gates enforced at log time.</t>
        </is>
      </c>
      <c r="AG45" s="24" t="inlineStr">
        <is>
          <t>review_required</t>
        </is>
      </c>
      <c r="AH45" s="24" t="n"/>
      <c r="AI45" s="31" t="n"/>
      <c r="AJ45" s="31" t="n"/>
      <c r="AK45" s="24" t="inlineStr">
        <is>
          <t>model_qualified</t>
        </is>
      </c>
      <c r="AL45" s="26" t="n">
        <v>4</v>
      </c>
      <c r="AM45" s="24" t="inlineStr">
        <is>
          <t>QUALIFIED_SHADOW_CALL</t>
        </is>
      </c>
      <c r="AN45" s="24" t="inlineStr">
        <is>
          <t>CALL</t>
        </is>
      </c>
      <c r="AO45" s="24" t="inlineStr">
        <is>
          <t>QUALIFIED</t>
        </is>
      </c>
      <c r="AP45" s="24" t="inlineStr">
        <is>
          <t>Imperial Esports</t>
        </is>
      </c>
      <c r="AQ45" s="24" t="inlineStr">
        <is>
          <t>Imperial Esports</t>
        </is>
      </c>
      <c r="AR45" s="24" t="inlineStr">
        <is>
          <t>Imperial Esports</t>
        </is>
      </c>
      <c r="AS45" s="24" t="inlineStr">
        <is>
          <t>INTZ</t>
        </is>
      </c>
      <c r="AT45" s="24" t="inlineStr">
        <is>
          <t>INTZ</t>
        </is>
      </c>
      <c r="AU45" s="24" t="inlineStr">
        <is>
          <t>INTZ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research</t>
        </is>
      </c>
      <c r="BA45" s="24" t="inlineStr">
        <is>
          <t>179e413225be9340e6e2e1a2f0108cb82f339e0f8cd38dd9848709748cc40762</t>
        </is>
      </c>
      <c r="BB45" s="24" t="inlineStr">
        <is>
          <t>neutral_elo</t>
        </is>
      </c>
      <c r="BC45" s="24" t="inlineStr">
        <is>
          <t>rainbow_six-tiered-elo-v6</t>
        </is>
      </c>
      <c r="BD45" s="24" t="inlineStr">
        <is>
          <t>179e413225be9340e6e2e1a2f0108cb82f339e0f8cd38dd9848709748cc40762</t>
        </is>
      </c>
      <c r="BE45" s="24" t="inlineStr">
        <is>
          <t>1</t>
        </is>
      </c>
      <c r="BF45" s="24" t="inlineStr">
        <is>
          <t>1</t>
        </is>
      </c>
      <c r="BG45" s="24" t="inlineStr">
        <is>
          <t>rainbow_six-tiered-elo-v6</t>
        </is>
      </c>
      <c r="BH45" s="24" t="inlineStr">
        <is>
          <t>2026-10-03T22:33:38.071651Z</t>
        </is>
      </c>
      <c r="BI45" s="24" t="inlineStr">
        <is>
          <t>["same_event","same_team_same_day","same_league_same_day"]</t>
        </is>
      </c>
      <c r="BJ45" s="25" t="n"/>
      <c r="BK45" s="26" t="n">
        <v>-122</v>
      </c>
      <c r="BL45" s="27" t="n">
        <v>1.819672</v>
      </c>
      <c r="BM45" s="28" t="n">
        <v>0.54955</v>
      </c>
      <c r="BN45" s="28" t="n"/>
      <c r="BO45" s="28" t="n"/>
      <c r="BP45" s="25" t="n"/>
      <c r="BQ45" s="27" t="n"/>
      <c r="BR45" s="28" t="n"/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inlineStr">
        <is>
          <t>True</t>
        </is>
      </c>
      <c r="CT45" s="24" t="n"/>
      <c r="CU45" s="24" t="n"/>
      <c r="CV45" s="24" t="n"/>
      <c r="CW45" s="24" t="n"/>
      <c r="CX45" s="24" t="n"/>
      <c r="CY45" s="24" t="n"/>
      <c r="CZ45" s="24" t="n"/>
      <c r="DA45" s="24" t="n"/>
      <c r="DB45" s="24" t="n"/>
      <c r="DC45" s="24" t="n"/>
      <c r="DD45" s="24" t="n"/>
      <c r="DE45" s="24" t="n"/>
      <c r="DF45" s="24" t="n"/>
      <c r="DG45" s="24" t="n"/>
      <c r="DH45" s="24" t="n"/>
      <c r="DI45" s="24" t="n"/>
      <c r="DJ45" s="24" t="inlineStr">
        <is>
          <t>0.54955</t>
        </is>
      </c>
      <c r="DK45" s="24" t="n"/>
      <c r="DL45" s="24" t="n"/>
      <c r="DM45" s="24" t="n"/>
      <c r="DN45" s="24" t="n"/>
      <c r="DO45" s="24" t="n"/>
      <c r="DP45" s="24" t="n"/>
      <c r="DQ45" s="24" t="inlineStr">
        <is>
          <t>{"artifact_hash": "179e413225be9340e6e2e1a2f0108cb82f339e0f8cd38dd9848709748cc40762", "away_team": "Imperial Esports", "event_id": "136783", "event_start_utc": "2026-10-04T16:00:00Z", "features": {"away_elo": 1421.778562, "away_history_count": 29, "home_elo": 1494.46361, "home_history_count": 33}, "historical_source_observation_times_verified": false, "home_team": "INTZ", "inference_inputs": {"book_state": {"games_played": {"bo3:7:19706": 33, "bo3:7:22992": 29}, "inactivity_half_life_days": null, "inactivity_max_pull": null, "k": 32.0, "last_match_utc": {"bo3:7:19706": "2026-09-27T16:00:00Z", "bo3:7:22992": "2026-09-27T18:30:00Z"}, "minimum_reliable_games": null, "platt_intercept": 0.1493266015944232, "platt_slope": 0.7919241576250219, "ratings": {"bo3:7:19706": 1494.46361, "bo3:7:22992": 1421.778562},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"2026-10-03T22:33:25.155183+00:00", "team_ids": ["bo3:7:19706", "bo3:7:22992"]}, "market_type": "moneyline", "model_version": "rainbow_six-tiered-elo-v6", "observed_at_utc": "2026-10-03T22:33:25.155183+00:00", "probabilities": {"away": 0.403212, "home": 0.596788}, "replay_scope": "Exact serving book state, calibration, temperature, inactivity reference and thin-history adjustments; training provenance not certified.", "schema": "esports-elo-replay-v1", "snapshot_hash": "b21a1eaa633d07e94be7cf6e7deb911122a2ba2a1c0a8608a2b1a41def81cc87", "sport": "RAINBOW_SIX"}</t>
        </is>
      </c>
    </row>
    <row r="46" ht="36" customHeight="1">
      <c r="A46" s="24" t="inlineStr">
        <is>
          <t>3248ff26f68046c9</t>
        </is>
      </c>
      <c r="B46" s="24" t="inlineStr">
        <is>
          <t>2026-10-03T22:33:50.890758Z</t>
        </is>
      </c>
      <c r="C46" s="24" t="inlineStr">
        <is>
          <t>2026-10-04T19:45:00Z</t>
        </is>
      </c>
      <c r="D46" s="24" t="inlineStr">
        <is>
          <t>137283</t>
        </is>
      </c>
      <c r="E46" s="24" t="inlineStr">
        <is>
          <t>RAINBOW_SIX</t>
        </is>
      </c>
      <c r="F46" s="24" t="inlineStr">
        <is>
          <t>LOUD</t>
        </is>
      </c>
      <c r="G46" s="24" t="inlineStr">
        <is>
          <t>Fluxo W7M</t>
        </is>
      </c>
      <c r="H46" s="24" t="inlineStr">
        <is>
          <t>moneyline</t>
        </is>
      </c>
      <c r="I46" s="24" t="inlineStr">
        <is>
          <t>home</t>
        </is>
      </c>
      <c r="J46" s="25" t="n"/>
      <c r="K46" s="24" t="inlineStr">
        <is>
          <t>polymarket_us</t>
        </is>
      </c>
      <c r="L46" s="26" t="n">
        <v>-213</v>
      </c>
      <c r="M46" s="27" t="n">
        <v>1.469484</v>
      </c>
      <c r="N46" s="28" t="n">
        <v>0.680511</v>
      </c>
      <c r="O46" s="28" t="n">
        <v>0.6512829999999999</v>
      </c>
      <c r="P46" s="28" t="n"/>
      <c r="Q46" s="28" t="n">
        <v>-0.029228</v>
      </c>
      <c r="R46" s="26" t="n">
        <v>5</v>
      </c>
      <c r="S46" s="29" t="n">
        <v>1</v>
      </c>
      <c r="T46" s="24" t="inlineStr">
        <is>
          <t>rainbow_six-tiered-elo-v6</t>
        </is>
      </c>
      <c r="U46" s="24" t="inlineStr">
        <is>
          <t>settled</t>
        </is>
      </c>
      <c r="V46" s="24" t="inlineStr">
        <is>
          <t>win</t>
        </is>
      </c>
      <c r="W46" s="26" t="n">
        <v>0</v>
      </c>
      <c r="X46" s="26" t="n">
        <v>1</v>
      </c>
      <c r="Y46" s="25" t="n"/>
      <c r="Z46" s="26" t="n"/>
      <c r="AA46" s="28" t="n"/>
      <c r="AB46" s="28" t="n"/>
      <c r="AC46" s="30" t="n">
        <v>0.4695</v>
      </c>
      <c r="AD46" s="24" t="inlineStr">
        <is>
          <t>2026-10-04T21:06:58.173838Z</t>
        </is>
      </c>
      <c r="AE46" s="31" t="inlineStr">
        <is>
          <t>Neutral Elo baseline; executable ask 0.6800 (market_slug=aec-r6-fx7m-loud-2026-10-04).</t>
        </is>
      </c>
      <c r="AF46" s="31" t="inlineStr">
        <is>
          <t>Config-promoted esports baseline; gates enforced at log time.</t>
        </is>
      </c>
      <c r="AG46" s="24" t="inlineStr">
        <is>
          <t>not_applicable</t>
        </is>
      </c>
      <c r="AH46" s="24" t="n"/>
      <c r="AI46" s="31" t="n"/>
      <c r="AJ46" s="31" t="n"/>
      <c r="AK46" s="24" t="inlineStr">
        <is>
          <t>paper_call</t>
        </is>
      </c>
      <c r="AL46" s="26" t="n">
        <v>4</v>
      </c>
      <c r="AM46" s="24" t="inlineStr">
        <is>
          <t>RESEARCH_OBSERVATION</t>
        </is>
      </c>
      <c r="AN46" s="24" t="inlineStr">
        <is>
          <t>CALL</t>
        </is>
      </c>
      <c r="AO46" s="24" t="inlineStr">
        <is>
          <t>PAPER_CALL_LOW_EDGE</t>
        </is>
      </c>
      <c r="AP46" s="24" t="inlineStr">
        <is>
          <t>LOUD</t>
        </is>
      </c>
      <c r="AQ46" s="24" t="inlineStr">
        <is>
          <t>LOUD</t>
        </is>
      </c>
      <c r="AR46" s="24" t="inlineStr">
        <is>
          <t>LOUD</t>
        </is>
      </c>
      <c r="AS46" s="24" t="inlineStr">
        <is>
          <t>Fluxo W7M</t>
        </is>
      </c>
      <c r="AT46" s="24" t="inlineStr">
        <is>
          <t>Fluxo W7M</t>
        </is>
      </c>
      <c r="AU46" s="24" t="inlineStr">
        <is>
          <t>Fluxo W7M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research</t>
        </is>
      </c>
      <c r="BA46" s="24" t="inlineStr">
        <is>
          <t>179e413225be9340e6e2e1a2f0108cb82f339e0f8cd38dd9848709748cc40762</t>
        </is>
      </c>
      <c r="BB46" s="24" t="inlineStr">
        <is>
          <t>neutral_elo</t>
        </is>
      </c>
      <c r="BC46" s="24" t="inlineStr">
        <is>
          <t>rainbow_six-tiered-elo-v6</t>
        </is>
      </c>
      <c r="BD46" s="24" t="inlineStr">
        <is>
          <t>179e413225be9340e6e2e1a2f0108cb82f339e0f8cd38dd9848709748cc40762</t>
        </is>
      </c>
      <c r="BE46" s="24" t="inlineStr">
        <is>
          <t>1</t>
        </is>
      </c>
      <c r="BF46" s="24" t="inlineStr">
        <is>
          <t>1</t>
        </is>
      </c>
      <c r="BG46" s="24" t="inlineStr">
        <is>
          <t>rainbow_six-tiered-elo-v6</t>
        </is>
      </c>
      <c r="BH46" s="24" t="inlineStr">
        <is>
          <t>2026-10-03T22:33:50.765879Z</t>
        </is>
      </c>
      <c r="BI46" s="24" t="inlineStr">
        <is>
          <t>["same_event","same_team_same_day","same_league_same_day"]</t>
        </is>
      </c>
      <c r="BJ46" s="25" t="n"/>
      <c r="BK46" s="26" t="n">
        <v>-213</v>
      </c>
      <c r="BL46" s="27" t="n">
        <v>1.469484</v>
      </c>
      <c r="BM46" s="28" t="n">
        <v>0.680511</v>
      </c>
      <c r="BN46" s="28" t="n"/>
      <c r="BO46" s="28" t="n"/>
      <c r="BP46" s="25" t="n"/>
      <c r="BQ46" s="27" t="n"/>
      <c r="BR46" s="28" t="n"/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inlineStr">
        <is>
          <t>False</t>
        </is>
      </c>
      <c r="CT46" s="24" t="n"/>
      <c r="CU46" s="24" t="n"/>
      <c r="CV46" s="24" t="n"/>
      <c r="CW46" s="24" t="n"/>
      <c r="CX46" s="24" t="n"/>
      <c r="CY46" s="24" t="n"/>
      <c r="CZ46" s="24" t="n"/>
      <c r="DA46" s="24" t="n"/>
      <c r="DB46" s="24" t="n"/>
      <c r="DC46" s="24" t="n"/>
      <c r="DD46" s="24" t="n"/>
      <c r="DE46" s="24" t="n"/>
      <c r="DF46" s="24" t="n"/>
      <c r="DG46" s="24" t="n"/>
      <c r="DH46" s="24" t="n"/>
      <c r="DI46" s="24" t="n"/>
      <c r="DJ46" s="24" t="inlineStr">
        <is>
          <t>0.680511</t>
        </is>
      </c>
      <c r="DK46" s="24" t="n"/>
      <c r="DL46" s="24" t="n"/>
      <c r="DM46" s="24" t="n"/>
      <c r="DN46" s="24" t="n"/>
      <c r="DO46" s="24" t="n"/>
      <c r="DP46" s="24" t="n"/>
      <c r="DQ46" s="24" t="inlineStr">
        <is>
          <t>{"artifact_hash": "179e413225be9340e6e2e1a2f0108cb82f339e0f8cd38dd9848709748cc40762", "away_team": "LOUD", "event_id": "137283", "event_start_utc": "2026-10-04T19:45:00Z", "features": {"away_elo": 1481.6493, "away_history_count": 51, "home_elo": 1617.952579, "home_history_count": 131}, "historical_source_observation_times_verified": false, "home_team": "Fluxo W7M", "inference_inputs": {"book_state": {"games_played": {"bo3:7:20021": 51, "bo3:7:22192": 131}, "inactivity_half_life_days": null, "inactivity_max_pull": null, "k": 32.0, "last_match_utc": {"bo3:7:20021": "2026-09-27T17:15:00Z", "bo3:7:22192": "2026-09-27T19:55:00Z"}, "minimum_reliable_games": null, "platt_intercept": 0.1493266015944232, "platt_slope": 0.7919241576250219, "ratings": {"bo3:7:20021": 1481.6493, "bo3:7:22192": 1617.952579},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"2026-10-03T22:33:25.155183+00:00", "team_ids": ["bo3:7:22192", "bo3:7:20021"]}, "market_type": "moneyline", "model_version": "rainbow_six-tiered-elo-v6", "observed_at_utc": "2026-10-03T22:33:25.155183+00:00", "probabilities": {"away": 0.348717, "home": 0.651283}, "replay_scope": "Exact serving book state, calibration, temperature, inactivity reference and thin-history adjustments; training provenance not certified.", "schema": "esports-elo-replay-v1", "snapshot_hash": "5ac501a7dd966fb6a0b22a8dff5607adfd95931dd93124f5c26d2b42c316bdd1", "sport": "RAINBOW_SIX"}</t>
        </is>
      </c>
    </row>
    <row r="47" ht="36" customHeight="1">
      <c r="A47" s="24" t="inlineStr">
        <is>
          <t>20b92c9e4958455b</t>
        </is>
      </c>
      <c r="B47" s="24" t="inlineStr">
        <is>
          <t>2026-10-05T10:49:35.405166Z</t>
        </is>
      </c>
      <c r="C47" s="24" t="inlineStr">
        <is>
          <t>2026-10-05T16:00:00Z</t>
        </is>
      </c>
      <c r="D47" s="24" t="inlineStr">
        <is>
          <t>138393</t>
        </is>
      </c>
      <c r="E47" s="24" t="inlineStr">
        <is>
          <t>RAINBOW_SIX</t>
        </is>
      </c>
      <c r="F47" s="24" t="inlineStr">
        <is>
          <t>Geekay Esports</t>
        </is>
      </c>
      <c r="G47" s="24" t="inlineStr">
        <is>
          <t>Falcons Esport</t>
        </is>
      </c>
      <c r="H47" s="24" t="inlineStr">
        <is>
          <t>moneyline</t>
        </is>
      </c>
      <c r="I47" s="24" t="inlineStr">
        <is>
          <t>home</t>
        </is>
      </c>
      <c r="J47" s="25" t="n"/>
      <c r="K47" s="24" t="inlineStr">
        <is>
          <t>polymarket_us</t>
        </is>
      </c>
      <c r="L47" s="26" t="n">
        <v>-133</v>
      </c>
      <c r="M47" s="27" t="n">
        <v>1.75188</v>
      </c>
      <c r="N47" s="28" t="n">
        <v>0.570815</v>
      </c>
      <c r="O47" s="28" t="n">
        <v>0.634387</v>
      </c>
      <c r="P47" s="28" t="n"/>
      <c r="Q47" s="28" t="n">
        <v>0.063572</v>
      </c>
      <c r="R47" s="26" t="n">
        <v>52</v>
      </c>
      <c r="S47" s="29" t="n">
        <v>1</v>
      </c>
      <c r="T47" s="24" t="inlineStr">
        <is>
          <t>rainbow_six-tiered-elo-v6</t>
        </is>
      </c>
      <c r="U47" s="24" t="inlineStr">
        <is>
          <t>settled</t>
        </is>
      </c>
      <c r="V47" s="24" t="inlineStr">
        <is>
          <t>win</t>
        </is>
      </c>
      <c r="W47" s="26" t="n">
        <v>0</v>
      </c>
      <c r="X47" s="26" t="n">
        <v>1</v>
      </c>
      <c r="Y47" s="25" t="n"/>
      <c r="Z47" s="26" t="n">
        <v>-138</v>
      </c>
      <c r="AA47" s="28" t="n">
        <v>0.58</v>
      </c>
      <c r="AB47" s="28" t="n">
        <v>0.009185</v>
      </c>
      <c r="AC47" s="30" t="n">
        <v>0.7519</v>
      </c>
      <c r="AD47" s="24" t="inlineStr">
        <is>
          <t>2026-10-05T22:06:19.951144Z</t>
        </is>
      </c>
      <c r="AE47" s="31" t="inlineStr">
        <is>
          <t>Neutral Elo baseline; executable ask 0.5700 (market_slug=aec-r6-flcs-ge-2026-10-05).</t>
        </is>
      </c>
      <c r="AF47" s="31" t="inlineStr">
        <is>
          <t>Config-promoted esports baseline; gates enforced at log time.</t>
        </is>
      </c>
      <c r="AG47" s="24" t="inlineStr">
        <is>
          <t>not_applicable</t>
        </is>
      </c>
      <c r="AH47" s="24" t="n"/>
      <c r="AI47" s="31" t="n"/>
      <c r="AJ47" s="31" t="n"/>
      <c r="AK47" s="24" t="inlineStr">
        <is>
          <t>model_qualified</t>
        </is>
      </c>
      <c r="AL47" s="26" t="n">
        <v>4</v>
      </c>
      <c r="AM47" s="24" t="inlineStr">
        <is>
          <t>QUALIFIED_SHADOW_CALL</t>
        </is>
      </c>
      <c r="AN47" s="24" t="inlineStr">
        <is>
          <t>CALL</t>
        </is>
      </c>
      <c r="AO47" s="24" t="inlineStr">
        <is>
          <t>QUALIFIED</t>
        </is>
      </c>
      <c r="AP47" s="24" t="inlineStr">
        <is>
          <t>Geekay Esports</t>
        </is>
      </c>
      <c r="AQ47" s="24" t="inlineStr">
        <is>
          <t>Geekay Esports</t>
        </is>
      </c>
      <c r="AR47" s="24" t="inlineStr">
        <is>
          <t>Geekay Esports</t>
        </is>
      </c>
      <c r="AS47" s="24" t="inlineStr">
        <is>
          <t>Falcons Esport</t>
        </is>
      </c>
      <c r="AT47" s="24" t="inlineStr">
        <is>
          <t>Falcons Esport</t>
        </is>
      </c>
      <c r="AU47" s="24" t="inlineStr">
        <is>
          <t>Falcons Esport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research</t>
        </is>
      </c>
      <c r="BA47" s="24" t="inlineStr">
        <is>
          <t>9a3d752083f0e7140dbd3b1b315d42f48ba983a9883e5e06602260bc3e82ded6</t>
        </is>
      </c>
      <c r="BB47" s="24" t="inlineStr">
        <is>
          <t>neutral_elo</t>
        </is>
      </c>
      <c r="BC47" s="24" t="inlineStr">
        <is>
          <t>rainbow_six-tiered-elo-v6</t>
        </is>
      </c>
      <c r="BD47" s="24" t="inlineStr">
        <is>
          <t>9a3d752083f0e7140dbd3b1b315d42f48ba983a9883e5e06602260bc3e82ded6</t>
        </is>
      </c>
      <c r="BE47" s="24" t="inlineStr">
        <is>
          <t>1</t>
        </is>
      </c>
      <c r="BF47" s="24" t="inlineStr">
        <is>
          <t>1</t>
        </is>
      </c>
      <c r="BG47" s="24" t="inlineStr">
        <is>
          <t>rainbow_six-tiered-elo-v6</t>
        </is>
      </c>
      <c r="BH47" s="24" t="inlineStr">
        <is>
          <t>2026-10-05T10:49:35.331989Z</t>
        </is>
      </c>
      <c r="BI47" s="24" t="inlineStr">
        <is>
          <t>["same_event","same_team_same_day","same_league_same_day"]</t>
        </is>
      </c>
      <c r="BJ47" s="25" t="n"/>
      <c r="BK47" s="26" t="n">
        <v>-133</v>
      </c>
      <c r="BL47" s="27" t="n">
        <v>1.75188</v>
      </c>
      <c r="BM47" s="28" t="n">
        <v>0.570815</v>
      </c>
      <c r="BN47" s="28" t="n"/>
      <c r="BO47" s="28" t="n"/>
      <c r="BP47" s="25" t="n"/>
      <c r="BQ47" s="27" t="n">
        <v>1.724638</v>
      </c>
      <c r="BR47" s="28" t="n">
        <v>0.58</v>
      </c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inlineStr">
        <is>
          <t>True</t>
        </is>
      </c>
      <c r="CT47" s="24" t="n"/>
      <c r="CU47" s="24" t="n"/>
      <c r="CV47" s="24" t="n"/>
      <c r="CW47" s="24" t="n"/>
      <c r="CX47" s="24" t="n"/>
      <c r="CY47" s="24" t="n"/>
      <c r="CZ47" s="24" t="n"/>
      <c r="DA47" s="24" t="n"/>
      <c r="DB47" s="24" t="n"/>
      <c r="DC47" s="24" t="n"/>
      <c r="DD47" s="24" t="n"/>
      <c r="DE47" s="24" t="n"/>
      <c r="DF47" s="24" t="n"/>
      <c r="DG47" s="24" t="n"/>
      <c r="DH47" s="24" t="n"/>
      <c r="DI47" s="24" t="n"/>
      <c r="DJ47" s="24" t="n"/>
      <c r="DK47" s="24" t="n"/>
      <c r="DL47" s="24" t="n"/>
      <c r="DM47" s="24" t="n"/>
      <c r="DN47" s="24" t="n"/>
      <c r="DO47" s="24" t="n"/>
      <c r="DP47" s="24" t="n"/>
      <c r="DQ47" s="24" t="inlineStr">
        <is>
          <t>{"artifact_hash": "9a3d752083f0e7140dbd3b1b315d42f48ba983a9883e5e06602260bc3e82ded6", "away_team": "Geekay Esports", "event_id": "138393", "event_start_utc": "2026-10-05T16:00:00Z", "features": {"away_elo": 1657.075755, "away_history_count": 60, "home_elo": 1773.709517, "home_history_count": 127}, "historical_source_observation_times_verified": false, "home_team": "Falcons Esport", "inference_inputs": {"book_state": {"games_played": {"bo3:7:19340": 60, "bo3:7:19439": 127}, "inactivity_half_life_days": null, "inactivity_max_pull": null, "k": 32.0, "last_match_utc": {"bo3:7:19340": "2026-09-30T18:35:00Z", "bo3:7:19439": "2026-09-30T16:00:00Z"}, "minimum_reliable_games": null, "platt_intercept": 0.14504524995283027, "platt_slope": 0.7870429134515834, "ratings": {"bo3:7:19340": 1657.075755, "bo3:7:19439": 1773.709517},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"2026-10-05T10:49:35.252794+00:00", "team_ids": ["bo3:7:19439", "bo3:7:19340"]}, "market_type": "moneyline", "model_version": "rainbow_six-tiered-elo-v6", "observed_at_utc": "2026-10-05T10:49:35.252794+00:00", "probabilities": {"away": 0.365613, "home": 0.634387}, "replay_scope": "Exact serving book state, calibration, temperature, inactivity reference and thin-history adjustments; training provenance not certified.", "schema": "esports-elo-replay-v1", "snapshot_hash": "0757b9d1cb382d4a934eeae8ca1b22556e2b1557d5720ad9d52d86a3eab6397a", "sport": "RAINBOW_SIX"}</t>
        </is>
      </c>
    </row>
    <row r="48" ht="36" customHeight="1">
      <c r="A48" s="24" t="inlineStr">
        <is>
          <t>d1c2c8beea184d9e</t>
        </is>
      </c>
      <c r="B48" s="24" t="inlineStr">
        <is>
          <t>2026-10-05T16:34:28.380407Z</t>
        </is>
      </c>
      <c r="C48" s="24" t="inlineStr">
        <is>
          <t>2026-10-05T19:00:00Z</t>
        </is>
      </c>
      <c r="D48" s="24" t="inlineStr">
        <is>
          <t>138702</t>
        </is>
      </c>
      <c r="E48" s="24" t="inlineStr">
        <is>
          <t>RAINBOW_SIX</t>
        </is>
      </c>
      <c r="F48" s="24" t="inlineStr">
        <is>
          <t>Virtus.pro</t>
        </is>
      </c>
      <c r="G48" s="24" t="inlineStr">
        <is>
          <t>G2 Esports</t>
        </is>
      </c>
      <c r="H48" s="24" t="inlineStr">
        <is>
          <t>moneyline</t>
        </is>
      </c>
      <c r="I48" s="24" t="inlineStr">
        <is>
          <t>home</t>
        </is>
      </c>
      <c r="J48" s="25" t="n"/>
      <c r="K48" s="24" t="inlineStr">
        <is>
          <t>polymarket_us</t>
        </is>
      </c>
      <c r="L48" s="26" t="n">
        <v>-194</v>
      </c>
      <c r="M48" s="27" t="n">
        <v>1.515464</v>
      </c>
      <c r="N48" s="28" t="n">
        <v>0.659864</v>
      </c>
      <c r="O48" s="28" t="n">
        <v>0.616671</v>
      </c>
      <c r="P48" s="28" t="n"/>
      <c r="Q48" s="28" t="n">
        <v>-0.043193</v>
      </c>
      <c r="R48" s="26" t="n">
        <v>0</v>
      </c>
      <c r="S48" s="29" t="n">
        <v>1</v>
      </c>
      <c r="T48" s="24" t="inlineStr">
        <is>
          <t>rainbow_six-tiered-elo-v6</t>
        </is>
      </c>
      <c r="U48" s="24" t="inlineStr">
        <is>
          <t>settled</t>
        </is>
      </c>
      <c r="V48" s="24" t="inlineStr">
        <is>
          <t>win</t>
        </is>
      </c>
      <c r="W48" s="26" t="n">
        <v>0</v>
      </c>
      <c r="X48" s="26" t="n">
        <v>1</v>
      </c>
      <c r="Y48" s="25" t="n"/>
      <c r="Z48" s="26" t="n">
        <v>-194</v>
      </c>
      <c r="AA48" s="28" t="n">
        <v>0.66</v>
      </c>
      <c r="AB48" s="28" t="n">
        <v>0.000136</v>
      </c>
      <c r="AC48" s="30" t="n">
        <v>0.5155</v>
      </c>
      <c r="AD48" s="24" t="inlineStr">
        <is>
          <t>2026-10-05T22:06:21.525693Z</t>
        </is>
      </c>
      <c r="AE48" s="31" t="inlineStr">
        <is>
          <t>Neutral Elo baseline; executable ask 0.6600 (market_slug=aec-r6-g2-vp-2026-10-05).</t>
        </is>
      </c>
      <c r="AF48" s="31" t="inlineStr">
        <is>
          <t>Config-promoted esports baseline; gates enforced at log time.</t>
        </is>
      </c>
      <c r="AG48" s="24" t="inlineStr">
        <is>
          <t>not_applicable</t>
        </is>
      </c>
      <c r="AH48" s="24" t="n"/>
      <c r="AI48" s="31" t="n"/>
      <c r="AJ48" s="31" t="n"/>
      <c r="AK48" s="24" t="inlineStr">
        <is>
          <t>paper_call</t>
        </is>
      </c>
      <c r="AL48" s="26" t="n">
        <v>4</v>
      </c>
      <c r="AM48" s="24" t="inlineStr">
        <is>
          <t>RESEARCH_OBSERVATION</t>
        </is>
      </c>
      <c r="AN48" s="24" t="inlineStr">
        <is>
          <t>CALL</t>
        </is>
      </c>
      <c r="AO48" s="24" t="inlineStr">
        <is>
          <t>PAPER_CALL_LOW_EDGE</t>
        </is>
      </c>
      <c r="AP48" s="24" t="inlineStr">
        <is>
          <t>Virtus.pro</t>
        </is>
      </c>
      <c r="AQ48" s="24" t="inlineStr">
        <is>
          <t>Virtus.pro</t>
        </is>
      </c>
      <c r="AR48" s="24" t="inlineStr">
        <is>
          <t>Virtus.pro</t>
        </is>
      </c>
      <c r="AS48" s="24" t="inlineStr">
        <is>
          <t>G2 Esports</t>
        </is>
      </c>
      <c r="AT48" s="24" t="inlineStr">
        <is>
          <t>G2 Esports</t>
        </is>
      </c>
      <c r="AU48" s="24" t="inlineStr">
        <is>
          <t>G2 Esports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research</t>
        </is>
      </c>
      <c r="BA48" s="24" t="inlineStr">
        <is>
          <t>70656544ecaf134932f3947a2932893b9bd8976d900ccbbfaab90f748e927834</t>
        </is>
      </c>
      <c r="BB48" s="24" t="inlineStr">
        <is>
          <t>neutral_elo</t>
        </is>
      </c>
      <c r="BC48" s="24" t="inlineStr">
        <is>
          <t>rainbow_six-tiered-elo-v6</t>
        </is>
      </c>
      <c r="BD48" s="24" t="inlineStr">
        <is>
          <t>70656544ecaf134932f3947a2932893b9bd8976d900ccbbfaab90f748e927834</t>
        </is>
      </c>
      <c r="BE48" s="24" t="inlineStr">
        <is>
          <t>1</t>
        </is>
      </c>
      <c r="BF48" s="24" t="inlineStr">
        <is>
          <t>1</t>
        </is>
      </c>
      <c r="BG48" s="24" t="inlineStr">
        <is>
          <t>rainbow_six-tiered-elo-v6</t>
        </is>
      </c>
      <c r="BH48" s="24" t="inlineStr">
        <is>
          <t>2026-10-05T16:34:28.366388Z</t>
        </is>
      </c>
      <c r="BI48" s="24" t="inlineStr">
        <is>
          <t>["same_event","same_team_same_day","same_league_same_day"]</t>
        </is>
      </c>
      <c r="BJ48" s="25" t="n"/>
      <c r="BK48" s="26" t="n">
        <v>-194</v>
      </c>
      <c r="BL48" s="27" t="n">
        <v>1.515464</v>
      </c>
      <c r="BM48" s="28" t="n">
        <v>0.659864</v>
      </c>
      <c r="BN48" s="28" t="n"/>
      <c r="BO48" s="28" t="n"/>
      <c r="BP48" s="25" t="n"/>
      <c r="BQ48" s="27" t="n">
        <v>1.515464</v>
      </c>
      <c r="BR48" s="28" t="n">
        <v>0.66</v>
      </c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inlineStr">
        <is>
          <t>False</t>
        </is>
      </c>
      <c r="CT48" s="24" t="n"/>
      <c r="CU48" s="24" t="n"/>
      <c r="CV48" s="24" t="n"/>
      <c r="CW48" s="24" t="n"/>
      <c r="CX48" s="24" t="n"/>
      <c r="CY48" s="24" t="n"/>
      <c r="CZ48" s="24" t="n"/>
      <c r="DA48" s="24" t="n"/>
      <c r="DB48" s="24" t="n"/>
      <c r="DC48" s="24" t="n"/>
      <c r="DD48" s="24" t="n"/>
      <c r="DE48" s="24" t="n"/>
      <c r="DF48" s="24" t="n"/>
      <c r="DG48" s="24" t="n"/>
      <c r="DH48" s="24" t="n"/>
      <c r="DI48" s="24" t="n"/>
      <c r="DJ48" s="24" t="n"/>
      <c r="DK48" s="24" t="n"/>
      <c r="DL48" s="24" t="n"/>
      <c r="DM48" s="24" t="n"/>
      <c r="DN48" s="24" t="n"/>
      <c r="DO48" s="24" t="n"/>
      <c r="DP48" s="24" t="n"/>
      <c r="DQ48" s="24" t="inlineStr">
        <is>
          <t>{"artifact_hash": "70656544ecaf134932f3947a2932893b9bd8976d900ccbbfaab90f748e927834", "away_team": "Virtus.pro", "event_id": "138702", "event_start_utc": "2026-10-05T19:00:00Z", "features": {"away_elo": 1705.060885, "away_history_count": 111, "home_elo": 1801.185609, "home_history_count": 148}, "historical_source_observation_times_verified": false, "home_team": "G2 Esports", "inference_inputs": {"book_state": {"games_played": {"bo3:7:19668": 111, "bo3:7:19715": 148}, "inactivity_half_life_days": null, "inactivity_max_pull": null, "k": 32.0, "last_match_utc": {"bo3:7:19668": "2026-09-30T20:00:00Z", "bo3:7:19715": "2026-09-30T18:35:00Z"}, "minimum_reliable_games": null, "platt_intercept": 0.14504524995283027, "platt_slope": 0.7870429134515834, "ratings": {"bo3:7:19668": 1705.060885, "bo3:7:19715": 1801.185609},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"2026-10-05T16:34:28.296920+00:00", "team_ids": ["bo3:7:19715", "bo3:7:19668"]}, "market_type": "moneyline", "model_version": "rainbow_six-tiered-elo-v6", "observed_at_utc": "2026-10-05T16:34:28.296920+00:00", "probabilities": {"away": 0.383329, "home": 0.616671}, "replay_scope": "Exact serving book state, calibration, temperature, inactivity reference and thin-history adjustments; training provenance not certified.", "schema": "esports-elo-replay-v1", "snapshot_hash": "42f869d51b3b329508536346401ba0164f73014f53f88bc06de9679e80aa1c6c", "sport": "RAINBOW_SIX"}</t>
        </is>
      </c>
    </row>
    <row r="49" ht="36" customHeight="1">
      <c r="A49" s="24" t="inlineStr">
        <is>
          <t>ed71131812c142fa</t>
        </is>
      </c>
      <c r="B49" s="24" t="inlineStr">
        <is>
          <t>2026-10-06T10:51:13.499333Z</t>
        </is>
      </c>
      <c r="C49" s="24" t="inlineStr">
        <is>
          <t>2026-10-06T16:00:00Z</t>
        </is>
      </c>
      <c r="D49" s="24" t="inlineStr">
        <is>
          <t>144058</t>
        </is>
      </c>
      <c r="E49" s="24" t="inlineStr">
        <is>
          <t>RAINBOW_SIX</t>
        </is>
      </c>
      <c r="F49" s="24" t="inlineStr">
        <is>
          <t>Geekay Esports</t>
        </is>
      </c>
      <c r="G49" s="24" t="inlineStr">
        <is>
          <t>Shifters</t>
        </is>
      </c>
      <c r="H49" s="24" t="inlineStr">
        <is>
          <t>moneyline</t>
        </is>
      </c>
      <c r="I49" s="24" t="inlineStr">
        <is>
          <t>away</t>
        </is>
      </c>
      <c r="J49" s="25" t="n"/>
      <c r="K49" s="24" t="inlineStr">
        <is>
          <t>polymarket_us</t>
        </is>
      </c>
      <c r="L49" s="26" t="n">
        <v>-170</v>
      </c>
      <c r="M49" s="27" t="n">
        <v>1.588235</v>
      </c>
      <c r="N49" s="28" t="n">
        <v>0.62963</v>
      </c>
      <c r="O49" s="28" t="n">
        <v>0.54393</v>
      </c>
      <c r="P49" s="28" t="n"/>
      <c r="Q49" s="28" t="n">
        <v>-0.0857</v>
      </c>
      <c r="R49" s="26" t="n">
        <v>0</v>
      </c>
      <c r="S49" s="29" t="n">
        <v>1</v>
      </c>
      <c r="T49" s="24" t="inlineStr">
        <is>
          <t>rainbow_six-tiered-elo-v6</t>
        </is>
      </c>
      <c r="U49" s="24" t="inlineStr">
        <is>
          <t>settled</t>
        </is>
      </c>
      <c r="V49" s="24" t="inlineStr">
        <is>
          <t>win</t>
        </is>
      </c>
      <c r="W49" s="26" t="n">
        <v>1</v>
      </c>
      <c r="X49" s="26" t="n">
        <v>0</v>
      </c>
      <c r="Y49" s="25" t="n"/>
      <c r="Z49" s="26" t="n">
        <v>-170</v>
      </c>
      <c r="AA49" s="28" t="n">
        <v>0.63</v>
      </c>
      <c r="AB49" s="28" t="n">
        <v>0.00037</v>
      </c>
      <c r="AC49" s="30" t="n">
        <v>0.5881999999999999</v>
      </c>
      <c r="AD49" s="24" t="inlineStr">
        <is>
          <t>2026-10-06T22:05:29.868972Z</t>
        </is>
      </c>
      <c r="AE49" s="31" t="inlineStr">
        <is>
          <t>Neutral Elo baseline; executable ask 0.6300 (market_slug=aec-r6-shi-ge-2026-10-06).</t>
        </is>
      </c>
      <c r="AF49" s="31" t="inlineStr">
        <is>
          <t>Config-promoted esports baseline; gates enforced at log time.</t>
        </is>
      </c>
      <c r="AG49" s="24" t="inlineStr">
        <is>
          <t>not_applicable</t>
        </is>
      </c>
      <c r="AH49" s="24" t="n"/>
      <c r="AI49" s="31" t="n"/>
      <c r="AJ49" s="31" t="n"/>
      <c r="AK49" s="24" t="inlineStr">
        <is>
          <t>paper_call</t>
        </is>
      </c>
      <c r="AL49" s="26" t="n">
        <v>4</v>
      </c>
      <c r="AM49" s="24" t="inlineStr">
        <is>
          <t>RESEARCH_OBSERVATION</t>
        </is>
      </c>
      <c r="AN49" s="24" t="inlineStr">
        <is>
          <t>CALL</t>
        </is>
      </c>
      <c r="AO49" s="24" t="inlineStr">
        <is>
          <t>PAPER_CALL_LOW_EDGE</t>
        </is>
      </c>
      <c r="AP49" s="24" t="inlineStr">
        <is>
          <t>Geekay Esports</t>
        </is>
      </c>
      <c r="AQ49" s="24" t="inlineStr">
        <is>
          <t>Geekay Esports</t>
        </is>
      </c>
      <c r="AR49" s="24" t="inlineStr">
        <is>
          <t>Geekay Esports</t>
        </is>
      </c>
      <c r="AS49" s="24" t="inlineStr">
        <is>
          <t>Shifters</t>
        </is>
      </c>
      <c r="AT49" s="24" t="inlineStr">
        <is>
          <t>Shifters</t>
        </is>
      </c>
      <c r="AU49" s="24" t="inlineStr">
        <is>
          <t>Shifters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research</t>
        </is>
      </c>
      <c r="BA49" s="24" t="inlineStr">
        <is>
          <t>9858f060c2a168107585edc8a721ca47c237812d7c1532146f3176089ebd00c8</t>
        </is>
      </c>
      <c r="BB49" s="24" t="inlineStr">
        <is>
          <t>neutral_elo</t>
        </is>
      </c>
      <c r="BC49" s="24" t="inlineStr">
        <is>
          <t>rainbow_six-tiered-elo-v6</t>
        </is>
      </c>
      <c r="BD49" s="24" t="inlineStr">
        <is>
          <t>9858f060c2a168107585edc8a721ca47c237812d7c1532146f3176089ebd00c8</t>
        </is>
      </c>
      <c r="BE49" s="24" t="inlineStr">
        <is>
          <t>1</t>
        </is>
      </c>
      <c r="BF49" s="24" t="inlineStr">
        <is>
          <t>1</t>
        </is>
      </c>
      <c r="BG49" s="24" t="inlineStr">
        <is>
          <t>rainbow_six-tiered-elo-v6</t>
        </is>
      </c>
      <c r="BH49" s="24" t="inlineStr">
        <is>
          <t>2026-10-06T10:50:53.274144Z</t>
        </is>
      </c>
      <c r="BI49" s="24" t="inlineStr">
        <is>
          <t>["same_event","same_team_same_day","same_league_same_day"]</t>
        </is>
      </c>
      <c r="BJ49" s="25" t="n"/>
      <c r="BK49" s="26" t="n">
        <v>-170</v>
      </c>
      <c r="BL49" s="27" t="n">
        <v>1.588235</v>
      </c>
      <c r="BM49" s="28" t="n">
        <v>0.62963</v>
      </c>
      <c r="BN49" s="28" t="n"/>
      <c r="BO49" s="28" t="n"/>
      <c r="BP49" s="25" t="n"/>
      <c r="BQ49" s="27" t="n">
        <v>1.588235</v>
      </c>
      <c r="BR49" s="28" t="n">
        <v>0.63</v>
      </c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inlineStr">
        <is>
          <t>False</t>
        </is>
      </c>
      <c r="CT49" s="24" t="n"/>
      <c r="CU49" s="24" t="n"/>
      <c r="CV49" s="24" t="n"/>
      <c r="CW49" s="24" t="n"/>
      <c r="CX49" s="24" t="n"/>
      <c r="CY49" s="24" t="n"/>
      <c r="CZ49" s="24" t="n"/>
      <c r="DA49" s="24" t="n"/>
      <c r="DB49" s="24" t="n"/>
      <c r="DC49" s="24" t="n"/>
      <c r="DD49" s="24" t="n"/>
      <c r="DE49" s="24" t="n"/>
      <c r="DF49" s="24" t="n"/>
      <c r="DG49" s="24" t="n"/>
      <c r="DH49" s="24" t="n"/>
      <c r="DI49" s="24" t="n"/>
      <c r="DJ49" s="24" t="n"/>
      <c r="DK49" s="24" t="n"/>
      <c r="DL49" s="24" t="n"/>
      <c r="DM49" s="24" t="n"/>
      <c r="DN49" s="24" t="n"/>
      <c r="DO49" s="24" t="n"/>
      <c r="DP49" s="24" t="n"/>
      <c r="DQ49" s="24" t="inlineStr">
        <is>
          <t>{"artifact_hash": "9858f060c2a168107585edc8a721ca47c237812d7c1532146f3176089ebd00c8", "away_team": "Geekay Esports", "event_id": "144058", "event_start_utc": "2026-10-06T16:00:00Z", "features": {"away_elo": 1642.27105, "away_history_count": 61, "home_elo": 1566.086413, "home_history_count": 111}, "historical_source_observation_times_verified": false, "home_team": "Shifters", "inference_inputs": {"book_state": {"games_played": {"bo3:7:19340": 61, "bo3:7:19716": 111}, "inactivity_half_life_days": null, "inactivity_max_pull": null, "k": 32.0, "last_match_utc": {"bo3:7:19340": "2026-10-05T16:00:00Z", "bo3:7:19716": "2026-09-30T20:00:00Z"}, "minimum_reliable_games": null, "platt_intercept": 0.1370995612441656, "platt_slope": 0.763965360686399, "ratings": {"bo3:7:19340": 1642.27105, "bo3:7:19716": 1566.086413},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"2026-10-06T10:50:53.103147+00:00", "team_ids": ["bo3:7:19716", "bo3:7:19340"]}, "market_type": "moneyline", "model_version": "rainbow_six-tiered-elo-v6", "observed_at_utc": "2026-10-06T10:50:53.103147+00:00", "probabilities": {"away": 0.54393, "home": 0.45607}, "replay_scope": "Exact serving book state, calibration, temperature, inactivity reference and thin-history adjustments; training provenance not certified.", "schema": "esports-elo-replay-v1", "snapshot_hash": "35d45af2f9634daaecd155a5a9eb97f4a828a10292a99d3c614db99047ab3902", "sport": "RAINBOW_SIX"}</t>
        </is>
      </c>
    </row>
    <row r="50" ht="36" customHeight="1">
      <c r="A50" s="24" t="inlineStr">
        <is>
          <t>7038e916e8714a51</t>
        </is>
      </c>
      <c r="B50" s="24" t="inlineStr">
        <is>
          <t>2026-10-07T22:28:03.287087Z</t>
        </is>
      </c>
      <c r="C50" s="24" t="inlineStr">
        <is>
          <t>2026-10-08T15:00:00Z</t>
        </is>
      </c>
      <c r="D50" s="24" t="inlineStr">
        <is>
          <t>143744</t>
        </is>
      </c>
      <c r="E50" s="24" t="inlineStr">
        <is>
          <t>RAINBOW_SIX</t>
        </is>
      </c>
      <c r="F50" s="24" t="inlineStr">
        <is>
          <t>DarkZero Esports</t>
        </is>
      </c>
      <c r="G50" s="24" t="inlineStr">
        <is>
          <t>Cloud9</t>
        </is>
      </c>
      <c r="H50" s="24" t="inlineStr">
        <is>
          <t>moneyline</t>
        </is>
      </c>
      <c r="I50" s="24" t="inlineStr">
        <is>
          <t>away</t>
        </is>
      </c>
      <c r="J50" s="25" t="n"/>
      <c r="K50" s="24" t="inlineStr">
        <is>
          <t>polymarket_us</t>
        </is>
      </c>
      <c r="L50" s="26" t="n">
        <v>-223</v>
      </c>
      <c r="M50" s="27" t="n">
        <v>1.44843</v>
      </c>
      <c r="N50" s="28" t="n">
        <v>0.690402</v>
      </c>
      <c r="O50" s="28" t="n">
        <v>0.562983</v>
      </c>
      <c r="P50" s="28" t="n"/>
      <c r="Q50" s="28" t="n">
        <v>-0.127419</v>
      </c>
      <c r="R50" s="26" t="n">
        <v>0</v>
      </c>
      <c r="S50" s="29" t="n">
        <v>1</v>
      </c>
      <c r="T50" s="24" t="inlineStr">
        <is>
          <t>rainbow_six-tiered-elo-v6</t>
        </is>
      </c>
      <c r="U50" s="24" t="inlineStr">
        <is>
          <t>settled</t>
        </is>
      </c>
      <c r="V50" s="24" t="inlineStr">
        <is>
          <t>loss</t>
        </is>
      </c>
      <c r="W50" s="26" t="n">
        <v>0</v>
      </c>
      <c r="X50" s="26" t="n">
        <v>1</v>
      </c>
      <c r="Y50" s="25" t="n"/>
      <c r="Z50" s="26" t="n">
        <v>-233</v>
      </c>
      <c r="AA50" s="28" t="n">
        <v>0.7</v>
      </c>
      <c r="AB50" s="28" t="n">
        <v>0.009598000000000001</v>
      </c>
      <c r="AC50" s="30" t="n">
        <v>-1</v>
      </c>
      <c r="AD50" s="24" t="inlineStr">
        <is>
          <t>2026-10-11T04:38:17.051149Z</t>
        </is>
      </c>
      <c r="AE50" s="31" t="inlineStr">
        <is>
          <t>Neutral Elo baseline; executable ask 0.6900 (market_slug=aec-r6-c9-dz-2026-10-08).</t>
        </is>
      </c>
      <c r="AF50" s="31" t="inlineStr">
        <is>
          <t>Config-promoted esports baseline; gates enforced at log time.</t>
        </is>
      </c>
      <c r="AG50" s="24" t="inlineStr">
        <is>
          <t>review_required</t>
        </is>
      </c>
      <c r="AH50" s="24" t="n"/>
      <c r="AI50" s="31" t="n"/>
      <c r="AJ50" s="31" t="n"/>
      <c r="AK50" s="24" t="inlineStr">
        <is>
          <t>paper_call</t>
        </is>
      </c>
      <c r="AL50" s="26" t="n">
        <v>4</v>
      </c>
      <c r="AM50" s="24" t="inlineStr">
        <is>
          <t>RESEARCH_OBSERVATION</t>
        </is>
      </c>
      <c r="AN50" s="24" t="inlineStr">
        <is>
          <t>CALL</t>
        </is>
      </c>
      <c r="AO50" s="24" t="inlineStr">
        <is>
          <t>PAPER_CALL_LOW_EDGE</t>
        </is>
      </c>
      <c r="AP50" s="24" t="inlineStr">
        <is>
          <t>DarkZero Esports</t>
        </is>
      </c>
      <c r="AQ50" s="24" t="inlineStr">
        <is>
          <t>DarkZero Esports</t>
        </is>
      </c>
      <c r="AR50" s="24" t="inlineStr">
        <is>
          <t>DarkZero Esports</t>
        </is>
      </c>
      <c r="AS50" s="24" t="inlineStr">
        <is>
          <t>Cloud9</t>
        </is>
      </c>
      <c r="AT50" s="24" t="inlineStr">
        <is>
          <t>Cloud9</t>
        </is>
      </c>
      <c r="AU50" s="24" t="inlineStr">
        <is>
          <t>Cloud9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research</t>
        </is>
      </c>
      <c r="BA50" s="24" t="inlineStr">
        <is>
          <t>6ba5d15b40a8ae0fc6edef9d2ee0f3d04150e80e420234231fec1c3c345f7a8f</t>
        </is>
      </c>
      <c r="BB50" s="24" t="inlineStr">
        <is>
          <t>neutral_elo</t>
        </is>
      </c>
      <c r="BC50" s="24" t="inlineStr">
        <is>
          <t>rainbow_six-tiered-elo-v6</t>
        </is>
      </c>
      <c r="BD50" s="24" t="inlineStr">
        <is>
          <t>6ba5d15b40a8ae0fc6edef9d2ee0f3d04150e80e420234231fec1c3c345f7a8f</t>
        </is>
      </c>
      <c r="BE50" s="24" t="inlineStr">
        <is>
          <t>1</t>
        </is>
      </c>
      <c r="BF50" s="24" t="inlineStr">
        <is>
          <t>1</t>
        </is>
      </c>
      <c r="BG50" s="24" t="inlineStr">
        <is>
          <t>rainbow_six-tiered-elo-v6</t>
        </is>
      </c>
      <c r="BH50" s="24" t="inlineStr">
        <is>
          <t>2026-10-07T22:27:21.740280Z</t>
        </is>
      </c>
      <c r="BI50" s="24" t="inlineStr">
        <is>
          <t>["same_event","same_team_same_day","same_league_same_day"]</t>
        </is>
      </c>
      <c r="BJ50" s="25" t="n"/>
      <c r="BK50" s="26" t="n">
        <v>-223</v>
      </c>
      <c r="BL50" s="27" t="n">
        <v>1.44843</v>
      </c>
      <c r="BM50" s="28" t="n">
        <v>0.690402</v>
      </c>
      <c r="BN50" s="28" t="n"/>
      <c r="BO50" s="28" t="n"/>
      <c r="BP50" s="25" t="n"/>
      <c r="BQ50" s="27" t="n">
        <v>1.429185</v>
      </c>
      <c r="BR50" s="28" t="n">
        <v>0.7</v>
      </c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inlineStr">
        <is>
          <t>False</t>
        </is>
      </c>
      <c r="CT50" s="24" t="n"/>
      <c r="CU50" s="24" t="n"/>
      <c r="CV50" s="24" t="n"/>
      <c r="CW50" s="24" t="n"/>
      <c r="CX50" s="24" t="n"/>
      <c r="CY50" s="24" t="n"/>
      <c r="CZ50" s="24" t="n"/>
      <c r="DA50" s="24" t="n"/>
      <c r="DB50" s="24" t="n"/>
      <c r="DC50" s="24" t="n"/>
      <c r="DD50" s="24" t="n"/>
      <c r="DE50" s="24" t="n"/>
      <c r="DF50" s="24" t="n"/>
      <c r="DG50" s="24" t="n"/>
      <c r="DH50" s="24" t="n"/>
      <c r="DI50" s="24" t="n"/>
      <c r="DJ50" s="24" t="n"/>
      <c r="DK50" s="24" t="n"/>
      <c r="DL50" s="24" t="n"/>
      <c r="DM50" s="24" t="n"/>
      <c r="DN50" s="24" t="n"/>
      <c r="DO50" s="24" t="n"/>
      <c r="DP50" s="24" t="n"/>
      <c r="DQ50" s="24" t="inlineStr">
        <is>
          <t>{"artifact_hash": "6ba5d15b40a8ae0fc6edef9d2ee0f3d04150e80e420234231fec1c3c345f7a8f", "away_team": "DarkZero Esports", "event_id": "143744", "event_start_utc": "2026-10-08T15:00:00Z", "features": {"away_elo": 1735.504181, "away_history_count": 127, "home_elo": 1632.634987, "home_history_count": 52}, "historical_source_observation_times_verified": false, "home_team": "Cloud9", "inference_inputs": {"book_state": {"games_played": {"bo3:7:19685": 52, "bo3:7:19729": 127}, "inactivity_half_life_days": null, "inactivity_max_pull": null, "k": 32.0, "last_match_utc": {"bo3:7:19685": "2026-10-02T20:00:00Z", "bo3:7:19729": "2026-10-02T22:00:00Z"}, "minimum_reliable_games": null, "platt_intercept": 0.1361313041024407, "platt_slope": 0.7681778963758318, "ratings": {"bo3:7:19685": 1632.634987, "bo3:7:19729": 1735.504181},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"2026-10-07T22:27:21.600823+00:00", "team_ids": ["bo3:7:19685", "bo3:7:19729"]}, "market_type": "moneyline", "model_version": "rainbow_six-tiered-elo-v6", "observed_at_utc": "2026-10-07T22:27:21.600823+00:00", "probabilities": {"away": 0.562983, "home": 0.437017}, "replay_scope": "Exact serving book state, calibration, temperature, inactivity reference and thin-history adjustments; training provenance not certified.", "schema": "esports-elo-replay-v1", "snapshot_hash": "a907813121397f018911f9a2d1e1a43c18c1bbed9d24a772b97263e43b204cc0", "sport": "RAINBOW_SIX"}</t>
        </is>
      </c>
    </row>
    <row r="51" ht="36" customHeight="1">
      <c r="A51" s="24" t="inlineStr">
        <is>
          <t>37b387b83d874dce</t>
        </is>
      </c>
      <c r="B51" s="24" t="inlineStr">
        <is>
          <t>2026-10-07T22:28:03.287087Z</t>
        </is>
      </c>
      <c r="C51" s="24" t="inlineStr">
        <is>
          <t>2026-10-08T18:00:00Z</t>
        </is>
      </c>
      <c r="D51" s="24" t="inlineStr">
        <is>
          <t>144060</t>
        </is>
      </c>
      <c r="E51" s="24" t="inlineStr">
        <is>
          <t>RAINBOW_SIX</t>
        </is>
      </c>
      <c r="F51" s="24" t="inlineStr">
        <is>
          <t>100 Thieves</t>
        </is>
      </c>
      <c r="G51" s="24" t="inlineStr">
        <is>
          <t>Shopify Rebellion</t>
        </is>
      </c>
      <c r="H51" s="24" t="inlineStr">
        <is>
          <t>moneyline</t>
        </is>
      </c>
      <c r="I51" s="24" t="inlineStr">
        <is>
          <t>home</t>
        </is>
      </c>
      <c r="J51" s="25" t="n"/>
      <c r="K51" s="24" t="inlineStr">
        <is>
          <t>polymarket_us</t>
        </is>
      </c>
      <c r="L51" s="26" t="n">
        <v>-233</v>
      </c>
      <c r="M51" s="27" t="n">
        <v>1.429185</v>
      </c>
      <c r="N51" s="28" t="n">
        <v>0.6997</v>
      </c>
      <c r="O51" s="28" t="n">
        <v>0.608032</v>
      </c>
      <c r="P51" s="28" t="n"/>
      <c r="Q51" s="28" t="n">
        <v>-0.091668</v>
      </c>
      <c r="R51" s="26" t="n">
        <v>0</v>
      </c>
      <c r="S51" s="29" t="n">
        <v>1</v>
      </c>
      <c r="T51" s="24" t="inlineStr">
        <is>
          <t>rainbow_six-tiered-elo-v6</t>
        </is>
      </c>
      <c r="U51" s="24" t="inlineStr">
        <is>
          <t>settled</t>
        </is>
      </c>
      <c r="V51" s="24" t="inlineStr">
        <is>
          <t>loss</t>
        </is>
      </c>
      <c r="W51" s="26" t="n">
        <v>1</v>
      </c>
      <c r="X51" s="26" t="n">
        <v>0</v>
      </c>
      <c r="Y51" s="25" t="n"/>
      <c r="Z51" s="26" t="n">
        <v>-400</v>
      </c>
      <c r="AA51" s="28" t="n">
        <v>0.8</v>
      </c>
      <c r="AB51" s="28" t="n">
        <v>0.1003</v>
      </c>
      <c r="AC51" s="30" t="n">
        <v>-1</v>
      </c>
      <c r="AD51" s="24" t="inlineStr">
        <is>
          <t>2026-10-11T04:38:18.072674Z</t>
        </is>
      </c>
      <c r="AE51" s="31" t="inlineStr">
        <is>
          <t>Neutral Elo baseline; executable ask 0.7000 (market_slug=aec-r6-sr-100t-2026-10-08).</t>
        </is>
      </c>
      <c r="AF51" s="31" t="inlineStr">
        <is>
          <t>Config-promoted esports baseline; gates enforced at log time.</t>
        </is>
      </c>
      <c r="AG51" s="24" t="inlineStr">
        <is>
          <t>review_required</t>
        </is>
      </c>
      <c r="AH51" s="24" t="n"/>
      <c r="AI51" s="31" t="n"/>
      <c r="AJ51" s="31" t="n"/>
      <c r="AK51" s="24" t="inlineStr">
        <is>
          <t>paper_call</t>
        </is>
      </c>
      <c r="AL51" s="26" t="n">
        <v>4</v>
      </c>
      <c r="AM51" s="24" t="inlineStr">
        <is>
          <t>RESEARCH_OBSERVATION</t>
        </is>
      </c>
      <c r="AN51" s="24" t="inlineStr">
        <is>
          <t>CALL</t>
        </is>
      </c>
      <c r="AO51" s="24" t="inlineStr">
        <is>
          <t>PAPER_CALL_LOW_EDGE</t>
        </is>
      </c>
      <c r="AP51" s="24" t="inlineStr">
        <is>
          <t>100 Thieves</t>
        </is>
      </c>
      <c r="AQ51" s="24" t="inlineStr">
        <is>
          <t>100 Thieves</t>
        </is>
      </c>
      <c r="AR51" s="24" t="inlineStr">
        <is>
          <t>100 Thieves</t>
        </is>
      </c>
      <c r="AS51" s="24" t="inlineStr">
        <is>
          <t>Shopify Rebellion</t>
        </is>
      </c>
      <c r="AT51" s="24" t="inlineStr">
        <is>
          <t>Shopify Rebellion</t>
        </is>
      </c>
      <c r="AU51" s="24" t="inlineStr">
        <is>
          <t>Shopify Rebellion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research</t>
        </is>
      </c>
      <c r="BA51" s="24" t="inlineStr">
        <is>
          <t>6ba5d15b40a8ae0fc6edef9d2ee0f3d04150e80e420234231fec1c3c345f7a8f</t>
        </is>
      </c>
      <c r="BB51" s="24" t="inlineStr">
        <is>
          <t>neutral_elo</t>
        </is>
      </c>
      <c r="BC51" s="24" t="inlineStr">
        <is>
          <t>rainbow_six-tiered-elo-v6</t>
        </is>
      </c>
      <c r="BD51" s="24" t="inlineStr">
        <is>
          <t>6ba5d15b40a8ae0fc6edef9d2ee0f3d04150e80e420234231fec1c3c345f7a8f</t>
        </is>
      </c>
      <c r="BE51" s="24" t="inlineStr">
        <is>
          <t>1</t>
        </is>
      </c>
      <c r="BF51" s="24" t="inlineStr">
        <is>
          <t>1</t>
        </is>
      </c>
      <c r="BG51" s="24" t="inlineStr">
        <is>
          <t>rainbow_six-tiered-elo-v6</t>
        </is>
      </c>
      <c r="BH51" s="24" t="inlineStr">
        <is>
          <t>2026-10-07T22:27:42.181627Z</t>
        </is>
      </c>
      <c r="BI51" s="24" t="inlineStr">
        <is>
          <t>["same_event","same_team_same_day","same_league_same_day"]</t>
        </is>
      </c>
      <c r="BJ51" s="25" t="n"/>
      <c r="BK51" s="26" t="n">
        <v>-233</v>
      </c>
      <c r="BL51" s="27" t="n">
        <v>1.429185</v>
      </c>
      <c r="BM51" s="28" t="n">
        <v>0.6997</v>
      </c>
      <c r="BN51" s="28" t="n"/>
      <c r="BO51" s="28" t="n"/>
      <c r="BP51" s="25" t="n"/>
      <c r="BQ51" s="27" t="n">
        <v>1.25</v>
      </c>
      <c r="BR51" s="28" t="n">
        <v>0.8</v>
      </c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inlineStr">
        <is>
          <t>False</t>
        </is>
      </c>
      <c r="CT51" s="24" t="n"/>
      <c r="CU51" s="24" t="n"/>
      <c r="CV51" s="24" t="n"/>
      <c r="CW51" s="24" t="n"/>
      <c r="CX51" s="24" t="n"/>
      <c r="CY51" s="24" t="n"/>
      <c r="CZ51" s="24" t="n"/>
      <c r="DA51" s="24" t="n"/>
      <c r="DB51" s="24" t="n"/>
      <c r="DC51" s="24" t="n"/>
      <c r="DD51" s="24" t="n"/>
      <c r="DE51" s="24" t="n"/>
      <c r="DF51" s="24" t="n"/>
      <c r="DG51" s="24" t="n"/>
      <c r="DH51" s="24" t="n"/>
      <c r="DI51" s="24" t="n"/>
      <c r="DJ51" s="24" t="n"/>
      <c r="DK51" s="24" t="n"/>
      <c r="DL51" s="24" t="n"/>
      <c r="DM51" s="24" t="n"/>
      <c r="DN51" s="24" t="n"/>
      <c r="DO51" s="24" t="n"/>
      <c r="DP51" s="24" t="n"/>
      <c r="DQ51" s="24" t="inlineStr">
        <is>
          <t>{"artifact_hash": "6ba5d15b40a8ae0fc6edef9d2ee0f3d04150e80e420234231fec1c3c345f7a8f", "away_team": "100 Thieves", "event_id": "144060", "event_start_utc": "2026-10-08T18:00:00Z", "features": {"away_elo": 1610.34644, "away_history_count": 24, "home_elo": 1700.940012, "home_history_count": 89}, "historical_source_observation_times_verified": false, "home_team": "Shopify Rebellion", "inference_inputs": {"book_state": {"games_played": {"bo3:7:19762": 89, "bo3:7:23109": 24}, "inactivity_half_life_days": null, "inactivity_max_pull": null, "k": 32.0, "last_match_utc": {"bo3:7:19762": "2026-10-02T19:00:00Z", "bo3:7:23109": "2026-10-02T21:00:00Z"}, "minimum_reliable_games": null, "platt_intercept": 0.1361313041024407, "platt_slope": 0.7681778963758318, "ratings": {"bo3:7:19762": 1700.940012, "bo3:7:23109": 1610.34644},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"2026-10-07T22:27:21.600823+00:00", "team_ids": ["bo3:7:19762", "bo3:7:23109"]}, "market_type": "moneyline", "model_version": "rainbow_six-tiered-elo-v6", "observed_at_utc": "2026-10-07T22:27:21.600823+00:00", "probabilities": {"away": 0.391968, "home": 0.608032}, "replay_scope": "Exact serving book state, calibration, temperature, inactivity reference and thin-history adjustments; training provenance not certified.", "schema": "esports-elo-replay-v1", "snapshot_hash": "12151b65c9d7281343a596a8b118e9d9220cf53d98715a002183be6125f79152", "sport": "RAINBOW_SIX"}</t>
        </is>
      </c>
    </row>
    <row r="52" ht="36" customHeight="1">
      <c r="A52" s="24" t="inlineStr">
        <is>
          <t>8508233a20eb4118</t>
        </is>
      </c>
      <c r="B52" s="24" t="inlineStr">
        <is>
          <t>2026-10-07T22:28:03.287087Z</t>
        </is>
      </c>
      <c r="C52" s="24" t="inlineStr">
        <is>
          <t>2026-10-09T00:00:00Z</t>
        </is>
      </c>
      <c r="D52" s="24" t="inlineStr">
        <is>
          <t>144618</t>
        </is>
      </c>
      <c r="E52" s="24" t="inlineStr">
        <is>
          <t>RAINBOW_SIX</t>
        </is>
      </c>
      <c r="F52" s="24" t="inlineStr">
        <is>
          <t>Team Liquid</t>
        </is>
      </c>
      <c r="G52" s="24" t="inlineStr">
        <is>
          <t>FURIA Esports</t>
        </is>
      </c>
      <c r="H52" s="24" t="inlineStr">
        <is>
          <t>moneyline</t>
        </is>
      </c>
      <c r="I52" s="24" t="inlineStr">
        <is>
          <t>home</t>
        </is>
      </c>
      <c r="J52" s="25" t="n"/>
      <c r="K52" s="24" t="inlineStr">
        <is>
          <t>polymarket_us</t>
        </is>
      </c>
      <c r="L52" s="26" t="n">
        <v>117</v>
      </c>
      <c r="M52" s="27" t="n">
        <v>2.17</v>
      </c>
      <c r="N52" s="28" t="n">
        <v>0.460829</v>
      </c>
      <c r="O52" s="28" t="n">
        <v>0.557868</v>
      </c>
      <c r="P52" s="28" t="n"/>
      <c r="Q52" s="28" t="n">
        <v>0.097039</v>
      </c>
      <c r="R52" s="26" t="n">
        <v>69</v>
      </c>
      <c r="S52" s="29" t="n">
        <v>1.25</v>
      </c>
      <c r="T52" s="24" t="inlineStr">
        <is>
          <t>rainbow_six-tiered-elo-v6</t>
        </is>
      </c>
      <c r="U52" s="24" t="inlineStr">
        <is>
          <t>settled</t>
        </is>
      </c>
      <c r="V52" s="24" t="inlineStr">
        <is>
          <t>loss</t>
        </is>
      </c>
      <c r="W52" s="26" t="n">
        <v>1</v>
      </c>
      <c r="X52" s="26" t="n">
        <v>0</v>
      </c>
      <c r="Y52" s="25" t="n"/>
      <c r="Z52" s="26" t="n">
        <v>-133</v>
      </c>
      <c r="AA52" s="28" t="n">
        <v>0.57</v>
      </c>
      <c r="AB52" s="28" t="n">
        <v>0.109171</v>
      </c>
      <c r="AC52" s="30" t="n">
        <v>-1.25</v>
      </c>
      <c r="AD52" s="24" t="inlineStr">
        <is>
          <t>2026-10-11T04:38:29.385173Z</t>
        </is>
      </c>
      <c r="AE52" s="31" t="inlineStr">
        <is>
          <t>Neutral Elo baseline; executable ask 0.4600 (market_slug=aec-r6-furia-liquid-2026-10-09).</t>
        </is>
      </c>
      <c r="AF52" s="31" t="inlineStr">
        <is>
          <t>Config-promoted esports baseline; gates enforced at log time.</t>
        </is>
      </c>
      <c r="AG52" s="24" t="inlineStr">
        <is>
          <t>review_required</t>
        </is>
      </c>
      <c r="AH52" s="24" t="n"/>
      <c r="AI52" s="31" t="n"/>
      <c r="AJ52" s="31" t="n"/>
      <c r="AK52" s="24" t="inlineStr">
        <is>
          <t>model_qualified</t>
        </is>
      </c>
      <c r="AL52" s="26" t="n">
        <v>4</v>
      </c>
      <c r="AM52" s="24" t="inlineStr">
        <is>
          <t>QUALIFIED_SHADOW_CALL</t>
        </is>
      </c>
      <c r="AN52" s="24" t="inlineStr">
        <is>
          <t>CALL</t>
        </is>
      </c>
      <c r="AO52" s="24" t="inlineStr">
        <is>
          <t>QUALIFIED</t>
        </is>
      </c>
      <c r="AP52" s="24" t="inlineStr">
        <is>
          <t>Team Liquid</t>
        </is>
      </c>
      <c r="AQ52" s="24" t="inlineStr">
        <is>
          <t>Team Liquid</t>
        </is>
      </c>
      <c r="AR52" s="24" t="inlineStr">
        <is>
          <t>Team Liquid</t>
        </is>
      </c>
      <c r="AS52" s="24" t="inlineStr">
        <is>
          <t>FURIA Esports</t>
        </is>
      </c>
      <c r="AT52" s="24" t="inlineStr">
        <is>
          <t>FURIA Esports</t>
        </is>
      </c>
      <c r="AU52" s="24" t="inlineStr">
        <is>
          <t>FURIA Esports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research</t>
        </is>
      </c>
      <c r="BA52" s="24" t="inlineStr">
        <is>
          <t>6ba5d15b40a8ae0fc6edef9d2ee0f3d04150e80e420234231fec1c3c345f7a8f</t>
        </is>
      </c>
      <c r="BB52" s="24" t="inlineStr">
        <is>
          <t>neutral_elo</t>
        </is>
      </c>
      <c r="BC52" s="24" t="inlineStr">
        <is>
          <t>rainbow_six-tiered-elo-v6</t>
        </is>
      </c>
      <c r="BD52" s="24" t="inlineStr">
        <is>
          <t>6ba5d15b40a8ae0fc6edef9d2ee0f3d04150e80e420234231fec1c3c345f7a8f</t>
        </is>
      </c>
      <c r="BE52" s="24" t="inlineStr">
        <is>
          <t>1</t>
        </is>
      </c>
      <c r="BF52" s="24" t="inlineStr">
        <is>
          <t>1</t>
        </is>
      </c>
      <c r="BG52" s="24" t="inlineStr">
        <is>
          <t>rainbow_six-tiered-elo-v6</t>
        </is>
      </c>
      <c r="BH52" s="24" t="inlineStr">
        <is>
          <t>2026-10-07T22:28:02.878689Z</t>
        </is>
      </c>
      <c r="BI52" s="24" t="inlineStr">
        <is>
          <t>["same_event","same_team_same_day","same_league_same_day"]</t>
        </is>
      </c>
      <c r="BJ52" s="25" t="n"/>
      <c r="BK52" s="26" t="n">
        <v>117</v>
      </c>
      <c r="BL52" s="27" t="n">
        <v>2.17</v>
      </c>
      <c r="BM52" s="28" t="n">
        <v>0.460829</v>
      </c>
      <c r="BN52" s="28" t="n"/>
      <c r="BO52" s="28" t="n"/>
      <c r="BP52" s="25" t="n"/>
      <c r="BQ52" s="27" t="n">
        <v>1.75188</v>
      </c>
      <c r="BR52" s="28" t="n">
        <v>0.57</v>
      </c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inlineStr">
        <is>
          <t>True</t>
        </is>
      </c>
      <c r="CT52" s="24" t="n"/>
      <c r="CU52" s="24" t="n"/>
      <c r="CV52" s="24" t="n"/>
      <c r="CW52" s="24" t="n"/>
      <c r="CX52" s="24" t="n"/>
      <c r="CY52" s="24" t="n"/>
      <c r="CZ52" s="24" t="n"/>
      <c r="DA52" s="24" t="n"/>
      <c r="DB52" s="24" t="n"/>
      <c r="DC52" s="24" t="n"/>
      <c r="DD52" s="24" t="n"/>
      <c r="DE52" s="24" t="n"/>
      <c r="DF52" s="24" t="n"/>
      <c r="DG52" s="24" t="n"/>
      <c r="DH52" s="24" t="n"/>
      <c r="DI52" s="24" t="n"/>
      <c r="DJ52" s="24" t="n"/>
      <c r="DK52" s="24" t="n"/>
      <c r="DL52" s="24" t="n"/>
      <c r="DM52" s="24" t="n"/>
      <c r="DN52" s="24" t="n"/>
      <c r="DO52" s="24" t="n"/>
      <c r="DP52" s="24" t="n"/>
      <c r="DQ52" s="24" t="inlineStr">
        <is>
          <t>{"artifact_hash": "6ba5d15b40a8ae0fc6edef9d2ee0f3d04150e80e420234231fec1c3c345f7a8f", "away_team": "Team Liquid", "event_id": "144618", "event_start_utc": "2026-10-09T00:00:00Z", "features": {"away_elo": 1730.301619, "away_history_count": 123, "home_elo": 1762.2002, "home_history_count": 143}, "historical_source_observation_times_verified": false, "home_team": "FURIA Esports", "inference_inputs": {"book_state": {"games_played": {"bo3:7:19662": 143, "bo3:7:19720": 123}, "inactivity_half_life_days": null, "inactivity_max_pull": null, "k": 32.0, "last_match_utc": {"bo3:7:19662": "2026-10-04T21:20:00Z", "bo3:7:19720": "2026-10-04T18:30:00Z"}, "minimum_reliable_games": null, "platt_intercept": 0.1361313041024407, "platt_slope": 0.7681778963758318, "ratings": {"bo3:7:19662": 1762.2002, "bo3:7:19720": 1730.301619},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"2026-10-07T22:27:21.600823+00:00", "team_ids": ["bo3:7:19662", "bo3:7:19720"]}, "market_type": "moneyline", "model_version": "rainbow_six-tiered-elo-v6", "observed_at_utc": "2026-10-07T22:27:21.600823+00:00", "probabilities": {"away": 0.442132, "home": 0.557868}, "replay_scope": "Exact serving book state, calibration, temperature, inactivity reference and thin-history adjustments; training provenance not certified.", "schema": "esports-elo-replay-v1", "snapshot_hash": "1227f5cf0efa572e4ec9d2eb26e9cfc8000f97349404efb4207d35b3bab65590", "sport": "RAINBOW_SIX"}</t>
        </is>
      </c>
    </row>
    <row r="53" ht="36" customHeight="1">
      <c r="A53" s="24" t="inlineStr">
        <is>
          <t>60ede10b322d4df1</t>
        </is>
      </c>
      <c r="B53" s="24" t="inlineStr">
        <is>
          <t>2026-10-12T11:04:15.044727Z</t>
        </is>
      </c>
      <c r="C53" s="24" t="inlineStr">
        <is>
          <t>2026-10-12T16:00:00Z</t>
        </is>
      </c>
      <c r="D53" s="24" t="inlineStr">
        <is>
          <t>151232</t>
        </is>
      </c>
      <c r="E53" s="24" t="inlineStr">
        <is>
          <t>RAINBOW_SIX</t>
        </is>
      </c>
      <c r="F53" s="24" t="inlineStr">
        <is>
          <t>G2 Esports</t>
        </is>
      </c>
      <c r="G53" s="24" t="inlineStr">
        <is>
          <t>Falcons Esport</t>
        </is>
      </c>
      <c r="H53" s="24" t="inlineStr">
        <is>
          <t>moneyline</t>
        </is>
      </c>
      <c r="I53" s="24" t="inlineStr">
        <is>
          <t>home</t>
        </is>
      </c>
      <c r="J53" s="25" t="n"/>
      <c r="K53" s="24" t="inlineStr">
        <is>
          <t>polymarket_us</t>
        </is>
      </c>
      <c r="L53" s="26" t="n">
        <v>-108</v>
      </c>
      <c r="M53" s="27" t="n">
        <v>1.925926</v>
      </c>
      <c r="N53" s="28" t="n">
        <v>0.519231</v>
      </c>
      <c r="O53" s="28" t="n">
        <v>0.503418</v>
      </c>
      <c r="P53" s="28" t="n"/>
      <c r="Q53" s="28" t="n">
        <v>-0.015813</v>
      </c>
      <c r="R53" s="26" t="n">
        <v>12</v>
      </c>
      <c r="S53" s="29" t="n">
        <v>1</v>
      </c>
      <c r="T53" s="24" t="inlineStr">
        <is>
          <t>rainbow_six-tiered-elo-v6</t>
        </is>
      </c>
      <c r="U53" s="24" t="inlineStr">
        <is>
          <t>settled</t>
        </is>
      </c>
      <c r="V53" s="24" t="inlineStr">
        <is>
          <t>win</t>
        </is>
      </c>
      <c r="W53" s="26" t="n">
        <v>0</v>
      </c>
      <c r="X53" s="26" t="n">
        <v>1</v>
      </c>
      <c r="Y53" s="25" t="n"/>
      <c r="Z53" s="26" t="n">
        <v>-108</v>
      </c>
      <c r="AA53" s="28" t="n">
        <v>0.52</v>
      </c>
      <c r="AB53" s="28" t="n">
        <v>0.000769</v>
      </c>
      <c r="AC53" s="30" t="n">
        <v>0.9258999999999999</v>
      </c>
      <c r="AD53" s="24" t="inlineStr">
        <is>
          <t>2026-10-12T22:03:56.793353Z</t>
        </is>
      </c>
      <c r="AE53" s="31" t="inlineStr">
        <is>
          <t>Neutral Elo baseline; executable ask 0.5200 (market_slug=aec-r6-flcs-g2-2026-10-12).</t>
        </is>
      </c>
      <c r="AF53" s="31" t="inlineStr">
        <is>
          <t>Config-promoted esports baseline; gates enforced at log time.</t>
        </is>
      </c>
      <c r="AG53" s="24" t="inlineStr">
        <is>
          <t>not_applicable</t>
        </is>
      </c>
      <c r="AH53" s="24" t="n"/>
      <c r="AI53" s="31" t="n"/>
      <c r="AJ53" s="31" t="n"/>
      <c r="AK53" s="24" t="inlineStr">
        <is>
          <t>paper_call</t>
        </is>
      </c>
      <c r="AL53" s="26" t="n">
        <v>4</v>
      </c>
      <c r="AM53" s="24" t="inlineStr">
        <is>
          <t>RESEARCH_OBSERVATION</t>
        </is>
      </c>
      <c r="AN53" s="24" t="inlineStr">
        <is>
          <t>CALL</t>
        </is>
      </c>
      <c r="AO53" s="24" t="inlineStr">
        <is>
          <t>PAPER_CALL_LOW_EDGE</t>
        </is>
      </c>
      <c r="AP53" s="24" t="inlineStr">
        <is>
          <t>G2 Esports</t>
        </is>
      </c>
      <c r="AQ53" s="24" t="inlineStr">
        <is>
          <t>G2 Esports</t>
        </is>
      </c>
      <c r="AR53" s="24" t="inlineStr">
        <is>
          <t>G2 Esports</t>
        </is>
      </c>
      <c r="AS53" s="24" t="inlineStr">
        <is>
          <t>Falcons Esport</t>
        </is>
      </c>
      <c r="AT53" s="24" t="inlineStr">
        <is>
          <t>Falcons Esport</t>
        </is>
      </c>
      <c r="AU53" s="24" t="inlineStr">
        <is>
          <t>Falcons Esport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research</t>
        </is>
      </c>
      <c r="BA53" s="24" t="inlineStr">
        <is>
          <t>2d38e60d3b7e4a6bcc7eb232756e397e4733295e854167b83389c8d46c85fe60</t>
        </is>
      </c>
      <c r="BB53" s="24" t="inlineStr">
        <is>
          <t>neutral_elo</t>
        </is>
      </c>
      <c r="BC53" s="24" t="inlineStr">
        <is>
          <t>rainbow_six-tiered-elo-v6</t>
        </is>
      </c>
      <c r="BD53" s="24" t="inlineStr">
        <is>
          <t>2d38e60d3b7e4a6bcc7eb232756e397e4733295e854167b83389c8d46c85fe60</t>
        </is>
      </c>
      <c r="BE53" s="24" t="inlineStr">
        <is>
          <t>1</t>
        </is>
      </c>
      <c r="BF53" s="24" t="inlineStr">
        <is>
          <t>1</t>
        </is>
      </c>
      <c r="BG53" s="24" t="inlineStr">
        <is>
          <t>rainbow_six-tiered-elo-v6</t>
        </is>
      </c>
      <c r="BH53" s="24" t="inlineStr">
        <is>
          <t>2026-10-12T11:03:23.993111Z</t>
        </is>
      </c>
      <c r="BI53" s="24" t="inlineStr">
        <is>
          <t>["same_event","same_team_same_day","same_league_same_day"]</t>
        </is>
      </c>
      <c r="BJ53" s="25" t="n"/>
      <c r="BK53" s="26" t="n">
        <v>-108</v>
      </c>
      <c r="BL53" s="27" t="n">
        <v>1.925926</v>
      </c>
      <c r="BM53" s="28" t="n">
        <v>0.519231</v>
      </c>
      <c r="BN53" s="28" t="n"/>
      <c r="BO53" s="28" t="n"/>
      <c r="BP53" s="25" t="n"/>
      <c r="BQ53" s="27" t="n">
        <v>1.925926</v>
      </c>
      <c r="BR53" s="28" t="n">
        <v>0.52</v>
      </c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  <c r="CR53" s="24" t="n"/>
      <c r="CS53" s="24" t="inlineStr">
        <is>
          <t>False</t>
        </is>
      </c>
      <c r="CT53" s="24" t="n"/>
      <c r="CU53" s="24" t="n"/>
      <c r="CV53" s="24" t="n"/>
      <c r="CW53" s="24" t="n"/>
      <c r="CX53" s="24" t="n"/>
      <c r="CY53" s="24" t="n"/>
      <c r="CZ53" s="24" t="n"/>
      <c r="DA53" s="24" t="n"/>
      <c r="DB53" s="24" t="n"/>
      <c r="DC53" s="24" t="n"/>
      <c r="DD53" s="24" t="n"/>
      <c r="DE53" s="24" t="n"/>
      <c r="DF53" s="24" t="n"/>
      <c r="DG53" s="24" t="n"/>
      <c r="DH53" s="24" t="n"/>
      <c r="DI53" s="24" t="n"/>
      <c r="DJ53" s="24" t="n"/>
      <c r="DK53" s="24" t="n"/>
      <c r="DL53" s="24" t="n"/>
      <c r="DM53" s="24" t="n"/>
      <c r="DN53" s="24" t="n"/>
      <c r="DO53" s="24" t="n"/>
      <c r="DP53" s="24" t="n"/>
      <c r="DQ53" s="24" t="inlineStr">
        <is>
          <t>{"artifact_hash": "2d38e60d3b7e4a6bcc7eb232756e397e4733295e854167b83389c8d46c85fe60", "away_team": "G2 Esports", "event_id": "151232", "event_start_utc": "2026-10-12T16:00:00Z", "features": {"away_elo": 1816.240593, "away_history_count": 149, "home_elo": 1787.811904, "home_history_count": 128}, "historical_source_observation_times_verified": false, "home_team": "Falcons Esport", "inference_inputs": {"book_state": {"games_played": {"bo3:7:19439": 128, "bo3:7:19715": 149}, "inactivity_half_life_days": null, "inactivity_max_pull": null, "k": 32.0, "last_match_utc": {"bo3:7:19439": "2026-10-05T16:00:00Z", "bo3:7:19715": "2026-10-05T18:10:00Z"}, "minimum_reliable_games": null, "platt_intercept": 0.13189564392408787, "platt_slope": 0.7456028563944902, "ratings": {"bo3:7:19439": 1787.811904, "bo3:7:19715": 1816.240593},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"2026-10-12T11:03:23.889273+00:00", "team_ids": ["bo3:7:19439", "bo3:7:19715"]}, "market_type": "moneyline", "model_version": "rainbow_six-tiered-elo-v6", "observed_at_utc": "2026-10-12T11:03:23.889273+00:00", "probabilities": {"away": 0.496582, "home": 0.503418}, "replay_scope": "Exact serving book state, calibration, temperature, inactivity reference and thin-history adjustments; training provenance not certified.", "schema": "esports-elo-replay-v1", "snapshot_hash": "1be75c5bd1b181145c51a09b0431f75803773fbc31e536055b6faef62f490ca1", "sport": "RAINBOW_SIX"}</t>
        </is>
      </c>
    </row>
    <row r="54" ht="36" customHeight="1">
      <c r="A54" s="24" t="inlineStr">
        <is>
          <t>d4c4088f21244ca8</t>
        </is>
      </c>
      <c r="B54" s="24" t="inlineStr">
        <is>
          <t>2026-10-12T16:51:50.855971Z</t>
        </is>
      </c>
      <c r="C54" s="24" t="inlineStr">
        <is>
          <t>2026-10-12T19:00:00Z</t>
        </is>
      </c>
      <c r="D54" s="24" t="inlineStr">
        <is>
          <t>151517</t>
        </is>
      </c>
      <c r="E54" s="24" t="inlineStr">
        <is>
          <t>RAINBOW_SIX</t>
        </is>
      </c>
      <c r="F54" s="24" t="inlineStr">
        <is>
          <t>Virtus.pro</t>
        </is>
      </c>
      <c r="G54" s="24" t="inlineStr">
        <is>
          <t>Geekay Esports</t>
        </is>
      </c>
      <c r="H54" s="24" t="inlineStr">
        <is>
          <t>moneyline</t>
        </is>
      </c>
      <c r="I54" s="24" t="inlineStr">
        <is>
          <t>away</t>
        </is>
      </c>
      <c r="J54" s="25" t="n"/>
      <c r="K54" s="24" t="inlineStr">
        <is>
          <t>polymarket_us</t>
        </is>
      </c>
      <c r="L54" s="26" t="n">
        <v>-203</v>
      </c>
      <c r="M54" s="27" t="n">
        <v>1.492611</v>
      </c>
      <c r="N54" s="28" t="n">
        <v>0.669967</v>
      </c>
      <c r="O54" s="28" t="n">
        <v>0.509543</v>
      </c>
      <c r="P54" s="28" t="n"/>
      <c r="Q54" s="28" t="n">
        <v>-0.160424</v>
      </c>
      <c r="R54" s="26" t="n">
        <v>0</v>
      </c>
      <c r="S54" s="29" t="n">
        <v>1</v>
      </c>
      <c r="T54" s="24" t="inlineStr">
        <is>
          <t>rainbow_six-tiered-elo-v6</t>
        </is>
      </c>
      <c r="U54" s="24" t="inlineStr">
        <is>
          <t>settled</t>
        </is>
      </c>
      <c r="V54" s="24" t="inlineStr">
        <is>
          <t>loss</t>
        </is>
      </c>
      <c r="W54" s="26" t="n">
        <v>0</v>
      </c>
      <c r="X54" s="26" t="n">
        <v>1</v>
      </c>
      <c r="Y54" s="25" t="n"/>
      <c r="Z54" s="26" t="n">
        <v>-203</v>
      </c>
      <c r="AA54" s="28" t="n">
        <v>0.67</v>
      </c>
      <c r="AB54" s="28" t="n">
        <v>3.3e-05</v>
      </c>
      <c r="AC54" s="30" t="n">
        <v>-1</v>
      </c>
      <c r="AD54" s="24" t="inlineStr">
        <is>
          <t>2026-10-12T22:03:57.665021Z</t>
        </is>
      </c>
      <c r="AE54" s="31" t="inlineStr">
        <is>
          <t>Neutral Elo baseline; executable ask 0.6700 (market_slug=aec-r6-ge-vp-2026-10-12).</t>
        </is>
      </c>
      <c r="AF54" s="31" t="inlineStr">
        <is>
          <t>Config-promoted esports baseline; gates enforced at log time.</t>
        </is>
      </c>
      <c r="AG54" s="24" t="inlineStr">
        <is>
          <t>review_required</t>
        </is>
      </c>
      <c r="AH54" s="24" t="n"/>
      <c r="AI54" s="31" t="n"/>
      <c r="AJ54" s="31" t="n"/>
      <c r="AK54" s="24" t="inlineStr">
        <is>
          <t>paper_call</t>
        </is>
      </c>
      <c r="AL54" s="26" t="n">
        <v>4</v>
      </c>
      <c r="AM54" s="24" t="inlineStr">
        <is>
          <t>RESEARCH_OBSERVATION</t>
        </is>
      </c>
      <c r="AN54" s="24" t="inlineStr">
        <is>
          <t>CALL</t>
        </is>
      </c>
      <c r="AO54" s="24" t="inlineStr">
        <is>
          <t>PAPER_CALL_LOW_EDGE</t>
        </is>
      </c>
      <c r="AP54" s="24" t="inlineStr">
        <is>
          <t>Virtus.pro</t>
        </is>
      </c>
      <c r="AQ54" s="24" t="inlineStr">
        <is>
          <t>Virtus.pro</t>
        </is>
      </c>
      <c r="AR54" s="24" t="inlineStr">
        <is>
          <t>Virtus.pro</t>
        </is>
      </c>
      <c r="AS54" s="24" t="inlineStr">
        <is>
          <t>Geekay Esports</t>
        </is>
      </c>
      <c r="AT54" s="24" t="inlineStr">
        <is>
          <t>Geekay Esports</t>
        </is>
      </c>
      <c r="AU54" s="24" t="inlineStr">
        <is>
          <t>Geekay Esports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research</t>
        </is>
      </c>
      <c r="BA54" s="24" t="inlineStr">
        <is>
          <t>152f414c029b2d0fa2242f6737b546bf9a05fb8276bb911c2169b65002542354</t>
        </is>
      </c>
      <c r="BB54" s="24" t="inlineStr">
        <is>
          <t>neutral_elo</t>
        </is>
      </c>
      <c r="BC54" s="24" t="inlineStr">
        <is>
          <t>rainbow_six-tiered-elo-v6</t>
        </is>
      </c>
      <c r="BD54" s="24" t="inlineStr">
        <is>
          <t>152f414c029b2d0fa2242f6737b546bf9a05fb8276bb911c2169b65002542354</t>
        </is>
      </c>
      <c r="BE54" s="24" t="inlineStr">
        <is>
          <t>1</t>
        </is>
      </c>
      <c r="BF54" s="24" t="inlineStr">
        <is>
          <t>1</t>
        </is>
      </c>
      <c r="BG54" s="24" t="inlineStr">
        <is>
          <t>rainbow_six-tiered-elo-v6</t>
        </is>
      </c>
      <c r="BH54" s="24" t="inlineStr">
        <is>
          <t>2026-10-12T16:51:27.147501Z</t>
        </is>
      </c>
      <c r="BI54" s="24" t="inlineStr">
        <is>
          <t>["same_event","same_team_same_day","same_league_same_day"]</t>
        </is>
      </c>
      <c r="BJ54" s="25" t="n"/>
      <c r="BK54" s="26" t="n">
        <v>-203</v>
      </c>
      <c r="BL54" s="27" t="n">
        <v>1.492611</v>
      </c>
      <c r="BM54" s="28" t="n">
        <v>0.669967</v>
      </c>
      <c r="BN54" s="28" t="n"/>
      <c r="BO54" s="28" t="n"/>
      <c r="BP54" s="25" t="n"/>
      <c r="BQ54" s="27" t="n">
        <v>1.492611</v>
      </c>
      <c r="BR54" s="28" t="n">
        <v>0.67</v>
      </c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  <c r="CR54" s="24" t="n"/>
      <c r="CS54" s="24" t="inlineStr">
        <is>
          <t>False</t>
        </is>
      </c>
      <c r="CT54" s="24" t="n"/>
      <c r="CU54" s="24" t="n"/>
      <c r="CV54" s="24" t="n"/>
      <c r="CW54" s="24" t="n"/>
      <c r="CX54" s="24" t="n"/>
      <c r="CY54" s="24" t="n"/>
      <c r="CZ54" s="24" t="n"/>
      <c r="DA54" s="24" t="n"/>
      <c r="DB54" s="24" t="n"/>
      <c r="DC54" s="24" t="n"/>
      <c r="DD54" s="24" t="n"/>
      <c r="DE54" s="24" t="n"/>
      <c r="DF54" s="24" t="n"/>
      <c r="DG54" s="24" t="n"/>
      <c r="DH54" s="24" t="n"/>
      <c r="DI54" s="24" t="n"/>
      <c r="DJ54" s="24" t="n"/>
      <c r="DK54" s="24" t="n"/>
      <c r="DL54" s="24" t="n"/>
      <c r="DM54" s="24" t="n"/>
      <c r="DN54" s="24" t="n"/>
      <c r="DO54" s="24" t="n"/>
      <c r="DP54" s="24" t="n"/>
      <c r="DQ54" s="24" t="inlineStr">
        <is>
          <t>{"artifact_hash": "152f414c029b2d0fa2242f6737b546bf9a05fb8276bb911c2169b65002542354", "away_team": "Virtus.pro", "event_id": "151517", "event_start_utc": "2026-10-12T19:00:00Z", "features": {"away_elo": 1702.410364, "away_history_count": 113, "home_elo": 1659.108757, "home_history_count": 62}, "historical_source_observation_times_verified": false, "home_team": "Geekay Esports", "inference_inputs": {"book_state": {"games_played": {"bo3:7:19340": 62, "bo3:7:19668": 113}, "inactivity_half_life_days": null, "inactivity_max_pull": null, "k": 32.0, "last_match_utc": {"bo3:7:19340": "2026-10-06T16:00:00Z", "bo3:7:19668": "2026-10-06T19:15:00Z"}, "minimum_reliable_games": null, "platt_intercept": 0.13189564392408787, "platt_slope": 0.7456028563944902, "ratings": {"bo3:7:19340": 1659.108757, "bo3:7:19668": 1702.410364},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"2026-10-12T16:51:27.018707+00:00", "team_ids": ["bo3:7:19340", "bo3:7:19668"]}, "market_type": "moneyline", "model_version": "rainbow_six-tiered-elo-v6", "observed_at_utc": "2026-10-12T16:51:27.018707+00:00", "probabilities": {"away": 0.509543, "home": 0.490457}, "replay_scope": "Exact serving book state, calibration, temperature, inactivity reference and thin-history adjustments; training provenance not certified.", "schema": "esports-elo-replay-v1", "snapshot_hash": "390aced1da1eecb9f19307e3871f933ec6dced38f6366c1223b22e5d86ae431b", "sport": "RAINBOW_SIX"}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2026-10-12T22:03:57Z</dcterms:created>
  <dcterms:modified xmlns:dcterms="http://purl.org/dc/terms/" xmlns:xsi="http://www.w3.org/2001/XMLSchema-instance" xsi:type="dcterms:W3CDTF">2026-10-12T22:03:57Z</dcterms:modified>
</cp:coreProperties>
</file>