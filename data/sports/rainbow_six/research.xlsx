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51" headerRowCount="1">
  <autoFilter ref="A1:DQ51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COUNTA('Picks'!$A$2:$A$51)</f>
        <v/>
      </c>
      <c r="C4" s="6">
        <f>COUNTIF('Picks'!$U$2:$U$51,"open")</f>
        <v/>
      </c>
      <c r="E4" s="6">
        <f>COUNTIF('Picks'!$U$2:$U$51,"settled")</f>
        <v/>
      </c>
      <c r="G4" s="6">
        <f>IF(COUNTIFS('Picks'!$U$2:$U$51,"settled",'Picks'!$V$2:$V$51,"win")+COUNTIFS('Picks'!$U$2:$U$51,"settled",'Picks'!$V$2:$V$51,"loss")&gt;=$L$2,"Ready","Insufficient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COUNTIF('Picks'!$BX$2:$BX$51,"&gt;0")</f>
        <v/>
      </c>
      <c r="C7" s="6">
        <f>COUNTIFS('Picks'!$BX$2:$BX$51,"&gt;0",'Picks'!$V$2:$V$51,"win")&amp;"-"&amp;COUNTIFS('Picks'!$BX$2:$BX$51,"&gt;0",'Picks'!$V$2:$V$51,"loss")</f>
        <v/>
      </c>
      <c r="E7" s="7">
        <f>IFERROR(COUNTIFS('Picks'!$BX$2:$BX$51,"&gt;0",'Picks'!$V$2:$V$51,"win")/(COUNTIFS('Picks'!$BX$2:$BX$51,"&gt;0",'Picks'!$V$2:$V$51,"win")+COUNTIFS('Picks'!$BX$2:$BX$51,"&gt;0",'Picks'!$V$2:$V$51,"loss")),0)</f>
        <v/>
      </c>
      <c r="G7" s="7">
        <f>IFERROR(SUM('Picks'!$BY$2:$BY$51)/SUM('Picks'!$BX$2:$BX$51),0)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SUM('Picks'!$BY$2:$BY$51)</f>
        <v/>
      </c>
      <c r="C10" s="9">
        <f>IFERROR(AVERAGEIF('Picks'!$AB$2:$AB$51,"&lt;&gt;",'Picks'!$AB$2:$AB$51),0)</f>
        <v/>
      </c>
      <c r="E10" s="6">
        <f>COUNTIFS('Picks'!$AM$2:$AM$51,"QUALIFIED_SHADOW_CALL",'Picks'!$U$2:$U$51,"settled")</f>
        <v/>
      </c>
      <c r="G10" s="8">
        <f>SUMIFS('Picks'!$AC$2:$AC$51,'Picks'!$AM$2:$AM$51,"QUALIFIED_SHADOW_CALL")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COUNTIFS('Picks'!$H$2:$H$51,$A14,'Picks'!$U$2:$U$51,"settled")</f>
        <v/>
      </c>
      <c r="C14" s="13">
        <f>COUNTIFS('Picks'!$H$2:$H$51,$A14,'Picks'!$U$2:$U$51,"settled",'Picks'!$V$2:$V$51,"win")</f>
        <v/>
      </c>
      <c r="D14" s="13">
        <f>COUNTIFS('Picks'!$H$2:$H$51,$A14,'Picks'!$U$2:$U$51,"settled",'Picks'!$V$2:$V$51,"loss")</f>
        <v/>
      </c>
      <c r="E14" s="14">
        <f>IFERROR(C14/(C14+D14),0)</f>
        <v/>
      </c>
      <c r="F14" s="15">
        <f>SUMIFS('Picks'!$BY$2:$BY$51,'Picks'!$H$2:$H$51,$A14)</f>
        <v/>
      </c>
      <c r="G14" s="16">
        <f>IFERROR(AVERAGEIFS('Picks'!$AB$2:$AB$51,'Picks'!$H$2:$H$51,$A14,'Picks'!$U$2:$U$51,"settled"),0)</f>
        <v/>
      </c>
    </row>
    <row r="15">
      <c r="A15" s="17" t="inlineStr">
        <is>
          <t>spread</t>
        </is>
      </c>
      <c r="B15" s="18">
        <f>COUNTIFS('Picks'!$H$2:$H$51,$A15,'Picks'!$U$2:$U$51,"settled")</f>
        <v/>
      </c>
      <c r="C15" s="18">
        <f>COUNTIFS('Picks'!$H$2:$H$51,$A15,'Picks'!$U$2:$U$51,"settled",'Picks'!$V$2:$V$51,"win")</f>
        <v/>
      </c>
      <c r="D15" s="18">
        <f>COUNTIFS('Picks'!$H$2:$H$51,$A15,'Picks'!$U$2:$U$51,"settled",'Picks'!$V$2:$V$51,"loss")</f>
        <v/>
      </c>
      <c r="E15" s="19">
        <f>IFERROR(C15/(C15+D15),0)</f>
        <v/>
      </c>
      <c r="F15" s="20">
        <f>SUMIFS('Picks'!$BY$2:$BY$51,'Picks'!$H$2:$H$51,$A15)</f>
        <v/>
      </c>
      <c r="G15" s="21">
        <f>IFERROR(AVERAGEIFS('Picks'!$AB$2:$AB$51,'Picks'!$H$2:$H$51,$A15,'Picks'!$U$2:$U$51,"settled"),0)</f>
        <v/>
      </c>
    </row>
    <row r="16">
      <c r="A16" s="12" t="inlineStr">
        <is>
          <t>total</t>
        </is>
      </c>
      <c r="B16" s="13">
        <f>COUNTIFS('Picks'!$H$2:$H$51,$A16,'Picks'!$U$2:$U$51,"settled")</f>
        <v/>
      </c>
      <c r="C16" s="13">
        <f>COUNTIFS('Picks'!$H$2:$H$51,$A16,'Picks'!$U$2:$U$51,"settled",'Picks'!$V$2:$V$51,"win")</f>
        <v/>
      </c>
      <c r="D16" s="13">
        <f>COUNTIFS('Picks'!$H$2:$H$51,$A16,'Picks'!$U$2:$U$51,"settled",'Picks'!$V$2:$V$51,"loss")</f>
        <v/>
      </c>
      <c r="E16" s="14">
        <f>IFERROR(C16/(C16+D16),0)</f>
        <v/>
      </c>
      <c r="F16" s="15">
        <f>SUMIFS('Picks'!$BY$2:$BY$51,'Picks'!$H$2:$H$51,$A16)</f>
        <v/>
      </c>
      <c r="G16" s="16">
        <f>IFERROR(AVERAGEIFS('Picks'!$AB$2:$AB$51,'Picks'!$H$2:$H$51,$A16,'Picks'!$U$2:$U$51,"settled"),0)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89f5038c33654ea0</t>
        </is>
      </c>
      <c r="B2" s="24" t="inlineStr">
        <is>
          <t>2026-08-06T03:30:30.498661Z</t>
        </is>
      </c>
      <c r="C2" s="24" t="inlineStr">
        <is>
          <t>2026-08-06T15:20:00Z</t>
        </is>
      </c>
      <c r="D2" s="24" t="inlineStr">
        <is>
          <t>73419</t>
        </is>
      </c>
      <c r="E2" s="24" t="inlineStr">
        <is>
          <t>RAINBOW_SIX</t>
        </is>
      </c>
      <c r="F2" s="24" t="inlineStr">
        <is>
          <t>M80</t>
        </is>
      </c>
      <c r="G2" s="24" t="inlineStr">
        <is>
          <t>Falcons Esport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-117</v>
      </c>
      <c r="M2" s="27" t="n">
        <v>1.854701</v>
      </c>
      <c r="N2" s="28" t="n">
        <v>0.539171</v>
      </c>
      <c r="O2" s="28" t="n">
        <v>0.578429</v>
      </c>
      <c r="P2" s="28" t="n"/>
      <c r="Q2" s="28" t="n">
        <v>0.039258</v>
      </c>
      <c r="R2" s="26" t="n">
        <v>40</v>
      </c>
      <c r="S2" s="29" t="n">
        <v>1.25</v>
      </c>
      <c r="T2" s="24" t="inlineStr">
        <is>
          <t>rainbow_six-tiered-elo-v6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1.0684</v>
      </c>
      <c r="AD2" s="24" t="inlineStr">
        <is>
          <t>2026-08-06T18:56:44.131290Z</t>
        </is>
      </c>
      <c r="AE2" s="31" t="inlineStr">
        <is>
          <t>Neutral Elo baseline; executable ask 0.5400 (market_slug=aec-r6-flcs-m80-2026-08-06).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PAPER_CALL_WINNER_OVERVALUED</t>
        </is>
      </c>
      <c r="AP2" s="24" t="inlineStr">
        <is>
          <t>M80</t>
        </is>
      </c>
      <c r="AQ2" s="24" t="inlineStr">
        <is>
          <t>M80</t>
        </is>
      </c>
      <c r="AR2" s="24" t="inlineStr">
        <is>
          <t>M80</t>
        </is>
      </c>
      <c r="AS2" s="24" t="inlineStr">
        <is>
          <t>Falcons Esport</t>
        </is>
      </c>
      <c r="AT2" s="24" t="inlineStr">
        <is>
          <t>Falcons Esport</t>
        </is>
      </c>
      <c r="AU2" s="24" t="inlineStr">
        <is>
          <t>Falcons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a698c67f693c2eeab5e359d6ca252b9aa5ba235175563e8abf0dff8043e8288c</t>
        </is>
      </c>
      <c r="BB2" s="24" t="inlineStr">
        <is>
          <t>neutral_elo</t>
        </is>
      </c>
      <c r="BC2" s="24" t="inlineStr">
        <is>
          <t>rainbow_six-tiered-elo-v6</t>
        </is>
      </c>
      <c r="BD2" s="24" t="inlineStr">
        <is>
          <t>a698c67f693c2eeab5e359d6ca252b9aa5ba235175563e8abf0dff8043e8288c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rainbow_six-tiered-elo-v6</t>
        </is>
      </c>
      <c r="BH2" s="24" t="inlineStr">
        <is>
          <t>2026-08-06T03:30:27.416067Z</t>
        </is>
      </c>
      <c r="BI2" s="24" t="inlineStr">
        <is>
          <t>["same_event","same_team_same_day","same_league_same_day"]</t>
        </is>
      </c>
      <c r="BJ2" s="25" t="n"/>
      <c r="BK2" s="26" t="n">
        <v>-117</v>
      </c>
      <c r="BL2" s="27" t="n">
        <v>1.854701</v>
      </c>
      <c r="BM2" s="28" t="n">
        <v>0.539171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0.539171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19bf234c158b4525</t>
        </is>
      </c>
      <c r="B3" s="24" t="inlineStr">
        <is>
          <t>2026-08-09T14:01:43.911021Z</t>
        </is>
      </c>
      <c r="C3" s="24" t="inlineStr">
        <is>
          <t>2026-08-09T17:00:00Z</t>
        </is>
      </c>
      <c r="D3" s="24" t="inlineStr">
        <is>
          <t>75283</t>
        </is>
      </c>
      <c r="E3" s="24" t="inlineStr">
        <is>
          <t>RAINBOW_SIX</t>
        </is>
      </c>
      <c r="F3" s="24" t="inlineStr">
        <is>
          <t>Weibo Gaming</t>
        </is>
      </c>
      <c r="G3" s="24" t="inlineStr">
        <is>
          <t>Virtus.pro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163</v>
      </c>
      <c r="M3" s="27" t="n">
        <v>2.63</v>
      </c>
      <c r="N3" s="28" t="n">
        <v>0.380228</v>
      </c>
      <c r="O3" s="28" t="n">
        <v>0.5820070000000001</v>
      </c>
      <c r="P3" s="28" t="n"/>
      <c r="Q3" s="28" t="n">
        <v>0.201779</v>
      </c>
      <c r="R3" s="26" t="n">
        <v>100</v>
      </c>
      <c r="S3" s="29" t="n">
        <v>1.25</v>
      </c>
      <c r="T3" s="24" t="inlineStr">
        <is>
          <t>rainbow_six-tiered-elo-v6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178</v>
      </c>
      <c r="AA3" s="28" t="n">
        <v>0.36</v>
      </c>
      <c r="AB3" s="28" t="n">
        <v>-0.020228</v>
      </c>
      <c r="AC3" s="30" t="n">
        <v>2.0375</v>
      </c>
      <c r="AD3" s="24" t="inlineStr">
        <is>
          <t>2026-08-09T17:05:13.541977Z</t>
        </is>
      </c>
      <c r="AE3" s="31" t="inlineStr">
        <is>
          <t>Neutral Elo baseline; executable ask 0.3800 (market_slug=aec-r6-vp-wbg-2026-08-09).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Weibo Gaming</t>
        </is>
      </c>
      <c r="AQ3" s="24" t="inlineStr">
        <is>
          <t>Weibo Gaming</t>
        </is>
      </c>
      <c r="AR3" s="24" t="inlineStr">
        <is>
          <t>Weibo Gaming</t>
        </is>
      </c>
      <c r="AS3" s="24" t="inlineStr">
        <is>
          <t>Virtus.pro</t>
        </is>
      </c>
      <c r="AT3" s="24" t="inlineStr">
        <is>
          <t>Virtus.pro</t>
        </is>
      </c>
      <c r="AU3" s="24" t="inlineStr">
        <is>
          <t>Virtus.pro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3b81c1a225385446e6c2efcb53bbcef49ca7c03c0ccb69faec9e458b1a6f00c1</t>
        </is>
      </c>
      <c r="BB3" s="24" t="inlineStr">
        <is>
          <t>neutral_elo</t>
        </is>
      </c>
      <c r="BC3" s="24" t="inlineStr">
        <is>
          <t>rainbow_six-tiered-elo-v6</t>
        </is>
      </c>
      <c r="BD3" s="24" t="inlineStr">
        <is>
          <t>3b81c1a225385446e6c2efcb53bbcef49ca7c03c0ccb69faec9e458b1a6f00c1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rainbow_six-tiered-elo-v6</t>
        </is>
      </c>
      <c r="BH3" s="24" t="inlineStr">
        <is>
          <t>2026-08-09T14:01:43.349448Z</t>
        </is>
      </c>
      <c r="BI3" s="24" t="inlineStr">
        <is>
          <t>["same_event","same_team_same_day","same_league_same_day"]</t>
        </is>
      </c>
      <c r="BJ3" s="25" t="n"/>
      <c r="BK3" s="26" t="n">
        <v>163</v>
      </c>
      <c r="BL3" s="27" t="n">
        <v>2.63</v>
      </c>
      <c r="BM3" s="28" t="n">
        <v>0.380228</v>
      </c>
      <c r="BN3" s="28" t="n"/>
      <c r="BO3" s="28" t="n"/>
      <c r="BP3" s="25" t="n"/>
      <c r="BQ3" s="27" t="n">
        <v>2.78</v>
      </c>
      <c r="BR3" s="28" t="n">
        <v>0.36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0.380228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0295e13994eb4209</t>
        </is>
      </c>
      <c r="B4" s="24" t="inlineStr">
        <is>
          <t>2026-08-13T13:47:13.395027Z</t>
        </is>
      </c>
      <c r="C4" s="24" t="inlineStr">
        <is>
          <t>2026-08-13T14:00:00Z</t>
        </is>
      </c>
      <c r="D4" s="24" t="inlineStr">
        <is>
          <t>77319</t>
        </is>
      </c>
      <c r="E4" s="24" t="inlineStr">
        <is>
          <t>RAINBOW_SIX</t>
        </is>
      </c>
      <c r="F4" s="24" t="inlineStr">
        <is>
          <t>Team Secret</t>
        </is>
      </c>
      <c r="G4" s="24" t="inlineStr">
        <is>
          <t>Geekay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0.642788</v>
      </c>
      <c r="P4" s="28" t="n"/>
      <c r="Q4" s="28" t="n">
        <v>0.033413</v>
      </c>
      <c r="R4" s="26" t="n">
        <v>37</v>
      </c>
      <c r="S4" s="29" t="n">
        <v>1.5</v>
      </c>
      <c r="T4" s="24" t="inlineStr">
        <is>
          <t>rainbow_six-tiered-elo-v6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-156</v>
      </c>
      <c r="AA4" s="28" t="n">
        <v>0.61</v>
      </c>
      <c r="AB4" s="28" t="n">
        <v>0.000625</v>
      </c>
      <c r="AC4" s="30" t="n">
        <v>0.9615</v>
      </c>
      <c r="AD4" s="24" t="inlineStr">
        <is>
          <t>2026-08-13T16:50:10.325320Z</t>
        </is>
      </c>
      <c r="AE4" s="31" t="inlineStr">
        <is>
          <t>Neutral Elo baseline; executable ask 0.6100 (market_slug=aec-r6-ge-secret-2026-08-13).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Team Secret</t>
        </is>
      </c>
      <c r="AQ4" s="24" t="inlineStr">
        <is>
          <t>Team Secret</t>
        </is>
      </c>
      <c r="AR4" s="24" t="inlineStr">
        <is>
          <t>Team Secret</t>
        </is>
      </c>
      <c r="AS4" s="24" t="inlineStr">
        <is>
          <t>Geekay Esports</t>
        </is>
      </c>
      <c r="AT4" s="24" t="inlineStr">
        <is>
          <t>Geekay Esports</t>
        </is>
      </c>
      <c r="AU4" s="24" t="inlineStr">
        <is>
          <t>Geekay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5abfbacc5cb76b78275a1604ae93eb223c0b4a7794a63b0d764f8921f60f0e7b</t>
        </is>
      </c>
      <c r="BB4" s="24" t="inlineStr">
        <is>
          <t>neutral_elo</t>
        </is>
      </c>
      <c r="BC4" s="24" t="inlineStr">
        <is>
          <t>rainbow_six-tiered-elo-v6</t>
        </is>
      </c>
      <c r="BD4" s="24" t="inlineStr">
        <is>
          <t>5abfbacc5cb76b78275a1604ae93eb223c0b4a7794a63b0d764f8921f60f0e7b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rainbow_six-tiered-elo-v6</t>
        </is>
      </c>
      <c r="BH4" s="24" t="inlineStr">
        <is>
          <t>2026-08-13T13:47:12.403984Z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>
        <v>1.641026</v>
      </c>
      <c r="BR4" s="28" t="n">
        <v>0.61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0.609375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a1907779f6a743c3</t>
        </is>
      </c>
      <c r="B5" s="24" t="inlineStr">
        <is>
          <t>2026-08-14T13:58:18.513239Z</t>
        </is>
      </c>
      <c r="C5" s="24" t="inlineStr">
        <is>
          <t>2026-08-14T14:00:00Z</t>
        </is>
      </c>
      <c r="D5" s="24" t="inlineStr">
        <is>
          <t>80211</t>
        </is>
      </c>
      <c r="E5" s="24" t="inlineStr">
        <is>
          <t>RAINBOW_SIX</t>
        </is>
      </c>
      <c r="F5" s="24" t="inlineStr">
        <is>
          <t>FURIA Esports</t>
        </is>
      </c>
      <c r="G5" s="24" t="inlineStr">
        <is>
          <t>DarkZero Esports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0.577062</v>
      </c>
      <c r="P5" s="28" t="n"/>
      <c r="Q5" s="28" t="n">
        <v>-0.032313</v>
      </c>
      <c r="R5" s="26" t="n">
        <v>4</v>
      </c>
      <c r="S5" s="29" t="n">
        <v>1.25</v>
      </c>
      <c r="T5" s="24" t="inlineStr">
        <is>
          <t>rainbow_six-tiered-elo-v6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-156</v>
      </c>
      <c r="AA5" s="28" t="n">
        <v>0.61</v>
      </c>
      <c r="AB5" s="28" t="n">
        <v>0.000625</v>
      </c>
      <c r="AC5" s="30" t="n">
        <v>-1.25</v>
      </c>
      <c r="AD5" s="24" t="inlineStr">
        <is>
          <t>2026-08-14T17:02:01.124892Z</t>
        </is>
      </c>
      <c r="AE5" s="31" t="inlineStr">
        <is>
          <t>Neutral Elo baseline; executable ask 0.6100 (market_slug=aec-r6-dz-furia-2026-08-14).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FURIA Esports</t>
        </is>
      </c>
      <c r="AQ5" s="24" t="inlineStr">
        <is>
          <t>FURIA Esports</t>
        </is>
      </c>
      <c r="AR5" s="24" t="inlineStr">
        <is>
          <t>FURIA Esports</t>
        </is>
      </c>
      <c r="AS5" s="24" t="inlineStr">
        <is>
          <t>DarkZero Esports</t>
        </is>
      </c>
      <c r="AT5" s="24" t="inlineStr">
        <is>
          <t>DarkZero Esports</t>
        </is>
      </c>
      <c r="AU5" s="24" t="inlineStr">
        <is>
          <t>DarkZero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3619bd990e352abf6cd219710188949b8725f578baae272d7c6a6b90e69e029f</t>
        </is>
      </c>
      <c r="BB5" s="24" t="inlineStr">
        <is>
          <t>neutral_elo</t>
        </is>
      </c>
      <c r="BC5" s="24" t="inlineStr">
        <is>
          <t>rainbow_six-tiered-elo-v6</t>
        </is>
      </c>
      <c r="BD5" s="24" t="inlineStr">
        <is>
          <t>3619bd990e352abf6cd219710188949b8725f578baae272d7c6a6b90e69e029f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rainbow_six-tiered-elo-v6</t>
        </is>
      </c>
      <c r="BH5" s="24" t="inlineStr">
        <is>
          <t>2026-08-14T13:58:17.951275Z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>
        <v>1.641026</v>
      </c>
      <c r="BR5" s="28" t="n">
        <v>0.61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0.609375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0dcc79427371432f</t>
        </is>
      </c>
      <c r="B6" s="24" t="inlineStr">
        <is>
          <t>2026-09-03T04:36:12.635938Z</t>
        </is>
      </c>
      <c r="C6" s="24" t="inlineStr">
        <is>
          <t>2026-09-03T08:00:00Z</t>
        </is>
      </c>
      <c r="D6" s="24" t="inlineStr">
        <is>
          <t>98304</t>
        </is>
      </c>
      <c r="E6" s="24" t="inlineStr">
        <is>
          <t>RAINBOW_SIX</t>
        </is>
      </c>
      <c r="F6" s="24" t="inlineStr">
        <is>
          <t>Circular Spheres</t>
        </is>
      </c>
      <c r="G6" s="24" t="inlineStr">
        <is>
          <t>Arcade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-144</v>
      </c>
      <c r="M6" s="27" t="n">
        <v>1.694444</v>
      </c>
      <c r="N6" s="28" t="n">
        <v>0.590164</v>
      </c>
      <c r="O6" s="28" t="n">
        <v>0.527469</v>
      </c>
      <c r="P6" s="28" t="n"/>
      <c r="Q6" s="28" t="n">
        <v>-0.062695</v>
      </c>
      <c r="R6" s="26" t="n">
        <v>0</v>
      </c>
      <c r="S6" s="29" t="n">
        <v>1</v>
      </c>
      <c r="T6" s="24" t="inlineStr">
        <is>
          <t>rainbow_six-tiered-elo-v6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-144</v>
      </c>
      <c r="AA6" s="28" t="n">
        <v>0.59</v>
      </c>
      <c r="AB6" s="28" t="n">
        <v>-0.000164</v>
      </c>
      <c r="AC6" s="30" t="n">
        <v>0.6944</v>
      </c>
      <c r="AD6" s="24" t="inlineStr">
        <is>
          <t>2026-09-03T16:08:29.443156Z</t>
        </is>
      </c>
      <c r="AE6" s="31" t="inlineStr">
        <is>
          <t>Neutral Elo baseline; executable ask 0.5900 (market_slug=aec-r6-arc-cs-2026-09-03).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Circular Spheres</t>
        </is>
      </c>
      <c r="AQ6" s="24" t="inlineStr">
        <is>
          <t>Circular Spheres</t>
        </is>
      </c>
      <c r="AR6" s="24" t="inlineStr">
        <is>
          <t>Circular Spheres</t>
        </is>
      </c>
      <c r="AS6" s="24" t="inlineStr">
        <is>
          <t>Arcade Esports</t>
        </is>
      </c>
      <c r="AT6" s="24" t="inlineStr">
        <is>
          <t>Arcade Esports</t>
        </is>
      </c>
      <c r="AU6" s="24" t="inlineStr">
        <is>
          <t>Arcade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a9e6e5ad72d180246e3c5f9de30497e0c01cb67d04b6a556c4b4c494085be0fe</t>
        </is>
      </c>
      <c r="BB6" s="24" t="inlineStr">
        <is>
          <t>neutral_elo</t>
        </is>
      </c>
      <c r="BC6" s="24" t="inlineStr">
        <is>
          <t>rainbow_six-tiered-elo-v6</t>
        </is>
      </c>
      <c r="BD6" s="24" t="inlineStr">
        <is>
          <t>a9e6e5ad72d180246e3c5f9de30497e0c01cb67d04b6a556c4b4c494085be0fe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rainbow_six-tiered-elo-v6</t>
        </is>
      </c>
      <c r="BH6" s="24" t="inlineStr">
        <is>
          <t>2026-09-03T04:36:11.590061Z</t>
        </is>
      </c>
      <c r="BI6" s="24" t="inlineStr">
        <is>
          <t>["same_event","same_team_same_day","same_league_same_day"]</t>
        </is>
      </c>
      <c r="BJ6" s="25" t="n"/>
      <c r="BK6" s="26" t="n">
        <v>-144</v>
      </c>
      <c r="BL6" s="27" t="n">
        <v>1.694444</v>
      </c>
      <c r="BM6" s="28" t="n">
        <v>0.590164</v>
      </c>
      <c r="BN6" s="28" t="n"/>
      <c r="BO6" s="28" t="n"/>
      <c r="BP6" s="25" t="n"/>
      <c r="BQ6" s="27" t="n">
        <v>1.694444</v>
      </c>
      <c r="BR6" s="28" t="n">
        <v>0.59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0.590164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9127040d4dea4c81</t>
        </is>
      </c>
      <c r="B7" s="24" t="inlineStr">
        <is>
          <t>2026-09-04T10:04:45.935043Z</t>
        </is>
      </c>
      <c r="C7" s="24" t="inlineStr">
        <is>
          <t>2026-09-04T12:30:00Z</t>
        </is>
      </c>
      <c r="D7" s="24" t="inlineStr">
        <is>
          <t>100409</t>
        </is>
      </c>
      <c r="E7" s="24" t="inlineStr">
        <is>
          <t>RAINBOW_SIX</t>
        </is>
      </c>
      <c r="F7" s="24" t="inlineStr">
        <is>
          <t>EDward Gaming</t>
        </is>
      </c>
      <c r="G7" s="24" t="inlineStr">
        <is>
          <t>All Gamers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0.541365</v>
      </c>
      <c r="P7" s="28" t="n"/>
      <c r="Q7" s="28" t="n">
        <v>-0.078407</v>
      </c>
      <c r="R7" s="26" t="n">
        <v>0</v>
      </c>
      <c r="S7" s="29" t="n">
        <v>1</v>
      </c>
      <c r="T7" s="24" t="inlineStr">
        <is>
          <t>rainbow_six-tiered-elo-v6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-163</v>
      </c>
      <c r="AA7" s="28" t="n">
        <v>0.62</v>
      </c>
      <c r="AB7" s="28" t="n">
        <v>0.000228</v>
      </c>
      <c r="AC7" s="30" t="n">
        <v>-1</v>
      </c>
      <c r="AD7" s="24" t="inlineStr">
        <is>
          <t>2026-09-04T16:01:13.582765Z</t>
        </is>
      </c>
      <c r="AE7" s="31" t="inlineStr">
        <is>
          <t>Neutral Elo baseline; executable ask 0.6200 (market_slug=aec-r6-ag-edg-2026-09-04).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EDward Gaming</t>
        </is>
      </c>
      <c r="AQ7" s="24" t="inlineStr">
        <is>
          <t>EDward Gaming</t>
        </is>
      </c>
      <c r="AR7" s="24" t="inlineStr">
        <is>
          <t>EDward Gaming</t>
        </is>
      </c>
      <c r="AS7" s="24" t="inlineStr">
        <is>
          <t>All Gamers</t>
        </is>
      </c>
      <c r="AT7" s="24" t="inlineStr">
        <is>
          <t>All Gamers</t>
        </is>
      </c>
      <c r="AU7" s="24" t="inlineStr">
        <is>
          <t>All Gamers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cd70337218f53848d5223e968d10c4542e01063807918da7e5a682491f8990a6</t>
        </is>
      </c>
      <c r="BB7" s="24" t="inlineStr">
        <is>
          <t>neutral_elo</t>
        </is>
      </c>
      <c r="BC7" s="24" t="inlineStr">
        <is>
          <t>rainbow_six-tiered-elo-v6</t>
        </is>
      </c>
      <c r="BD7" s="24" t="inlineStr">
        <is>
          <t>cd70337218f53848d5223e968d10c4542e01063807918da7e5a682491f8990a6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rainbow_six-tiered-elo-v6</t>
        </is>
      </c>
      <c r="BH7" s="24" t="inlineStr">
        <is>
          <t>2026-09-04T10:04:44.894370Z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>
        <v>1.613497</v>
      </c>
      <c r="BR7" s="28" t="n">
        <v>0.62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0.619772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e81d888a74c549b3</t>
        </is>
      </c>
      <c r="B8" s="24" t="inlineStr">
        <is>
          <t>2026-09-04T10:04:45.935043Z</t>
        </is>
      </c>
      <c r="C8" s="24" t="inlineStr">
        <is>
          <t>2026-09-04T13:00:00Z</t>
        </is>
      </c>
      <c r="D8" s="24" t="inlineStr">
        <is>
          <t>100451</t>
        </is>
      </c>
      <c r="E8" s="24" t="inlineStr">
        <is>
          <t>RAINBOW_SIX</t>
        </is>
      </c>
      <c r="F8" s="24" t="inlineStr">
        <is>
          <t>Weibo Gaming</t>
        </is>
      </c>
      <c r="G8" s="24" t="inlineStr">
        <is>
          <t>Ex-Elevate Academy APAC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-213</v>
      </c>
      <c r="M8" s="27" t="n">
        <v>1.469484</v>
      </c>
      <c r="N8" s="28" t="n">
        <v>0.680511</v>
      </c>
      <c r="O8" s="28" t="n">
        <v>0.625451</v>
      </c>
      <c r="P8" s="28" t="n"/>
      <c r="Q8" s="28" t="n">
        <v>-0.05506</v>
      </c>
      <c r="R8" s="26" t="n">
        <v>0</v>
      </c>
      <c r="S8" s="29" t="n">
        <v>1</v>
      </c>
      <c r="T8" s="24" t="inlineStr">
        <is>
          <t>rainbow_six-tiered-elo-v6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-213</v>
      </c>
      <c r="AA8" s="28" t="n">
        <v>0.68</v>
      </c>
      <c r="AB8" s="28" t="n">
        <v>-0.000511</v>
      </c>
      <c r="AC8" s="30" t="n">
        <v>0.4695</v>
      </c>
      <c r="AD8" s="24" t="inlineStr">
        <is>
          <t>2026-09-04T16:01:13.885440Z</t>
        </is>
      </c>
      <c r="AE8" s="31" t="inlineStr">
        <is>
          <t>Neutral Elo baseline; executable ask 0.6800 (market_slug=aec-r6-exelvapa-wbg-2026-09-04).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Weibo Gaming</t>
        </is>
      </c>
      <c r="AQ8" s="24" t="inlineStr">
        <is>
          <t>Weibo Gaming</t>
        </is>
      </c>
      <c r="AR8" s="24" t="inlineStr">
        <is>
          <t>Weibo Gaming</t>
        </is>
      </c>
      <c r="AS8" s="24" t="inlineStr">
        <is>
          <t>Ex-Elevate Academy APAC</t>
        </is>
      </c>
      <c r="AT8" s="24" t="inlineStr">
        <is>
          <t>Ex-Elevate Academy APAC</t>
        </is>
      </c>
      <c r="AU8" s="24" t="inlineStr">
        <is>
          <t>Ex-Elevate Academy APAC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cd70337218f53848d5223e968d10c4542e01063807918da7e5a682491f8990a6</t>
        </is>
      </c>
      <c r="BB8" s="24" t="inlineStr">
        <is>
          <t>neutral_elo</t>
        </is>
      </c>
      <c r="BC8" s="24" t="inlineStr">
        <is>
          <t>rainbow_six-tiered-elo-v6</t>
        </is>
      </c>
      <c r="BD8" s="24" t="inlineStr">
        <is>
          <t>cd70337218f53848d5223e968d10c4542e01063807918da7e5a682491f8990a6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rainbow_six-tiered-elo-v6</t>
        </is>
      </c>
      <c r="BH8" s="24" t="inlineStr">
        <is>
          <t>2026-09-04T10:04:44.952178Z</t>
        </is>
      </c>
      <c r="BI8" s="24" t="inlineStr">
        <is>
          <t>["same_event","same_team_same_day","same_league_same_day"]</t>
        </is>
      </c>
      <c r="BJ8" s="25" t="n"/>
      <c r="BK8" s="26" t="n">
        <v>-213</v>
      </c>
      <c r="BL8" s="27" t="n">
        <v>1.469484</v>
      </c>
      <c r="BM8" s="28" t="n">
        <v>0.680511</v>
      </c>
      <c r="BN8" s="28" t="n"/>
      <c r="BO8" s="28" t="n"/>
      <c r="BP8" s="25" t="n"/>
      <c r="BQ8" s="27" t="n">
        <v>1.469484</v>
      </c>
      <c r="BR8" s="28" t="n">
        <v>0.68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0.680511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2057c66258604a06</t>
        </is>
      </c>
      <c r="B9" s="24" t="inlineStr">
        <is>
          <t>2026-09-06T16:03:59.730607Z</t>
        </is>
      </c>
      <c r="C9" s="24" t="inlineStr">
        <is>
          <t>2026-09-06T18:30:00Z</t>
        </is>
      </c>
      <c r="D9" s="24" t="inlineStr">
        <is>
          <t>101767</t>
        </is>
      </c>
      <c r="E9" s="24" t="inlineStr">
        <is>
          <t>RAINBOW_SIX</t>
        </is>
      </c>
      <c r="F9" s="24" t="inlineStr">
        <is>
          <t>Black Dragons e-Sports</t>
        </is>
      </c>
      <c r="G9" s="24" t="inlineStr">
        <is>
          <t>Lucky Five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-108</v>
      </c>
      <c r="M9" s="27" t="n">
        <v>1.925926</v>
      </c>
      <c r="N9" s="28" t="n">
        <v>0.519231</v>
      </c>
      <c r="O9" s="28" t="n">
        <v>0.5342209999999999</v>
      </c>
      <c r="P9" s="28" t="n"/>
      <c r="Q9" s="28" t="n">
        <v>0.01499</v>
      </c>
      <c r="R9" s="26" t="n">
        <v>27</v>
      </c>
      <c r="S9" s="29" t="n">
        <v>1</v>
      </c>
      <c r="T9" s="24" t="inlineStr">
        <is>
          <t>rainbow_six-tiered-elo-v6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-108</v>
      </c>
      <c r="AA9" s="28" t="n">
        <v>0.52</v>
      </c>
      <c r="AB9" s="28" t="n">
        <v>0.000769</v>
      </c>
      <c r="AC9" s="30" t="n">
        <v>0.9258999999999999</v>
      </c>
      <c r="AD9" s="24" t="inlineStr">
        <is>
          <t>2026-09-06T22:02:21.666890Z</t>
        </is>
      </c>
      <c r="AE9" s="31" t="inlineStr">
        <is>
          <t>Neutral Elo baseline; executable ask 0.5200 (market_slug=aec-r6-l5-bd-2026-09-06).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Black Dragons e-Sports</t>
        </is>
      </c>
      <c r="AQ9" s="24" t="inlineStr">
        <is>
          <t>Black Dragons e-Sports</t>
        </is>
      </c>
      <c r="AR9" s="24" t="inlineStr">
        <is>
          <t>Black Dragons e-Sports</t>
        </is>
      </c>
      <c r="AS9" s="24" t="inlineStr">
        <is>
          <t>Lucky Five</t>
        </is>
      </c>
      <c r="AT9" s="24" t="inlineStr">
        <is>
          <t>Lucky Five</t>
        </is>
      </c>
      <c r="AU9" s="24" t="inlineStr">
        <is>
          <t>Lucky Five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0c3327b687d0a13dd438e3cac429ec2853fcd1e81b9808bd9c1896f2c1c1edc1</t>
        </is>
      </c>
      <c r="BB9" s="24" t="inlineStr">
        <is>
          <t>neutral_elo</t>
        </is>
      </c>
      <c r="BC9" s="24" t="inlineStr">
        <is>
          <t>rainbow_six-tiered-elo-v6</t>
        </is>
      </c>
      <c r="BD9" s="24" t="inlineStr">
        <is>
          <t>0c3327b687d0a13dd438e3cac429ec2853fcd1e81b9808bd9c1896f2c1c1edc1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rainbow_six-tiered-elo-v6</t>
        </is>
      </c>
      <c r="BH9" s="24" t="inlineStr">
        <is>
          <t>2026-09-06T16:03:58.172953Z</t>
        </is>
      </c>
      <c r="BI9" s="24" t="inlineStr">
        <is>
          <t>["same_event","same_team_same_day","same_league_same_day"]</t>
        </is>
      </c>
      <c r="BJ9" s="25" t="n"/>
      <c r="BK9" s="26" t="n">
        <v>-108</v>
      </c>
      <c r="BL9" s="27" t="n">
        <v>1.925926</v>
      </c>
      <c r="BM9" s="28" t="n">
        <v>0.519231</v>
      </c>
      <c r="BN9" s="28" t="n"/>
      <c r="BO9" s="28" t="n"/>
      <c r="BP9" s="25" t="n"/>
      <c r="BQ9" s="27" t="n">
        <v>1.925926</v>
      </c>
      <c r="BR9" s="28" t="n">
        <v>0.52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0.519231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d9cb5d8f0a334443</t>
        </is>
      </c>
      <c r="B10" s="24" t="inlineStr">
        <is>
          <t>2026-09-06T16:03:59.730607Z</t>
        </is>
      </c>
      <c r="C10" s="24" t="inlineStr">
        <is>
          <t>2026-09-06T19:45:00Z</t>
        </is>
      </c>
      <c r="D10" s="24" t="inlineStr">
        <is>
          <t>102089</t>
        </is>
      </c>
      <c r="E10" s="24" t="inlineStr">
        <is>
          <t>RAINBOW_SIX</t>
        </is>
      </c>
      <c r="F10" s="24" t="inlineStr">
        <is>
          <t>LOS</t>
        </is>
      </c>
      <c r="G10" s="24" t="inlineStr">
        <is>
          <t>LOUD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117</v>
      </c>
      <c r="M10" s="27" t="n">
        <v>2.17</v>
      </c>
      <c r="N10" s="28" t="n">
        <v>0.460829</v>
      </c>
      <c r="O10" s="28" t="n">
        <v>0.575813</v>
      </c>
      <c r="P10" s="28" t="n"/>
      <c r="Q10" s="28" t="n">
        <v>0.114984</v>
      </c>
      <c r="R10" s="26" t="n">
        <v>77</v>
      </c>
      <c r="S10" s="29" t="n">
        <v>1.5</v>
      </c>
      <c r="T10" s="24" t="inlineStr">
        <is>
          <t>rainbow_six-tiered-elo-v6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117</v>
      </c>
      <c r="AA10" s="28" t="n">
        <v>0.46</v>
      </c>
      <c r="AB10" s="28" t="n">
        <v>-0.000829</v>
      </c>
      <c r="AC10" s="30" t="n">
        <v>-1.5</v>
      </c>
      <c r="AD10" s="24" t="inlineStr">
        <is>
          <t>2026-09-06T22:02:21.799844Z</t>
        </is>
      </c>
      <c r="AE10" s="31" t="inlineStr">
        <is>
          <t>Neutral Elo baseline; executable ask 0.4600 (market_slug=aec-r6-loud-los-2026-09-06).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LOS</t>
        </is>
      </c>
      <c r="AQ10" s="24" t="inlineStr">
        <is>
          <t>LOS</t>
        </is>
      </c>
      <c r="AR10" s="24" t="inlineStr">
        <is>
          <t>LOS</t>
        </is>
      </c>
      <c r="AS10" s="24" t="inlineStr">
        <is>
          <t>LOUD</t>
        </is>
      </c>
      <c r="AT10" s="24" t="inlineStr">
        <is>
          <t>LOUD</t>
        </is>
      </c>
      <c r="AU10" s="24" t="inlineStr">
        <is>
          <t>LOUD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0c3327b687d0a13dd438e3cac429ec2853fcd1e81b9808bd9c1896f2c1c1edc1</t>
        </is>
      </c>
      <c r="BB10" s="24" t="inlineStr">
        <is>
          <t>neutral_elo</t>
        </is>
      </c>
      <c r="BC10" s="24" t="inlineStr">
        <is>
          <t>rainbow_six-tiered-elo-v6</t>
        </is>
      </c>
      <c r="BD10" s="24" t="inlineStr">
        <is>
          <t>0c3327b687d0a13dd438e3cac429ec2853fcd1e81b9808bd9c1896f2c1c1edc1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rainbow_six-tiered-elo-v6</t>
        </is>
      </c>
      <c r="BH10" s="24" t="inlineStr">
        <is>
          <t>2026-09-06T16:03:58.251590Z</t>
        </is>
      </c>
      <c r="BI10" s="24" t="inlineStr">
        <is>
          <t>["same_event","same_team_same_day","same_league_same_day"]</t>
        </is>
      </c>
      <c r="BJ10" s="25" t="n"/>
      <c r="BK10" s="26" t="n">
        <v>117</v>
      </c>
      <c r="BL10" s="27" t="n">
        <v>2.17</v>
      </c>
      <c r="BM10" s="28" t="n">
        <v>0.460829</v>
      </c>
      <c r="BN10" s="28" t="n"/>
      <c r="BO10" s="28" t="n"/>
      <c r="BP10" s="25" t="n"/>
      <c r="BQ10" s="27" t="n">
        <v>2.17</v>
      </c>
      <c r="BR10" s="28" t="n">
        <v>0.46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0.460829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e0f0aa1209324c7a</t>
        </is>
      </c>
      <c r="B11" s="24" t="inlineStr">
        <is>
          <t>2026-09-07T04:34:12.701031Z</t>
        </is>
      </c>
      <c r="C11" s="24" t="inlineStr">
        <is>
          <t>2026-09-07T09:00:00Z</t>
        </is>
      </c>
      <c r="D11" s="24" t="inlineStr">
        <is>
          <t>102356</t>
        </is>
      </c>
      <c r="E11" s="24" t="inlineStr">
        <is>
          <t>RAINBOW_SIX</t>
        </is>
      </c>
      <c r="F11" s="24" t="inlineStr">
        <is>
          <t>Man eSports LFO</t>
        </is>
      </c>
      <c r="G11" s="24" t="inlineStr">
        <is>
          <t>Arcade Esports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-194</v>
      </c>
      <c r="M11" s="27" t="n">
        <v>1.515464</v>
      </c>
      <c r="N11" s="28" t="n">
        <v>0.659864</v>
      </c>
      <c r="O11" s="28" t="n">
        <v>0.602392</v>
      </c>
      <c r="P11" s="28" t="n"/>
      <c r="Q11" s="28" t="n">
        <v>-0.057472</v>
      </c>
      <c r="R11" s="26" t="n">
        <v>0</v>
      </c>
      <c r="S11" s="29" t="n">
        <v>1</v>
      </c>
      <c r="T11" s="24" t="inlineStr">
        <is>
          <t>rainbow_six-tiered-elo-v6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-194</v>
      </c>
      <c r="AA11" s="28" t="n">
        <v>0.66</v>
      </c>
      <c r="AB11" s="28" t="n">
        <v>0.000136</v>
      </c>
      <c r="AC11" s="30" t="n">
        <v>0.5155</v>
      </c>
      <c r="AD11" s="24" t="inlineStr">
        <is>
          <t>2026-09-07T16:01:16.288127Z</t>
        </is>
      </c>
      <c r="AE11" s="31" t="inlineStr">
        <is>
          <t>Neutral Elo baseline; executable ask 0.6600 (market_slug=aec-r6-arc-man-2026-09-07).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Man eSports LFO</t>
        </is>
      </c>
      <c r="AQ11" s="24" t="inlineStr">
        <is>
          <t>Man eSports LFO</t>
        </is>
      </c>
      <c r="AR11" s="24" t="inlineStr">
        <is>
          <t>Man eSports LFO</t>
        </is>
      </c>
      <c r="AS11" s="24" t="inlineStr">
        <is>
          <t>Arcade Esports</t>
        </is>
      </c>
      <c r="AT11" s="24" t="inlineStr">
        <is>
          <t>Arcade Esports</t>
        </is>
      </c>
      <c r="AU11" s="24" t="inlineStr">
        <is>
          <t>Arcade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17e4573cf2f00370b231bb789e28ed02b9174ae2a31ea9ecd2a30c9648ab3eac</t>
        </is>
      </c>
      <c r="BB11" s="24" t="inlineStr">
        <is>
          <t>neutral_elo</t>
        </is>
      </c>
      <c r="BC11" s="24" t="inlineStr">
        <is>
          <t>rainbow_six-tiered-elo-v6</t>
        </is>
      </c>
      <c r="BD11" s="24" t="inlineStr">
        <is>
          <t>17e4573cf2f00370b231bb789e28ed02b9174ae2a31ea9ecd2a30c9648ab3eac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rainbow_six-tiered-elo-v6</t>
        </is>
      </c>
      <c r="BH11" s="24" t="inlineStr">
        <is>
          <t>2026-09-07T04:34:11.588612Z</t>
        </is>
      </c>
      <c r="BI11" s="24" t="inlineStr">
        <is>
          <t>["same_event","same_team_same_day","same_league_same_day"]</t>
        </is>
      </c>
      <c r="BJ11" s="25" t="n"/>
      <c r="BK11" s="26" t="n">
        <v>-194</v>
      </c>
      <c r="BL11" s="27" t="n">
        <v>1.515464</v>
      </c>
      <c r="BM11" s="28" t="n">
        <v>0.659864</v>
      </c>
      <c r="BN11" s="28" t="n"/>
      <c r="BO11" s="28" t="n"/>
      <c r="BP11" s="25" t="n"/>
      <c r="BQ11" s="27" t="n">
        <v>1.515464</v>
      </c>
      <c r="BR11" s="28" t="n">
        <v>0.66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0.659864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bf53bfb64e484bd0</t>
        </is>
      </c>
      <c r="B12" s="24" t="inlineStr">
        <is>
          <t>2026-09-07T16:03:47.999920Z</t>
        </is>
      </c>
      <c r="C12" s="24" t="inlineStr">
        <is>
          <t>2026-09-07T19:00:00Z</t>
        </is>
      </c>
      <c r="D12" s="24" t="inlineStr">
        <is>
          <t>102682</t>
        </is>
      </c>
      <c r="E12" s="24" t="inlineStr">
        <is>
          <t>RAINBOW_SIX</t>
        </is>
      </c>
      <c r="F12" s="24" t="inlineStr">
        <is>
          <t>Team Secret</t>
        </is>
      </c>
      <c r="G12" s="24" t="inlineStr">
        <is>
          <t>Shifters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104</v>
      </c>
      <c r="M12" s="27" t="n">
        <v>2.04</v>
      </c>
      <c r="N12" s="28" t="n">
        <v>0.490196</v>
      </c>
      <c r="O12" s="28" t="n">
        <v>0.5751810000000001</v>
      </c>
      <c r="P12" s="28" t="n"/>
      <c r="Q12" s="28" t="n">
        <v>0.084985</v>
      </c>
      <c r="R12" s="26" t="n">
        <v>62</v>
      </c>
      <c r="S12" s="29" t="n">
        <v>1.25</v>
      </c>
      <c r="T12" s="24" t="inlineStr">
        <is>
          <t>rainbow_six-tiered-elo-v6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0.08980399999999999</v>
      </c>
      <c r="AC12" s="30" t="n">
        <v>-1.25</v>
      </c>
      <c r="AD12" s="24" t="inlineStr">
        <is>
          <t>2026-09-07T22:02:25.316266Z</t>
        </is>
      </c>
      <c r="AE12" s="31" t="inlineStr">
        <is>
          <t>Neutral Elo baseline; executable ask 0.4900 (market_slug=aec-r6-shi-secret-2026-09-07).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Team Secret</t>
        </is>
      </c>
      <c r="AQ12" s="24" t="inlineStr">
        <is>
          <t>Team Secret</t>
        </is>
      </c>
      <c r="AR12" s="24" t="inlineStr">
        <is>
          <t>Team Secret</t>
        </is>
      </c>
      <c r="AS12" s="24" t="inlineStr">
        <is>
          <t>Shifters</t>
        </is>
      </c>
      <c r="AT12" s="24" t="inlineStr">
        <is>
          <t>Shifters</t>
        </is>
      </c>
      <c r="AU12" s="24" t="inlineStr">
        <is>
          <t>Shifters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079800066258b1ff76531bd8980458fa718ecd6788a485ce166f6d9d7dcf7463</t>
        </is>
      </c>
      <c r="BB12" s="24" t="inlineStr">
        <is>
          <t>neutral_elo</t>
        </is>
      </c>
      <c r="BC12" s="24" t="inlineStr">
        <is>
          <t>rainbow_six-tiered-elo-v6</t>
        </is>
      </c>
      <c r="BD12" s="24" t="inlineStr">
        <is>
          <t>079800066258b1ff76531bd8980458fa718ecd6788a485ce166f6d9d7dcf7463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rainbow_six-tiered-elo-v6</t>
        </is>
      </c>
      <c r="BH12" s="24" t="inlineStr">
        <is>
          <t>2026-09-07T16:03:46.395251Z</t>
        </is>
      </c>
      <c r="BI12" s="24" t="inlineStr">
        <is>
          <t>["same_event","same_team_same_day","same_league_same_day"]</t>
        </is>
      </c>
      <c r="BJ12" s="25" t="n"/>
      <c r="BK12" s="26" t="n">
        <v>104</v>
      </c>
      <c r="BL12" s="27" t="n">
        <v>2.04</v>
      </c>
      <c r="BM12" s="28" t="n">
        <v>0.490196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0.490196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b490c7f84cea4a84</t>
        </is>
      </c>
      <c r="B13" s="24" t="inlineStr">
        <is>
          <t>2026-09-08T04:36:09.084725Z</t>
        </is>
      </c>
      <c r="C13" s="24" t="inlineStr">
        <is>
          <t>2026-09-08T08:00:00Z</t>
        </is>
      </c>
      <c r="D13" s="24" t="inlineStr">
        <is>
          <t>103034</t>
        </is>
      </c>
      <c r="E13" s="24" t="inlineStr">
        <is>
          <t>RAINBOW_SIX</t>
        </is>
      </c>
      <c r="F13" s="24" t="inlineStr">
        <is>
          <t>7VEN</t>
        </is>
      </c>
      <c r="G13" s="24" t="inlineStr">
        <is>
          <t>Shaiikademy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0.550497</v>
      </c>
      <c r="P13" s="28" t="n"/>
      <c r="Q13" s="28" t="n">
        <v>0.011326</v>
      </c>
      <c r="R13" s="26" t="n">
        <v>26</v>
      </c>
      <c r="S13" s="29" t="n">
        <v>1</v>
      </c>
      <c r="T13" s="24" t="inlineStr">
        <is>
          <t>rainbow_six-tiered-elo-v6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-117</v>
      </c>
      <c r="AA13" s="28" t="n">
        <v>0.54</v>
      </c>
      <c r="AB13" s="28" t="n">
        <v>0.000829</v>
      </c>
      <c r="AC13" s="30" t="n">
        <v>-1</v>
      </c>
      <c r="AD13" s="24" t="inlineStr">
        <is>
          <t>2026-09-08T16:02:37.086084Z</t>
        </is>
      </c>
      <c r="AE13" s="31" t="inlineStr">
        <is>
          <t>Neutral Elo baseline; executable ask 0.5400 (market_slug=aec-r6-sha-7ven-2026-09-08).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7VEN</t>
        </is>
      </c>
      <c r="AQ13" s="24" t="inlineStr">
        <is>
          <t>7VEN</t>
        </is>
      </c>
      <c r="AR13" s="24" t="inlineStr">
        <is>
          <t>7VEN</t>
        </is>
      </c>
      <c r="AS13" s="24" t="inlineStr">
        <is>
          <t>Shaiikademy</t>
        </is>
      </c>
      <c r="AT13" s="24" t="inlineStr">
        <is>
          <t>Shaiikademy</t>
        </is>
      </c>
      <c r="AU13" s="24" t="inlineStr">
        <is>
          <t>Shaiikademy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bd8234dc9af0a866257b2e5f443f4e6e976d8b0d83cba3e369e6cf530398385d</t>
        </is>
      </c>
      <c r="BB13" s="24" t="inlineStr">
        <is>
          <t>neutral_elo</t>
        </is>
      </c>
      <c r="BC13" s="24" t="inlineStr">
        <is>
          <t>rainbow_six-tiered-elo-v6</t>
        </is>
      </c>
      <c r="BD13" s="24" t="inlineStr">
        <is>
          <t>bd8234dc9af0a866257b2e5f443f4e6e976d8b0d83cba3e369e6cf530398385d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rainbow_six-tiered-elo-v6</t>
        </is>
      </c>
      <c r="BH13" s="24" t="inlineStr">
        <is>
          <t>2026-09-08T04:36:07.619295Z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>
        <v>1.854701</v>
      </c>
      <c r="BR13" s="28" t="n">
        <v>0.54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0.539171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950e4fd90b1f4a90</t>
        </is>
      </c>
      <c r="B14" s="24" t="inlineStr">
        <is>
          <t>2026-09-08T16:17:14.147835Z</t>
        </is>
      </c>
      <c r="C14" s="24" t="inlineStr">
        <is>
          <t>2026-09-08T17:00:00Z</t>
        </is>
      </c>
      <c r="D14" s="24" t="inlineStr">
        <is>
          <t>103347</t>
        </is>
      </c>
      <c r="E14" s="24" t="inlineStr">
        <is>
          <t>RAINBOW_SIX</t>
        </is>
      </c>
      <c r="F14" s="24" t="inlineStr">
        <is>
          <t>Geekay Esports</t>
        </is>
      </c>
      <c r="G14" s="24" t="inlineStr">
        <is>
          <t>Shifters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0.658606</v>
      </c>
      <c r="P14" s="28" t="n"/>
      <c r="Q14" s="28" t="n">
        <v>0.049231</v>
      </c>
      <c r="R14" s="26" t="n">
        <v>45</v>
      </c>
      <c r="S14" s="29" t="n">
        <v>1</v>
      </c>
      <c r="T14" s="24" t="inlineStr">
        <is>
          <t>rainbow_six-tiered-elo-v6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-163</v>
      </c>
      <c r="AA14" s="28" t="n">
        <v>0.62</v>
      </c>
      <c r="AB14" s="28" t="n">
        <v>0.010625</v>
      </c>
      <c r="AC14" s="30" t="n">
        <v>-1</v>
      </c>
      <c r="AD14" s="24" t="inlineStr">
        <is>
          <t>2026-09-08T22:43:36.504131Z</t>
        </is>
      </c>
      <c r="AE14" s="31" t="inlineStr">
        <is>
          <t>Neutral Elo baseline; executable ask 0.6100 (market_slug=aec-r6-shi-ge-2026-09-08).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Geekay Esports</t>
        </is>
      </c>
      <c r="AQ14" s="24" t="inlineStr">
        <is>
          <t>Geekay Esports</t>
        </is>
      </c>
      <c r="AR14" s="24" t="inlineStr">
        <is>
          <t>Geekay Esports</t>
        </is>
      </c>
      <c r="AS14" s="24" t="inlineStr">
        <is>
          <t>Shifters</t>
        </is>
      </c>
      <c r="AT14" s="24" t="inlineStr">
        <is>
          <t>Shifters</t>
        </is>
      </c>
      <c r="AU14" s="24" t="inlineStr">
        <is>
          <t>Shifters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be326b30a7d6da8a64ac7220729d16acd486cdd22cbab2b7b1eb8e02d10b4fa8</t>
        </is>
      </c>
      <c r="BB14" s="24" t="inlineStr">
        <is>
          <t>neutral_elo</t>
        </is>
      </c>
      <c r="BC14" s="24" t="inlineStr">
        <is>
          <t>rainbow_six-tiered-elo-v6</t>
        </is>
      </c>
      <c r="BD14" s="24" t="inlineStr">
        <is>
          <t>be326b30a7d6da8a64ac7220729d16acd486cdd22cbab2b7b1eb8e02d10b4fa8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rainbow_six-tiered-elo-v6</t>
        </is>
      </c>
      <c r="BH14" s="24" t="inlineStr">
        <is>
          <t>2026-09-08T16:17:13.259829Z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1.613497</v>
      </c>
      <c r="BR14" s="28" t="n">
        <v>0.62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0.609375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3547b1c0e80147ba</t>
        </is>
      </c>
      <c r="B15" s="24" t="inlineStr">
        <is>
          <t>2026-09-08T16:17:14.147835Z</t>
        </is>
      </c>
      <c r="C15" s="24" t="inlineStr">
        <is>
          <t>2026-09-08T18:00:00Z</t>
        </is>
      </c>
      <c r="D15" s="24" t="inlineStr">
        <is>
          <t>103515</t>
        </is>
      </c>
      <c r="E15" s="24" t="inlineStr">
        <is>
          <t>RAINBOW_SIX</t>
        </is>
      </c>
      <c r="F15" s="24" t="inlineStr">
        <is>
          <t>Falcons Esport</t>
        </is>
      </c>
      <c r="G15" s="24" t="inlineStr">
        <is>
          <t>G2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-127</v>
      </c>
      <c r="M15" s="27" t="n">
        <v>1.787402</v>
      </c>
      <c r="N15" s="28" t="n">
        <v>0.5594710000000001</v>
      </c>
      <c r="O15" s="28" t="n">
        <v>0.503798</v>
      </c>
      <c r="P15" s="28" t="n"/>
      <c r="Q15" s="28" t="n">
        <v>-0.055673</v>
      </c>
      <c r="R15" s="26" t="n">
        <v>0</v>
      </c>
      <c r="S15" s="29" t="n">
        <v>1</v>
      </c>
      <c r="T15" s="24" t="inlineStr">
        <is>
          <t>rainbow_six-tiered-elo-v6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-127</v>
      </c>
      <c r="AA15" s="28" t="n">
        <v>0.5600000000000001</v>
      </c>
      <c r="AB15" s="28" t="n">
        <v>0.000529</v>
      </c>
      <c r="AC15" s="30" t="n">
        <v>-1</v>
      </c>
      <c r="AD15" s="24" t="inlineStr">
        <is>
          <t>2026-09-08T22:43:36.754173Z</t>
        </is>
      </c>
      <c r="AE15" s="31" t="inlineStr">
        <is>
          <t>Neutral Elo baseline; executable ask 0.5600 (market_slug=aec-r6-g2-flcs-2026-09-08).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Falcons Esport</t>
        </is>
      </c>
      <c r="AQ15" s="24" t="inlineStr">
        <is>
          <t>Falcons Esport</t>
        </is>
      </c>
      <c r="AR15" s="24" t="inlineStr">
        <is>
          <t>Falcons Esport</t>
        </is>
      </c>
      <c r="AS15" s="24" t="inlineStr">
        <is>
          <t>G2 Esports</t>
        </is>
      </c>
      <c r="AT15" s="24" t="inlineStr">
        <is>
          <t>G2 Esports</t>
        </is>
      </c>
      <c r="AU15" s="24" t="inlineStr">
        <is>
          <t>G2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be326b30a7d6da8a64ac7220729d16acd486cdd22cbab2b7b1eb8e02d10b4fa8</t>
        </is>
      </c>
      <c r="BB15" s="24" t="inlineStr">
        <is>
          <t>neutral_elo</t>
        </is>
      </c>
      <c r="BC15" s="24" t="inlineStr">
        <is>
          <t>rainbow_six-tiered-elo-v6</t>
        </is>
      </c>
      <c r="BD15" s="24" t="inlineStr">
        <is>
          <t>be326b30a7d6da8a64ac7220729d16acd486cdd22cbab2b7b1eb8e02d10b4fa8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rainbow_six-tiered-elo-v6</t>
        </is>
      </c>
      <c r="BH15" s="24" t="inlineStr">
        <is>
          <t>2026-09-08T16:17:13.323858Z</t>
        </is>
      </c>
      <c r="BI15" s="24" t="inlineStr">
        <is>
          <t>["same_event","same_team_same_day","same_league_same_day"]</t>
        </is>
      </c>
      <c r="BJ15" s="25" t="n"/>
      <c r="BK15" s="26" t="n">
        <v>-127</v>
      </c>
      <c r="BL15" s="27" t="n">
        <v>1.787402</v>
      </c>
      <c r="BM15" s="28" t="n">
        <v>0.5594710000000001</v>
      </c>
      <c r="BN15" s="28" t="n"/>
      <c r="BO15" s="28" t="n"/>
      <c r="BP15" s="25" t="n"/>
      <c r="BQ15" s="27" t="n">
        <v>1.787402</v>
      </c>
      <c r="BR15" s="28" t="n">
        <v>0.5600000000000001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0.559471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1ea896f788a843fb</t>
        </is>
      </c>
      <c r="B16" s="24" t="inlineStr">
        <is>
          <t>2026-09-09T16:04:46.574497Z</t>
        </is>
      </c>
      <c r="C16" s="24" t="inlineStr">
        <is>
          <t>2026-09-09T18:00:00Z</t>
        </is>
      </c>
      <c r="D16" s="24" t="inlineStr">
        <is>
          <t>104828</t>
        </is>
      </c>
      <c r="E16" s="24" t="inlineStr">
        <is>
          <t>RAINBOW_SIX</t>
        </is>
      </c>
      <c r="F16" s="24" t="inlineStr">
        <is>
          <t>Wildcard Gaming</t>
        </is>
      </c>
      <c r="G16" s="24" t="inlineStr">
        <is>
          <t>DarkZero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0.558874</v>
      </c>
      <c r="P16" s="28" t="n"/>
      <c r="Q16" s="28" t="n">
        <v>0.028358</v>
      </c>
      <c r="R16" s="26" t="n">
        <v>34</v>
      </c>
      <c r="S16" s="29" t="n">
        <v>1</v>
      </c>
      <c r="T16" s="24" t="inlineStr">
        <is>
          <t>rainbow_six-tiered-elo-v6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</v>
      </c>
      <c r="AD16" s="24" t="inlineStr">
        <is>
          <t>2026-09-09T22:03:16.953350Z</t>
        </is>
      </c>
      <c r="AE16" s="31" t="inlineStr">
        <is>
          <t>Neutral Elo baseline; executable ask 0.5300 (market_slug=aec-r6-dz-wcg-2026-09-09).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Wildcard Gaming</t>
        </is>
      </c>
      <c r="AQ16" s="24" t="inlineStr">
        <is>
          <t>Wildcard Gaming</t>
        </is>
      </c>
      <c r="AR16" s="24" t="inlineStr">
        <is>
          <t>Wildcard Gaming</t>
        </is>
      </c>
      <c r="AS16" s="24" t="inlineStr">
        <is>
          <t>DarkZero Esports</t>
        </is>
      </c>
      <c r="AT16" s="24" t="inlineStr">
        <is>
          <t>DarkZero Esports</t>
        </is>
      </c>
      <c r="AU16" s="24" t="inlineStr">
        <is>
          <t>DarkZero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21e2223551d91a62ecde2d827a4549cf5bb950fc1b2206e36f2cbf6a4855f026</t>
        </is>
      </c>
      <c r="BB16" s="24" t="inlineStr">
        <is>
          <t>neutral_elo</t>
        </is>
      </c>
      <c r="BC16" s="24" t="inlineStr">
        <is>
          <t>rainbow_six-tiered-elo-v6</t>
        </is>
      </c>
      <c r="BD16" s="24" t="inlineStr">
        <is>
          <t>21e2223551d91a62ecde2d827a4549cf5bb950fc1b2206e36f2cbf6a4855f026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rainbow_six-tiered-elo-v6</t>
        </is>
      </c>
      <c r="BH16" s="24" t="inlineStr">
        <is>
          <t>2026-09-09T16:04:45.399787Z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0.530516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83eea349f00e495d</t>
        </is>
      </c>
      <c r="B17" s="24" t="inlineStr">
        <is>
          <t>2026-09-09T16:04:46.574497Z</t>
        </is>
      </c>
      <c r="C17" s="24" t="inlineStr">
        <is>
          <t>2026-09-09T20:00:00Z</t>
        </is>
      </c>
      <c r="D17" s="24" t="inlineStr">
        <is>
          <t>105205</t>
        </is>
      </c>
      <c r="E17" s="24" t="inlineStr">
        <is>
          <t>RAINBOW_SIX</t>
        </is>
      </c>
      <c r="F17" s="24" t="inlineStr">
        <is>
          <t>Shopify Rebellion</t>
        </is>
      </c>
      <c r="G17" s="24" t="inlineStr">
        <is>
          <t>M80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-133</v>
      </c>
      <c r="M17" s="27" t="n">
        <v>1.75188</v>
      </c>
      <c r="N17" s="28" t="n">
        <v>0.570815</v>
      </c>
      <c r="O17" s="28" t="n">
        <v>0.545451</v>
      </c>
      <c r="P17" s="28" t="n"/>
      <c r="Q17" s="28" t="n">
        <v>-0.025364</v>
      </c>
      <c r="R17" s="26" t="n">
        <v>7</v>
      </c>
      <c r="S17" s="29" t="n">
        <v>1</v>
      </c>
      <c r="T17" s="24" t="inlineStr">
        <is>
          <t>rainbow_six-tiered-elo-v6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-133</v>
      </c>
      <c r="AA17" s="28" t="n">
        <v>0.57</v>
      </c>
      <c r="AB17" s="28" t="n">
        <v>-0.000815</v>
      </c>
      <c r="AC17" s="30" t="n">
        <v>-1</v>
      </c>
      <c r="AD17" s="24" t="inlineStr">
        <is>
          <t>2026-09-09T22:03:17.205664Z</t>
        </is>
      </c>
      <c r="AE17" s="31" t="inlineStr">
        <is>
          <t>Neutral Elo baseline; executable ask 0.5700 (market_slug=aec-r6-m80-sr-2026-09-09).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Shopify Rebellion</t>
        </is>
      </c>
      <c r="AQ17" s="24" t="inlineStr">
        <is>
          <t>Shopify Rebellion</t>
        </is>
      </c>
      <c r="AR17" s="24" t="inlineStr">
        <is>
          <t>Shopify Rebellion</t>
        </is>
      </c>
      <c r="AS17" s="24" t="inlineStr">
        <is>
          <t>M80</t>
        </is>
      </c>
      <c r="AT17" s="24" t="inlineStr">
        <is>
          <t>M80</t>
        </is>
      </c>
      <c r="AU17" s="24" t="inlineStr">
        <is>
          <t>M80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21e2223551d91a62ecde2d827a4549cf5bb950fc1b2206e36f2cbf6a4855f026</t>
        </is>
      </c>
      <c r="BB17" s="24" t="inlineStr">
        <is>
          <t>neutral_elo</t>
        </is>
      </c>
      <c r="BC17" s="24" t="inlineStr">
        <is>
          <t>rainbow_six-tiered-elo-v6</t>
        </is>
      </c>
      <c r="BD17" s="24" t="inlineStr">
        <is>
          <t>21e2223551d91a62ecde2d827a4549cf5bb950fc1b2206e36f2cbf6a4855f026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rainbow_six-tiered-elo-v6</t>
        </is>
      </c>
      <c r="BH17" s="24" t="inlineStr">
        <is>
          <t>2026-09-09T16:04:45.625016Z</t>
        </is>
      </c>
      <c r="BI17" s="24" t="inlineStr">
        <is>
          <t>["same_event","same_team_same_day","same_league_same_day"]</t>
        </is>
      </c>
      <c r="BJ17" s="25" t="n"/>
      <c r="BK17" s="26" t="n">
        <v>-133</v>
      </c>
      <c r="BL17" s="27" t="n">
        <v>1.75188</v>
      </c>
      <c r="BM17" s="28" t="n">
        <v>0.570815</v>
      </c>
      <c r="BN17" s="28" t="n"/>
      <c r="BO17" s="28" t="n"/>
      <c r="BP17" s="25" t="n"/>
      <c r="BQ17" s="27" t="n">
        <v>1.75188</v>
      </c>
      <c r="BR17" s="28" t="n">
        <v>0.57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0.570815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d92489d796884c63</t>
        </is>
      </c>
      <c r="B18" s="24" t="inlineStr">
        <is>
          <t>2026-09-11T16:05:31.003662Z</t>
        </is>
      </c>
      <c r="C18" s="24" t="inlineStr">
        <is>
          <t>2026-09-11T18:00:00Z</t>
        </is>
      </c>
      <c r="D18" s="24" t="inlineStr">
        <is>
          <t>107090</t>
        </is>
      </c>
      <c r="E18" s="24" t="inlineStr">
        <is>
          <t>RAINBOW_SIX</t>
        </is>
      </c>
      <c r="F18" s="24" t="inlineStr">
        <is>
          <t>M80</t>
        </is>
      </c>
      <c r="G18" s="24" t="inlineStr">
        <is>
          <t>Spacestation Gaming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-213</v>
      </c>
      <c r="M18" s="27" t="n">
        <v>1.469484</v>
      </c>
      <c r="N18" s="28" t="n">
        <v>0.680511</v>
      </c>
      <c r="O18" s="28" t="n">
        <v>0.519766</v>
      </c>
      <c r="P18" s="28" t="n"/>
      <c r="Q18" s="28" t="n">
        <v>-0.160745</v>
      </c>
      <c r="R18" s="26" t="n">
        <v>0</v>
      </c>
      <c r="S18" s="29" t="n">
        <v>1</v>
      </c>
      <c r="T18" s="24" t="inlineStr">
        <is>
          <t>rainbow_six-tiered-elo-v6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>
        <v>-213</v>
      </c>
      <c r="AA18" s="28" t="n">
        <v>0.68</v>
      </c>
      <c r="AB18" s="28" t="n">
        <v>-0.000511</v>
      </c>
      <c r="AC18" s="30" t="n">
        <v>-1</v>
      </c>
      <c r="AD18" s="24" t="inlineStr">
        <is>
          <t>2026-09-11T22:01:39.048978Z</t>
        </is>
      </c>
      <c r="AE18" s="31" t="inlineStr">
        <is>
          <t>Neutral Elo baseline; executable ask 0.6800 (market_slug=aec-r6-ssg-m80-2026-09-11).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M80</t>
        </is>
      </c>
      <c r="AQ18" s="24" t="inlineStr">
        <is>
          <t>M80</t>
        </is>
      </c>
      <c r="AR18" s="24" t="inlineStr">
        <is>
          <t>M80</t>
        </is>
      </c>
      <c r="AS18" s="24" t="inlineStr">
        <is>
          <t>Spacestation Gaming</t>
        </is>
      </c>
      <c r="AT18" s="24" t="inlineStr">
        <is>
          <t>Spacestation Gaming</t>
        </is>
      </c>
      <c r="AU18" s="24" t="inlineStr">
        <is>
          <t>Spacestation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a3aa3c90a606ceb5a4f18c5aa349883976229f4d71835f63d430260eabea7091</t>
        </is>
      </c>
      <c r="BB18" s="24" t="inlineStr">
        <is>
          <t>neutral_elo</t>
        </is>
      </c>
      <c r="BC18" s="24" t="inlineStr">
        <is>
          <t>rainbow_six-tiered-elo-v6</t>
        </is>
      </c>
      <c r="BD18" s="24" t="inlineStr">
        <is>
          <t>a3aa3c90a606ceb5a4f18c5aa349883976229f4d71835f63d430260eabea7091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rainbow_six-tiered-elo-v6</t>
        </is>
      </c>
      <c r="BH18" s="24" t="inlineStr">
        <is>
          <t>2026-09-11T16:05:29.566097Z</t>
        </is>
      </c>
      <c r="BI18" s="24" t="inlineStr">
        <is>
          <t>["same_event","same_team_same_day","same_league_same_day"]</t>
        </is>
      </c>
      <c r="BJ18" s="25" t="n"/>
      <c r="BK18" s="26" t="n">
        <v>-213</v>
      </c>
      <c r="BL18" s="27" t="n">
        <v>1.469484</v>
      </c>
      <c r="BM18" s="28" t="n">
        <v>0.680511</v>
      </c>
      <c r="BN18" s="28" t="n"/>
      <c r="BO18" s="28" t="n"/>
      <c r="BP18" s="25" t="n"/>
      <c r="BQ18" s="27" t="n">
        <v>1.469484</v>
      </c>
      <c r="BR18" s="28" t="n">
        <v>0.68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0.680511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"a3aa3c90a606ceb5a4f18c5aa349883976229f4d71835f63d430260eabea7091", "away_team": "M80", "event_id": "107090", "event_start_utc": "2026-09-11T18:00:00Z", "features": {"away_elo": 1642.037483, "away_history_count": 113, "home_elo": 1599.782819, "home_history_count": 121}, "historical_source_observation_times_verified": false, "home_team": "Spacestation Gaming", "inference_inputs": {"book_state": {"games_played": {"bo3:7:19363": 113, "bo3:7:19723": 121}, "inactivity_half_life_days": null, "inactivity_max_pull": null, "k": 24.0, "last_match_utc": {"bo3:7:19363": "2026-09-10T21:15:00Z", "bo3:7:19723": "2026-09-10T19:00:00Z"}, "minimum_reliable_games": null, "platt_intercept": 0.15919832848892446, "platt_slope": 1.0436825991382748, "ratings": {"bo3:7:19363": 1642.037483, "bo3:7:19723": 1599.782819},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["bo3:7:19723", "bo3:7:19363"]}, "market_type": "moneyline", "model_version": "rainbow_six-tiered-elo-v6", "observed_at_utc": "2026-09-11T16:05:29.349084+00:00", "probabilities": {"away": 0.519766, "home": 0.480234}, "replay_scope": "Exact serving book state, calibration, temperature, inactivity reference and thin-history adjustments; training provenance not certified.", "schema": "esports-elo-replay-v1", "snapshot_hash": "1ed61ab4b52978d60462970f73f9f0e04923480ac7360785726499828f2e047b", "sport": "RAINBOW_SIX"}</t>
        </is>
      </c>
    </row>
    <row r="19" ht="36" customHeight="1">
      <c r="A19" s="24" t="inlineStr">
        <is>
          <t>163a3361bf2a4e31</t>
        </is>
      </c>
      <c r="B19" s="24" t="inlineStr">
        <is>
          <t>2026-09-11T16:05:31.003662Z</t>
        </is>
      </c>
      <c r="C19" s="24" t="inlineStr">
        <is>
          <t>2026-09-11T19:00:00Z</t>
        </is>
      </c>
      <c r="D19" s="24" t="inlineStr">
        <is>
          <t>107248</t>
        </is>
      </c>
      <c r="E19" s="24" t="inlineStr">
        <is>
          <t>RAINBOW_SIX</t>
        </is>
      </c>
      <c r="F19" s="24" t="inlineStr">
        <is>
          <t>Five Fears</t>
        </is>
      </c>
      <c r="G19" s="24" t="inlineStr">
        <is>
          <t>Cloud9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0.527864</v>
      </c>
      <c r="P19" s="28" t="n"/>
      <c r="Q19" s="28" t="n">
        <v>-0.081511</v>
      </c>
      <c r="R19" s="26" t="n">
        <v>0</v>
      </c>
      <c r="S19" s="29" t="n">
        <v>1</v>
      </c>
      <c r="T19" s="24" t="inlineStr">
        <is>
          <t>rainbow_six-tiered-elo-v6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-156</v>
      </c>
      <c r="AA19" s="28" t="n">
        <v>0.61</v>
      </c>
      <c r="AB19" s="28" t="n">
        <v>0.000625</v>
      </c>
      <c r="AC19" s="30" t="n">
        <v>0.641</v>
      </c>
      <c r="AD19" s="24" t="inlineStr">
        <is>
          <t>2026-09-11T22:01:39.236008Z</t>
        </is>
      </c>
      <c r="AE19" s="31" t="inlineStr">
        <is>
          <t>Neutral Elo baseline; executable ask 0.6100 (market_slug=aec-r6-c9-5f-2026-09-11).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Five Fears</t>
        </is>
      </c>
      <c r="AQ19" s="24" t="inlineStr">
        <is>
          <t>Five Fears</t>
        </is>
      </c>
      <c r="AR19" s="24" t="inlineStr">
        <is>
          <t>Five Fears</t>
        </is>
      </c>
      <c r="AS19" s="24" t="inlineStr">
        <is>
          <t>Cloud9</t>
        </is>
      </c>
      <c r="AT19" s="24" t="inlineStr">
        <is>
          <t>Cloud9</t>
        </is>
      </c>
      <c r="AU19" s="24" t="inlineStr">
        <is>
          <t>Cloud9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a3aa3c90a606ceb5a4f18c5aa349883976229f4d71835f63d430260eabea7091</t>
        </is>
      </c>
      <c r="BB19" s="24" t="inlineStr">
        <is>
          <t>neutral_elo</t>
        </is>
      </c>
      <c r="BC19" s="24" t="inlineStr">
        <is>
          <t>rainbow_six-tiered-elo-v6</t>
        </is>
      </c>
      <c r="BD19" s="24" t="inlineStr">
        <is>
          <t>a3aa3c90a606ceb5a4f18c5aa349883976229f4d71835f63d430260eabea7091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rainbow_six-tiered-elo-v6</t>
        </is>
      </c>
      <c r="BH19" s="24" t="inlineStr">
        <is>
          <t>2026-09-11T16:05:29.626239Z</t>
        </is>
      </c>
      <c r="BI19" s="24" t="inlineStr">
        <is>
          <t>["same_event","same_team_same_day","same_league_same_day"]</t>
        </is>
      </c>
      <c r="BJ19" s="25" t="n"/>
      <c r="BK19" s="26" t="n">
        <v>-156</v>
      </c>
      <c r="BL19" s="27" t="n">
        <v>1.641026</v>
      </c>
      <c r="BM19" s="28" t="n">
        <v>0.609375</v>
      </c>
      <c r="BN19" s="28" t="n"/>
      <c r="BO19" s="28" t="n"/>
      <c r="BP19" s="25" t="n"/>
      <c r="BQ19" s="27" t="n">
        <v>1.641026</v>
      </c>
      <c r="BR19" s="28" t="n">
        <v>0.61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0.609375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"a3aa3c90a606ceb5a4f18c5aa349883976229f4d71835f63d430260eabea7091", "away_team": "Five Fears", "event_id": "107248", "event_start_utc": "2026-09-11T19:00:00Z", "features": {"away_elo": 1492.089338, "away_history_count": 22, "home_elo": 1487.484014, "home_history_count": 45}, "historical_source_observation_times_verified": false, "home_team": "Cloud9", "inference_inputs": {"book_state": {"games_played": {"bo3:7:19685": 45, "bo3:7:23079": 22}, "inactivity_half_life_days": null, "inactivity_max_pull": null, "k": 24.0, "last_match_utc": {"bo3:7:19685": "2026-09-10T22:30:00Z", "bo3:7:23079": "2026-09-10T19:00:00Z"}, "minimum_reliable_games": null, "platt_intercept": 0.15919832848892446, "platt_slope": 1.0436825991382748, "ratings": {"bo3:7:19685": 1487.484014, "bo3:7:23079": 1492.089338},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["bo3:7:19685", "bo3:7:23079"]}, "market_type": "moneyline", "model_version": "rainbow_six-tiered-elo-v6", "observed_at_utc": "2026-09-11T16:05:29.349084+00:00", "probabilities": {"away": 0.472136, "home": 0.527864}, "replay_scope": "Exact serving book state, calibration, temperature, inactivity reference and thin-history adjustments; training provenance not certified.", "schema": "esports-elo-replay-v1", "snapshot_hash": "4db1add613559551e7c2b8a7b5e161505c1825ec01abf54997e03eb68b92c4df", "sport": "RAINBOW_SIX"}</t>
        </is>
      </c>
    </row>
    <row r="20" ht="36" customHeight="1">
      <c r="A20" s="24" t="inlineStr">
        <is>
          <t>bf56daeff3b04845</t>
        </is>
      </c>
      <c r="B20" s="24" t="inlineStr">
        <is>
          <t>2026-09-11T22:04:30.962966Z</t>
        </is>
      </c>
      <c r="C20" s="24" t="inlineStr">
        <is>
          <t>2026-09-11T22:30:00Z</t>
        </is>
      </c>
      <c r="D20" s="24" t="inlineStr">
        <is>
          <t>107494</t>
        </is>
      </c>
      <c r="E20" s="24" t="inlineStr">
        <is>
          <t>RAINBOW_SIX</t>
        </is>
      </c>
      <c r="F20" s="24" t="inlineStr">
        <is>
          <t>Wildcard Gaming</t>
        </is>
      </c>
      <c r="G20" s="24" t="inlineStr">
        <is>
          <t>Shopify Rebellion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-113</v>
      </c>
      <c r="M20" s="27" t="n">
        <v>1.884956</v>
      </c>
      <c r="N20" s="28" t="n">
        <v>0.530516</v>
      </c>
      <c r="O20" s="28" t="n">
        <v>0.523827</v>
      </c>
      <c r="P20" s="28" t="n"/>
      <c r="Q20" s="28" t="n">
        <v>-0.006689</v>
      </c>
      <c r="R20" s="26" t="n">
        <v>17</v>
      </c>
      <c r="S20" s="29" t="n">
        <v>1</v>
      </c>
      <c r="T20" s="24" t="inlineStr">
        <is>
          <t>rainbow_six-tiered-elo-v6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-113</v>
      </c>
      <c r="AA20" s="28" t="n">
        <v>0.53</v>
      </c>
      <c r="AB20" s="28" t="n">
        <v>-0.000516</v>
      </c>
      <c r="AC20" s="30" t="n">
        <v>0.885</v>
      </c>
      <c r="AD20" s="24" t="inlineStr">
        <is>
          <t>2026-09-12T04:32:28.666359Z</t>
        </is>
      </c>
      <c r="AE20" s="31" t="inlineStr">
        <is>
          <t>Neutral Elo baseline; executable ask 0.5300 (market_slug=aec-r6-sr-wcg-2026-09-11).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Wildcard Gaming</t>
        </is>
      </c>
      <c r="AQ20" s="24" t="inlineStr">
        <is>
          <t>Wildcard Gaming</t>
        </is>
      </c>
      <c r="AR20" s="24" t="inlineStr">
        <is>
          <t>Wildcard Gaming</t>
        </is>
      </c>
      <c r="AS20" s="24" t="inlineStr">
        <is>
          <t>Shopify Rebellion</t>
        </is>
      </c>
      <c r="AT20" s="24" t="inlineStr">
        <is>
          <t>Shopify Rebellion</t>
        </is>
      </c>
      <c r="AU20" s="24" t="inlineStr">
        <is>
          <t>Shopify Rebellion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2082a05e899d1dbcdd7c6e917012c7b7bf2cd57db1ebe0781be18c7293f17523</t>
        </is>
      </c>
      <c r="BB20" s="24" t="inlineStr">
        <is>
          <t>neutral_elo</t>
        </is>
      </c>
      <c r="BC20" s="24" t="inlineStr">
        <is>
          <t>rainbow_six-tiered-elo-v6</t>
        </is>
      </c>
      <c r="BD20" s="24" t="inlineStr">
        <is>
          <t>2082a05e899d1dbcdd7c6e917012c7b7bf2cd57db1ebe0781be18c7293f17523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rainbow_six-tiered-elo-v6</t>
        </is>
      </c>
      <c r="BH20" s="24" t="inlineStr">
        <is>
          <t>2026-09-11T22:04:29.179316Z</t>
        </is>
      </c>
      <c r="BI20" s="24" t="inlineStr">
        <is>
          <t>["same_event","same_team_same_day","same_league_same_day"]</t>
        </is>
      </c>
      <c r="BJ20" s="25" t="n"/>
      <c r="BK20" s="26" t="n">
        <v>-113</v>
      </c>
      <c r="BL20" s="27" t="n">
        <v>1.884956</v>
      </c>
      <c r="BM20" s="28" t="n">
        <v>0.530516</v>
      </c>
      <c r="BN20" s="28" t="n"/>
      <c r="BO20" s="28" t="n"/>
      <c r="BP20" s="25" t="n"/>
      <c r="BQ20" s="27" t="n">
        <v>1.884956</v>
      </c>
      <c r="BR20" s="28" t="n">
        <v>0.53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0.530516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"2082a05e899d1dbcdd7c6e917012c7b7bf2cd57db1ebe0781be18c7293f17523", "away_team": "Wildcard Gaming", "event_id": "107494", "event_start_utc": "2026-09-11T22:30:00Z", "features": {"away_elo": 1722.691097, "away_history_count": 111, "home_elo": 1679.025059, "home_history_count": 82}, "historical_source_observation_times_verified": false, "home_team": "Shopify Rebellion", "inference_inputs": {"book_state": {"games_played": {"bo3:7:19717": 111, "bo3:7:19762": 82}, "inactivity_half_life_days": null, "inactivity_max_pull": null, "k": 24.0, "last_match_utc": {"bo3:7:19717": "2026-09-10T20:00:00Z", "bo3:7:19762": "2026-09-10T18:00:00Z"}, "minimum_reliable_games": null, "platt_intercept": 0.154562938343229, "platt_slope": 1.0699968394940012, "ratings": {"bo3:7:19717": 1722.691097, "bo3:7:19762": 1679.025059},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"2026-09-11T22:04:29.081068+00:00", "team_ids": ["bo3:7:19762", "bo3:7:19717"]}, "market_type": "moneyline", "model_version": "rainbow_six-tiered-elo-v6", "observed_at_utc": "2026-09-11T22:04:29.081068+00:00", "probabilities": {"away": 0.523827, "home": 0.476173}, "replay_scope": "Exact serving book state, calibration, temperature, inactivity reference and thin-history adjustments; training provenance not certified.", "schema": "esports-elo-replay-v1", "snapshot_hash": "8a0d3fe896a6d46505347be600e3fc7c2d657c73280577a34997649fa5313253", "sport": "RAINBOW_SIX"}</t>
        </is>
      </c>
    </row>
    <row r="21" ht="36" customHeight="1">
      <c r="A21" s="24" t="inlineStr">
        <is>
          <t>ffd74b086dbe4f18</t>
        </is>
      </c>
      <c r="B21" s="24" t="inlineStr">
        <is>
          <t>2026-09-12T10:07:54.099378Z</t>
        </is>
      </c>
      <c r="C21" s="24" t="inlineStr">
        <is>
          <t>2026-09-12T11:00:00Z</t>
        </is>
      </c>
      <c r="D21" s="24" t="inlineStr">
        <is>
          <t>107854</t>
        </is>
      </c>
      <c r="E21" s="24" t="inlineStr">
        <is>
          <t>RAINBOW_SIX</t>
        </is>
      </c>
      <c r="F21" s="24" t="inlineStr">
        <is>
          <t>Dplus</t>
        </is>
      </c>
      <c r="G21" s="24" t="inlineStr">
        <is>
          <t>KINOTROPE gaming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-203</v>
      </c>
      <c r="M21" s="27" t="n">
        <v>1.492611</v>
      </c>
      <c r="N21" s="28" t="n">
        <v>0.669967</v>
      </c>
      <c r="O21" s="28" t="n">
        <v>0.629116</v>
      </c>
      <c r="P21" s="28" t="n"/>
      <c r="Q21" s="28" t="n">
        <v>-0.040851</v>
      </c>
      <c r="R21" s="26" t="n">
        <v>0</v>
      </c>
      <c r="S21" s="29" t="n">
        <v>1</v>
      </c>
      <c r="T21" s="24" t="inlineStr">
        <is>
          <t>rainbow_six-tiered-elo-v6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-203</v>
      </c>
      <c r="AA21" s="28" t="n">
        <v>0.67</v>
      </c>
      <c r="AB21" s="28" t="n">
        <v>3.3e-05</v>
      </c>
      <c r="AC21" s="30" t="n">
        <v>0.4926</v>
      </c>
      <c r="AD21" s="24" t="inlineStr">
        <is>
          <t>2026-09-12T16:02:00.857034Z</t>
        </is>
      </c>
      <c r="AE21" s="31" t="inlineStr">
        <is>
          <t>Neutral Elo baseline; executable ask 0.6700 (market_slug=aec-r6-knt-dk-2026-09-12).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Dplus</t>
        </is>
      </c>
      <c r="AQ21" s="24" t="inlineStr">
        <is>
          <t>Dplus</t>
        </is>
      </c>
      <c r="AR21" s="24" t="inlineStr">
        <is>
          <t>Dplus</t>
        </is>
      </c>
      <c r="AS21" s="24" t="inlineStr">
        <is>
          <t>KINOTROPE gaming</t>
        </is>
      </c>
      <c r="AT21" s="24" t="inlineStr">
        <is>
          <t>KINOTROPE gaming</t>
        </is>
      </c>
      <c r="AU21" s="24" t="inlineStr">
        <is>
          <t>KINOTROPE 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3562d4706176830535a6a6cdb7a7079707b5b0f1afba6228fe27a43dd4bcd2be</t>
        </is>
      </c>
      <c r="BB21" s="24" t="inlineStr">
        <is>
          <t>neutral_elo</t>
        </is>
      </c>
      <c r="BC21" s="24" t="inlineStr">
        <is>
          <t>rainbow_six-tiered-elo-v6</t>
        </is>
      </c>
      <c r="BD21" s="24" t="inlineStr">
        <is>
          <t>3562d4706176830535a6a6cdb7a7079707b5b0f1afba6228fe27a43dd4bcd2be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rainbow_six-tiered-elo-v6</t>
        </is>
      </c>
      <c r="BH21" s="24" t="inlineStr">
        <is>
          <t>2026-09-12T10:07:51.885762Z</t>
        </is>
      </c>
      <c r="BI21" s="24" t="inlineStr">
        <is>
          <t>["same_event","same_team_same_day","same_league_same_day"]</t>
        </is>
      </c>
      <c r="BJ21" s="25" t="n"/>
      <c r="BK21" s="26" t="n">
        <v>-203</v>
      </c>
      <c r="BL21" s="27" t="n">
        <v>1.492611</v>
      </c>
      <c r="BM21" s="28" t="n">
        <v>0.669967</v>
      </c>
      <c r="BN21" s="28" t="n"/>
      <c r="BO21" s="28" t="n"/>
      <c r="BP21" s="25" t="n"/>
      <c r="BQ21" s="27" t="n">
        <v>1.492611</v>
      </c>
      <c r="BR21" s="28" t="n">
        <v>0.67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0.669967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"3562d4706176830535a6a6cdb7a7079707b5b0f1afba6228fe27a43dd4bcd2be", "away_team": "Dplus", "event_id": "107854", "event_start_utc": "2026-09-12T11:00:00Z", "features": {"away_elo": 1638.365273, "away_history_count": 84, "home_elo": 1490.213529, "home_history_count": 64}, "historical_source_observation_times_verified": false, "home_team": "KINOTROPE gaming", "inference_inputs": {"book_state": {"games_played": {"bo3:7:19279": 64, "bo3:7:19336": 84}, "inactivity_half_life_days": null, "inactivity_max_pull": null, "k": 32.0, "last_match_utc": {"bo3:7:19279": "2026-09-11T12:20:00Z", "bo3:7:19336": "2026-09-11T09:15:00Z"}, "minimum_reliable_games": null, "platt_intercept": 0.15618607063141948, "platt_slope": 0.9229877702145932, "ratings": {"bo3:7:19279": 1490.213529, "bo3:7:19336": 1638.365273},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"2026-09-12T10:07:51.810939+00:00", "team_ids": ["bo3:7:19279", "bo3:7:19336"]}, "market_type": "moneyline", "model_version": "rainbow_six-tiered-elo-v6", "observed_at_utc": "2026-09-12T10:07:51.810939+00:00", "probabilities": {"away": 0.629116, "home": 0.370884}, "replay_scope": "Exact serving book state, calibration, temperature, inactivity reference and thin-history adjustments; training provenance not certified.", "schema": "esports-elo-replay-v1", "snapshot_hash": "49d8315443320f4fe7ee1ce91ee35269202bc8f3e87a3a43afd1a80050e04043", "sport": "RAINBOW_SIX"}</t>
        </is>
      </c>
    </row>
    <row r="22" ht="36" customHeight="1">
      <c r="A22" s="24" t="inlineStr">
        <is>
          <t>4df30d3673a44eb0</t>
        </is>
      </c>
      <c r="B22" s="24" t="inlineStr">
        <is>
          <t>2026-09-12T16:08:20.780039Z</t>
        </is>
      </c>
      <c r="C22" s="24" t="inlineStr">
        <is>
          <t>2026-09-12T17:15:00Z</t>
        </is>
      </c>
      <c r="D22" s="24" t="inlineStr">
        <is>
          <t>108035</t>
        </is>
      </c>
      <c r="E22" s="24" t="inlineStr">
        <is>
          <t>RAINBOW_SIX</t>
        </is>
      </c>
      <c r="F22" s="24" t="inlineStr">
        <is>
          <t>Team Liquid</t>
        </is>
      </c>
      <c r="G22" s="24" t="inlineStr">
        <is>
          <t>FURIA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-133</v>
      </c>
      <c r="M22" s="27" t="n">
        <v>1.75188</v>
      </c>
      <c r="N22" s="28" t="n">
        <v>0.570815</v>
      </c>
      <c r="O22" s="28" t="n">
        <v>0.646367</v>
      </c>
      <c r="P22" s="28" t="n"/>
      <c r="Q22" s="28" t="n">
        <v>0.07555199999999999</v>
      </c>
      <c r="R22" s="26" t="n">
        <v>58</v>
      </c>
      <c r="S22" s="29" t="n">
        <v>1.25</v>
      </c>
      <c r="T22" s="24" t="inlineStr">
        <is>
          <t>rainbow_six-tiered-elo-v6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-133</v>
      </c>
      <c r="AA22" s="28" t="n">
        <v>0.57</v>
      </c>
      <c r="AB22" s="28" t="n">
        <v>-0.000815</v>
      </c>
      <c r="AC22" s="30" t="n">
        <v>-1.25</v>
      </c>
      <c r="AD22" s="24" t="inlineStr">
        <is>
          <t>2026-09-12T22:03:07.747816Z</t>
        </is>
      </c>
      <c r="AE22" s="31" t="inlineStr">
        <is>
          <t>Neutral Elo baseline; executable ask 0.5700 (market_slug=aec-r6-furia-liquid-2026-09-12).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Liquid</t>
        </is>
      </c>
      <c r="AQ22" s="24" t="inlineStr">
        <is>
          <t>Team Liquid</t>
        </is>
      </c>
      <c r="AR22" s="24" t="inlineStr">
        <is>
          <t>Team Liquid</t>
        </is>
      </c>
      <c r="AS22" s="24" t="inlineStr">
        <is>
          <t>FURIA Esports</t>
        </is>
      </c>
      <c r="AT22" s="24" t="inlineStr">
        <is>
          <t>FURIA Esports</t>
        </is>
      </c>
      <c r="AU22" s="24" t="inlineStr">
        <is>
          <t>FURIA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601b616e18575ae667b39e6c3d477bb6b6e95d6c845b1637f0ebbb1579f75a19</t>
        </is>
      </c>
      <c r="BB22" s="24" t="inlineStr">
        <is>
          <t>neutral_elo</t>
        </is>
      </c>
      <c r="BC22" s="24" t="inlineStr">
        <is>
          <t>rainbow_six-tiered-elo-v6</t>
        </is>
      </c>
      <c r="BD22" s="24" t="inlineStr">
        <is>
          <t>601b616e18575ae667b39e6c3d477bb6b6e95d6c845b1637f0ebbb1579f75a19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rainbow_six-tiered-elo-v6</t>
        </is>
      </c>
      <c r="BH22" s="24" t="inlineStr">
        <is>
          <t>2026-09-12T16:08:19.861788Z</t>
        </is>
      </c>
      <c r="BI22" s="24" t="inlineStr">
        <is>
          <t>["same_event","same_team_same_day","same_league_same_day"]</t>
        </is>
      </c>
      <c r="BJ22" s="25" t="n"/>
      <c r="BK22" s="26" t="n">
        <v>-133</v>
      </c>
      <c r="BL22" s="27" t="n">
        <v>1.75188</v>
      </c>
      <c r="BM22" s="28" t="n">
        <v>0.570815</v>
      </c>
      <c r="BN22" s="28" t="n"/>
      <c r="BO22" s="28" t="n"/>
      <c r="BP22" s="25" t="n"/>
      <c r="BQ22" s="27" t="n">
        <v>1.75188</v>
      </c>
      <c r="BR22" s="28" t="n">
        <v>0.57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0.570815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"601b616e18575ae667b39e6c3d477bb6b6e95d6c845b1637f0ebbb1579f75a19", "away_team": "Team Liquid", "event_id": "108035", "event_start_utc": "2026-09-12T17:15:00Z", "features": {"away_elo": 1707.229153, "away_history_count": 116, "home_elo": 1815.509618, "home_history_count": 136}, "historical_source_observation_times_verified": false, "home_team": "FURIA Esports", "inference_inputs": {"book_state": {"games_played": {"bo3:7:19662": 136, "bo3:7:19720": 116}, "inactivity_half_life_days": null, "inactivity_max_pull": null, "k": 32.0, "last_match_utc": {"bo3:7:19662": "2026-09-06T17:15:00Z", "bo3:7:19720": "2026-09-06T16:00:00Z"}, "minimum_reliable_games": null, "platt_intercept": 0.15450269017685514, "platt_slope": 0.9426485232918906, "ratings": {"bo3:7:19662": 1815.509618, "bo3:7:19720": 1707.229153},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"2026-09-12T16:08:19.778717+00:00", "team_ids": ["bo3:7:19662", "bo3:7:19720"]}, "market_type": "moneyline", "model_version": "rainbow_six-tiered-elo-v6", "observed_at_utc": "2026-09-12T16:08:19.778717+00:00", "probabilities": {"away": 0.353633, "home": 0.646367}, "replay_scope": "Exact serving book state, calibration, temperature, inactivity reference and thin-history adjustments; training provenance not certified.", "schema": "esports-elo-replay-v1", "snapshot_hash": "10b8919be0adfbe9ec7d9dcfe77265d0b5ee572e3cf537292de62e4c776d6b5f", "sport": "RAINBOW_SIX"}</t>
        </is>
      </c>
    </row>
    <row r="23" ht="36" customHeight="1">
      <c r="A23" s="24" t="inlineStr">
        <is>
          <t>ab5b45c84b53474e</t>
        </is>
      </c>
      <c r="B23" s="24" t="inlineStr">
        <is>
          <t>2026-09-14T04:51:53.244739Z</t>
        </is>
      </c>
      <c r="C23" s="24" t="inlineStr">
        <is>
          <t>2026-09-14T08:00:00Z</t>
        </is>
      </c>
      <c r="D23" s="24" t="inlineStr">
        <is>
          <t>109448</t>
        </is>
      </c>
      <c r="E23" s="24" t="inlineStr">
        <is>
          <t>RAINBOW_SIX</t>
        </is>
      </c>
      <c r="F23" s="24" t="inlineStr">
        <is>
          <t>Arcade Esports</t>
        </is>
      </c>
      <c r="G23" s="24" t="inlineStr">
        <is>
          <t>7VEN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0.6365690000000001</v>
      </c>
      <c r="P23" s="28" t="n"/>
      <c r="Q23" s="28" t="n">
        <v>0.087019</v>
      </c>
      <c r="R23" s="26" t="n">
        <v>64</v>
      </c>
      <c r="S23" s="29" t="n">
        <v>1.25</v>
      </c>
      <c r="T23" s="24" t="inlineStr">
        <is>
          <t>rainbow_six-tiered-elo-v6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1.0246</v>
      </c>
      <c r="AD23" s="24" t="inlineStr">
        <is>
          <t>2026-09-14T16:03:00.017768Z</t>
        </is>
      </c>
      <c r="AE23" s="31" t="inlineStr">
        <is>
          <t>Neutral Elo baseline; executable ask 0.5500 (market_slug=aec-r6-7ven-arc-2026-09-14).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Arcade Esports</t>
        </is>
      </c>
      <c r="AQ23" s="24" t="inlineStr">
        <is>
          <t>Arcade Esports</t>
        </is>
      </c>
      <c r="AR23" s="24" t="inlineStr">
        <is>
          <t>Arcade Esports</t>
        </is>
      </c>
      <c r="AS23" s="24" t="inlineStr">
        <is>
          <t>7VEN</t>
        </is>
      </c>
      <c r="AT23" s="24" t="inlineStr">
        <is>
          <t>7VEN</t>
        </is>
      </c>
      <c r="AU23" s="24" t="inlineStr">
        <is>
          <t>7VEN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96b4e15802dc319286591d54f70362c1679c9d8f4bc627e4bc503ecde2df7b80</t>
        </is>
      </c>
      <c r="BB23" s="24" t="inlineStr">
        <is>
          <t>neutral_elo</t>
        </is>
      </c>
      <c r="BC23" s="24" t="inlineStr">
        <is>
          <t>rainbow_six-tiered-elo-v6</t>
        </is>
      </c>
      <c r="BD23" s="24" t="inlineStr">
        <is>
          <t>96b4e15802dc319286591d54f70362c1679c9d8f4bc627e4bc503ecde2df7b80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rainbow_six-tiered-elo-v6</t>
        </is>
      </c>
      <c r="BH23" s="24" t="inlineStr">
        <is>
          <t>2026-09-14T04:50:55.565830Z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0.54955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"96b4e15802dc319286591d54f70362c1679c9d8f4bc627e4bc503ecde2df7b80", "away_team": "Arcade Esports", "event_id": "109448", "event_start_utc": "2026-09-14T08:00:00Z", "features": {"away_elo": 1356.362203, "away_history_count": 10, "home_elo": 1513.120075, "home_history_count": 4}, "historical_source_observation_times_verified": false, "home_team": "7VEN", "inference_inputs": {"book_state": {"games_played": {"bo3:7:24388": 10, "bo3:7:24644": 4}, "inactivity_half_life_days": null, "inactivity_max_pull": null, "k": 32.0, "last_match_utc": {"bo3:7:24388": "2026-09-08T11:30:00Z", "bo3:7:24644": "2026-09-08T08:10:00Z"}, "minimum_reliable_games": null, "platt_intercept": 0.1449495260526242, "platt_slope": 0.9659723567522712, "ratings": {"bo3:7:24388": 1356.362203, "bo3:7:24644": 1513.120075},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"2026-09-14T04:50:55.366530+00:00", "team_ids": ["bo3:7:24644", "bo3:7:24388"]}, "market_type": "moneyline", "model_version": "rainbow_six-tiered-elo-v6", "observed_at_utc": "2026-09-14T04:50:55.366530+00:00", "probabilities": {"away": 0.363431, "home": 0.636569}, "replay_scope": "Exact serving book state, calibration, temperature, inactivity reference and thin-history adjustments; training provenance not certified.", "schema": "esports-elo-replay-v1", "snapshot_hash": "001518cd5f13140ac164389e601c5b2ef522eb60541a59a1cccd018a74cda8a9", "sport": "RAINBOW_SIX"}</t>
        </is>
      </c>
    </row>
    <row r="24" ht="36" customHeight="1">
      <c r="A24" s="24" t="inlineStr">
        <is>
          <t>c27d0721d8ab4f3b</t>
        </is>
      </c>
      <c r="B24" s="24" t="inlineStr">
        <is>
          <t>2026-09-15T04:41:03.812382Z</t>
        </is>
      </c>
      <c r="C24" s="24" t="inlineStr">
        <is>
          <t>2026-09-15T08:00:00Z</t>
        </is>
      </c>
      <c r="D24" s="24" t="inlineStr">
        <is>
          <t>110187</t>
        </is>
      </c>
      <c r="E24" s="24" t="inlineStr">
        <is>
          <t>RAINBOW_SIX</t>
        </is>
      </c>
      <c r="F24" s="24" t="inlineStr">
        <is>
          <t>Shaiikademy</t>
        </is>
      </c>
      <c r="G24" s="24" t="inlineStr">
        <is>
          <t>Arcade Esports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-233</v>
      </c>
      <c r="M24" s="27" t="n">
        <v>1.429185</v>
      </c>
      <c r="N24" s="28" t="n">
        <v>0.6997</v>
      </c>
      <c r="O24" s="28" t="n">
        <v>0.632437</v>
      </c>
      <c r="P24" s="28" t="n"/>
      <c r="Q24" s="28" t="n">
        <v>-0.067263</v>
      </c>
      <c r="R24" s="26" t="n">
        <v>0</v>
      </c>
      <c r="S24" s="29" t="n">
        <v>1</v>
      </c>
      <c r="T24" s="24" t="inlineStr">
        <is>
          <t>rainbow_six-tiered-elo-v6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0</v>
      </c>
      <c r="Y24" s="25" t="n"/>
      <c r="Z24" s="26" t="n">
        <v>-233</v>
      </c>
      <c r="AA24" s="28" t="n">
        <v>0.7</v>
      </c>
      <c r="AB24" s="28" t="n">
        <v>0.0003</v>
      </c>
      <c r="AC24" s="30" t="n">
        <v>0.4292</v>
      </c>
      <c r="AD24" s="24" t="inlineStr">
        <is>
          <t>2026-09-15T16:05:06.569437Z</t>
        </is>
      </c>
      <c r="AE24" s="31" t="inlineStr">
        <is>
          <t>Neutral Elo baseline; executable ask 0.7000 (market_slug=aec-r6-arc-sha-2026-09-15).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Shaiikademy</t>
        </is>
      </c>
      <c r="AQ24" s="24" t="inlineStr">
        <is>
          <t>Shaiikademy</t>
        </is>
      </c>
      <c r="AR24" s="24" t="inlineStr">
        <is>
          <t>Shaiikademy</t>
        </is>
      </c>
      <c r="AS24" s="24" t="inlineStr">
        <is>
          <t>Arcade Esports</t>
        </is>
      </c>
      <c r="AT24" s="24" t="inlineStr">
        <is>
          <t>Arcade Esports</t>
        </is>
      </c>
      <c r="AU24" s="24" t="inlineStr">
        <is>
          <t>Arcade Esports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4bfb945d12d61816ea10c6105d0ba0dbfa0c591deb2571ad66db8cdd371e466d</t>
        </is>
      </c>
      <c r="BB24" s="24" t="inlineStr">
        <is>
          <t>neutral_elo</t>
        </is>
      </c>
      <c r="BC24" s="24" t="inlineStr">
        <is>
          <t>rainbow_six-tiered-elo-v6</t>
        </is>
      </c>
      <c r="BD24" s="24" t="inlineStr">
        <is>
          <t>4bfb945d12d61816ea10c6105d0ba0dbfa0c591deb2571ad66db8cdd371e466d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rainbow_six-tiered-elo-v6</t>
        </is>
      </c>
      <c r="BH24" s="24" t="inlineStr">
        <is>
          <t>2026-09-15T04:40:19.365685Z</t>
        </is>
      </c>
      <c r="BI24" s="24" t="inlineStr">
        <is>
          <t>["same_event","same_team_same_day","same_league_same_day"]</t>
        </is>
      </c>
      <c r="BJ24" s="25" t="n"/>
      <c r="BK24" s="26" t="n">
        <v>-233</v>
      </c>
      <c r="BL24" s="27" t="n">
        <v>1.429185</v>
      </c>
      <c r="BM24" s="28" t="n">
        <v>0.6997</v>
      </c>
      <c r="BN24" s="28" t="n"/>
      <c r="BO24" s="28" t="n"/>
      <c r="BP24" s="25" t="n"/>
      <c r="BQ24" s="27" t="n">
        <v>1.429185</v>
      </c>
      <c r="BR24" s="28" t="n">
        <v>0.7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0.6997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"4bfb945d12d61816ea10c6105d0ba0dbfa0c591deb2571ad66db8cdd371e466d", "away_team": "Shaiikademy", "event_id": "110187", "event_start_utc": "2026-09-15T08:00:00Z", "features": {"away_elo": 1492.411861, "away_history_count": 20, "home_elo": 1374.026915, "home_history_count": 11}, "historical_source_observation_times_verified": false, "home_team": "Arcade Esports", "inference_inputs": {"book_state": {"games_played": {"bo3:7:23005": 20, "bo3:7:24388": 11}, "inactivity_half_life_days": null, "inactivity_max_pull": null, "k": 24.0, "last_match_utc": {"bo3:7:23005": "2026-09-14T09:30:00Z", "bo3:7:24388": "2026-09-14T08:25:00Z"}, "minimum_reliable_games": null, "platt_intercept": 0.14181642370927872, "platt_slope": 1.1567735614524368, "ratings": {"bo3:7:23005": 1492.411861, "bo3:7:24388": 1374.026915},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"2026-09-15T04:40:15.216499+00:00", "team_ids": ["bo3:7:24388", "bo3:7:23005"]}, "market_type": "moneyline", "model_version": "rainbow_six-tiered-elo-v6", "observed_at_utc": "2026-09-15T04:40:15.216499+00:00", "probabilities": {"away": 0.632437, "home": 0.367563}, "replay_scope": "Exact serving book state, calibration, temperature, inactivity reference and thin-history adjustments; training provenance not certified.", "schema": "esports-elo-replay-v1", "snapshot_hash": "9dbb0777c6b17090a8ce249058625251531aebe3decd2db10bb13d69c9f0ccb2", "sport": "RAINBOW_SIX"}</t>
        </is>
      </c>
    </row>
    <row r="25" ht="36" customHeight="1">
      <c r="A25" s="24" t="inlineStr">
        <is>
          <t>df2152adbe694f5f</t>
        </is>
      </c>
      <c r="B25" s="24" t="inlineStr">
        <is>
          <t>2026-09-15T16:14:25.816820Z</t>
        </is>
      </c>
      <c r="C25" s="24" t="inlineStr">
        <is>
          <t>2026-09-15T17:00:00Z</t>
        </is>
      </c>
      <c r="D25" s="24" t="inlineStr">
        <is>
          <t>110464</t>
        </is>
      </c>
      <c r="E25" s="24" t="inlineStr">
        <is>
          <t>RAINBOW_SIX</t>
        </is>
      </c>
      <c r="F25" s="24" t="inlineStr">
        <is>
          <t>Geekay Esports</t>
        </is>
      </c>
      <c r="G25" s="24" t="inlineStr">
        <is>
          <t>Virtus.pro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0.620573</v>
      </c>
      <c r="P25" s="28" t="n"/>
      <c r="Q25" s="28" t="n">
        <v>-0.069829</v>
      </c>
      <c r="R25" s="26" t="n">
        <v>0</v>
      </c>
      <c r="S25" s="29" t="n">
        <v>1</v>
      </c>
      <c r="T25" s="24" t="inlineStr">
        <is>
          <t>rainbow_six-tiered-elo-v6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-1</v>
      </c>
      <c r="AD25" s="24" t="inlineStr">
        <is>
          <t>2026-09-16T04:49:45.767117Z</t>
        </is>
      </c>
      <c r="AE25" s="31" t="inlineStr">
        <is>
          <t>Neutral Elo baseline; executable ask 0.6900 (market_slug=aec-r6-vp-ge-2026-09-15).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Geekay Esports</t>
        </is>
      </c>
      <c r="AQ25" s="24" t="inlineStr">
        <is>
          <t>Geekay Esports</t>
        </is>
      </c>
      <c r="AR25" s="24" t="inlineStr">
        <is>
          <t>Geekay Esports</t>
        </is>
      </c>
      <c r="AS25" s="24" t="inlineStr">
        <is>
          <t>Virtus.pro</t>
        </is>
      </c>
      <c r="AT25" s="24" t="inlineStr">
        <is>
          <t>Virtus.pro</t>
        </is>
      </c>
      <c r="AU25" s="24" t="inlineStr">
        <is>
          <t>Virtus.pro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c657070edf75311010423cfc3edc6edbdc8e9801e6a1c33436806c58c54d8134</t>
        </is>
      </c>
      <c r="BB25" s="24" t="inlineStr">
        <is>
          <t>neutral_elo</t>
        </is>
      </c>
      <c r="BC25" s="24" t="inlineStr">
        <is>
          <t>rainbow_six-tiered-elo-v6</t>
        </is>
      </c>
      <c r="BD25" s="24" t="inlineStr">
        <is>
          <t>c657070edf75311010423cfc3edc6edbdc8e9801e6a1c33436806c58c54d8134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rainbow_six-tiered-elo-v6</t>
        </is>
      </c>
      <c r="BH25" s="24" t="inlineStr">
        <is>
          <t>2026-09-15T16:14:03.895871Z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0.690402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"c657070edf75311010423cfc3edc6edbdc8e9801e6a1c33436806c58c54d8134", "away_team": "Geekay Esports", "event_id": "110464", "event_start_utc": "2026-09-15T17:00:00Z", "features": {"away_elo": 1628.04988, "away_history_count": 54, "home_elo": 1691.82598, "home_history_count": 105}, "historical_source_observation_times_verified": false, "home_team": "Virtus.pro", "inference_inputs": {"book_state": {"games_played": {"bo3:7:19340": 54, "bo3:7:19668": 105}, "inactivity_half_life_days": null, "inactivity_max_pull": null, "k": 24.0, "last_match_utc": {"bo3:7:19340": "2026-09-14T16:00:00Z", "bo3:7:19668": "2026-09-14T19:45:00Z"}, "minimum_reliable_games": null, "platt_intercept": 0.15566464805976946, "platt_slope": 1.1630942484747515, "ratings": {"bo3:7:19340": 1628.04988, "bo3:7:19668": 1691.82598},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"2026-09-15T16:14:03.797742+00:00", "team_ids": ["bo3:7:19668", "bo3:7:19340"]}, "market_type": "moneyline", "model_version": "rainbow_six-tiered-elo-v6", "observed_at_utc": "2026-09-15T16:14:03.797742+00:00", "probabilities": {"away": 0.379427, "home": 0.620573}, "replay_scope": "Exact serving book state, calibration, temperature, inactivity reference and thin-history adjustments; training provenance not certified.", "schema": "esports-elo-replay-v1", "snapshot_hash": "0dc9b156507020ed3b81ea9418d45a0c7da5c7c2fc2e4e00d610d7adfaebc1ff", "sport": "RAINBOW_SIX"}</t>
        </is>
      </c>
    </row>
    <row r="26" ht="36" customHeight="1">
      <c r="A26" s="24" t="inlineStr">
        <is>
          <t>20ce5dae59d84013</t>
        </is>
      </c>
      <c r="B26" s="24" t="inlineStr">
        <is>
          <t>2026-09-17T16:35:17.195438Z</t>
        </is>
      </c>
      <c r="C26" s="24" t="inlineStr">
        <is>
          <t>2026-09-17T18:00:00Z</t>
        </is>
      </c>
      <c r="D26" s="24" t="inlineStr">
        <is>
          <t>112768</t>
        </is>
      </c>
      <c r="E26" s="24" t="inlineStr">
        <is>
          <t>RAINBOW_SIX</t>
        </is>
      </c>
      <c r="F26" s="24" t="inlineStr">
        <is>
          <t>Five Fears</t>
        </is>
      </c>
      <c r="G26" s="24" t="inlineStr">
        <is>
          <t>For Fun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-122</v>
      </c>
      <c r="M26" s="27" t="n">
        <v>1.819672</v>
      </c>
      <c r="N26" s="28" t="n">
        <v>0.54955</v>
      </c>
      <c r="O26" s="28" t="n">
        <v>0.589812</v>
      </c>
      <c r="P26" s="28" t="n"/>
      <c r="Q26" s="28" t="n">
        <v>0.040262</v>
      </c>
      <c r="R26" s="26" t="n">
        <v>40</v>
      </c>
      <c r="S26" s="29" t="n">
        <v>1</v>
      </c>
      <c r="T26" s="24" t="inlineStr">
        <is>
          <t>rainbow_six-tiered-elo-v6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0.8197</v>
      </c>
      <c r="AD26" s="24" t="inlineStr">
        <is>
          <t>2026-09-17T22:02:21.595128Z</t>
        </is>
      </c>
      <c r="AE26" s="31" t="inlineStr">
        <is>
          <t>Neutral Elo baseline; executable ask 0.5500 (market_slug=aec-r6-ff-5f-2026-09-17).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Five Fears</t>
        </is>
      </c>
      <c r="AQ26" s="24" t="inlineStr">
        <is>
          <t>Five Fears</t>
        </is>
      </c>
      <c r="AR26" s="24" t="inlineStr">
        <is>
          <t>Five Fears</t>
        </is>
      </c>
      <c r="AS26" s="24" t="inlineStr">
        <is>
          <t>For Fun Esports</t>
        </is>
      </c>
      <c r="AT26" s="24" t="inlineStr">
        <is>
          <t>For Fun Esports</t>
        </is>
      </c>
      <c r="AU26" s="24" t="inlineStr">
        <is>
          <t>For Fun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313367002e8c887889d6964ba5266e3d808cf12e13c6319b5d05a3b85777719a</t>
        </is>
      </c>
      <c r="BB26" s="24" t="inlineStr">
        <is>
          <t>neutral_elo</t>
        </is>
      </c>
      <c r="BC26" s="24" t="inlineStr">
        <is>
          <t>rainbow_six-tiered-elo-v6</t>
        </is>
      </c>
      <c r="BD26" s="24" t="inlineStr">
        <is>
          <t>313367002e8c887889d6964ba5266e3d808cf12e13c6319b5d05a3b85777719a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rainbow_six-tiered-elo-v6</t>
        </is>
      </c>
      <c r="BH26" s="24" t="inlineStr">
        <is>
          <t>2026-09-17T16:18:50.721425Z</t>
        </is>
      </c>
      <c r="BI26" s="24" t="inlineStr">
        <is>
          <t>["same_event","same_team_same_day","same_league_same_day"]</t>
        </is>
      </c>
      <c r="BJ26" s="25" t="n"/>
      <c r="BK26" s="26" t="n">
        <v>-122</v>
      </c>
      <c r="BL26" s="27" t="n">
        <v>1.819672</v>
      </c>
      <c r="BM26" s="28" t="n">
        <v>0.54955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0.54955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"313367002e8c887889d6964ba5266e3d808cf12e13c6319b5d05a3b85777719a", "away_team": "Five Fears", "event_id": "112768", "event_start_utc": "2026-09-17T18:00:00Z", "features": {"away_elo": 1476.063933, "away_history_count": 23, "home_elo": 1518.355015, "home_history_count": 13}, "historical_source_observation_times_verified": false, "home_team": "For Fun Esports", "inference_inputs": {"book_state": {"games_played": {"bo3:7:23079": 23, "bo3:7:24480": 13}, "inactivity_half_life_days": null, "inactivity_max_pull": null, "k": 24.0, "last_match_utc": {"bo3:7:23079": "2026-09-11T19:20:00Z", "bo3:7:24480": "2026-09-11T21:30:00Z"}, "minimum_reliable_games": null, "platt_intercept": 0.163419118508153, "platt_slope": 1.1483475465180992, "ratings": {"bo3:7:23079": 1476.063933, "bo3:7:24480": 1518.355015},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["bo3:7:24480", "bo3:7:23079"]}, "market_type": "moneyline", "model_version": "rainbow_six-tiered-elo-v6", "observed_at_utc": "2026-09-17T16:18:50.353265+00:00", "probabilities": {"away": 0.410188, "home": 0.589812}, "replay_scope": "Exact serving book state, calibration, temperature, inactivity reference and thin-history adjustments; training provenance not certified.", "schema": "esports-elo-replay-v1", "snapshot_hash": "5baeac131e39a4ae0fda559c52e3c1c36627eacc8c2ad5508f3c15708fe5de2c", "sport": "RAINBOW_SIX"}</t>
        </is>
      </c>
    </row>
    <row r="27" ht="36" customHeight="1">
      <c r="A27" s="24" t="inlineStr">
        <is>
          <t>07743877f5764102</t>
        </is>
      </c>
      <c r="B27" s="24" t="inlineStr">
        <is>
          <t>2026-09-17T16:35:17.195438Z</t>
        </is>
      </c>
      <c r="C27" s="24" t="inlineStr">
        <is>
          <t>2026-09-17T19:00:00Z</t>
        </is>
      </c>
      <c r="D27" s="24" t="inlineStr">
        <is>
          <t>112905</t>
        </is>
      </c>
      <c r="E27" s="24" t="inlineStr">
        <is>
          <t>RAINBOW_SIX</t>
        </is>
      </c>
      <c r="F27" s="24" t="inlineStr">
        <is>
          <t>Spacestation Gaming</t>
        </is>
      </c>
      <c r="G27" s="24" t="inlineStr">
        <is>
          <t>Wildcard Gaming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-194</v>
      </c>
      <c r="M27" s="27" t="n">
        <v>1.515464</v>
      </c>
      <c r="N27" s="28" t="n">
        <v>0.659864</v>
      </c>
      <c r="O27" s="28" t="n">
        <v>0.683351</v>
      </c>
      <c r="P27" s="28" t="n"/>
      <c r="Q27" s="28" t="n">
        <v>0.023487</v>
      </c>
      <c r="R27" s="26" t="n">
        <v>32</v>
      </c>
      <c r="S27" s="29" t="n">
        <v>1</v>
      </c>
      <c r="T27" s="24" t="inlineStr">
        <is>
          <t>rainbow_six-tiered-elo-v6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0.5155</v>
      </c>
      <c r="AD27" s="24" t="inlineStr">
        <is>
          <t>2026-09-17T22:02:21.925737Z</t>
        </is>
      </c>
      <c r="AE27" s="31" t="inlineStr">
        <is>
          <t>Neutral Elo baseline; executable ask 0.6600 (market_slug=aec-r6-wcg-ssg-2026-09-17).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Spacestation Gaming</t>
        </is>
      </c>
      <c r="AQ27" s="24" t="inlineStr">
        <is>
          <t>Spacestation Gaming</t>
        </is>
      </c>
      <c r="AR27" s="24" t="inlineStr">
        <is>
          <t>Spacestation Gaming</t>
        </is>
      </c>
      <c r="AS27" s="24" t="inlineStr">
        <is>
          <t>Wildcard Gaming</t>
        </is>
      </c>
      <c r="AT27" s="24" t="inlineStr">
        <is>
          <t>Wildcard Gaming</t>
        </is>
      </c>
      <c r="AU27" s="24" t="inlineStr">
        <is>
          <t>Wildcard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313367002e8c887889d6964ba5266e3d808cf12e13c6319b5d05a3b85777719a</t>
        </is>
      </c>
      <c r="BB27" s="24" t="inlineStr">
        <is>
          <t>neutral_elo</t>
        </is>
      </c>
      <c r="BC27" s="24" t="inlineStr">
        <is>
          <t>rainbow_six-tiered-elo-v6</t>
        </is>
      </c>
      <c r="BD27" s="24" t="inlineStr">
        <is>
          <t>313367002e8c887889d6964ba5266e3d808cf12e13c6319b5d05a3b85777719a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rainbow_six-tiered-elo-v6</t>
        </is>
      </c>
      <c r="BH27" s="24" t="inlineStr">
        <is>
          <t>2026-09-17T16:18:50.911670Z</t>
        </is>
      </c>
      <c r="BI27" s="24" t="inlineStr">
        <is>
          <t>["same_event","same_team_same_day","same_league_same_day"]</t>
        </is>
      </c>
      <c r="BJ27" s="25" t="n"/>
      <c r="BK27" s="26" t="n">
        <v>-194</v>
      </c>
      <c r="BL27" s="27" t="n">
        <v>1.515464</v>
      </c>
      <c r="BM27" s="28" t="n">
        <v>0.659864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0.659864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"313367002e8c887889d6964ba5266e3d808cf12e13c6319b5d05a3b85777719a", "away_team": "Spacestation Gaming", "event_id": "112905", "event_start_utc": "2026-09-17T19:00:00Z", "features": {"away_elo": 1617.975276, "away_history_count": 122, "home_elo": 1736.391165, "home_history_count": 112}, "historical_source_observation_times_verified": false, "home_team": "Wildcard Gaming", "inference_inputs": {"book_state": {"games_played": {"bo3:7:19717": 112, "bo3:7:19723": 122}, "inactivity_half_life_days": null, "inactivity_max_pull": null, "k": 24.0, "last_match_utc": {"bo3:7:19717": "2026-09-11T22:30:00Z", "bo3:7:19723": "2026-09-11T18:00:00Z"}, "minimum_reliable_games": null, "platt_intercept": 0.163419118508153, "platt_slope": 1.1483475465180992, "ratings": {"bo3:7:19717": 1736.391165, "bo3:7:19723": 1617.975276},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["bo3:7:19717", "bo3:7:19723"]}, "market_type": "moneyline", "model_version": "rainbow_six-tiered-elo-v6", "observed_at_utc": "2026-09-17T16:18:50.353265+00:00", "probabilities": {"away": 0.316649, "home": 0.683351}, "replay_scope": "Exact serving book state, calibration, temperature, inactivity reference and thin-history adjustments; training provenance not certified.", "schema": "esports-elo-replay-v1", "snapshot_hash": "74786b7f8f77ad880ffb8de8830b359ad298b05618e8ccd9b8a0dff61834ae66", "sport": "RAINBOW_SIX"}</t>
        </is>
      </c>
    </row>
    <row r="28" ht="36" customHeight="1">
      <c r="A28" s="24" t="inlineStr">
        <is>
          <t>19f27cf162704cdd</t>
        </is>
      </c>
      <c r="B28" s="24" t="inlineStr">
        <is>
          <t>2026-09-20T05:04:00.761534Z</t>
        </is>
      </c>
      <c r="C28" s="24" t="inlineStr">
        <is>
          <t>2026-09-20T05:30:00Z</t>
        </is>
      </c>
      <c r="D28" s="24" t="inlineStr">
        <is>
          <t>115741</t>
        </is>
      </c>
      <c r="E28" s="24" t="inlineStr">
        <is>
          <t>RAINBOW_SIX</t>
        </is>
      </c>
      <c r="F28" s="24" t="inlineStr">
        <is>
          <t>EDward Gaming</t>
        </is>
      </c>
      <c r="G28" s="24" t="inlineStr">
        <is>
          <t>KINGZERO eSports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-170</v>
      </c>
      <c r="M28" s="27" t="n">
        <v>1.588235</v>
      </c>
      <c r="N28" s="28" t="n">
        <v>0.62963</v>
      </c>
      <c r="O28" s="28" t="n">
        <v>0.624299</v>
      </c>
      <c r="P28" s="28" t="n"/>
      <c r="Q28" s="28" t="n">
        <v>-0.005331</v>
      </c>
      <c r="R28" s="26" t="n">
        <v>17</v>
      </c>
      <c r="S28" s="29" t="n">
        <v>1</v>
      </c>
      <c r="T28" s="24" t="inlineStr">
        <is>
          <t>rainbow_six-tiered-elo-v6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-3233</v>
      </c>
      <c r="AA28" s="28" t="n">
        <v>0.97</v>
      </c>
      <c r="AB28" s="28" t="n">
        <v>0.34037</v>
      </c>
      <c r="AC28" s="30" t="n">
        <v>0.5881999999999999</v>
      </c>
      <c r="AD28" s="24" t="inlineStr">
        <is>
          <t>2026-09-20T10:01:44.348001Z</t>
        </is>
      </c>
      <c r="AE28" s="31" t="inlineStr">
        <is>
          <t>Neutral Elo baseline; executable ask 0.6300 (market_slug=aec-r6-kz-edg-2026-09-20).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EDward Gaming</t>
        </is>
      </c>
      <c r="AQ28" s="24" t="inlineStr">
        <is>
          <t>EDward Gaming</t>
        </is>
      </c>
      <c r="AR28" s="24" t="inlineStr">
        <is>
          <t>EDward Gaming</t>
        </is>
      </c>
      <c r="AS28" s="24" t="inlineStr">
        <is>
          <t>KINGZERO eSports</t>
        </is>
      </c>
      <c r="AT28" s="24" t="inlineStr">
        <is>
          <t>KINGZERO eSports</t>
        </is>
      </c>
      <c r="AU28" s="24" t="inlineStr">
        <is>
          <t>KINGZERO eSports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ce3a29e786e8c7e5828812d34ec2a25e13aebc85a15f086e9d8572f8017e366d</t>
        </is>
      </c>
      <c r="BB28" s="24" t="inlineStr">
        <is>
          <t>neutral_elo</t>
        </is>
      </c>
      <c r="BC28" s="24" t="inlineStr">
        <is>
          <t>rainbow_six-tiered-elo-v6</t>
        </is>
      </c>
      <c r="BD28" s="24" t="inlineStr">
        <is>
          <t>ce3a29e786e8c7e5828812d34ec2a25e13aebc85a15f086e9d8572f8017e366d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rainbow_six-tiered-elo-v6</t>
        </is>
      </c>
      <c r="BH28" s="24" t="inlineStr">
        <is>
          <t>2026-09-20T05:03:14.726911Z</t>
        </is>
      </c>
      <c r="BI28" s="24" t="inlineStr">
        <is>
          <t>["same_event","same_team_same_day","same_league_same_day"]</t>
        </is>
      </c>
      <c r="BJ28" s="25" t="n"/>
      <c r="BK28" s="26" t="n">
        <v>-170</v>
      </c>
      <c r="BL28" s="27" t="n">
        <v>1.588235</v>
      </c>
      <c r="BM28" s="28" t="n">
        <v>0.62963</v>
      </c>
      <c r="BN28" s="28" t="n"/>
      <c r="BO28" s="28" t="n"/>
      <c r="BP28" s="25" t="n"/>
      <c r="BQ28" s="27" t="n">
        <v>1.030931</v>
      </c>
      <c r="BR28" s="28" t="n">
        <v>0.97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0.62963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"ce3a29e786e8c7e5828812d34ec2a25e13aebc85a15f086e9d8572f8017e366d", "away_team": "EDward Gaming", "event_id": "115741", "event_start_utc": "2026-09-20T05:30:00Z", "features": {"away_elo": 1641.241229, "away_history_count": 29, "home_elo": 1508.830009, "home_history_count": 34}, "historical_source_observation_times_verified": false, "home_team": "KINGZERO eSports", "inference_inputs": {"book_state": {"games_played": {"bo3:7:22019": 34, "bo3:7:23212": 29}, "inactivity_half_life_days": null, "inactivity_max_pull": null, "k": 24.0, "last_match_utc": {"bo3:7:22019": "2026-09-12T05:30:00Z", "bo3:7:23212": "2026-09-13T09:30:00Z"}, "minimum_reliable_games": null, "platt_intercept": 0.15130792950935082, "platt_slope": 1.04659530880493, "ratings": {"bo3:7:22019": 1508.830009, "bo3:7:23212": 1641.241229},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["bo3:7:22019", "bo3:7:23212"]}, "market_type": "moneyline", "model_version": "rainbow_six-tiered-elo-v6", "observed_at_utc": "2026-09-20T05:03:14.590654+00:00", "probabilities": {"away": 0.624299, "home": 0.375701}, "replay_scope": "Exact serving book state, calibration, temperature, inactivity reference and thin-history adjustments; training provenance not certified.", "schema": "esports-elo-replay-v1", "snapshot_hash": "69ad170ee3081f22a7b9de3482f7756c198a06e66262855643d1897d998f376d", "sport": "RAINBOW_SIX"}</t>
        </is>
      </c>
    </row>
    <row r="29" ht="36" customHeight="1">
      <c r="A29" s="24" t="inlineStr">
        <is>
          <t>81c8eccbfe85468d</t>
        </is>
      </c>
      <c r="B29" s="24" t="inlineStr">
        <is>
          <t>2026-09-20T05:04:00.761534Z</t>
        </is>
      </c>
      <c r="C29" s="24" t="inlineStr">
        <is>
          <t>2026-09-20T09:00:00Z</t>
        </is>
      </c>
      <c r="D29" s="24" t="inlineStr">
        <is>
          <t>115808</t>
        </is>
      </c>
      <c r="E29" s="24" t="inlineStr">
        <is>
          <t>RAINBOW_SIX</t>
        </is>
      </c>
      <c r="F29" s="24" t="inlineStr">
        <is>
          <t>One Coin</t>
        </is>
      </c>
      <c r="G29" s="24" t="inlineStr">
        <is>
          <t>All Gamers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-122</v>
      </c>
      <c r="M29" s="27" t="n">
        <v>1.819672</v>
      </c>
      <c r="N29" s="28" t="n">
        <v>0.54955</v>
      </c>
      <c r="O29" s="28" t="n">
        <v>0.723906</v>
      </c>
      <c r="P29" s="28" t="n"/>
      <c r="Q29" s="28" t="n">
        <v>0.174356</v>
      </c>
      <c r="R29" s="26" t="n">
        <v>100</v>
      </c>
      <c r="S29" s="29" t="n">
        <v>1.75</v>
      </c>
      <c r="T29" s="24" t="inlineStr">
        <is>
          <t>rainbow_six-tiered-elo-v6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-1.75</v>
      </c>
      <c r="AD29" s="24" t="inlineStr">
        <is>
          <t>2026-09-20T16:01:37.224014Z</t>
        </is>
      </c>
      <c r="AE29" s="31" t="inlineStr">
        <is>
          <t>Neutral Elo baseline; executable ask 0.5500 (market_slug=aec-r6-ag-oc-2026-09-20).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One Coin</t>
        </is>
      </c>
      <c r="AQ29" s="24" t="inlineStr">
        <is>
          <t>One Coin</t>
        </is>
      </c>
      <c r="AR29" s="24" t="inlineStr">
        <is>
          <t>One Coin</t>
        </is>
      </c>
      <c r="AS29" s="24" t="inlineStr">
        <is>
          <t>All Gamers</t>
        </is>
      </c>
      <c r="AT29" s="24" t="inlineStr">
        <is>
          <t>All Gamers</t>
        </is>
      </c>
      <c r="AU29" s="24" t="inlineStr">
        <is>
          <t>All Gamers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ce3a29e786e8c7e5828812d34ec2a25e13aebc85a15f086e9d8572f8017e366d</t>
        </is>
      </c>
      <c r="BB29" s="24" t="inlineStr">
        <is>
          <t>neutral_elo</t>
        </is>
      </c>
      <c r="BC29" s="24" t="inlineStr">
        <is>
          <t>rainbow_six-tiered-elo-v6</t>
        </is>
      </c>
      <c r="BD29" s="24" t="inlineStr">
        <is>
          <t>ce3a29e786e8c7e5828812d34ec2a25e13aebc85a15f086e9d8572f8017e366d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rainbow_six-tiered-elo-v6</t>
        </is>
      </c>
      <c r="BH29" s="24" t="inlineStr">
        <is>
          <t>2026-09-20T05:03:14.797975Z</t>
        </is>
      </c>
      <c r="BI29" s="24" t="inlineStr">
        <is>
          <t>["same_event","same_team_same_day","same_league_same_day"]</t>
        </is>
      </c>
      <c r="BJ29" s="25" t="n"/>
      <c r="BK29" s="26" t="n">
        <v>-122</v>
      </c>
      <c r="BL29" s="27" t="n">
        <v>1.819672</v>
      </c>
      <c r="BM29" s="28" t="n">
        <v>0.54955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0.54955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"ce3a29e786e8c7e5828812d34ec2a25e13aebc85a15f086e9d8572f8017e366d", "away_team": "One Coin", "event_id": "115808", "event_start_utc": "2026-09-20T09:00:00Z", "features": {"away_elo": 1482.284274, "away_history_count": 23, "home_elo": 1648.232257, "home_history_count": 48}, "historical_source_observation_times_verified": false, "home_team": "All Gamers", "inference_inputs": {"book_state": {"games_played": {"bo3:7:22018": 48, "bo3:7:23213": 23}, "inactivity_half_life_days": null, "inactivity_max_pull": null, "k": 24.0, "last_match_utc": {"bo3:7:22018": "2026-09-19T08:10:00Z", "bo3:7:23213": "2026-09-13T05:30:00Z"}, "minimum_reliable_games": null, "platt_intercept": 0.15130792950935082, "platt_slope": 1.04659530880493, "ratings": {"bo3:7:22018": 1648.232257, "bo3:7:23213": 1482.284274},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["bo3:7:22018", "bo3:7:23213"]}, "market_type": "moneyline", "model_version": "rainbow_six-tiered-elo-v6", "observed_at_utc": "2026-09-20T05:03:14.590654+00:00", "probabilities": {"away": 0.276094, "home": 0.723906}, "replay_scope": "Exact serving book state, calibration, temperature, inactivity reference and thin-history adjustments; training provenance not certified.", "schema": "esports-elo-replay-v1", "snapshot_hash": "e7e92053556105b7bc5a1aefe31895d9b8b303703e9c7565a98fcc3b7ad9cacd", "sport": "RAINBOW_SIX"}</t>
        </is>
      </c>
    </row>
    <row r="30" ht="36" customHeight="1">
      <c r="A30" s="24" t="inlineStr">
        <is>
          <t>330dc3c31f1d45b6</t>
        </is>
      </c>
      <c r="B30" s="24" t="inlineStr">
        <is>
          <t>2026-09-20T16:27:53.115656Z</t>
        </is>
      </c>
      <c r="C30" s="24" t="inlineStr">
        <is>
          <t>2026-09-20T17:15:00Z</t>
        </is>
      </c>
      <c r="D30" s="24" t="inlineStr">
        <is>
          <t>115974</t>
        </is>
      </c>
      <c r="E30" s="24" t="inlineStr">
        <is>
          <t>RAINBOW_SIX</t>
        </is>
      </c>
      <c r="F30" s="24" t="inlineStr">
        <is>
          <t>Lucky Five</t>
        </is>
      </c>
      <c r="G30" s="24" t="inlineStr">
        <is>
          <t>LOS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-170</v>
      </c>
      <c r="M30" s="27" t="n">
        <v>1.588235</v>
      </c>
      <c r="N30" s="28" t="n">
        <v>0.62963</v>
      </c>
      <c r="O30" s="28" t="n">
        <v>0.58822</v>
      </c>
      <c r="P30" s="28" t="n"/>
      <c r="Q30" s="28" t="n">
        <v>-0.04141</v>
      </c>
      <c r="R30" s="26" t="n">
        <v>0</v>
      </c>
      <c r="S30" s="29" t="n">
        <v>1</v>
      </c>
      <c r="T30" s="24" t="inlineStr">
        <is>
          <t>rainbow_six-tiered-elo-v6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-1</v>
      </c>
      <c r="AD30" s="24" t="inlineStr">
        <is>
          <t>2026-09-20T22:18:13.608821Z</t>
        </is>
      </c>
      <c r="AE30" s="31" t="inlineStr">
        <is>
          <t>Neutral Elo baseline; executable ask 0.6300 (market_slug=aec-r6-los-l5-2026-09-20).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Lucky Five</t>
        </is>
      </c>
      <c r="AQ30" s="24" t="inlineStr">
        <is>
          <t>Lucky Five</t>
        </is>
      </c>
      <c r="AR30" s="24" t="inlineStr">
        <is>
          <t>Lucky Five</t>
        </is>
      </c>
      <c r="AS30" s="24" t="inlineStr">
        <is>
          <t>LOS</t>
        </is>
      </c>
      <c r="AT30" s="24" t="inlineStr">
        <is>
          <t>LOS</t>
        </is>
      </c>
      <c r="AU30" s="24" t="inlineStr">
        <is>
          <t>LOS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46475e1d0fbaa89142bfe08c4c9c8657c1e3e4f0377ab1fde3a80f2f7bfebb07</t>
        </is>
      </c>
      <c r="BB30" s="24" t="inlineStr">
        <is>
          <t>neutral_elo</t>
        </is>
      </c>
      <c r="BC30" s="24" t="inlineStr">
        <is>
          <t>rainbow_six-tiered-elo-v6</t>
        </is>
      </c>
      <c r="BD30" s="24" t="inlineStr">
        <is>
          <t>46475e1d0fbaa89142bfe08c4c9c8657c1e3e4f0377ab1fde3a80f2f7bfebb07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rainbow_six-tiered-elo-v6</t>
        </is>
      </c>
      <c r="BH30" s="24" t="inlineStr">
        <is>
          <t>2026-09-20T16:27:17.129161Z</t>
        </is>
      </c>
      <c r="BI30" s="24" t="inlineStr">
        <is>
          <t>["same_event","same_team_same_day","same_league_same_day"]</t>
        </is>
      </c>
      <c r="BJ30" s="25" t="n"/>
      <c r="BK30" s="26" t="n">
        <v>-170</v>
      </c>
      <c r="BL30" s="27" t="n">
        <v>1.588235</v>
      </c>
      <c r="BM30" s="28" t="n">
        <v>0.62963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0.62963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"46475e1d0fbaa89142bfe08c4c9c8657c1e3e4f0377ab1fde3a80f2f7bfebb07", "away_team": "Lucky Five", "event_id": "115974", "event_start_utc": "2026-09-20T17:15:00Z", "features": {"away_elo": 1469.093144, "away_history_count": 5, "home_elo": 1538.002256, "home_history_count": 74}, "historical_source_observation_times_verified": false, "home_team": "LOS", "inference_inputs": {"book_state": {"games_played": {"bo3:7:19230": 74, "bo3:7:25262": 5}, "inactivity_half_life_days": null, "inactivity_max_pull": null, "k": 24.0, "last_match_utc": {"bo3:7:19230": "2026-09-19T17:15:00Z", "bo3:7:25262": "2026-09-19T18:45:00Z"}, "minimum_reliable_games": null, "platt_intercept": 0.1451409907640296, "platt_slope": 1.0696764204989753, "ratings": {"bo3:7:19230": 1538.002256, "bo3:7:25262": 1469.093144},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"2026-09-20T16:27:17.061333+00:00", "team_ids": ["bo3:7:19230", "bo3:7:25262"]}, "market_type": "moneyline", "model_version": "rainbow_six-tiered-elo-v6", "observed_at_utc": "2026-09-20T16:27:17.061333+00:00", "probabilities": {"away": 0.41178, "home": 0.58822}, "replay_scope": "Exact serving book state, calibration, temperature, inactivity reference and thin-history adjustments; training provenance not certified.", "schema": "esports-elo-replay-v1", "snapshot_hash": "3d949c38c51915e962200932f3fb18cd8c95c6cbc057040f0c6148595c9e5d3a", "sport": "RAINBOW_SIX"}</t>
        </is>
      </c>
    </row>
    <row r="31" ht="36" customHeight="1">
      <c r="A31" s="24" t="inlineStr">
        <is>
          <t>850773662f9343ca</t>
        </is>
      </c>
      <c r="B31" s="24" t="inlineStr">
        <is>
          <t>2026-09-21T04:40:34.200104Z</t>
        </is>
      </c>
      <c r="C31" s="24" t="inlineStr">
        <is>
          <t>2026-09-21T09:00:00Z</t>
        </is>
      </c>
      <c r="D31" s="24" t="inlineStr">
        <is>
          <t>116694</t>
        </is>
      </c>
      <c r="E31" s="24" t="inlineStr">
        <is>
          <t>RAINBOW_SIX</t>
        </is>
      </c>
      <c r="F31" s="24" t="inlineStr">
        <is>
          <t>Shaiikademy</t>
        </is>
      </c>
      <c r="G31" s="24" t="inlineStr">
        <is>
          <t>Circular Spheres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-113</v>
      </c>
      <c r="M31" s="27" t="n">
        <v>1.884956</v>
      </c>
      <c r="N31" s="28" t="n">
        <v>0.530516</v>
      </c>
      <c r="O31" s="28" t="n">
        <v>0.54056</v>
      </c>
      <c r="P31" s="28" t="n"/>
      <c r="Q31" s="28" t="n">
        <v>0.010044</v>
      </c>
      <c r="R31" s="26" t="n">
        <v>25</v>
      </c>
      <c r="S31" s="29" t="n">
        <v>1</v>
      </c>
      <c r="T31" s="24" t="inlineStr">
        <is>
          <t>rainbow_six-tiered-elo-v6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-1</v>
      </c>
      <c r="AD31" s="24" t="inlineStr">
        <is>
          <t>2026-09-21T10:01:20.794247Z</t>
        </is>
      </c>
      <c r="AE31" s="31" t="inlineStr">
        <is>
          <t>Neutral Elo baseline; executable ask 0.5300 (market_slug=aec-r6-cs-sha-2026-09-21).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Shaiikademy</t>
        </is>
      </c>
      <c r="AQ31" s="24" t="inlineStr">
        <is>
          <t>Shaiikademy</t>
        </is>
      </c>
      <c r="AR31" s="24" t="inlineStr">
        <is>
          <t>Shaiikademy</t>
        </is>
      </c>
      <c r="AS31" s="24" t="inlineStr">
        <is>
          <t>Circular Spheres</t>
        </is>
      </c>
      <c r="AT31" s="24" t="inlineStr">
        <is>
          <t>Circular Spheres</t>
        </is>
      </c>
      <c r="AU31" s="24" t="inlineStr">
        <is>
          <t>Circular Spheres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ee1a50b40304cfee6d3637eb071bb21eb59c65dfe6dee3e858f4d399db81cd89</t>
        </is>
      </c>
      <c r="BB31" s="24" t="inlineStr">
        <is>
          <t>neutral_elo</t>
        </is>
      </c>
      <c r="BC31" s="24" t="inlineStr">
        <is>
          <t>rainbow_six-tiered-elo-v6</t>
        </is>
      </c>
      <c r="BD31" s="24" t="inlineStr">
        <is>
          <t>ee1a50b40304cfee6d3637eb071bb21eb59c65dfe6dee3e858f4d399db81cd89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rainbow_six-tiered-elo-v6</t>
        </is>
      </c>
      <c r="BH31" s="24" t="inlineStr">
        <is>
          <t>2026-09-21T04:39:29.238344Z</t>
        </is>
      </c>
      <c r="BI31" s="24" t="inlineStr">
        <is>
          <t>["same_event","same_team_same_day","same_league_same_day"]</t>
        </is>
      </c>
      <c r="BJ31" s="25" t="n"/>
      <c r="BK31" s="26" t="n">
        <v>-113</v>
      </c>
      <c r="BL31" s="27" t="n">
        <v>1.884956</v>
      </c>
      <c r="BM31" s="28" t="n">
        <v>0.530516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0.530516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"ee1a50b40304cfee6d3637eb071bb21eb59c65dfe6dee3e858f4d399db81cd89", "away_team": "Shaiikademy", "event_id": "116694", "event_start_utc": "2026-09-21T09:00:00Z", "features": {"away_elo": 1503.602779, "away_history_count": 21, "home_elo": 1450.130023, "home_history_count": 34}, "historical_source_observation_times_verified": false, "home_team": "Circular Spheres", "inference_inputs": {"book_state": {"games_played": {"bo3:7:19345": 34, "bo3:7:23005": 21}, "inactivity_half_life_days": null, "inactivity_max_pull": null, "k": 24.0, "last_match_utc": {"bo3:7:19345": "2026-09-15T10:30:00Z", "bo3:7:23005": "2026-09-15T08:10:00Z"}, "minimum_reliable_games": null, "platt_intercept": 0.1261128127379014, "platt_slope": 1.0884910290678118, "ratings": {"bo3:7:19345": 1450.130023, "bo3:7:23005": 1503.602779},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"2026-09-21T04:39:29.090530+00:00", "team_ids": ["bo3:7:19345", "bo3:7:23005"]}, "market_type": "moneyline", "model_version": "rainbow_six-tiered-elo-v6", "observed_at_utc": "2026-09-21T04:39:29.090530+00:00", "probabilities": {"away": 0.54056, "home": 0.45944}, "replay_scope": "Exact serving book state, calibration, temperature, inactivity reference and thin-history adjustments; training provenance not certified.", "schema": "esports-elo-replay-v1", "snapshot_hash": "764d251eaef06e1023cab455f4ea5219dc40ff2276fb75abfc8531980f66ec59", "sport": "RAINBOW_SIX"}</t>
        </is>
      </c>
    </row>
    <row r="32" ht="36" customHeight="1">
      <c r="A32" s="24" t="inlineStr">
        <is>
          <t>62a1c9a277c14a46</t>
        </is>
      </c>
      <c r="B32" s="24" t="inlineStr">
        <is>
          <t>2026-09-21T10:09:18.486346Z</t>
        </is>
      </c>
      <c r="C32" s="24" t="inlineStr">
        <is>
          <t>2026-09-21T16:00:00Z</t>
        </is>
      </c>
      <c r="D32" s="24" t="inlineStr">
        <is>
          <t>116835</t>
        </is>
      </c>
      <c r="E32" s="24" t="inlineStr">
        <is>
          <t>RAINBOW_SIX</t>
        </is>
      </c>
      <c r="F32" s="24" t="inlineStr">
        <is>
          <t>Twisted Minds</t>
        </is>
      </c>
      <c r="G32" s="24" t="inlineStr">
        <is>
          <t>Virtus.pro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-163</v>
      </c>
      <c r="M32" s="27" t="n">
        <v>1.613497</v>
      </c>
      <c r="N32" s="28" t="n">
        <v>0.619772</v>
      </c>
      <c r="O32" s="28" t="n">
        <v>0.656444</v>
      </c>
      <c r="P32" s="28" t="n"/>
      <c r="Q32" s="28" t="n">
        <v>0.036672</v>
      </c>
      <c r="R32" s="26" t="n">
        <v>38</v>
      </c>
      <c r="S32" s="29" t="n">
        <v>1</v>
      </c>
      <c r="T32" s="24" t="inlineStr">
        <is>
          <t>rainbow_six-tiered-elo-v6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0.6135</v>
      </c>
      <c r="AD32" s="24" t="inlineStr">
        <is>
          <t>2026-09-21T22:01:51.165330Z</t>
        </is>
      </c>
      <c r="AE32" s="31" t="inlineStr">
        <is>
          <t>Neutral Elo baseline; executable ask 0.6200 (market_slug=aec-r6-vp-tm-2026-09-21).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Twisted Minds</t>
        </is>
      </c>
      <c r="AQ32" s="24" t="inlineStr">
        <is>
          <t>Twisted Minds</t>
        </is>
      </c>
      <c r="AR32" s="24" t="inlineStr">
        <is>
          <t>Twisted Minds</t>
        </is>
      </c>
      <c r="AS32" s="24" t="inlineStr">
        <is>
          <t>Virtus.pro</t>
        </is>
      </c>
      <c r="AT32" s="24" t="inlineStr">
        <is>
          <t>Virtus.pro</t>
        </is>
      </c>
      <c r="AU32" s="24" t="inlineStr">
        <is>
          <t>Virtus.pro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dcb8dbabece496384054f2bbfbe17776130e7e5cbcd97741b4d22fe13aad0004</t>
        </is>
      </c>
      <c r="BB32" s="24" t="inlineStr">
        <is>
          <t>neutral_elo</t>
        </is>
      </c>
      <c r="BC32" s="24" t="inlineStr">
        <is>
          <t>rainbow_six-tiered-elo-v6</t>
        </is>
      </c>
      <c r="BD32" s="24" t="inlineStr">
        <is>
          <t>dcb8dbabece496384054f2bbfbe17776130e7e5cbcd97741b4d22fe13aad0004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rainbow_six-tiered-elo-v6</t>
        </is>
      </c>
      <c r="BH32" s="24" t="inlineStr">
        <is>
          <t>2026-09-21T10:08:30.176780Z</t>
        </is>
      </c>
      <c r="BI32" s="24" t="inlineStr">
        <is>
          <t>["same_event","same_team_same_day","same_league_same_day"]</t>
        </is>
      </c>
      <c r="BJ32" s="25" t="n"/>
      <c r="BK32" s="26" t="n">
        <v>-163</v>
      </c>
      <c r="BL32" s="27" t="n">
        <v>1.613497</v>
      </c>
      <c r="BM32" s="28" t="n">
        <v>0.619772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0.619772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"dcb8dbabece496384054f2bbfbe17776130e7e5cbcd97741b4d22fe13aad0004", "away_team": "Twisted Minds", "event_id": "116835", "event_start_utc": "2026-09-21T16:00:00Z", "features": {"away_elo": 1585.120958, "away_history_count": 49, "home_elo": 1710.454762, "home_history_count": 106}, "historical_source_observation_times_verified": false, "home_team": "Virtus.pro", "inference_inputs": {"book_state": {"games_played": {"bo3:7:19337": 49, "bo3:7:19668": 106}, "inactivity_half_life_days": null, "inactivity_max_pull": null, "k": 32.0, "last_match_utc": {"bo3:7:19337": "2026-09-15T16:00:00Z", "bo3:7:19668": "2026-09-15T17:30:00Z"}, "minimum_reliable_games": null, "platt_intercept": 0.126619189870412, "platt_slope": 0.9299999466607237, "ratings": {"bo3:7:19337": 1585.120958, "bo3:7:19668": 1710.454762},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"2026-09-21T10:08:30.002005+00:00", "team_ids": ["bo3:7:19668", "bo3:7:19337"]}, "market_type": "moneyline", "model_version": "rainbow_six-tiered-elo-v6", "observed_at_utc": "2026-09-21T10:08:30.002005+00:00", "probabilities": {"away": 0.343556, "home": 0.656444}, "replay_scope": "Exact serving book state, calibration, temperature, inactivity reference and thin-history adjustments; training provenance not certified.", "schema": "esports-elo-replay-v1", "snapshot_hash": "3e9b7588b750c9a99dd85809429555ca2edb0fc28a5f3d3aca444551d2761a25", "sport": "RAINBOW_SIX"}</t>
        </is>
      </c>
    </row>
    <row r="33" ht="36" customHeight="1">
      <c r="A33" s="24" t="inlineStr">
        <is>
          <t>fcfc3e56526e4bf3</t>
        </is>
      </c>
      <c r="B33" s="24" t="inlineStr">
        <is>
          <t>2026-09-22T04:51:36.755298Z</t>
        </is>
      </c>
      <c r="C33" s="24" t="inlineStr">
        <is>
          <t>2026-09-22T09:00:00Z</t>
        </is>
      </c>
      <c r="D33" s="24" t="inlineStr">
        <is>
          <t>117860</t>
        </is>
      </c>
      <c r="E33" s="24" t="inlineStr">
        <is>
          <t>RAINBOW_SIX</t>
        </is>
      </c>
      <c r="F33" s="24" t="inlineStr">
        <is>
          <t>Circular Spheres</t>
        </is>
      </c>
      <c r="G33" s="24" t="inlineStr">
        <is>
          <t>7VEN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-233</v>
      </c>
      <c r="M33" s="27" t="n">
        <v>1.429185</v>
      </c>
      <c r="N33" s="28" t="n">
        <v>0.6997</v>
      </c>
      <c r="O33" s="28" t="n">
        <v>0.583498</v>
      </c>
      <c r="P33" s="28" t="n"/>
      <c r="Q33" s="28" t="n">
        <v>-0.116202</v>
      </c>
      <c r="R33" s="26" t="n">
        <v>0</v>
      </c>
      <c r="S33" s="29" t="n">
        <v>1</v>
      </c>
      <c r="T33" s="24" t="inlineStr">
        <is>
          <t>rainbow_six-tiered-elo-v6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-1</v>
      </c>
      <c r="AD33" s="24" t="inlineStr">
        <is>
          <t>2026-09-22T16:02:02.985839Z</t>
        </is>
      </c>
      <c r="AE33" s="31" t="inlineStr">
        <is>
          <t>Neutral Elo baseline; executable ask 0.7000 (market_slug=aec-r6-7ven-cs-2026-09-22).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Circular Spheres</t>
        </is>
      </c>
      <c r="AQ33" s="24" t="inlineStr">
        <is>
          <t>Circular Spheres</t>
        </is>
      </c>
      <c r="AR33" s="24" t="inlineStr">
        <is>
          <t>Circular Spheres</t>
        </is>
      </c>
      <c r="AS33" s="24" t="inlineStr">
        <is>
          <t>7VEN</t>
        </is>
      </c>
      <c r="AT33" s="24" t="inlineStr">
        <is>
          <t>7VEN</t>
        </is>
      </c>
      <c r="AU33" s="24" t="inlineStr">
        <is>
          <t>7VEN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febe82fe250e93c8ae1c5018df1d0d2f6c7dbf5f48001db108a0dd9218b2a908</t>
        </is>
      </c>
      <c r="BB33" s="24" t="inlineStr">
        <is>
          <t>neutral_elo</t>
        </is>
      </c>
      <c r="BC33" s="24" t="inlineStr">
        <is>
          <t>rainbow_six-tiered-elo-v6</t>
        </is>
      </c>
      <c r="BD33" s="24" t="inlineStr">
        <is>
          <t>febe82fe250e93c8ae1c5018df1d0d2f6c7dbf5f48001db108a0dd9218b2a908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rainbow_six-tiered-elo-v6</t>
        </is>
      </c>
      <c r="BH33" s="24" t="inlineStr">
        <is>
          <t>2026-09-22T04:50:59.508877Z</t>
        </is>
      </c>
      <c r="BI33" s="24" t="inlineStr">
        <is>
          <t>["same_event","same_team_same_day","same_league_same_day"]</t>
        </is>
      </c>
      <c r="BJ33" s="25" t="n"/>
      <c r="BK33" s="26" t="n">
        <v>-233</v>
      </c>
      <c r="BL33" s="27" t="n">
        <v>1.429185</v>
      </c>
      <c r="BM33" s="28" t="n">
        <v>0.6997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0.6997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"febe82fe250e93c8ae1c5018df1d0d2f6c7dbf5f48001db108a0dd9218b2a908", "away_team": "Circular Spheres", "event_id": "117860", "event_start_utc": "2026-09-22T09:00:00Z", "features": {"away_elo": 1470.476615, "away_history_count": 35, "home_elo": 1532.2177, "home_history_count": 7}, "historical_source_observation_times_verified": false, "home_team": "7VEN", "inference_inputs": {"book_state": {"games_played": {"bo3:7:19345": 35, "bo3:7:24644": 7}, "inactivity_half_life_days": null, "inactivity_max_pull": null, "k": 32.0, "last_match_utc": {"bo3:7:19345": "2026-09-21T09:15:00Z", "bo3:7:24644": "2026-09-21T10:20:00Z"}, "minimum_reliable_games": null, "platt_intercept": 0.1312072713386264, "platt_slope": 0.9595712928882613, "ratings": {"bo3:7:19345": 1470.476615, "bo3:7:24644": 1532.2177},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"2026-09-22T04:50:53.592714+00:00", "team_ids": ["bo3:7:24644", "bo3:7:19345"]}, "market_type": "moneyline", "model_version": "rainbow_six-tiered-elo-v6", "observed_at_utc": "2026-09-22T04:50:53.592714+00:00", "probabilities": {"away": 0.416502, "home": 0.583498}, "replay_scope": "Exact serving book state, calibration, temperature, inactivity reference and thin-history adjustments; training provenance not certified.", "schema": "esports-elo-replay-v1", "snapshot_hash": "441bac33f7e2d9bf821f0119060cdc7bf4bda644f8f1e435377ef3e04f75f0ef", "sport": "RAINBOW_SIX"}</t>
        </is>
      </c>
    </row>
    <row r="34" ht="36" customHeight="1">
      <c r="A34" s="24" t="inlineStr">
        <is>
          <t>6506a01071fd4748</t>
        </is>
      </c>
      <c r="B34" s="24" t="inlineStr">
        <is>
          <t>2026-09-22T16:09:08.866035Z</t>
        </is>
      </c>
      <c r="C34" s="24" t="inlineStr">
        <is>
          <t>2026-09-22T17:00:00Z</t>
        </is>
      </c>
      <c r="D34" s="24" t="inlineStr">
        <is>
          <t>118092</t>
        </is>
      </c>
      <c r="E34" s="24" t="inlineStr">
        <is>
          <t>RAINBOW_SIX</t>
        </is>
      </c>
      <c r="F34" s="24" t="inlineStr">
        <is>
          <t>Twisted Minds</t>
        </is>
      </c>
      <c r="G34" s="24" t="inlineStr">
        <is>
          <t>Team Secret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186</v>
      </c>
      <c r="M34" s="27" t="n">
        <v>2.86</v>
      </c>
      <c r="N34" s="28" t="n">
        <v>0.34965</v>
      </c>
      <c r="O34" s="28" t="n">
        <v>0.550544</v>
      </c>
      <c r="P34" s="28" t="n"/>
      <c r="Q34" s="28" t="n">
        <v>0.200894</v>
      </c>
      <c r="R34" s="26" t="n">
        <v>100</v>
      </c>
      <c r="S34" s="29" t="n">
        <v>2</v>
      </c>
      <c r="T34" s="24" t="inlineStr">
        <is>
          <t>rainbow_six-tiered-elo-v6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127</v>
      </c>
      <c r="AA34" s="28" t="n">
        <v>0.44</v>
      </c>
      <c r="AB34" s="28" t="n">
        <v>0.09035</v>
      </c>
      <c r="AC34" s="30" t="n">
        <v>3.72</v>
      </c>
      <c r="AD34" s="24" t="inlineStr">
        <is>
          <t>2026-09-23T04:33:19.589587Z</t>
        </is>
      </c>
      <c r="AE34" s="31" t="inlineStr">
        <is>
          <t>Neutral Elo baseline; executable ask 0.3500 (market_slug=aec-r6-secret-tm-2026-09-22).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Twisted Minds</t>
        </is>
      </c>
      <c r="AQ34" s="24" t="inlineStr">
        <is>
          <t>Twisted Minds</t>
        </is>
      </c>
      <c r="AR34" s="24" t="inlineStr">
        <is>
          <t>Twisted Minds</t>
        </is>
      </c>
      <c r="AS34" s="24" t="inlineStr">
        <is>
          <t>Team Secret</t>
        </is>
      </c>
      <c r="AT34" s="24" t="inlineStr">
        <is>
          <t>Team Secret</t>
        </is>
      </c>
      <c r="AU34" s="24" t="inlineStr">
        <is>
          <t>Team Secret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ef7f14d1b45dbe90efc7d1f19a466523f1a098c530cb2f00b4a35922c23e9780</t>
        </is>
      </c>
      <c r="BB34" s="24" t="inlineStr">
        <is>
          <t>neutral_elo</t>
        </is>
      </c>
      <c r="BC34" s="24" t="inlineStr">
        <is>
          <t>rainbow_six-tiered-elo-v6</t>
        </is>
      </c>
      <c r="BD34" s="24" t="inlineStr">
        <is>
          <t>ef7f14d1b45dbe90efc7d1f19a466523f1a098c530cb2f00b4a35922c23e9780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rainbow_six-tiered-elo-v6</t>
        </is>
      </c>
      <c r="BH34" s="24" t="inlineStr">
        <is>
          <t>2026-09-22T16:08:45.889286Z</t>
        </is>
      </c>
      <c r="BI34" s="24" t="inlineStr">
        <is>
          <t>["same_event","same_team_same_day","same_league_same_day"]</t>
        </is>
      </c>
      <c r="BJ34" s="25" t="n"/>
      <c r="BK34" s="26" t="n">
        <v>186</v>
      </c>
      <c r="BL34" s="27" t="n">
        <v>2.86</v>
      </c>
      <c r="BM34" s="28" t="n">
        <v>0.34965</v>
      </c>
      <c r="BN34" s="28" t="n"/>
      <c r="BO34" s="28" t="n"/>
      <c r="BP34" s="25" t="n"/>
      <c r="BQ34" s="27" t="n">
        <v>2.27</v>
      </c>
      <c r="BR34" s="28" t="n">
        <v>0.44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0.34965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"ef7f14d1b45dbe90efc7d1f19a466523f1a098c530cb2f00b4a35922c23e9780", "away_team": "Twisted Minds", "event_id": "118092", "event_start_utc": "2026-09-22T17:00:00Z", "features": {"away_elo": 1570.810792, "away_history_count": 50, "home_elo": 1589.024662, "home_history_count": 130}, "historical_source_observation_times_verified": false, "home_team": "Team Secret", "inference_inputs": {"book_state": {"games_played": {"bo3:7:19337": 50, "bo3:7:19764": 130}, "inactivity_half_life_days": null, "inactivity_max_pull": null, "k": 32.0, "last_match_utc": {"bo3:7:19337": "2026-09-21T16:30:00Z", "bo3:7:19764": "2026-09-21T21:30:00Z"}, "minimum_reliable_games": null, "platt_intercept": 0.1382373820988291, "platt_slope": 0.9644969948515171, "ratings": {"bo3:7:19337": 1570.810792, "bo3:7:19764": 1589.024662},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"2026-09-22T16:08:41.789509+00:00", "team_ids": ["bo3:7:19764", "bo3:7:19337"]}, "market_type": "moneyline", "model_version": "rainbow_six-tiered-elo-v6", "observed_at_utc": "2026-09-22T16:08:41.789509+00:00", "probabilities": {"away": 0.449456, "home": 0.550544}, "replay_scope": "Exact serving book state, calibration, temperature, inactivity reference and thin-history adjustments; training provenance not certified.", "schema": "esports-elo-replay-v1", "snapshot_hash": "e64356595b474fba97a57e61a9554e864a3b1b42302764721bdaaece5e406d13", "sport": "RAINBOW_SIX"}</t>
        </is>
      </c>
    </row>
    <row r="35" ht="36" customHeight="1">
      <c r="A35" s="24" t="inlineStr">
        <is>
          <t>1e447092987f4aff</t>
        </is>
      </c>
      <c r="B35" s="24" t="inlineStr">
        <is>
          <t>2026-09-25T04:44:54.810675Z</t>
        </is>
      </c>
      <c r="C35" s="24" t="inlineStr">
        <is>
          <t>2026-09-25T10:00:00Z</t>
        </is>
      </c>
      <c r="D35" s="24" t="inlineStr">
        <is>
          <t>121752</t>
        </is>
      </c>
      <c r="E35" s="24" t="inlineStr">
        <is>
          <t>RAINBOW_SIX</t>
        </is>
      </c>
      <c r="F35" s="24" t="inlineStr">
        <is>
          <t>SCARZ</t>
        </is>
      </c>
      <c r="G35" s="24" t="inlineStr">
        <is>
          <t>FearX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0.601102</v>
      </c>
      <c r="P35" s="28" t="n"/>
      <c r="Q35" s="28" t="n">
        <v>0.131618</v>
      </c>
      <c r="R35" s="26" t="n">
        <v>86</v>
      </c>
      <c r="S35" s="29" t="n">
        <v>1.5</v>
      </c>
      <c r="T35" s="24" t="inlineStr">
        <is>
          <t>rainbow_six-tiered-elo-v6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-1.5</v>
      </c>
      <c r="AD35" s="24" t="inlineStr">
        <is>
          <t>2026-09-25T16:01:51.948460Z</t>
        </is>
      </c>
      <c r="AE35" s="31" t="inlineStr">
        <is>
          <t>Neutral Elo baseline; executable ask 0.4700 (market_slug=aec-r6-fx-sz-2026-09-25).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4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SCARZ</t>
        </is>
      </c>
      <c r="AQ35" s="24" t="inlineStr">
        <is>
          <t>SCARZ</t>
        </is>
      </c>
      <c r="AR35" s="24" t="inlineStr">
        <is>
          <t>SCARZ</t>
        </is>
      </c>
      <c r="AS35" s="24" t="inlineStr">
        <is>
          <t>FearX</t>
        </is>
      </c>
      <c r="AT35" s="24" t="inlineStr">
        <is>
          <t>FearX</t>
        </is>
      </c>
      <c r="AU35" s="24" t="inlineStr">
        <is>
          <t>FearX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7bacb548c2893f6dd447eb02f1bdc8eb4f51245f2dd0cb22b6283bb6b0205202</t>
        </is>
      </c>
      <c r="BB35" s="24" t="inlineStr">
        <is>
          <t>neutral_elo</t>
        </is>
      </c>
      <c r="BC35" s="24" t="inlineStr">
        <is>
          <t>rainbow_six-tiered-elo-v6</t>
        </is>
      </c>
      <c r="BD35" s="24" t="inlineStr">
        <is>
          <t>7bacb548c2893f6dd447eb02f1bdc8eb4f51245f2dd0cb22b6283bb6b0205202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rainbow_six-tiered-elo-v6</t>
        </is>
      </c>
      <c r="BH35" s="24" t="inlineStr">
        <is>
          <t>2026-09-25T04:43:45.962796Z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0.469484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"7bacb548c2893f6dd447eb02f1bdc8eb4f51245f2dd0cb22b6283bb6b0205202", "away_team": "SCARZ", "event_id": "121752", "event_start_utc": "2026-09-25T10:00:00Z", "features": {"away_elo": 1522.079013, "away_history_count": 80, "home_elo": 1587.033947, "home_history_count": 92}, "historical_source_observation_times_verified": false, "home_team": "FearX", "inference_inputs": {"book_state": {"games_played": {"bo3:7:19502": 92, "bo3:7:19684": 80}, "inactivity_half_life_days": null, "inactivity_max_pull": null, "k": 24.0, "last_match_utc": {"bo3:7:19502": "2026-09-19T12:00:00Z", "bo3:7:19684": "2026-09-19T10:00:00Z"}, "minimum_reliable_games": null, "platt_intercept": 0.1293138142396603, "platt_slope": 0.9983249705334375, "ratings": {"bo3:7:19502": 1587.033947, "bo3:7:19684": 1522.079013},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"2026-09-25T04:43:30.830618+00:00", "team_ids": ["bo3:7:19502", "bo3:7:19684"]}, "market_type": "moneyline", "model_version": "rainbow_six-tiered-elo-v6", "observed_at_utc": "2026-09-25T04:43:30.830618+00:00", "probabilities": {"away": 0.398898, "home": 0.601102}, "replay_scope": "Exact serving book state, calibration, temperature, inactivity reference and thin-history adjustments; training provenance not certified.", "schema": "esports-elo-replay-v1", "snapshot_hash": "9f7da34f9b5d900b056346f9ac1f692ee29aba2ceafcbf153df3e5fa2ffe9491", "sport": "RAINBOW_SIX"}</t>
        </is>
      </c>
    </row>
    <row r="36" ht="36" customHeight="1">
      <c r="A36" s="24" t="inlineStr">
        <is>
          <t>686cf42f67ae4c45</t>
        </is>
      </c>
      <c r="B36" s="24" t="inlineStr">
        <is>
          <t>2026-09-25T22:10:23.247103Z</t>
        </is>
      </c>
      <c r="C36" s="24" t="inlineStr">
        <is>
          <t>2026-09-25T22:30:00Z</t>
        </is>
      </c>
      <c r="D36" s="24" t="inlineStr">
        <is>
          <t>122748</t>
        </is>
      </c>
      <c r="E36" s="24" t="inlineStr">
        <is>
          <t>RAINBOW_SIX</t>
        </is>
      </c>
      <c r="F36" s="24" t="inlineStr">
        <is>
          <t>Cloud9</t>
        </is>
      </c>
      <c r="G36" s="24" t="inlineStr">
        <is>
          <t>Shopify Rebellion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0.649614</v>
      </c>
      <c r="P36" s="28" t="n"/>
      <c r="Q36" s="28" t="n">
        <v>0.05945</v>
      </c>
      <c r="R36" s="26" t="n">
        <v>50</v>
      </c>
      <c r="S36" s="29" t="n">
        <v>1</v>
      </c>
      <c r="T36" s="24" t="inlineStr">
        <is>
          <t>rainbow_six-tiered-elo-v6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-1</v>
      </c>
      <c r="AD36" s="24" t="inlineStr">
        <is>
          <t>2026-09-26T06:42:27.566493Z</t>
        </is>
      </c>
      <c r="AE36" s="31" t="inlineStr">
        <is>
          <t>Neutral Elo baseline; executable ask 0.5900 (market_slug=aec-r6-sr-c9-2026-09-25).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4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Cloud9</t>
        </is>
      </c>
      <c r="AQ36" s="24" t="inlineStr">
        <is>
          <t>Cloud9</t>
        </is>
      </c>
      <c r="AR36" s="24" t="inlineStr">
        <is>
          <t>Cloud9</t>
        </is>
      </c>
      <c r="AS36" s="24" t="inlineStr">
        <is>
          <t>Shopify Rebellion</t>
        </is>
      </c>
      <c r="AT36" s="24" t="inlineStr">
        <is>
          <t>Shopify Rebellion</t>
        </is>
      </c>
      <c r="AU36" s="24" t="inlineStr">
        <is>
          <t>Shopify Rebellion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4716aa8fa64e4fcc82865a4e53bbe55fe6c74d1d53a4002746206b96efc0d717</t>
        </is>
      </c>
      <c r="BB36" s="24" t="inlineStr">
        <is>
          <t>neutral_elo</t>
        </is>
      </c>
      <c r="BC36" s="24" t="inlineStr">
        <is>
          <t>rainbow_six-tiered-elo-v6</t>
        </is>
      </c>
      <c r="BD36" s="24" t="inlineStr">
        <is>
          <t>4716aa8fa64e4fcc82865a4e53bbe55fe6c74d1d53a4002746206b96efc0d717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rainbow_six-tiered-elo-v6</t>
        </is>
      </c>
      <c r="BH36" s="24" t="inlineStr">
        <is>
          <t>2026-09-25T22:09:38.117535Z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0.590164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"4716aa8fa64e4fcc82865a4e53bbe55fe6c74d1d53a4002746206b96efc0d717", "away_team": "Cloud9", "event_id": "122748", "event_start_utc": "2026-09-25T22:30:00Z", "features": {"away_elo": 1565.155281, "away_history_count": 49, "home_elo": 1674.805501, "home_history_count": 86}, "historical_source_observation_times_verified": false, "home_team": "Shopify Rebellion", "inference_inputs": {"book_state": {"games_played": {"bo3:7:19685": 49, "bo3:7:19762": 86}, "inactivity_half_life_days": null, "inactivity_max_pull": null, "k": 24.0, "last_match_utc": {"bo3:7:19685": "2026-09-24T21:00:00Z", "bo3:7:19762": "2026-09-24T20:00:00Z"}, "minimum_reliable_games": null, "platt_intercept": 0.14688551906297184, "platt_slope": 0.9308999286522194, "ratings": {"bo3:7:19685": 1565.155281, "bo3:7:19762": 1674.805501},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"2026-09-25T22:09:36.352561+00:00", "team_ids": ["bo3:7:19762", "bo3:7:19685"]}, "market_type": "moneyline", "model_version": "rainbow_six-tiered-elo-v6", "observed_at_utc": "2026-09-25T22:09:36.352561+00:00", "probabilities": {"away": 0.350386, "home": 0.649614}, "replay_scope": "Exact serving book state, calibration, temperature, inactivity reference and thin-history adjustments; training provenance not certified.", "schema": "esports-elo-replay-v1", "snapshot_hash": "41061dd91d46047042b338a8f6206053a263f90841176ab0eb036a5ead133715", "sport": "RAINBOW_SIX"}</t>
        </is>
      </c>
    </row>
    <row r="37" ht="36" customHeight="1">
      <c r="A37" s="24" t="inlineStr">
        <is>
          <t>cb2a9c84666f4720</t>
        </is>
      </c>
      <c r="B37" s="24" t="inlineStr">
        <is>
          <t>2026-09-26T16:02:17.537198Z</t>
        </is>
      </c>
      <c r="C37" s="24" t="inlineStr">
        <is>
          <t>2026-09-26T19:45:00Z</t>
        </is>
      </c>
      <c r="D37" s="24" t="inlineStr">
        <is>
          <t>124114</t>
        </is>
      </c>
      <c r="E37" s="24" t="inlineStr">
        <is>
          <t>RAINBOW_SIX</t>
        </is>
      </c>
      <c r="F37" s="24" t="inlineStr">
        <is>
          <t>FURIA Esports</t>
        </is>
      </c>
      <c r="G37" s="24" t="inlineStr">
        <is>
          <t>FaZe Clan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-186</v>
      </c>
      <c r="M37" s="27" t="n">
        <v>1.537634</v>
      </c>
      <c r="N37" s="28" t="n">
        <v>0.65035</v>
      </c>
      <c r="O37" s="28" t="n">
        <v>0.645603</v>
      </c>
      <c r="P37" s="28" t="n"/>
      <c r="Q37" s="28" t="n">
        <v>-0.004747</v>
      </c>
      <c r="R37" s="26" t="n">
        <v>18</v>
      </c>
      <c r="S37" s="29" t="n">
        <v>1</v>
      </c>
      <c r="T37" s="24" t="inlineStr">
        <is>
          <t>rainbow_six-tiered-elo-v6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</v>
      </c>
      <c r="AD37" s="24" t="inlineStr">
        <is>
          <t>2026-09-26T22:03:09.048086Z</t>
        </is>
      </c>
      <c r="AE37" s="31" t="inlineStr">
        <is>
          <t>Neutral Elo baseline; executable ask 0.6500 (market_slug=aec-r6-faze-furia-2026-09-26).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FURIA Esports</t>
        </is>
      </c>
      <c r="AQ37" s="24" t="inlineStr">
        <is>
          <t>FURIA Esports</t>
        </is>
      </c>
      <c r="AR37" s="24" t="inlineStr">
        <is>
          <t>FURIA Esports</t>
        </is>
      </c>
      <c r="AS37" s="24" t="inlineStr">
        <is>
          <t>FaZe Clan</t>
        </is>
      </c>
      <c r="AT37" s="24" t="inlineStr">
        <is>
          <t>FaZe Clan</t>
        </is>
      </c>
      <c r="AU37" s="24" t="inlineStr">
        <is>
          <t>FaZe Clan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cff7fc9561cfba9099c3f93602bf92eebacd92468493f980f7a82168139090ce</t>
        </is>
      </c>
      <c r="BB37" s="24" t="inlineStr">
        <is>
          <t>neutral_elo</t>
        </is>
      </c>
      <c r="BC37" s="24" t="inlineStr">
        <is>
          <t>rainbow_six-tiered-elo-v6</t>
        </is>
      </c>
      <c r="BD37" s="24" t="inlineStr">
        <is>
          <t>cff7fc9561cfba9099c3f93602bf92eebacd92468493f980f7a82168139090ce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rainbow_six-tiered-elo-v6</t>
        </is>
      </c>
      <c r="BH37" s="24" t="inlineStr">
        <is>
          <t>2026-09-26T15:51:25.688423Z</t>
        </is>
      </c>
      <c r="BI37" s="24" t="inlineStr">
        <is>
          <t>["same_event","same_team_same_day","same_league_same_day"]</t>
        </is>
      </c>
      <c r="BJ37" s="25" t="n"/>
      <c r="BK37" s="26" t="n">
        <v>-186</v>
      </c>
      <c r="BL37" s="27" t="n">
        <v>1.537634</v>
      </c>
      <c r="BM37" s="28" t="n">
        <v>0.65035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0.65035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"cff7fc9561cfba9099c3f93602bf92eebacd92468493f980f7a82168139090ce", "away_team": "FURIA Esports", "event_id": "124114", "event_start_utc": "2026-09-26T19:45:00Z", "features": {"away_elo": 1768.790727, "away_history_count": 140, "home_elo": 1880.119121, "home_history_count": 154}, "historical_source_observation_times_verified": false, "home_team": "FaZe Clan", "inference_inputs": {"book_state": {"games_played": {"bo3:7:19662": 140, "bo3:7:19728": 154}, "inactivity_half_life_days": null, "inactivity_max_pull": null, "k": 24.0, "last_match_utc": {"bo3:7:19662": "2026-09-20T18:30:00Z", "bo3:7:19728": "2026-09-20T20:40:00Z"}, "minimum_reliable_games": null, "platt_intercept": 0.14760324068381164, "platt_slope": 0.9194741073959694, "ratings": {"bo3:7:19662": 1768.790727, "bo3:7:19728": 1880.119121},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"2026-09-26T15:51:12.111081+00:00", "team_ids": ["bo3:7:19728", "bo3:7:19662"]}, "market_type": "moneyline", "model_version": "rainbow_six-tiered-elo-v6", "observed_at_utc": "2026-09-26T15:51:12.111081+00:00", "probabilities": {"away": 0.354397, "home": 0.645603}, "replay_scope": "Exact serving book state, calibration, temperature, inactivity reference and thin-history adjustments; training provenance not certified.", "schema": "esports-elo-replay-v1", "snapshot_hash": "2775374b59308b1a710139d94ab553bd85460b9162c60f026825e61ab6e7f844", "sport": "RAINBOW_SIX"}</t>
        </is>
      </c>
    </row>
    <row r="38" ht="36" customHeight="1">
      <c r="A38" s="24" t="inlineStr">
        <is>
          <t>3562ea19e1434225</t>
        </is>
      </c>
      <c r="B38" s="24" t="inlineStr">
        <is>
          <t>2026-09-27T16:27:07.628767Z</t>
        </is>
      </c>
      <c r="C38" s="24" t="inlineStr">
        <is>
          <t>2026-09-27T18:30:00Z</t>
        </is>
      </c>
      <c r="D38" s="24" t="inlineStr">
        <is>
          <t>125310</t>
        </is>
      </c>
      <c r="E38" s="24" t="inlineStr">
        <is>
          <t>RAINBOW_SIX</t>
        </is>
      </c>
      <c r="F38" s="24" t="inlineStr">
        <is>
          <t>Imperial Esports</t>
        </is>
      </c>
      <c r="G38" s="24" t="inlineStr">
        <is>
          <t>Black Dragons e-Sports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-194</v>
      </c>
      <c r="M38" s="27" t="n">
        <v>1.515464</v>
      </c>
      <c r="N38" s="28" t="n">
        <v>0.659864</v>
      </c>
      <c r="O38" s="28" t="n">
        <v>0.634304</v>
      </c>
      <c r="P38" s="28" t="n"/>
      <c r="Q38" s="28" t="n">
        <v>-0.02556</v>
      </c>
      <c r="R38" s="26" t="n">
        <v>7</v>
      </c>
      <c r="S38" s="29" t="n">
        <v>1</v>
      </c>
      <c r="T38" s="24" t="inlineStr">
        <is>
          <t>rainbow_six-tiered-elo-v6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0.5155</v>
      </c>
      <c r="AD38" s="24" t="inlineStr">
        <is>
          <t>2026-09-27T22:02:59.998777Z</t>
        </is>
      </c>
      <c r="AE38" s="31" t="inlineStr">
        <is>
          <t>Neutral Elo baseline; executable ask 0.6600 (market_slug=aec-r6-bd-imp-2026-09-27).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Imperial Esports</t>
        </is>
      </c>
      <c r="AQ38" s="24" t="inlineStr">
        <is>
          <t>Imperial Esports</t>
        </is>
      </c>
      <c r="AR38" s="24" t="inlineStr">
        <is>
          <t>Imperial Esports</t>
        </is>
      </c>
      <c r="AS38" s="24" t="inlineStr">
        <is>
          <t>Black Dragons e-Sports</t>
        </is>
      </c>
      <c r="AT38" s="24" t="inlineStr">
        <is>
          <t>Black Dragons e-Sports</t>
        </is>
      </c>
      <c r="AU38" s="24" t="inlineStr">
        <is>
          <t>Black Dragons e-Sports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2c42ae1e27c1f193e144291f2e5d57fa9312d64789a9f0dacc689b9abb17d973</t>
        </is>
      </c>
      <c r="BB38" s="24" t="inlineStr">
        <is>
          <t>neutral_elo</t>
        </is>
      </c>
      <c r="BC38" s="24" t="inlineStr">
        <is>
          <t>rainbow_six-tiered-elo-v6</t>
        </is>
      </c>
      <c r="BD38" s="24" t="inlineStr">
        <is>
          <t>2c42ae1e27c1f193e144291f2e5d57fa9312d64789a9f0dacc689b9abb17d973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rainbow_six-tiered-elo-v6</t>
        </is>
      </c>
      <c r="BH38" s="24" t="inlineStr">
        <is>
          <t>2026-09-27T16:26:39.883862Z</t>
        </is>
      </c>
      <c r="BI38" s="24" t="inlineStr">
        <is>
          <t>["same_event","same_team_same_day","same_league_same_day"]</t>
        </is>
      </c>
      <c r="BJ38" s="25" t="n"/>
      <c r="BK38" s="26" t="n">
        <v>-194</v>
      </c>
      <c r="BL38" s="27" t="n">
        <v>1.515464</v>
      </c>
      <c r="BM38" s="28" t="n">
        <v>0.659864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0.659864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"2c42ae1e27c1f193e144291f2e5d57fa9312d64789a9f0dacc689b9abb17d973", "away_team": "Imperial Esports", "event_id": "125310", "event_start_utc": "2026-09-27T18:30:00Z", "features": {"away_elo": 1437.337979, "away_history_count": 28, "home_elo": 1535.636067, "home_history_count": 95}, "historical_source_observation_times_verified": false, "home_team": "Black Dragons e-Sports", "inference_inputs": {"book_state": {"games_played": {"bo3:7:19707": 95, "bo3:7:22992": 28}, "inactivity_half_life_days": null, "inactivity_max_pull": null, "k": 24.0, "last_match_utc": {"bo3:7:19707": "2026-09-26T16:00:00Z", "bo3:7:22992": "2026-09-26T17:15:00Z"}, "minimum_reliable_games": null, "platt_intercept": 0.15662851583113568, "platt_slope": 0.8796070424034685, "ratings": {"bo3:7:19707": 1535.636067, "bo3:7:22992": 1437.337979},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"2026-09-27T16:26:32.136130+00:00", "team_ids": ["bo3:7:19707", "bo3:7:22992"]}, "market_type": "moneyline", "model_version": "rainbow_six-tiered-elo-v6", "observed_at_utc": "2026-09-27T16:26:32.136130+00:00", "probabilities": {"away": 0.365696, "home": 0.634304}, "replay_scope": "Exact serving book state, calibration, temperature, inactivity reference and thin-history adjustments; training provenance not certified.", "schema": "esports-elo-replay-v1", "snapshot_hash": "826243c4b47ec7c3c41b73c101f8b2e45a759aaceb19dc66cdab8f3c973d7118", "sport": "RAINBOW_SIX"}</t>
        </is>
      </c>
    </row>
    <row r="39" ht="36" customHeight="1">
      <c r="A39" s="24" t="inlineStr">
        <is>
          <t>bbd3eac963704cdb</t>
        </is>
      </c>
      <c r="B39" s="24" t="inlineStr">
        <is>
          <t>2026-09-28T10:10:19.001644Z</t>
        </is>
      </c>
      <c r="C39" s="24" t="inlineStr">
        <is>
          <t>2026-09-28T16:00:00Z</t>
        </is>
      </c>
      <c r="D39" s="24" t="inlineStr">
        <is>
          <t>126496</t>
        </is>
      </c>
      <c r="E39" s="24" t="inlineStr">
        <is>
          <t>RAINBOW_SIX</t>
        </is>
      </c>
      <c r="F39" s="24" t="inlineStr">
        <is>
          <t>Heretics</t>
        </is>
      </c>
      <c r="G39" s="24" t="inlineStr">
        <is>
          <t>Rebels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-113</v>
      </c>
      <c r="M39" s="27" t="n">
        <v>1.884956</v>
      </c>
      <c r="N39" s="28" t="n">
        <v>0.530516</v>
      </c>
      <c r="O39" s="28" t="n">
        <v>0.571642</v>
      </c>
      <c r="P39" s="28" t="n"/>
      <c r="Q39" s="28" t="n">
        <v>0.041126</v>
      </c>
      <c r="R39" s="26" t="n">
        <v>41</v>
      </c>
      <c r="S39" s="29" t="n">
        <v>1</v>
      </c>
      <c r="T39" s="24" t="inlineStr">
        <is>
          <t>rainbow_six-tiered-elo-v6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</v>
      </c>
      <c r="AD39" s="24" t="inlineStr">
        <is>
          <t>2026-09-28T22:01:54.898936Z</t>
        </is>
      </c>
      <c r="AE39" s="31" t="inlineStr">
        <is>
          <t>Neutral Elo baseline; executable ask 0.5300 (market_slug=aec-r6-rbls-heretics-2026-09-28).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Heretics</t>
        </is>
      </c>
      <c r="AQ39" s="24" t="inlineStr">
        <is>
          <t>Heretics</t>
        </is>
      </c>
      <c r="AR39" s="24" t="inlineStr">
        <is>
          <t>Heretics</t>
        </is>
      </c>
      <c r="AS39" s="24" t="inlineStr">
        <is>
          <t>Rebels Gaming</t>
        </is>
      </c>
      <c r="AT39" s="24" t="inlineStr">
        <is>
          <t>Rebels Gaming</t>
        </is>
      </c>
      <c r="AU39" s="24" t="inlineStr">
        <is>
          <t>Rebels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7e23d0be625fb0fdceec9926fe9fde92ccb872f03af87007680f4645f13e82d9</t>
        </is>
      </c>
      <c r="BB39" s="24" t="inlineStr">
        <is>
          <t>neutral_elo</t>
        </is>
      </c>
      <c r="BC39" s="24" t="inlineStr">
        <is>
          <t>rainbow_six-tiered-elo-v6</t>
        </is>
      </c>
      <c r="BD39" s="24" t="inlineStr">
        <is>
          <t>7e23d0be625fb0fdceec9926fe9fde92ccb872f03af87007680f4645f13e82d9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rainbow_six-tiered-elo-v6</t>
        </is>
      </c>
      <c r="BH39" s="24" t="inlineStr">
        <is>
          <t>2026-09-28T10:09:44.852273Z</t>
        </is>
      </c>
      <c r="BI39" s="24" t="inlineStr">
        <is>
          <t>["same_event","same_team_same_day","same_league_same_day"]</t>
        </is>
      </c>
      <c r="BJ39" s="25" t="n"/>
      <c r="BK39" s="26" t="n">
        <v>-113</v>
      </c>
      <c r="BL39" s="27" t="n">
        <v>1.884956</v>
      </c>
      <c r="BM39" s="28" t="n">
        <v>0.530516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0.530516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"7e23d0be625fb0fdceec9926fe9fde92ccb872f03af87007680f4645f13e82d9", "away_team": "Heretics", "event_id": "126496", "event_start_utc": "2026-09-28T16:00:00Z", "features": {"away_elo": 1438.211436, "away_history_count": 32, "home_elo": 1476.695901, "home_history_count": 23}, "historical_source_observation_times_verified": false, "home_team": "Rebels Gaming", "inference_inputs": {"book_state": {"games_played": {"bo3:7:19435": 23, "bo3:7:19639": 32}, "inactivity_half_life_days": null, "inactivity_max_pull": null, "k": 24.0, "last_match_utc": {"bo3:7:19435": "2026-09-22T16:10:00Z", "bo3:7:19639": "2026-09-22T19:15:00Z"}, "minimum_reliable_games": null, "platt_intercept": 0.15384517301792586, "platt_slope": 0.8860297119659613, "ratings": {"bo3:7:19435": 1476.695901, "bo3:7:19639": 1438.211436},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"2026-09-28T10:09:44.788682+00:00", "team_ids": ["bo3:7:19435", "bo3:7:19639"]}, "market_type": "moneyline", "model_version": "rainbow_six-tiered-elo-v6", "observed_at_utc": "2026-09-28T10:09:44.788682+00:00", "probabilities": {"away": 0.428358, "home": 0.571642}, "replay_scope": "Exact serving book state, calibration, temperature, inactivity reference and thin-history adjustments; training provenance not certified.", "schema": "esports-elo-replay-v1", "snapshot_hash": "ceebb5738362d8d6089f1426f6b95a8fd13742fa2f960e4ffb682ffdc2194fe5", "sport": "RAINBOW_SIX"}</t>
        </is>
      </c>
    </row>
    <row r="40" ht="36" customHeight="1">
      <c r="A40" s="24" t="inlineStr">
        <is>
          <t>dd17b92be6d549ce</t>
        </is>
      </c>
      <c r="B40" s="24" t="inlineStr">
        <is>
          <t>2026-09-28T16:12:34.717017Z</t>
        </is>
      </c>
      <c r="C40" s="24" t="inlineStr">
        <is>
          <t>2026-09-28T18:00:00Z</t>
        </is>
      </c>
      <c r="D40" s="24" t="inlineStr">
        <is>
          <t>126715</t>
        </is>
      </c>
      <c r="E40" s="24" t="inlineStr">
        <is>
          <t>RAINBOW_SIX</t>
        </is>
      </c>
      <c r="F40" s="24" t="inlineStr">
        <is>
          <t>Virtus.pro</t>
        </is>
      </c>
      <c r="G40" s="24" t="inlineStr">
        <is>
          <t>G2 Esports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-127</v>
      </c>
      <c r="M40" s="27" t="n">
        <v>1.787402</v>
      </c>
      <c r="N40" s="28" t="n">
        <v>0.5594710000000001</v>
      </c>
      <c r="O40" s="28" t="n">
        <v>0.555185</v>
      </c>
      <c r="P40" s="28" t="n"/>
      <c r="Q40" s="28" t="n">
        <v>-0.004286</v>
      </c>
      <c r="R40" s="26" t="n">
        <v>18</v>
      </c>
      <c r="S40" s="29" t="n">
        <v>1</v>
      </c>
      <c r="T40" s="24" t="inlineStr">
        <is>
          <t>rainbow_six-tiered-elo-v6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-127</v>
      </c>
      <c r="AA40" s="28" t="n">
        <v>0.5600000000000001</v>
      </c>
      <c r="AB40" s="28" t="n">
        <v>0.000529</v>
      </c>
      <c r="AC40" s="30" t="n">
        <v>0.7874</v>
      </c>
      <c r="AD40" s="24" t="inlineStr">
        <is>
          <t>2026-09-28T22:01:55.134996Z</t>
        </is>
      </c>
      <c r="AE40" s="31" t="inlineStr">
        <is>
          <t>Neutral Elo baseline; executable ask 0.5600 (market_slug=aec-r6-g2-vp-2026-09-28).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Virtus.pro</t>
        </is>
      </c>
      <c r="AQ40" s="24" t="inlineStr">
        <is>
          <t>Virtus.pro</t>
        </is>
      </c>
      <c r="AR40" s="24" t="inlineStr">
        <is>
          <t>Virtus.pro</t>
        </is>
      </c>
      <c r="AS40" s="24" t="inlineStr">
        <is>
          <t>G2 Esports</t>
        </is>
      </c>
      <c r="AT40" s="24" t="inlineStr">
        <is>
          <t>G2 Esports</t>
        </is>
      </c>
      <c r="AU40" s="24" t="inlineStr">
        <is>
          <t>G2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f55a9f87d7f35e07578255fa4939427097562456c471dd4864aff23a703d0f42</t>
        </is>
      </c>
      <c r="BB40" s="24" t="inlineStr">
        <is>
          <t>neutral_elo</t>
        </is>
      </c>
      <c r="BC40" s="24" t="inlineStr">
        <is>
          <t>rainbow_six-tiered-elo-v6</t>
        </is>
      </c>
      <c r="BD40" s="24" t="inlineStr">
        <is>
          <t>f55a9f87d7f35e07578255fa4939427097562456c471dd4864aff23a703d0f42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rainbow_six-tiered-elo-v6</t>
        </is>
      </c>
      <c r="BH40" s="24" t="inlineStr">
        <is>
          <t>2026-09-28T16:12:12.210301Z</t>
        </is>
      </c>
      <c r="BI40" s="24" t="inlineStr">
        <is>
          <t>["same_event","same_team_same_day","same_league_same_day"]</t>
        </is>
      </c>
      <c r="BJ40" s="25" t="n"/>
      <c r="BK40" s="26" t="n">
        <v>-127</v>
      </c>
      <c r="BL40" s="27" t="n">
        <v>1.787402</v>
      </c>
      <c r="BM40" s="28" t="n">
        <v>0.5594710000000001</v>
      </c>
      <c r="BN40" s="28" t="n"/>
      <c r="BO40" s="28" t="n"/>
      <c r="BP40" s="25" t="n"/>
      <c r="BQ40" s="27" t="n">
        <v>1.787402</v>
      </c>
      <c r="BR40" s="28" t="n">
        <v>0.5600000000000001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0.559471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"f55a9f87d7f35e07578255fa4939427097562456c471dd4864aff23a703d0f42", "away_team": "Virtus.pro", "event_id": "126715", "event_start_utc": "2026-09-28T18:00:00Z", "features": {"away_elo": 1701.037874, "away_history_count": 108, "home_elo": 1723.233473, "home_history_count": 145}, "historical_source_observation_times_verified": false, "home_team": "G2 Esports", "inference_inputs": {"book_state": {"games_played": {"bo3:7:19668": 108, "bo3:7:19715": 145}, "inactivity_half_life_days": null, "inactivity_max_pull": null, "k": 24.0, "last_match_utc": {"bo3:7:19668": "2026-09-22T18:15:00Z", "bo3:7:19715": "2026-09-22T19:15:00Z"}, "minimum_reliable_games": null, "platt_intercept": 0.15384517301792586, "platt_slope": 0.8860297119659613, "ratings": {"bo3:7:19668": 1701.037874, "bo3:7:19715": 1723.233473},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"2026-09-28T16:12:12.084121+00:00", "team_ids": ["bo3:7:19715", "bo3:7:19668"]}, "market_type": "moneyline", "model_version": "rainbow_six-tiered-elo-v6", "observed_at_utc": "2026-09-28T16:12:12.084121+00:00", "probabilities": {"away": 0.444815, "home": 0.555185}, "replay_scope": "Exact serving book state, calibration, temperature, inactivity reference and thin-history adjustments; training provenance not certified.", "schema": "esports-elo-replay-v1", "snapshot_hash": "346b09172e188a60148c6ffc3bb60d2faf8c1b3104d11fce66fbd6740a08b70f", "sport": "RAINBOW_SIX"}</t>
        </is>
      </c>
    </row>
    <row r="41" ht="36" customHeight="1">
      <c r="A41" s="24" t="inlineStr">
        <is>
          <t>ea7e98cd4cf640b8</t>
        </is>
      </c>
      <c r="B41" s="24" t="inlineStr">
        <is>
          <t>2026-09-29T10:10:07.694980Z</t>
        </is>
      </c>
      <c r="C41" s="24" t="inlineStr">
        <is>
          <t>2026-09-29T16:00:00Z</t>
        </is>
      </c>
      <c r="D41" s="24" t="inlineStr">
        <is>
          <t>128339</t>
        </is>
      </c>
      <c r="E41" s="24" t="inlineStr">
        <is>
          <t>RAINBOW_SIX</t>
        </is>
      </c>
      <c r="F41" s="24" t="inlineStr">
        <is>
          <t>Falcons Esport</t>
        </is>
      </c>
      <c r="G41" s="24" t="inlineStr">
        <is>
          <t>Geekay Esports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0.519805</v>
      </c>
      <c r="P41" s="28" t="n"/>
      <c r="Q41" s="28" t="n">
        <v>-0.010711</v>
      </c>
      <c r="R41" s="26" t="n">
        <v>15</v>
      </c>
      <c r="S41" s="29" t="n">
        <v>1</v>
      </c>
      <c r="T41" s="24" t="inlineStr">
        <is>
          <t>rainbow_six-tiered-elo-v6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0.885</v>
      </c>
      <c r="AD41" s="24" t="inlineStr">
        <is>
          <t>2026-09-29T22:02:18.326225Z</t>
        </is>
      </c>
      <c r="AE41" s="31" t="inlineStr">
        <is>
          <t>Neutral Elo baseline; executable ask 0.5300 (market_slug=aec-r6-ge-flcs-2026-09-29).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Falcons Esport</t>
        </is>
      </c>
      <c r="AQ41" s="24" t="inlineStr">
        <is>
          <t>Falcons Esport</t>
        </is>
      </c>
      <c r="AR41" s="24" t="inlineStr">
        <is>
          <t>Falcons Esport</t>
        </is>
      </c>
      <c r="AS41" s="24" t="inlineStr">
        <is>
          <t>Geekay Esports</t>
        </is>
      </c>
      <c r="AT41" s="24" t="inlineStr">
        <is>
          <t>Geekay Esports</t>
        </is>
      </c>
      <c r="AU41" s="24" t="inlineStr">
        <is>
          <t>Geekay Esports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aeaae0db14f717a796d439d0405adeb91c30b5a80093617f0cab98d27f69ac24</t>
        </is>
      </c>
      <c r="BB41" s="24" t="inlineStr">
        <is>
          <t>neutral_elo</t>
        </is>
      </c>
      <c r="BC41" s="24" t="inlineStr">
        <is>
          <t>rainbow_six-tiered-elo-v6</t>
        </is>
      </c>
      <c r="BD41" s="24" t="inlineStr">
        <is>
          <t>aeaae0db14f717a796d439d0405adeb91c30b5a80093617f0cab98d27f69ac24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rainbow_six-tiered-elo-v6</t>
        </is>
      </c>
      <c r="BH41" s="24" t="inlineStr">
        <is>
          <t>2026-09-29T10:09:22.905149Z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0.530516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"aeaae0db14f717a796d439d0405adeb91c30b5a80093617f0cab98d27f69ac24", "away_team": "Falcons Esport", "event_id": "128339", "event_start_utc": "2026-09-29T16:00:00Z", "features": {"away_elo": 1745.328577, "away_history_count": 125, "home_elo": 1690.823451, "home_history_count": 58}, "historical_source_observation_times_verified": false, "home_team": "Geekay Esports", "inference_inputs": {"book_state": {"games_played": {"bo3:7:19340": 58, "bo3:7:19439": 125}, "inactivity_half_life_days": null, "inactivity_max_pull": null, "k": 32.0, "last_match_utc": {"bo3:7:19340": "2026-09-28T19:50:00Z", "bo3:7:19439": "2026-09-28T17:30:00Z"}, "minimum_reliable_games": null, "platt_intercept": 0.145220399719945, "platt_slope": 0.768227253148967, "ratings": {"bo3:7:19340": 1690.823451, "bo3:7:19439": 1745.328577},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"2026-09-29T10:09:22.816740+00:00", "team_ids": ["bo3:7:19340", "bo3:7:19439"]}, "market_type": "moneyline", "model_version": "rainbow_six-tiered-elo-v6", "observed_at_utc": "2026-09-29T10:09:22.816740+00:00", "probabilities": {"away": 0.519805, "home": 0.480195}, "replay_scope": "Exact serving book state, calibration, temperature, inactivity reference and thin-history adjustments; training provenance not certified.", "schema": "esports-elo-replay-v1", "snapshot_hash": "8ae90cfcb8c49ef73a380230dd4fbdbd98c3e6f8ae9b2694331454253f93ad86", "sport": "RAINBOW_SIX"}</t>
        </is>
      </c>
    </row>
    <row r="42" ht="36" customHeight="1">
      <c r="A42" s="24" t="inlineStr">
        <is>
          <t>dbdbee565a7d461b</t>
        </is>
      </c>
      <c r="B42" s="24" t="inlineStr">
        <is>
          <t>2026-09-30T18:02:03.073157Z</t>
        </is>
      </c>
      <c r="C42" s="24" t="inlineStr">
        <is>
          <t>2026-09-30T18:15:00Z</t>
        </is>
      </c>
      <c r="D42" s="24" t="inlineStr">
        <is>
          <t>130313</t>
        </is>
      </c>
      <c r="E42" s="24" t="inlineStr">
        <is>
          <t>RAINBOW_SIX</t>
        </is>
      </c>
      <c r="F42" s="24" t="inlineStr">
        <is>
          <t>Geekay Esports</t>
        </is>
      </c>
      <c r="G42" s="24" t="inlineStr">
        <is>
          <t>G2 Esports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0.6418700000000001</v>
      </c>
      <c r="P42" s="28" t="n"/>
      <c r="Q42" s="28" t="n">
        <v>-0.00848</v>
      </c>
      <c r="R42" s="26" t="n">
        <v>16</v>
      </c>
      <c r="S42" s="29" t="n">
        <v>1</v>
      </c>
      <c r="T42" s="24" t="inlineStr">
        <is>
          <t>rainbow_six-tiered-elo-v6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-163</v>
      </c>
      <c r="AA42" s="28" t="n">
        <v>0.62</v>
      </c>
      <c r="AB42" s="28" t="n">
        <v>-0.03035</v>
      </c>
      <c r="AC42" s="30" t="n">
        <v>0.5376</v>
      </c>
      <c r="AD42" s="24" t="inlineStr">
        <is>
          <t>2026-09-30T22:01:10.778540Z</t>
        </is>
      </c>
      <c r="AE42" s="31" t="inlineStr">
        <is>
          <t>Neutral Elo baseline; executable ask 0.6500 (market_slug=aec-r6-g2-ge-2026-09-30).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Geekay Esports</t>
        </is>
      </c>
      <c r="AQ42" s="24" t="inlineStr">
        <is>
          <t>Geekay Esports</t>
        </is>
      </c>
      <c r="AR42" s="24" t="inlineStr">
        <is>
          <t>Geekay Esports</t>
        </is>
      </c>
      <c r="AS42" s="24" t="inlineStr">
        <is>
          <t>G2 Esports</t>
        </is>
      </c>
      <c r="AT42" s="24" t="inlineStr">
        <is>
          <t>G2 Esports</t>
        </is>
      </c>
      <c r="AU42" s="24" t="inlineStr">
        <is>
          <t>G2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950e5f4b4f35e287dfb1a16c2f56f40be9ed9d5fc5ef9771aced6ee40f084881</t>
        </is>
      </c>
      <c r="BB42" s="24" t="inlineStr">
        <is>
          <t>neutral_elo</t>
        </is>
      </c>
      <c r="BC42" s="24" t="inlineStr">
        <is>
          <t>rainbow_six-tiered-elo-v6</t>
        </is>
      </c>
      <c r="BD42" s="24" t="inlineStr">
        <is>
          <t>950e5f4b4f35e287dfb1a16c2f56f40be9ed9d5fc5ef9771aced6ee40f084881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rainbow_six-tiered-elo-v6</t>
        </is>
      </c>
      <c r="BH42" s="24" t="inlineStr">
        <is>
          <t>2026-09-30T17:59:00.811889Z</t>
        </is>
      </c>
      <c r="BI42" s="24" t="inlineStr">
        <is>
          <t>["same_event","same_team_same_day","same_league_same_day"]</t>
        </is>
      </c>
      <c r="BJ42" s="25" t="n"/>
      <c r="BK42" s="26" t="n">
        <v>-186</v>
      </c>
      <c r="BL42" s="27" t="n">
        <v>1.537634</v>
      </c>
      <c r="BM42" s="28" t="n">
        <v>0.65035</v>
      </c>
      <c r="BN42" s="28" t="n"/>
      <c r="BO42" s="28" t="n"/>
      <c r="BP42" s="25" t="n"/>
      <c r="BQ42" s="27" t="n">
        <v>1.613497</v>
      </c>
      <c r="BR42" s="28" t="n">
        <v>0.62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0.65035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"950e5f4b4f35e287dfb1a16c2f56f40be9ed9d5fc5ef9771aced6ee40f084881", "away_team": "Geekay Esports", "event_id": "130313", "event_start_utc": "2026-09-30T18:15:00Z", "features": {"away_elo": 1637.773942, "away_history_count": 59, "home_elo": 1748.010103, "home_history_count": 147}, "historical_source_observation_times_verified": false, "home_team": "G2 Esports", "inference_inputs": {"book_state": {"games_played": {"bo3:7:19340": 59, "bo3:7:19715": 147}, "inactivity_half_life_days": null, "inactivity_max_pull": null, "k": 24.0, "last_match_utc": {"bo3:7:19340": "2026-09-29T16:00:00Z", "bo3:7:19715": "2026-09-29T18:20:00Z"}, "minimum_reliable_games": null, "platt_intercept": 0.13823322400635127, "platt_slope": 0.8741108414427137, "ratings": {"bo3:7:19340": 1637.773942, "bo3:7:19715": 1748.010103},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"2026-09-30T17:59:00.439309+00:00", "team_ids": ["bo3:7:19715", "bo3:7:19340"]}, "market_type": "moneyline", "model_version": "rainbow_six-tiered-elo-v6", "observed_at_utc": "2026-09-30T17:59:00.439309+00:00", "probabilities": {"away": 0.35813, "home": 0.64187}, "replay_scope": "Exact serving book state, calibration, temperature, inactivity reference and thin-history adjustments; training provenance not certified.", "schema": "esports-elo-replay-v1", "snapshot_hash": "41e07fc505eccc01b6a4475c92476d38253387c9190b4a756af8a0065e19d153", "sport": "RAINBOW_SIX"}</t>
        </is>
      </c>
    </row>
    <row r="43" ht="36" customHeight="1">
      <c r="A43" s="24" t="inlineStr">
        <is>
          <t>5fc2a54c475d4049</t>
        </is>
      </c>
      <c r="B43" s="24" t="inlineStr">
        <is>
          <t>2026-10-01T10:11:37.093874Z</t>
        </is>
      </c>
      <c r="C43" s="24" t="inlineStr">
        <is>
          <t>2026-10-01T12:00:00Z</t>
        </is>
      </c>
      <c r="D43" s="24" t="inlineStr">
        <is>
          <t>131422</t>
        </is>
      </c>
      <c r="E43" s="24" t="inlineStr">
        <is>
          <t>RAINBOW_SIX</t>
        </is>
      </c>
      <c r="F43" s="24" t="inlineStr">
        <is>
          <t>Dplus</t>
        </is>
      </c>
      <c r="G43" s="24" t="inlineStr">
        <is>
          <t>SCARZ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0.560797</v>
      </c>
      <c r="P43" s="28" t="n"/>
      <c r="Q43" s="28" t="n">
        <v>-0.10917</v>
      </c>
      <c r="R43" s="26" t="n">
        <v>0</v>
      </c>
      <c r="S43" s="29" t="n">
        <v>1</v>
      </c>
      <c r="T43" s="24" t="inlineStr">
        <is>
          <t>rainbow_six-tiered-elo-v6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0.4926</v>
      </c>
      <c r="AD43" s="24" t="inlineStr">
        <is>
          <t>2026-10-01T16:01:46.152225Z</t>
        </is>
      </c>
      <c r="AE43" s="31" t="inlineStr">
        <is>
          <t>Neutral Elo baseline; executable ask 0.6700 (market_slug=aec-r6-sz-dk-2026-10-01).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Dplus</t>
        </is>
      </c>
      <c r="AQ43" s="24" t="inlineStr">
        <is>
          <t>Dplus</t>
        </is>
      </c>
      <c r="AR43" s="24" t="inlineStr">
        <is>
          <t>Dplus</t>
        </is>
      </c>
      <c r="AS43" s="24" t="inlineStr">
        <is>
          <t>SCARZ</t>
        </is>
      </c>
      <c r="AT43" s="24" t="inlineStr">
        <is>
          <t>SCARZ</t>
        </is>
      </c>
      <c r="AU43" s="24" t="inlineStr">
        <is>
          <t>SCARZ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93ce51a8a94dcf13fc035ab68e8d09ebcbcb5f182e518bd6392207b59bc8b4fe</t>
        </is>
      </c>
      <c r="BB43" s="24" t="inlineStr">
        <is>
          <t>neutral_elo</t>
        </is>
      </c>
      <c r="BC43" s="24" t="inlineStr">
        <is>
          <t>rainbow_six-tiered-elo-v6</t>
        </is>
      </c>
      <c r="BD43" s="24" t="inlineStr">
        <is>
          <t>93ce51a8a94dcf13fc035ab68e8d09ebcbcb5f182e518bd6392207b59bc8b4fe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rainbow_six-tiered-elo-v6</t>
        </is>
      </c>
      <c r="BH43" s="24" t="inlineStr">
        <is>
          <t>2026-10-01T10:10:51.126036Z</t>
        </is>
      </c>
      <c r="BI43" s="24" t="inlineStr">
        <is>
          <t>["same_event","same_team_same_day","same_league_same_day"]</t>
        </is>
      </c>
      <c r="BJ43" s="25" t="n"/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0.669967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"93ce51a8a94dcf13fc035ab68e8d09ebcbcb5f182e518bd6392207b59bc8b4fe", "away_team": "Dplus", "event_id": "131422", "event_start_utc": "2026-10-01T12:00:00Z", "features": {"away_elo": 1618.174966, "away_history_count": 89, "home_elo": 1527.671667, "home_history_count": 82}, "historical_source_observation_times_verified": false, "home_team": "SCARZ", "inference_inputs": {"book_state": {"games_played": {"bo3:7:19336": 89, "bo3:7:19684": 82}, "inactivity_half_life_days": null, "inactivity_max_pull": null, "k": 24.0, "last_match_utc": {"bo3:7:19336": "2026-09-26T11:35:00Z", "bo3:7:19684": "2026-09-26T11:35:00Z"}, "minimum_reliable_games": null, "platt_intercept": 0.14188548220227667, "platt_slope": 0.8638814400267979, "ratings": {"bo3:7:19336": 1618.174966, "bo3:7:19684": 1527.671667},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"2026-10-01T10:10:51.046054+00:00", "team_ids": ["bo3:7:19684", "bo3:7:19336"]}, "market_type": "moneyline", "model_version": "rainbow_six-tiered-elo-v6", "observed_at_utc": "2026-10-01T10:10:51.046054+00:00", "probabilities": {"away": 0.560797, "home": 0.439203}, "replay_scope": "Exact serving book state, calibration, temperature, inactivity reference and thin-history adjustments; training provenance not certified.", "schema": "esports-elo-replay-v1", "snapshot_hash": "5b110cfca864561daf567263965bc686c085ca0a8639c3ce4881e9f27003f3a9", "sport": "RAINBOW_SIX"}</t>
        </is>
      </c>
    </row>
    <row r="44" ht="36" customHeight="1">
      <c r="A44" s="24" t="inlineStr">
        <is>
          <t>3191377adb064f2e</t>
        </is>
      </c>
      <c r="B44" s="24" t="inlineStr">
        <is>
          <t>2026-10-01T16:09:10.754596Z</t>
        </is>
      </c>
      <c r="C44" s="24" t="inlineStr">
        <is>
          <t>2026-10-01T19:00:00Z</t>
        </is>
      </c>
      <c r="D44" s="24" t="inlineStr">
        <is>
          <t>132181</t>
        </is>
      </c>
      <c r="E44" s="24" t="inlineStr">
        <is>
          <t>RAINBOW_SIX</t>
        </is>
      </c>
      <c r="F44" s="24" t="inlineStr">
        <is>
          <t>Wildcard Gaming</t>
        </is>
      </c>
      <c r="G44" s="24" t="inlineStr">
        <is>
          <t>M80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-133</v>
      </c>
      <c r="M44" s="27" t="n">
        <v>1.75188</v>
      </c>
      <c r="N44" s="28" t="n">
        <v>0.570815</v>
      </c>
      <c r="O44" s="28" t="n">
        <v>0.566726</v>
      </c>
      <c r="P44" s="28" t="n"/>
      <c r="Q44" s="28" t="n">
        <v>-0.004089</v>
      </c>
      <c r="R44" s="26" t="n">
        <v>18</v>
      </c>
      <c r="S44" s="29" t="n">
        <v>1</v>
      </c>
      <c r="T44" s="24" t="inlineStr">
        <is>
          <t>rainbow_six-tiered-elo-v6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-144</v>
      </c>
      <c r="AA44" s="28" t="n">
        <v>0.59</v>
      </c>
      <c r="AB44" s="28" t="n">
        <v>0.019185</v>
      </c>
      <c r="AC44" s="30" t="n">
        <v>-1</v>
      </c>
      <c r="AD44" s="24" t="inlineStr">
        <is>
          <t>2026-10-01T22:01:34.183452Z</t>
        </is>
      </c>
      <c r="AE44" s="31" t="inlineStr">
        <is>
          <t>Neutral Elo baseline; executable ask 0.5700 (market_slug=aec-r6-m80-wcg-2026-10-01).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Wildcard Gaming</t>
        </is>
      </c>
      <c r="AQ44" s="24" t="inlineStr">
        <is>
          <t>Wildcard Gaming</t>
        </is>
      </c>
      <c r="AR44" s="24" t="inlineStr">
        <is>
          <t>Wildcard Gaming</t>
        </is>
      </c>
      <c r="AS44" s="24" t="inlineStr">
        <is>
          <t>M80</t>
        </is>
      </c>
      <c r="AT44" s="24" t="inlineStr">
        <is>
          <t>M80</t>
        </is>
      </c>
      <c r="AU44" s="24" t="inlineStr">
        <is>
          <t>M80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3655692b5355c980d5c274d139ecb1887df7962a4b968cc997d1adec882e4b70</t>
        </is>
      </c>
      <c r="BB44" s="24" t="inlineStr">
        <is>
          <t>neutral_elo</t>
        </is>
      </c>
      <c r="BC44" s="24" t="inlineStr">
        <is>
          <t>rainbow_six-tiered-elo-v6</t>
        </is>
      </c>
      <c r="BD44" s="24" t="inlineStr">
        <is>
          <t>3655692b5355c980d5c274d139ecb1887df7962a4b968cc997d1adec882e4b70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rainbow_six-tiered-elo-v6</t>
        </is>
      </c>
      <c r="BH44" s="24" t="inlineStr">
        <is>
          <t>2026-10-01T16:08:34.882249Z</t>
        </is>
      </c>
      <c r="BI44" s="24" t="inlineStr">
        <is>
          <t>["same_event","same_team_same_day","same_league_same_day"]</t>
        </is>
      </c>
      <c r="BJ44" s="25" t="n"/>
      <c r="BK44" s="26" t="n">
        <v>-133</v>
      </c>
      <c r="BL44" s="27" t="n">
        <v>1.75188</v>
      </c>
      <c r="BM44" s="28" t="n">
        <v>0.570815</v>
      </c>
      <c r="BN44" s="28" t="n"/>
      <c r="BO44" s="28" t="n"/>
      <c r="BP44" s="25" t="n"/>
      <c r="BQ44" s="27" t="n">
        <v>1.694444</v>
      </c>
      <c r="BR44" s="28" t="n">
        <v>0.59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0.570815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"3655692b5355c980d5c274d139ecb1887df7962a4b968cc997d1adec882e4b70", "away_team": "Wildcard Gaming", "event_id": "132181", "event_start_utc": "2026-10-01T19:00:00Z", "features": {"away_elo": 1698.189698, "away_history_count": 116, "home_elo": 1601.354032, "home_history_count": 118}, "historical_source_observation_times_verified": false, "home_team": "M80", "inference_inputs": {"book_state": {"games_played": {"bo3:7:19363": 118, "bo3:7:19717": 116}, "inactivity_half_life_days": null, "inactivity_max_pull": null, "k": 24.0, "last_match_utc": {"bo3:7:19363": "2026-09-25T21:20:00Z", "bo3:7:19717": "2026-09-25T18:00:00Z"}, "minimum_reliable_games": null, "platt_intercept": 0.13902507968439398, "platt_slope": 0.8640507011039302, "ratings": {"bo3:7:19363": 1601.354032, "bo3:7:19717": 1698.189698},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"2026-10-01T16:08:34.741362+00:00", "team_ids": ["bo3:7:19363", "bo3:7:19717"]}, "market_type": "moneyline", "model_version": "rainbow_six-tiered-elo-v6", "observed_at_utc": "2026-10-01T16:08:34.741362+00:00", "probabilities": {"away": 0.566726, "home": 0.433274}, "replay_scope": "Exact serving book state, calibration, temperature, inactivity reference and thin-history adjustments; training provenance not certified.", "schema": "esports-elo-replay-v1", "snapshot_hash": "94eba11ff57b96d5411ea8ecb6e3800cf75fad7b8176fa453d5f809bb79e7208", "sport": "RAINBOW_SIX"}</t>
        </is>
      </c>
    </row>
    <row r="45" ht="36" customHeight="1">
      <c r="A45" s="24" t="inlineStr">
        <is>
          <t>c1810ca4dacc4e5a</t>
        </is>
      </c>
      <c r="B45" s="24" t="inlineStr">
        <is>
          <t>2026-10-02T04:40:57.271778Z</t>
        </is>
      </c>
      <c r="C45" s="24" t="inlineStr">
        <is>
          <t>2026-10-02T09:00:00Z</t>
        </is>
      </c>
      <c r="D45" s="24" t="inlineStr">
        <is>
          <t>132980</t>
        </is>
      </c>
      <c r="E45" s="24" t="inlineStr">
        <is>
          <t>RAINBOW_SIX</t>
        </is>
      </c>
      <c r="F45" s="24" t="inlineStr">
        <is>
          <t>One Coin</t>
        </is>
      </c>
      <c r="G45" s="24" t="inlineStr">
        <is>
          <t>Four Angry Men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0.500084</v>
      </c>
      <c r="P45" s="28" t="n"/>
      <c r="Q45" s="28" t="n">
        <v>0.039255</v>
      </c>
      <c r="R45" s="26" t="n">
        <v>40</v>
      </c>
      <c r="S45" s="29" t="n">
        <v>1</v>
      </c>
      <c r="T45" s="24" t="inlineStr">
        <is>
          <t>rainbow_six-tiered-elo-v6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>
        <v>113</v>
      </c>
      <c r="AA45" s="28" t="n">
        <v>0.47</v>
      </c>
      <c r="AB45" s="28" t="n">
        <v>0.009171</v>
      </c>
      <c r="AC45" s="30" t="n">
        <v>1.17</v>
      </c>
      <c r="AD45" s="24" t="inlineStr">
        <is>
          <t>2026-10-02T16:02:04.317463Z</t>
        </is>
      </c>
      <c r="AE45" s="31" t="inlineStr">
        <is>
          <t>Neutral Elo baseline; executable ask 0.4600 (market_slug=aec-r6-4am-oc-2026-10-02).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One Coin</t>
        </is>
      </c>
      <c r="AQ45" s="24" t="inlineStr">
        <is>
          <t>One Coin</t>
        </is>
      </c>
      <c r="AR45" s="24" t="inlineStr">
        <is>
          <t>One Coin</t>
        </is>
      </c>
      <c r="AS45" s="24" t="inlineStr">
        <is>
          <t>Four Angry Men</t>
        </is>
      </c>
      <c r="AT45" s="24" t="inlineStr">
        <is>
          <t>Four Angry Men</t>
        </is>
      </c>
      <c r="AU45" s="24" t="inlineStr">
        <is>
          <t>Four Angry Men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f71d27d4853c747cda3f541e9c137b5edfede545e88c5895ee106dcc426774bf</t>
        </is>
      </c>
      <c r="BB45" s="24" t="inlineStr">
        <is>
          <t>neutral_elo</t>
        </is>
      </c>
      <c r="BC45" s="24" t="inlineStr">
        <is>
          <t>rainbow_six-tiered-elo-v6</t>
        </is>
      </c>
      <c r="BD45" s="24" t="inlineStr">
        <is>
          <t>f71d27d4853c747cda3f541e9c137b5edfede545e88c5895ee106dcc426774bf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rainbow_six-tiered-elo-v6</t>
        </is>
      </c>
      <c r="BH45" s="24" t="inlineStr">
        <is>
          <t>2026-10-02T04:40:29.236281Z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>
        <v>2.13</v>
      </c>
      <c r="BR45" s="28" t="n">
        <v>0.47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0.460829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"f71d27d4853c747cda3f541e9c137b5edfede545e88c5895ee106dcc426774bf", "away_team": "One Coin", "event_id": "132980", "event_start_utc": "2026-10-02T09:00:00Z", "features": {"away_elo": 1475.383355, "away_history_count": 26, "home_elo": 1444.819244, "home_history_count": 39}, "historical_source_observation_times_verified": false, "home_team": "Four Angry Men", "inference_inputs": {"book_state": {"games_played": {"bo3:7:22022": 39, "bo3:7:23213": 26}, "inactivity_half_life_days": null, "inactivity_max_pull": null, "k": 24.0, "last_match_utc": {"bo3:7:22022": "2026-09-26T05:30:00Z", "bo3:7:23213": "2026-09-25T12:10:00Z"}, "minimum_reliable_games": null, "platt_intercept": 0.14312880885788098, "platt_slope": 0.8519638311648648, "ratings": {"bo3:7:22022": 1444.819244, "bo3:7:23213": 1475.383355},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"2026-10-02T04:40:29.134767+00:00", "team_ids": ["bo3:7:22022", "bo3:7:23213"]}, "market_type": "moneyline", "model_version": "rainbow_six-tiered-elo-v6", "observed_at_utc": "2026-10-02T04:40:29.134767+00:00", "probabilities": {"away": 0.499916, "home": 0.500084}, "replay_scope": "Exact serving book state, calibration, temperature, inactivity reference and thin-history adjustments; training provenance not certified.", "schema": "esports-elo-replay-v1", "snapshot_hash": "3da7b8d12e6fc42b93747da326da46499fa6923aa34ec2235c99c4f4836885c8", "sport": "RAINBOW_SIX"}</t>
        </is>
      </c>
    </row>
    <row r="46" ht="36" customHeight="1">
      <c r="A46" s="24" t="inlineStr">
        <is>
          <t>80708d701cb942a1</t>
        </is>
      </c>
      <c r="B46" s="24" t="inlineStr">
        <is>
          <t>2026-10-02T16:09:44.498402Z</t>
        </is>
      </c>
      <c r="C46" s="24" t="inlineStr">
        <is>
          <t>2026-10-02T21:00:00Z</t>
        </is>
      </c>
      <c r="D46" s="24" t="inlineStr">
        <is>
          <t>133874</t>
        </is>
      </c>
      <c r="E46" s="24" t="inlineStr">
        <is>
          <t>RAINBOW_SIX</t>
        </is>
      </c>
      <c r="F46" s="24" t="inlineStr">
        <is>
          <t>100 Thieves</t>
        </is>
      </c>
      <c r="G46" s="24" t="inlineStr">
        <is>
          <t>M80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0.532017</v>
      </c>
      <c r="P46" s="28" t="n"/>
      <c r="Q46" s="28" t="n">
        <v>-0.087755</v>
      </c>
      <c r="R46" s="26" t="n">
        <v>0</v>
      </c>
      <c r="S46" s="29" t="n">
        <v>1</v>
      </c>
      <c r="T46" s="24" t="inlineStr">
        <is>
          <t>rainbow_six-tiered-elo-v6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-178</v>
      </c>
      <c r="AA46" s="28" t="n">
        <v>0.64</v>
      </c>
      <c r="AB46" s="28" t="n">
        <v>0.020228</v>
      </c>
      <c r="AC46" s="30" t="n">
        <v>0.6135</v>
      </c>
      <c r="AD46" s="24" t="inlineStr">
        <is>
          <t>2026-10-02T22:01:47.822558Z</t>
        </is>
      </c>
      <c r="AE46" s="31" t="inlineStr">
        <is>
          <t>Neutral Elo baseline; executable ask 0.6200 (market_slug=aec-r6-m80-100t-2026-10-02).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100 Thieves</t>
        </is>
      </c>
      <c r="AQ46" s="24" t="inlineStr">
        <is>
          <t>100 Thieves</t>
        </is>
      </c>
      <c r="AR46" s="24" t="inlineStr">
        <is>
          <t>100 Thieves</t>
        </is>
      </c>
      <c r="AS46" s="24" t="inlineStr">
        <is>
          <t>M80</t>
        </is>
      </c>
      <c r="AT46" s="24" t="inlineStr">
        <is>
          <t>M80</t>
        </is>
      </c>
      <c r="AU46" s="24" t="inlineStr">
        <is>
          <t>M80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5a2f564384e7f3b5c5c3aa0b5a857e4d3bda4a5b128650c1ac1132f8f4c2b015</t>
        </is>
      </c>
      <c r="BB46" s="24" t="inlineStr">
        <is>
          <t>neutral_elo</t>
        </is>
      </c>
      <c r="BC46" s="24" t="inlineStr">
        <is>
          <t>rainbow_six-tiered-elo-v6</t>
        </is>
      </c>
      <c r="BD46" s="24" t="inlineStr">
        <is>
          <t>5a2f564384e7f3b5c5c3aa0b5a857e4d3bda4a5b128650c1ac1132f8f4c2b015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rainbow_six-tiered-elo-v6</t>
        </is>
      </c>
      <c r="BH46" s="24" t="inlineStr">
        <is>
          <t>2026-10-02T16:09:28.209146Z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>
        <v>1.561798</v>
      </c>
      <c r="BR46" s="28" t="n">
        <v>0.64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0.619772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"5a2f564384e7f3b5c5c3aa0b5a857e4d3bda4a5b128650c1ac1132f8f4c2b015", "away_team": "100 Thieves", "event_id": "133874", "event_start_utc": "2026-10-02T21:00:00Z", "features": {"away_elo": 1632.737609, "away_history_count": 23, "home_elo": 1633.415333, "home_history_count": 119}, "historical_source_observation_times_verified": false, "home_team": "M80", "inference_inputs": {"book_state": {"games_played": {"bo3:7:19363": 119, "bo3:7:23109": 23}, "inactivity_half_life_days": null, "inactivity_max_pull": null, "k": 32.0, "last_match_utc": {"bo3:7:19363": "2026-10-01T19:25:00Z", "bo3:7:23109": "2026-10-01T18:00:00Z"}, "minimum_reliable_games": null, "platt_intercept": 0.14793180304176842, "platt_slope": 0.7930816259898985, "ratings": {"bo3:7:19363": 1633.415333, "bo3:7:23109": 1632.737609},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"2026-10-02T16:09:16.061947+00:00", "team_ids": ["bo3:7:19363", "bo3:7:23109"]}, "market_type": "moneyline", "model_version": "rainbow_six-tiered-elo-v6", "observed_at_utc": "2026-10-02T16:09:16.061947+00:00", "probabilities": {"away": 0.467983, "home": 0.532017}, "replay_scope": "Exact serving book state, calibration, temperature, inactivity reference and thin-history adjustments; training provenance not certified.", "schema": "esports-elo-replay-v1", "snapshot_hash": "7c59ea017ca0196193aaa835969563d61cb836c184c932147098199be9b6fb9c", "sport": "RAINBOW_SIX"}</t>
        </is>
      </c>
    </row>
    <row r="47" ht="36" customHeight="1">
      <c r="A47" s="24" t="inlineStr">
        <is>
          <t>0efca99f672e43cd</t>
        </is>
      </c>
      <c r="B47" s="24" t="inlineStr">
        <is>
          <t>2026-10-03T22:33:50.890758Z</t>
        </is>
      </c>
      <c r="C47" s="24" t="inlineStr">
        <is>
          <t>2026-10-04T16:00:00Z</t>
        </is>
      </c>
      <c r="D47" s="24" t="inlineStr">
        <is>
          <t>136783</t>
        </is>
      </c>
      <c r="E47" s="24" t="inlineStr">
        <is>
          <t>RAINBOW_SIX</t>
        </is>
      </c>
      <c r="F47" s="24" t="inlineStr">
        <is>
          <t>Imperial Esports</t>
        </is>
      </c>
      <c r="G47" s="24" t="inlineStr">
        <is>
          <t>INTZ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-122</v>
      </c>
      <c r="M47" s="27" t="n">
        <v>1.819672</v>
      </c>
      <c r="N47" s="28" t="n">
        <v>0.54955</v>
      </c>
      <c r="O47" s="28" t="n">
        <v>0.596788</v>
      </c>
      <c r="P47" s="28" t="n"/>
      <c r="Q47" s="28" t="n">
        <v>0.047238</v>
      </c>
      <c r="R47" s="26" t="n">
        <v>44</v>
      </c>
      <c r="S47" s="29" t="n">
        <v>1</v>
      </c>
      <c r="T47" s="24" t="inlineStr">
        <is>
          <t>rainbow_six-tiered-elo-v6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-1</v>
      </c>
      <c r="AD47" s="24" t="inlineStr">
        <is>
          <t>2026-10-04T21:04:24.962205Z</t>
        </is>
      </c>
      <c r="AE47" s="31" t="inlineStr">
        <is>
          <t>Neutral Elo baseline; executable ask 0.5500 (market_slug=aec-r6-intz-imp-2026-10-04).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Imperial Esports</t>
        </is>
      </c>
      <c r="AQ47" s="24" t="inlineStr">
        <is>
          <t>Imperial Esports</t>
        </is>
      </c>
      <c r="AR47" s="24" t="inlineStr">
        <is>
          <t>Imperial Esports</t>
        </is>
      </c>
      <c r="AS47" s="24" t="inlineStr">
        <is>
          <t>INTZ</t>
        </is>
      </c>
      <c r="AT47" s="24" t="inlineStr">
        <is>
          <t>INTZ</t>
        </is>
      </c>
      <c r="AU47" s="24" t="inlineStr">
        <is>
          <t>INTZ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179e413225be9340e6e2e1a2f0108cb82f339e0f8cd38dd9848709748cc40762</t>
        </is>
      </c>
      <c r="BB47" s="24" t="inlineStr">
        <is>
          <t>neutral_elo</t>
        </is>
      </c>
      <c r="BC47" s="24" t="inlineStr">
        <is>
          <t>rainbow_six-tiered-elo-v6</t>
        </is>
      </c>
      <c r="BD47" s="24" t="inlineStr">
        <is>
          <t>179e413225be9340e6e2e1a2f0108cb82f339e0f8cd38dd9848709748cc40762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rainbow_six-tiered-elo-v6</t>
        </is>
      </c>
      <c r="BH47" s="24" t="inlineStr">
        <is>
          <t>2026-10-03T22:33:38.071651Z</t>
        </is>
      </c>
      <c r="BI47" s="24" t="inlineStr">
        <is>
          <t>["same_event","same_team_same_day","same_league_same_day"]</t>
        </is>
      </c>
      <c r="BJ47" s="25" t="n"/>
      <c r="BK47" s="26" t="n">
        <v>-122</v>
      </c>
      <c r="BL47" s="27" t="n">
        <v>1.819672</v>
      </c>
      <c r="BM47" s="28" t="n">
        <v>0.54955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0.54955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"179e413225be9340e6e2e1a2f0108cb82f339e0f8cd38dd9848709748cc40762", "away_team": "Imperial Esports", "event_id": "136783", "event_start_utc": "2026-10-04T16:00:00Z", "features": {"away_elo": 1421.778562, "away_history_count": 29, "home_elo": 1494.46361, "home_history_count": 33}, "historical_source_observation_times_verified": false, "home_team": "INTZ", "inference_inputs": {"book_state": {"games_played": {"bo3:7:19706": 33, "bo3:7:22992": 29}, "inactivity_half_life_days": null, "inactivity_max_pull": null, "k": 32.0, "last_match_utc": {"bo3:7:19706": "2026-09-27T16:00:00Z", "bo3:7:22992": "2026-09-27T18:30:00Z"}, "minimum_reliable_games": null, "platt_intercept": 0.1493266015944232, "platt_slope": 0.7919241576250219, "ratings": {"bo3:7:19706": 1494.46361, "bo3:7:22992": 1421.778562},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["bo3:7:19706", "bo3:7:22992"]}, "market_type": "moneyline", "model_version": "rainbow_six-tiered-elo-v6", "observed_at_utc": "2026-10-03T22:33:25.155183+00:00", "probabilities": {"away": 0.403212, "home": 0.596788}, "replay_scope": "Exact serving book state, calibration, temperature, inactivity reference and thin-history adjustments; training provenance not certified.", "schema": "esports-elo-replay-v1", "snapshot_hash": "b21a1eaa633d07e94be7cf6e7deb911122a2ba2a1c0a8608a2b1a41def81cc87", "sport": "RAINBOW_SIX"}</t>
        </is>
      </c>
    </row>
    <row r="48" ht="36" customHeight="1">
      <c r="A48" s="24" t="inlineStr">
        <is>
          <t>80a0090d576948cd</t>
        </is>
      </c>
      <c r="B48" s="24" t="inlineStr">
        <is>
          <t>2026-10-03T22:33:50.890758Z</t>
        </is>
      </c>
      <c r="C48" s="24" t="inlineStr">
        <is>
          <t>2026-10-04T19:45:00Z</t>
        </is>
      </c>
      <c r="D48" s="24" t="inlineStr">
        <is>
          <t>137283</t>
        </is>
      </c>
      <c r="E48" s="24" t="inlineStr">
        <is>
          <t>RAINBOW_SIX</t>
        </is>
      </c>
      <c r="F48" s="24" t="inlineStr">
        <is>
          <t>LOUD</t>
        </is>
      </c>
      <c r="G48" s="24" t="inlineStr">
        <is>
          <t>Fluxo W7M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-213</v>
      </c>
      <c r="M48" s="27" t="n">
        <v>1.469484</v>
      </c>
      <c r="N48" s="28" t="n">
        <v>0.680511</v>
      </c>
      <c r="O48" s="28" t="n">
        <v>0.6512829999999999</v>
      </c>
      <c r="P48" s="28" t="n"/>
      <c r="Q48" s="28" t="n">
        <v>-0.029228</v>
      </c>
      <c r="R48" s="26" t="n">
        <v>5</v>
      </c>
      <c r="S48" s="29" t="n">
        <v>1</v>
      </c>
      <c r="T48" s="24" t="inlineStr">
        <is>
          <t>rainbow_six-tiered-elo-v6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0.4695</v>
      </c>
      <c r="AD48" s="24" t="inlineStr">
        <is>
          <t>2026-10-04T21:04:26.138533Z</t>
        </is>
      </c>
      <c r="AE48" s="31" t="inlineStr">
        <is>
          <t>Neutral Elo baseline; executable ask 0.6800 (market_slug=aec-r6-fx7m-loud-2026-10-04).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LOUD</t>
        </is>
      </c>
      <c r="AQ48" s="24" t="inlineStr">
        <is>
          <t>LOUD</t>
        </is>
      </c>
      <c r="AR48" s="24" t="inlineStr">
        <is>
          <t>LOUD</t>
        </is>
      </c>
      <c r="AS48" s="24" t="inlineStr">
        <is>
          <t>Fluxo W7M</t>
        </is>
      </c>
      <c r="AT48" s="24" t="inlineStr">
        <is>
          <t>Fluxo W7M</t>
        </is>
      </c>
      <c r="AU48" s="24" t="inlineStr">
        <is>
          <t>Fluxo W7M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179e413225be9340e6e2e1a2f0108cb82f339e0f8cd38dd9848709748cc40762</t>
        </is>
      </c>
      <c r="BB48" s="24" t="inlineStr">
        <is>
          <t>neutral_elo</t>
        </is>
      </c>
      <c r="BC48" s="24" t="inlineStr">
        <is>
          <t>rainbow_six-tiered-elo-v6</t>
        </is>
      </c>
      <c r="BD48" s="24" t="inlineStr">
        <is>
          <t>179e413225be9340e6e2e1a2f0108cb82f339e0f8cd38dd9848709748cc40762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rainbow_six-tiered-elo-v6</t>
        </is>
      </c>
      <c r="BH48" s="24" t="inlineStr">
        <is>
          <t>2026-10-03T22:33:50.765879Z</t>
        </is>
      </c>
      <c r="BI48" s="24" t="inlineStr">
        <is>
          <t>["same_event","same_team_same_day","same_league_same_day"]</t>
        </is>
      </c>
      <c r="BJ48" s="25" t="n"/>
      <c r="BK48" s="26" t="n">
        <v>-213</v>
      </c>
      <c r="BL48" s="27" t="n">
        <v>1.469484</v>
      </c>
      <c r="BM48" s="28" t="n">
        <v>0.680511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0.680511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"179e413225be9340e6e2e1a2f0108cb82f339e0f8cd38dd9848709748cc40762", "away_team": "LOUD", "event_id": "137283", "event_start_utc": "2026-10-04T19:45:00Z", "features": {"away_elo": 1481.6493, "away_history_count": 51, "home_elo": 1617.952579, "home_history_count": 131}, "historical_source_observation_times_verified": false, "home_team": "Fluxo W7M", "inference_inputs": {"book_state": {"games_played": {"bo3:7:20021": 51, "bo3:7:22192": 131}, "inactivity_half_life_days": null, "inactivity_max_pull": null, "k": 32.0, "last_match_utc": {"bo3:7:20021": "2026-09-27T17:15:00Z", "bo3:7:22192": "2026-09-27T19:55:00Z"}, "minimum_reliable_games": null, "platt_intercept": 0.1493266015944232, "platt_slope": 0.7919241576250219, "ratings": {"bo3:7:20021": 1481.6493, "bo3:7:22192": 1617.952579},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["bo3:7:22192", "bo3:7:20021"]}, "market_type": "moneyline", "model_version": "rainbow_six-tiered-elo-v6", "observed_at_utc": "2026-10-03T22:33:25.155183+00:00", "probabilities": {"away": 0.348717, "home": 0.651283}, "replay_scope": "Exact serving book state, calibration, temperature, inactivity reference and thin-history adjustments; training provenance not certified.", "schema": "esports-elo-replay-v1", "snapshot_hash": "5ac501a7dd966fb6a0b22a8dff5607adfd95931dd93124f5c26d2b42c316bdd1", "sport": "RAINBOW_SIX"}</t>
        </is>
      </c>
    </row>
    <row r="49" ht="36" customHeight="1">
      <c r="A49" s="24" t="inlineStr">
        <is>
          <t>19825f844fb34d09</t>
        </is>
      </c>
      <c r="B49" s="24" t="inlineStr">
        <is>
          <t>2026-10-05T10:49:35.405166Z</t>
        </is>
      </c>
      <c r="C49" s="24" t="inlineStr">
        <is>
          <t>2026-10-05T16:00:00Z</t>
        </is>
      </c>
      <c r="D49" s="24" t="inlineStr">
        <is>
          <t>138393</t>
        </is>
      </c>
      <c r="E49" s="24" t="inlineStr">
        <is>
          <t>RAINBOW_SIX</t>
        </is>
      </c>
      <c r="F49" s="24" t="inlineStr">
        <is>
          <t>Geekay Esports</t>
        </is>
      </c>
      <c r="G49" s="24" t="inlineStr">
        <is>
          <t>Falcons Esport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-133</v>
      </c>
      <c r="M49" s="27" t="n">
        <v>1.75188</v>
      </c>
      <c r="N49" s="28" t="n">
        <v>0.570815</v>
      </c>
      <c r="O49" s="28" t="n">
        <v>0.634387</v>
      </c>
      <c r="P49" s="28" t="n"/>
      <c r="Q49" s="28" t="n">
        <v>0.063572</v>
      </c>
      <c r="R49" s="26" t="n">
        <v>52</v>
      </c>
      <c r="S49" s="29" t="n">
        <v>1</v>
      </c>
      <c r="T49" s="24" t="inlineStr">
        <is>
          <t>rainbow_six-tiered-elo-v6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-138</v>
      </c>
      <c r="AA49" s="28" t="n">
        <v>0.58</v>
      </c>
      <c r="AB49" s="28" t="n">
        <v>0.009185</v>
      </c>
      <c r="AC49" s="30" t="n">
        <v>0.7519</v>
      </c>
      <c r="AD49" s="24" t="inlineStr">
        <is>
          <t>2026-10-05T22:04:00.650604Z</t>
        </is>
      </c>
      <c r="AE49" s="31" t="inlineStr">
        <is>
          <t>Neutral Elo baseline; executable ask 0.5700 (market_slug=aec-r6-flcs-ge-2026-10-05).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4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Geekay Esports</t>
        </is>
      </c>
      <c r="AQ49" s="24" t="inlineStr">
        <is>
          <t>Geekay Esports</t>
        </is>
      </c>
      <c r="AR49" s="24" t="inlineStr">
        <is>
          <t>Geekay Esports</t>
        </is>
      </c>
      <c r="AS49" s="24" t="inlineStr">
        <is>
          <t>Falcons Esport</t>
        </is>
      </c>
      <c r="AT49" s="24" t="inlineStr">
        <is>
          <t>Falcons Esport</t>
        </is>
      </c>
      <c r="AU49" s="24" t="inlineStr">
        <is>
          <t>Falcons Esport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9a3d752083f0e7140dbd3b1b315d42f48ba983a9883e5e06602260bc3e82ded6</t>
        </is>
      </c>
      <c r="BB49" s="24" t="inlineStr">
        <is>
          <t>neutral_elo</t>
        </is>
      </c>
      <c r="BC49" s="24" t="inlineStr">
        <is>
          <t>rainbow_six-tiered-elo-v6</t>
        </is>
      </c>
      <c r="BD49" s="24" t="inlineStr">
        <is>
          <t>9a3d752083f0e7140dbd3b1b315d42f48ba983a9883e5e06602260bc3e82ded6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rainbow_six-tiered-elo-v6</t>
        </is>
      </c>
      <c r="BH49" s="24" t="inlineStr">
        <is>
          <t>2026-10-05T10:49:35.331989Z</t>
        </is>
      </c>
      <c r="BI49" s="24" t="inlineStr">
        <is>
          <t>["same_event","same_team_same_day","same_league_same_day"]</t>
        </is>
      </c>
      <c r="BJ49" s="25" t="n"/>
      <c r="BK49" s="26" t="n">
        <v>-133</v>
      </c>
      <c r="BL49" s="27" t="n">
        <v>1.75188</v>
      </c>
      <c r="BM49" s="28" t="n">
        <v>0.570815</v>
      </c>
      <c r="BN49" s="28" t="n"/>
      <c r="BO49" s="28" t="n"/>
      <c r="BP49" s="25" t="n"/>
      <c r="BQ49" s="27" t="n">
        <v>1.724638</v>
      </c>
      <c r="BR49" s="28" t="n">
        <v>0.58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"9a3d752083f0e7140dbd3b1b315d42f48ba983a9883e5e06602260bc3e82ded6", "away_team": "Geekay Esports", "event_id": "138393", "event_start_utc": "2026-10-05T16:00:00Z", "features": {"away_elo": 1657.075755, "away_history_count": 60, "home_elo": 1773.709517, "home_history_count": 127}, "historical_source_observation_times_verified": false, "home_team": "Falcons Esport", "inference_inputs": {"book_state": {"games_played": {"bo3:7:19340": 60, "bo3:7:19439": 127}, "inactivity_half_life_days": null, "inactivity_max_pull": null, "k": 32.0, "last_match_utc": {"bo3:7:19340": "2026-09-30T18:35:00Z", "bo3:7:19439": "2026-09-30T16:00:00Z"}, "minimum_reliable_games": null, "platt_intercept": 0.14504524995283027, "platt_slope": 0.7870429134515834, "ratings": {"bo3:7:19340": 1657.075755, "bo3:7:19439": 1773.709517},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"2026-10-05T10:49:35.252794+00:00", "team_ids": ["bo3:7:19439", "bo3:7:19340"]}, "market_type": "moneyline", "model_version": "rainbow_six-tiered-elo-v6", "observed_at_utc": "2026-10-05T10:49:35.252794+00:00", "probabilities": {"away": 0.365613, "home": 0.634387}, "replay_scope": "Exact serving book state, calibration, temperature, inactivity reference and thin-history adjustments; training provenance not certified.", "schema": "esports-elo-replay-v1", "snapshot_hash": "0757b9d1cb382d4a934eeae8ca1b22556e2b1557d5720ad9d52d86a3eab6397a", "sport": "RAINBOW_SIX"}</t>
        </is>
      </c>
    </row>
    <row r="50" ht="36" customHeight="1">
      <c r="A50" s="24" t="inlineStr">
        <is>
          <t>26f31b1c09754b85</t>
        </is>
      </c>
      <c r="B50" s="24" t="inlineStr">
        <is>
          <t>2026-10-05T16:34:28.380407Z</t>
        </is>
      </c>
      <c r="C50" s="24" t="inlineStr">
        <is>
          <t>2026-10-05T19:00:00Z</t>
        </is>
      </c>
      <c r="D50" s="24" t="inlineStr">
        <is>
          <t>138702</t>
        </is>
      </c>
      <c r="E50" s="24" t="inlineStr">
        <is>
          <t>RAINBOW_SIX</t>
        </is>
      </c>
      <c r="F50" s="24" t="inlineStr">
        <is>
          <t>Virtus.pro</t>
        </is>
      </c>
      <c r="G50" s="24" t="inlineStr">
        <is>
          <t>G2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-194</v>
      </c>
      <c r="M50" s="27" t="n">
        <v>1.515464</v>
      </c>
      <c r="N50" s="28" t="n">
        <v>0.659864</v>
      </c>
      <c r="O50" s="28" t="n">
        <v>0.616671</v>
      </c>
      <c r="P50" s="28" t="n"/>
      <c r="Q50" s="28" t="n">
        <v>-0.043193</v>
      </c>
      <c r="R50" s="26" t="n">
        <v>0</v>
      </c>
      <c r="S50" s="29" t="n">
        <v>1</v>
      </c>
      <c r="T50" s="24" t="inlineStr">
        <is>
          <t>rainbow_six-tiered-elo-v6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-194</v>
      </c>
      <c r="AA50" s="28" t="n">
        <v>0.66</v>
      </c>
      <c r="AB50" s="28" t="n">
        <v>0.000136</v>
      </c>
      <c r="AC50" s="30" t="n">
        <v>0.5155</v>
      </c>
      <c r="AD50" s="24" t="inlineStr">
        <is>
          <t>2026-10-05T22:04:02.658149Z</t>
        </is>
      </c>
      <c r="AE50" s="31" t="inlineStr">
        <is>
          <t>Neutral Elo baseline; executable ask 0.6600 (market_slug=aec-r6-g2-vp-2026-10-05).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Virtus.pro</t>
        </is>
      </c>
      <c r="AQ50" s="24" t="inlineStr">
        <is>
          <t>Virtus.pro</t>
        </is>
      </c>
      <c r="AR50" s="24" t="inlineStr">
        <is>
          <t>Virtus.pro</t>
        </is>
      </c>
      <c r="AS50" s="24" t="inlineStr">
        <is>
          <t>G2 Esports</t>
        </is>
      </c>
      <c r="AT50" s="24" t="inlineStr">
        <is>
          <t>G2 Esports</t>
        </is>
      </c>
      <c r="AU50" s="24" t="inlineStr">
        <is>
          <t>G2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70656544ecaf134932f3947a2932893b9bd8976d900ccbbfaab90f748e927834</t>
        </is>
      </c>
      <c r="BB50" s="24" t="inlineStr">
        <is>
          <t>neutral_elo</t>
        </is>
      </c>
      <c r="BC50" s="24" t="inlineStr">
        <is>
          <t>rainbow_six-tiered-elo-v6</t>
        </is>
      </c>
      <c r="BD50" s="24" t="inlineStr">
        <is>
          <t>70656544ecaf134932f3947a2932893b9bd8976d900ccbbfaab90f748e927834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rainbow_six-tiered-elo-v6</t>
        </is>
      </c>
      <c r="BH50" s="24" t="inlineStr">
        <is>
          <t>2026-10-05T16:34:28.366388Z</t>
        </is>
      </c>
      <c r="BI50" s="24" t="inlineStr">
        <is>
          <t>["same_event","same_team_same_day","same_league_same_day"]</t>
        </is>
      </c>
      <c r="BJ50" s="25" t="n"/>
      <c r="BK50" s="26" t="n">
        <v>-194</v>
      </c>
      <c r="BL50" s="27" t="n">
        <v>1.515464</v>
      </c>
      <c r="BM50" s="28" t="n">
        <v>0.659864</v>
      </c>
      <c r="BN50" s="28" t="n"/>
      <c r="BO50" s="28" t="n"/>
      <c r="BP50" s="25" t="n"/>
      <c r="BQ50" s="27" t="n">
        <v>1.515464</v>
      </c>
      <c r="BR50" s="28" t="n">
        <v>0.66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"70656544ecaf134932f3947a2932893b9bd8976d900ccbbfaab90f748e927834", "away_team": "Virtus.pro", "event_id": "138702", "event_start_utc": "2026-10-05T19:00:00Z", "features": {"away_elo": 1705.060885, "away_history_count": 111, "home_elo": 1801.185609, "home_history_count": 148}, "historical_source_observation_times_verified": false, "home_team": "G2 Esports", "inference_inputs": {"book_state": {"games_played": {"bo3:7:19668": 111, "bo3:7:19715": 148}, "inactivity_half_life_days": null, "inactivity_max_pull": null, "k": 32.0, "last_match_utc": {"bo3:7:19668": "2026-09-30T20:00:00Z", "bo3:7:19715": "2026-09-30T18:35:00Z"}, "minimum_reliable_games": null, "platt_intercept": 0.14504524995283027, "platt_slope": 0.7870429134515834, "ratings": {"bo3:7:19668": 1705.060885, "bo3:7:19715": 1801.185609},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"2026-10-05T16:34:28.296920+00:00", "team_ids": ["bo3:7:19715", "bo3:7:19668"]}, "market_type": "moneyline", "model_version": "rainbow_six-tiered-elo-v6", "observed_at_utc": "2026-10-05T16:34:28.296920+00:00", "probabilities": {"away": 0.383329, "home": 0.616671}, "replay_scope": "Exact serving book state, calibration, temperature, inactivity reference and thin-history adjustments; training provenance not certified.", "schema": "esports-elo-replay-v1", "snapshot_hash": "42f869d51b3b329508536346401ba0164f73014f53f88bc06de9679e80aa1c6c", "sport": "RAINBOW_SIX"}</t>
        </is>
      </c>
    </row>
    <row r="51" ht="36" customHeight="1">
      <c r="A51" s="24" t="inlineStr">
        <is>
          <t>fd9136262c164b11</t>
        </is>
      </c>
      <c r="B51" s="24" t="inlineStr">
        <is>
          <t>2026-10-06T10:51:13.499333Z</t>
        </is>
      </c>
      <c r="C51" s="24" t="inlineStr">
        <is>
          <t>2026-10-06T16:00:00Z</t>
        </is>
      </c>
      <c r="D51" s="24" t="inlineStr">
        <is>
          <t>144058</t>
        </is>
      </c>
      <c r="E51" s="24" t="inlineStr">
        <is>
          <t>RAINBOW_SIX</t>
        </is>
      </c>
      <c r="F51" s="24" t="inlineStr">
        <is>
          <t>Geekay Esports</t>
        </is>
      </c>
      <c r="G51" s="24" t="inlineStr">
        <is>
          <t>Shifters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0.54393</v>
      </c>
      <c r="P51" s="28" t="n"/>
      <c r="Q51" s="28" t="n">
        <v>-0.0857</v>
      </c>
      <c r="R51" s="26" t="n">
        <v>0</v>
      </c>
      <c r="S51" s="29" t="n">
        <v>1</v>
      </c>
      <c r="T51" s="24" t="inlineStr">
        <is>
          <t>rainbow_six-tiered-elo-v6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0.5881999999999999</v>
      </c>
      <c r="AD51" s="24" t="inlineStr">
        <is>
          <t>2026-10-06T22:02:52.165431Z</t>
        </is>
      </c>
      <c r="AE51" s="31" t="inlineStr">
        <is>
          <t>Neutral Elo baseline; executable ask 0.6300 (market_slug=aec-r6-shi-ge-2026-10-06).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Geekay Esports</t>
        </is>
      </c>
      <c r="AQ51" s="24" t="inlineStr">
        <is>
          <t>Geekay Esports</t>
        </is>
      </c>
      <c r="AR51" s="24" t="inlineStr">
        <is>
          <t>Geekay Esports</t>
        </is>
      </c>
      <c r="AS51" s="24" t="inlineStr">
        <is>
          <t>Shifters</t>
        </is>
      </c>
      <c r="AT51" s="24" t="inlineStr">
        <is>
          <t>Shifters</t>
        </is>
      </c>
      <c r="AU51" s="24" t="inlineStr">
        <is>
          <t>Shifters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9858f060c2a168107585edc8a721ca47c237812d7c1532146f3176089ebd00c8</t>
        </is>
      </c>
      <c r="BB51" s="24" t="inlineStr">
        <is>
          <t>neutral_elo</t>
        </is>
      </c>
      <c r="BC51" s="24" t="inlineStr">
        <is>
          <t>rainbow_six-tiered-elo-v6</t>
        </is>
      </c>
      <c r="BD51" s="24" t="inlineStr">
        <is>
          <t>9858f060c2a168107585edc8a721ca47c237812d7c1532146f3176089ebd00c8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rainbow_six-tiered-elo-v6</t>
        </is>
      </c>
      <c r="BH51" s="24" t="inlineStr">
        <is>
          <t>2026-10-06T10:50:53.274144Z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"9858f060c2a168107585edc8a721ca47c237812d7c1532146f3176089ebd00c8", "away_team": "Geekay Esports", "event_id": "144058", "event_start_utc": "2026-10-06T16:00:00Z", "features": {"away_elo": 1642.27105, "away_history_count": 61, "home_elo": 1566.086413, "home_history_count": 111}, "historical_source_observation_times_verified": false, "home_team": "Shifters", "inference_inputs": {"book_state": {"games_played": {"bo3:7:19340": 61, "bo3:7:19716": 111}, "inactivity_half_life_days": null, "inactivity_max_pull": null, "k": 32.0, "last_match_utc": {"bo3:7:19340": "2026-10-05T16:00:00Z", "bo3:7:19716": "2026-09-30T20:00:00Z"}, "minimum_reliable_games": null, "platt_intercept": 0.1370995612441656, "platt_slope": 0.763965360686399, "ratings": {"bo3:7:19340": 1642.27105, "bo3:7:19716": 1566.086413},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"2026-10-06T10:50:53.103147+00:00", "team_ids": ["bo3:7:19716", "bo3:7:19340"]}, "market_type": "moneyline", "model_version": "rainbow_six-tiered-elo-v6", "observed_at_utc": "2026-10-06T10:50:53.103147+00:00", "probabilities": {"away": 0.54393, "home": 0.45607}, "replay_scope": "Exact serving book state, calibration, temperature, inactivity reference and thin-history adjustments; training provenance not certified.", "schema": "esports-elo-replay-v1", "snapshot_hash": "35d45af2f9634daaecd155a5a9eb97f4a828a10292a99d3c614db99047ab3902", "sport": "RAINBOW_SIX"}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2026-10-06T22:02:53Z</dcterms:created>
  <dcterms:modified xmlns:dcterms="http://purl.org/dc/terms/" xmlns:xsi="http://www.w3.org/2001/XMLSchema-instance" xsi:type="dcterms:W3CDTF">2026-10-06T22:02:53Z</dcterms:modified>
</cp:coreProperties>
</file>