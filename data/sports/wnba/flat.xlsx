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7" headerRowCount="1">
  <autoFilter ref="A1:DQ7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COUNTA('Picks'!$A$2:$A$7)</f>
        <v/>
      </c>
      <c r="C4" s="6">
        <f>COUNTIF('Picks'!$U$2:$U$7,"open")</f>
        <v/>
      </c>
      <c r="E4" s="6">
        <f>COUNTIF('Picks'!$U$2:$U$7,"settled")</f>
        <v/>
      </c>
      <c r="G4" s="6">
        <f>IF(COUNTIFS('Picks'!$U$2:$U$7,"settled",'Picks'!$V$2:$V$7,"win")+COUNTIFS('Picks'!$U$2:$U$7,"settled",'Picks'!$V$2:$V$7,"loss")&gt;=$L$2,"Ready","Insufficient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COUNTIF('Picks'!$BX$2:$BX$7,"&gt;0")</f>
        <v/>
      </c>
      <c r="C7" s="6">
        <f>COUNTIFS('Picks'!$BX$2:$BX$7,"&gt;0",'Picks'!$V$2:$V$7,"win")&amp;"-"&amp;COUNTIFS('Picks'!$BX$2:$BX$7,"&gt;0",'Picks'!$V$2:$V$7,"loss")</f>
        <v/>
      </c>
      <c r="E7" s="7">
        <f>IFERROR(COUNTIFS('Picks'!$BX$2:$BX$7,"&gt;0",'Picks'!$V$2:$V$7,"win")/(COUNTIFS('Picks'!$BX$2:$BX$7,"&gt;0",'Picks'!$V$2:$V$7,"win")+COUNTIFS('Picks'!$BX$2:$BX$7,"&gt;0",'Picks'!$V$2:$V$7,"loss")),0)</f>
        <v/>
      </c>
      <c r="G7" s="7">
        <f>IFERROR(SUM('Picks'!$BY$2:$BY$7)/SUM('Picks'!$BX$2:$BX$7),0)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SUM('Picks'!$BY$2:$BY$7)</f>
        <v/>
      </c>
      <c r="C10" s="9">
        <f>IFERROR(AVERAGEIF('Picks'!$AB$2:$AB$7,"&lt;&gt;",'Picks'!$AB$2:$AB$7),0)</f>
        <v/>
      </c>
      <c r="E10" s="6">
        <f>COUNTIFS('Picks'!$AM$2:$AM$7,"QUALIFIED_SHADOW_CALL",'Picks'!$U$2:$U$7,"settled")</f>
        <v/>
      </c>
      <c r="G10" s="8">
        <f>SUMIFS('Picks'!$AC$2:$AC$7,'Picks'!$AM$2:$AM$7,"QUALIFIED_SHADOW_CALL")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COUNTIFS('Picks'!$H$2:$H$7,$A14,'Picks'!$U$2:$U$7,"settled")</f>
        <v/>
      </c>
      <c r="C14" s="13">
        <f>COUNTIFS('Picks'!$H$2:$H$7,$A14,'Picks'!$U$2:$U$7,"settled",'Picks'!$V$2:$V$7,"win")</f>
        <v/>
      </c>
      <c r="D14" s="13">
        <f>COUNTIFS('Picks'!$H$2:$H$7,$A14,'Picks'!$U$2:$U$7,"settled",'Picks'!$V$2:$V$7,"loss")</f>
        <v/>
      </c>
      <c r="E14" s="14">
        <f>IFERROR(C14/(C14+D14),0)</f>
        <v/>
      </c>
      <c r="F14" s="15">
        <f>SUMIFS('Picks'!$BY$2:$BY$7,'Picks'!$H$2:$H$7,$A14)</f>
        <v/>
      </c>
      <c r="G14" s="16">
        <f>IFERROR(AVERAGEIFS('Picks'!$AB$2:$AB$7,'Picks'!$H$2:$H$7,$A14,'Picks'!$U$2:$U$7,"settled"),0)</f>
        <v/>
      </c>
    </row>
    <row r="15">
      <c r="A15" s="17" t="inlineStr">
        <is>
          <t>spread</t>
        </is>
      </c>
      <c r="B15" s="18">
        <f>COUNTIFS('Picks'!$H$2:$H$7,$A15,'Picks'!$U$2:$U$7,"settled")</f>
        <v/>
      </c>
      <c r="C15" s="18">
        <f>COUNTIFS('Picks'!$H$2:$H$7,$A15,'Picks'!$U$2:$U$7,"settled",'Picks'!$V$2:$V$7,"win")</f>
        <v/>
      </c>
      <c r="D15" s="18">
        <f>COUNTIFS('Picks'!$H$2:$H$7,$A15,'Picks'!$U$2:$U$7,"settled",'Picks'!$V$2:$V$7,"loss")</f>
        <v/>
      </c>
      <c r="E15" s="19">
        <f>IFERROR(C15/(C15+D15),0)</f>
        <v/>
      </c>
      <c r="F15" s="20">
        <f>SUMIFS('Picks'!$BY$2:$BY$7,'Picks'!$H$2:$H$7,$A15)</f>
        <v/>
      </c>
      <c r="G15" s="21">
        <f>IFERROR(AVERAGEIFS('Picks'!$AB$2:$AB$7,'Picks'!$H$2:$H$7,$A15,'Picks'!$U$2:$U$7,"settled"),0)</f>
        <v/>
      </c>
    </row>
    <row r="16">
      <c r="A16" s="12" t="inlineStr">
        <is>
          <t>total</t>
        </is>
      </c>
      <c r="B16" s="13">
        <f>COUNTIFS('Picks'!$H$2:$H$7,$A16,'Picks'!$U$2:$U$7,"settled")</f>
        <v/>
      </c>
      <c r="C16" s="13">
        <f>COUNTIFS('Picks'!$H$2:$H$7,$A16,'Picks'!$U$2:$U$7,"settled",'Picks'!$V$2:$V$7,"win")</f>
        <v/>
      </c>
      <c r="D16" s="13">
        <f>COUNTIFS('Picks'!$H$2:$H$7,$A16,'Picks'!$U$2:$U$7,"settled",'Picks'!$V$2:$V$7,"loss")</f>
        <v/>
      </c>
      <c r="E16" s="14">
        <f>IFERROR(C16/(C16+D16),0)</f>
        <v/>
      </c>
      <c r="F16" s="15">
        <f>SUMIFS('Picks'!$BY$2:$BY$7,'Picks'!$H$2:$H$7,$A16)</f>
        <v/>
      </c>
      <c r="G16" s="16">
        <f>IFERROR(AVERAGEIFS('Picks'!$AB$2:$AB$7,'Picks'!$H$2:$H$7,$A16,'Picks'!$U$2:$U$7,"settled"),0)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8eca111bfb8c497f</t>
        </is>
      </c>
      <c r="B2" s="24" t="inlineStr">
        <is>
          <t>2026-10-07T22:24:46.884594Z</t>
        </is>
      </c>
      <c r="C2" s="24" t="inlineStr">
        <is>
          <t>2026-10-07T19:30:00-0400</t>
        </is>
      </c>
      <c r="D2" s="24" t="inlineStr">
        <is>
          <t>401918297</t>
        </is>
      </c>
      <c r="E2" s="24" t="inlineStr">
        <is>
          <t>WNBA</t>
        </is>
      </c>
      <c r="F2" s="24" t="inlineStr">
        <is>
          <t>New York Liberty</t>
        </is>
      </c>
      <c r="G2" s="24" t="inlineStr">
        <is>
          <t>Atlanta Dream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-117</v>
      </c>
      <c r="M2" s="27" t="n">
        <v>1.854701</v>
      </c>
      <c r="N2" s="28" t="n">
        <v>0.539171</v>
      </c>
      <c r="O2" s="28" t="n">
        <v>0.666431</v>
      </c>
      <c r="P2" s="28" t="n"/>
      <c r="Q2" s="28" t="n">
        <v>0.12726</v>
      </c>
      <c r="R2" s="26" t="n">
        <v>86</v>
      </c>
      <c r="S2" s="29" t="n">
        <v>1.5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win</t>
        </is>
      </c>
      <c r="W2" s="26" t="n">
        <v>98</v>
      </c>
      <c r="X2" s="26" t="n">
        <v>101</v>
      </c>
      <c r="Y2" s="25" t="n"/>
      <c r="Z2" s="26" t="n">
        <v>-117</v>
      </c>
      <c r="AA2" s="28" t="n">
        <v>0.54</v>
      </c>
      <c r="AB2" s="28" t="n">
        <v>0.000829</v>
      </c>
      <c r="AC2" s="30" t="n">
        <v>1.282</v>
      </c>
      <c r="AD2" s="24" t="inlineStr">
        <is>
          <t>2026-10-08T03:21:29.746765Z</t>
        </is>
      </c>
      <c r="AE2" s="31" t="inlineStr">
        <is>
          <t>Learned LR call at threshold 0.5001; executable ask 0.5400 (aec-wnba-ny-atl-2026-10-07); model edge vs ask +0.1264. NOTE: NO_CALL_AVAILABILITY_PLAYER_UNMAPPED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4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wnba-nyl</t>
        </is>
      </c>
      <c r="AQ2" s="24" t="inlineStr">
        <is>
          <t>New York Liberty</t>
        </is>
      </c>
      <c r="AR2" s="24" t="inlineStr">
        <is>
          <t>New York Liberty</t>
        </is>
      </c>
      <c r="AS2" s="24" t="inlineStr">
        <is>
          <t>wnba-atl</t>
        </is>
      </c>
      <c r="AT2" s="24" t="inlineStr">
        <is>
          <t>Atlanta Dream</t>
        </is>
      </c>
      <c r="AU2" s="24" t="inlineStr">
        <is>
          <t>Atlanta Dream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7b76ed1a5cc2c69b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2026-10-07T22:10:56.731722Z</t>
        </is>
      </c>
      <c r="BI2" s="24" t="inlineStr">
        <is>
          <t>["same_event","same_team_same_day","same_league_same_day"]</t>
        </is>
      </c>
      <c r="BJ2" s="25" t="n"/>
      <c r="BK2" s="26" t="n">
        <v>-117</v>
      </c>
      <c r="BL2" s="27" t="n">
        <v>1.854701</v>
      </c>
      <c r="BM2" s="28" t="n">
        <v>0.539171</v>
      </c>
      <c r="BN2" s="28" t="n">
        <v>0.534653</v>
      </c>
      <c r="BO2" s="28" t="n"/>
      <c r="BP2" s="25" t="n"/>
      <c r="BQ2" s="27" t="n">
        <v>1.854701</v>
      </c>
      <c r="BR2" s="28" t="n">
        <v>0.54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0.7319895378</t>
        </is>
      </c>
      <c r="CD2" s="24" t="inlineStr">
        <is>
          <t>4.309094</t>
        </is>
      </c>
      <c r="CE2" s="24" t="n"/>
      <c r="CF2" s="24" t="n"/>
      <c r="CG2" s="24" t="n"/>
      <c r="CH2" s="24" t="n"/>
      <c r="CI2" s="24" t="inlineStr">
        <is>
          <t>NO_CALL_AVAILABILITY_PLAYER_UNMAPPED</t>
        </is>
      </c>
      <c r="CJ2" s="24" t="inlineStr">
        <is>
          <t>0.461806</t>
        </is>
      </c>
      <c r="CK2" s="24" t="n"/>
      <c r="CL2" s="24" t="n"/>
      <c r="CM2" s="24" t="n"/>
      <c r="CN2" s="24" t="n"/>
      <c r="CO2" s="24" t="n"/>
      <c r="CP2" s="24" t="n"/>
      <c r="CQ2" s="24" t="n"/>
      <c r="CR2" s="24" t="inlineStr">
        <is>
          <t>0.666431</t>
        </is>
      </c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inlineStr">
        <is>
          <t>2026-10-07T22:10:56.731722Z</t>
        </is>
      </c>
      <c r="CZ2" s="24" t="inlineStr">
        <is>
          <t>True</t>
        </is>
      </c>
      <c r="DA2" s="24" t="inlineStr">
        <is>
          <t>polymarket_us</t>
        </is>
      </c>
      <c r="DB2" s="24" t="inlineStr">
        <is>
          <t>decision_time_executable_quote</t>
        </is>
      </c>
      <c r="DC2" s="24" t="inlineStr">
        <is>
          <t>False</t>
        </is>
      </c>
      <c r="DD2" s="24" t="inlineStr">
        <is>
          <t>1b60ded60fe349dc5a868f2893190fbf12c022d55cf3886be727bc857ab4e436</t>
        </is>
      </c>
      <c r="DE2" s="24" t="inlineStr">
        <is>
          <t>E:\model-prediction\data\odds\wnba\2026-10-07\polymarket_snapshots.jsonl</t>
        </is>
      </c>
      <c r="DF2" s="24" t="inlineStr">
        <is>
          <t>1b60ded60fe349dc5a868f2893190fbf12c022d55cf3886be727bc857ab4e436</t>
        </is>
      </c>
      <c r="DG2" s="24" t="n"/>
      <c r="DH2" s="24" t="n"/>
      <c r="DI2" s="24" t="n"/>
      <c r="DJ2" s="24" t="inlineStr">
        <is>
          <t>0.539171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0.6664307789911182, "event_id": "401918297", "event_start_utc": "2026-10-07T23:30:00+00:00", "features": {"defensive_trend_gap": 0.4618059999999997, "elo_probability": 0.7319895377976802, "trend_gap": 4.309094}, "historical_source_observation_times_verified": false, "model_version": "wnba-elo-trend-lr-v4", "observed_at_utc": "2026-10-07T22:24:46.884594+00:00", "schema": "learned-moneyline-replay-v1", "served_home_probability": 0.6664307789911182, "snapshot_hash": "3f5057704fbcf733a776e0ce18ecfc062110e40fa420a4883bd29e2e22b59bcc"}</t>
        </is>
      </c>
    </row>
    <row r="3" ht="36" customHeight="1">
      <c r="A3" s="24" t="inlineStr">
        <is>
          <t>4dc5aadd56f646df</t>
        </is>
      </c>
      <c r="B3" s="24" t="inlineStr">
        <is>
          <t>2026-10-07T22:24:46.884594Z</t>
        </is>
      </c>
      <c r="C3" s="24" t="inlineStr">
        <is>
          <t>2026-10-07T21:30:00-0400</t>
        </is>
      </c>
      <c r="D3" s="24" t="inlineStr">
        <is>
          <t>401918298</t>
        </is>
      </c>
      <c r="E3" s="24" t="inlineStr">
        <is>
          <t>WNBA</t>
        </is>
      </c>
      <c r="F3" s="24" t="inlineStr">
        <is>
          <t>Las Vegas Aces</t>
        </is>
      </c>
      <c r="G3" s="24" t="inlineStr">
        <is>
          <t>Golden State Valkyries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-117</v>
      </c>
      <c r="M3" s="27" t="n">
        <v>1.854701</v>
      </c>
      <c r="N3" s="28" t="n">
        <v>0.539171</v>
      </c>
      <c r="O3" s="28" t="n">
        <v>0.649417</v>
      </c>
      <c r="P3" s="28" t="n"/>
      <c r="Q3" s="28" t="n">
        <v>0.110246</v>
      </c>
      <c r="R3" s="26" t="n">
        <v>77</v>
      </c>
      <c r="S3" s="29" t="n">
        <v>1.5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win</t>
        </is>
      </c>
      <c r="W3" s="26" t="n">
        <v>81</v>
      </c>
      <c r="X3" s="26" t="n">
        <v>83</v>
      </c>
      <c r="Y3" s="25" t="n"/>
      <c r="Z3" s="26" t="n">
        <v>-117</v>
      </c>
      <c r="AA3" s="28" t="n">
        <v>0.54</v>
      </c>
      <c r="AB3" s="28" t="n">
        <v>0.000829</v>
      </c>
      <c r="AC3" s="30" t="n">
        <v>1.282</v>
      </c>
      <c r="AD3" s="24" t="inlineStr">
        <is>
          <t>2026-10-11T04:34:03.547959Z</t>
        </is>
      </c>
      <c r="AE3" s="31" t="inlineStr">
        <is>
          <t>Learned LR call at threshold 0.5001; executable ask 0.5400 (aec-wnba-lv-gsv-2026-10-07); model edge vs ask +0.1094. NOTE: NO_CALL_AVAILABILITY_SOURCE_CONFLICT unavailable for this game — defaulted to neutral, other features used normally.</t>
        </is>
      </c>
      <c r="AF3" s="31" t="inlineStr">
        <is>
          <t>Learned model; shadow-qualified via operator override.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wnba-lva</t>
        </is>
      </c>
      <c r="AQ3" s="24" t="inlineStr">
        <is>
          <t>Las Vegas Aces</t>
        </is>
      </c>
      <c r="AR3" s="24" t="inlineStr">
        <is>
          <t>Las Vegas Aces</t>
        </is>
      </c>
      <c r="AS3" s="24" t="inlineStr">
        <is>
          <t>wnba-gsv</t>
        </is>
      </c>
      <c r="AT3" s="24" t="inlineStr">
        <is>
          <t>Golden State Valkyries</t>
        </is>
      </c>
      <c r="AU3" s="24" t="inlineStr">
        <is>
          <t>Golden State Valkyries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f4497cbfe07aad01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2026-10-07T16:13:00.653672Z</t>
        </is>
      </c>
      <c r="BI3" s="24" t="inlineStr">
        <is>
          <t>["same_event","same_team_same_day","same_league_same_day"]</t>
        </is>
      </c>
      <c r="BJ3" s="25" t="n"/>
      <c r="BK3" s="26" t="n">
        <v>-117</v>
      </c>
      <c r="BL3" s="27" t="n">
        <v>1.854701</v>
      </c>
      <c r="BM3" s="28" t="n">
        <v>0.539171</v>
      </c>
      <c r="BN3" s="28" t="n">
        <v>0.534653</v>
      </c>
      <c r="BO3" s="28" t="n"/>
      <c r="BP3" s="25" t="n"/>
      <c r="BQ3" s="27" t="n">
        <v>1.854701</v>
      </c>
      <c r="BR3" s="28" t="n">
        <v>0.54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0.6991262963</t>
        </is>
      </c>
      <c r="CD3" s="24" t="inlineStr">
        <is>
          <t>1.191065</t>
        </is>
      </c>
      <c r="CE3" s="24" t="n"/>
      <c r="CF3" s="24" t="n"/>
      <c r="CG3" s="24" t="n"/>
      <c r="CH3" s="24" t="n"/>
      <c r="CI3" s="24" t="inlineStr">
        <is>
          <t>NO_CALL_AVAILABILITY_SOURCE_CONFLICT</t>
        </is>
      </c>
      <c r="CJ3" s="24" t="inlineStr">
        <is>
          <t>-1.693458</t>
        </is>
      </c>
      <c r="CK3" s="24" t="n"/>
      <c r="CL3" s="24" t="n"/>
      <c r="CM3" s="24" t="n"/>
      <c r="CN3" s="24" t="n"/>
      <c r="CO3" s="24" t="n"/>
      <c r="CP3" s="24" t="n"/>
      <c r="CQ3" s="24" t="n"/>
      <c r="CR3" s="24" t="inlineStr">
        <is>
          <t>0.649417</t>
        </is>
      </c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inlineStr">
        <is>
          <t>2026-10-07T16:13:00.653672Z</t>
        </is>
      </c>
      <c r="CZ3" s="24" t="inlineStr">
        <is>
          <t>True</t>
        </is>
      </c>
      <c r="DA3" s="24" t="inlineStr">
        <is>
          <t>polymarket_us</t>
        </is>
      </c>
      <c r="DB3" s="24" t="inlineStr">
        <is>
          <t>decision_time_executable_quote</t>
        </is>
      </c>
      <c r="DC3" s="24" t="inlineStr">
        <is>
          <t>False</t>
        </is>
      </c>
      <c r="DD3" s="24" t="inlineStr">
        <is>
          <t>094170689457ea84daaafb389a08ca61f8c6d5eb8220ab8325ae4b0d0a1ce778</t>
        </is>
      </c>
      <c r="DE3" s="24" t="inlineStr">
        <is>
          <t>E:\model-prediction\data\odds\wnba\2026-10-07\polymarket_snapshots.jsonl</t>
        </is>
      </c>
      <c r="DF3" s="24" t="inlineStr">
        <is>
          <t>094170689457ea84daaafb389a08ca61f8c6d5eb8220ab8325ae4b0d0a1ce778</t>
        </is>
      </c>
      <c r="DG3" s="24" t="n"/>
      <c r="DH3" s="24" t="n"/>
      <c r="DI3" s="24" t="n"/>
      <c r="DJ3" s="24" t="inlineStr">
        <is>
          <t>0.539171</t>
        </is>
      </c>
      <c r="DK3" s="24" t="n"/>
      <c r="DL3" s="24" t="n"/>
      <c r="DM3" s="24" t="n"/>
      <c r="DN3" s="24" t="n"/>
      <c r="DO3" s="24" t="n"/>
      <c r="DP3" s="24" t="n"/>
      <c r="DQ3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0.6494165102889455, "event_id": "401918298", "event_start_utc": "2026-10-08T01:30:00+00:00", "features": {"defensive_trend_gap": -1.693458, "elo_probability": 0.6991262963408399, "trend_gap": 1.191065}, "historical_source_observation_times_verified": false, "model_version": "wnba-elo-trend-lr-v4", "observed_at_utc": "2026-10-07T22:24:46.884594+00:00", "schema": "learned-moneyline-replay-v1", "served_home_probability": 0.6494165102889455, "snapshot_hash": "391543dd98d0e4845daa098c9d0a8602cefad04c032577d11234eec082b8a771"}</t>
        </is>
      </c>
    </row>
    <row r="4" ht="36" customHeight="1">
      <c r="A4" s="24" t="inlineStr">
        <is>
          <t>051ae61a41cf4a8d</t>
        </is>
      </c>
      <c r="B4" s="24" t="inlineStr">
        <is>
          <t>2026-10-07T22:26:19.003679Z</t>
        </is>
      </c>
      <c r="C4" s="24" t="inlineStr">
        <is>
          <t>2026-10-07T23:30Z</t>
        </is>
      </c>
      <c r="D4" s="24" t="inlineStr">
        <is>
          <t>401918297</t>
        </is>
      </c>
      <c r="E4" s="24" t="inlineStr">
        <is>
          <t>WNBA</t>
        </is>
      </c>
      <c r="F4" s="24" t="inlineStr">
        <is>
          <t>New York Liberty</t>
        </is>
      </c>
      <c r="G4" s="24" t="inlineStr">
        <is>
          <t>Atlanta Dream</t>
        </is>
      </c>
      <c r="H4" s="24" t="inlineStr">
        <is>
          <t>spread</t>
        </is>
      </c>
      <c r="I4" s="24" t="inlineStr">
        <is>
          <t>home</t>
        </is>
      </c>
      <c r="J4" s="25" t="n">
        <v>-1.5</v>
      </c>
      <c r="K4" s="24" t="inlineStr">
        <is>
          <t>polymarket_us</t>
        </is>
      </c>
      <c r="L4" s="26" t="n">
        <v>100</v>
      </c>
      <c r="M4" s="27" t="n">
        <v>2</v>
      </c>
      <c r="N4" s="28" t="n">
        <v>0.5</v>
      </c>
      <c r="O4" s="28" t="n">
        <v>0.616107</v>
      </c>
      <c r="P4" s="28" t="n">
        <v>0.03</v>
      </c>
      <c r="Q4" s="28" t="n">
        <v>0.116107</v>
      </c>
      <c r="R4" s="26" t="n">
        <v>90</v>
      </c>
      <c r="S4" s="29" t="n">
        <v>1.5</v>
      </c>
      <c r="T4" s="24" t="inlineStr">
        <is>
          <t>wnba-spread-margin-v2</t>
        </is>
      </c>
      <c r="U4" s="24" t="inlineStr">
        <is>
          <t>settled</t>
        </is>
      </c>
      <c r="V4" s="24" t="inlineStr">
        <is>
          <t>win</t>
        </is>
      </c>
      <c r="W4" s="26" t="n">
        <v>98</v>
      </c>
      <c r="X4" s="26" t="n">
        <v>101</v>
      </c>
      <c r="Y4" s="25" t="n"/>
      <c r="Z4" s="26" t="n"/>
      <c r="AA4" s="28" t="n"/>
      <c r="AB4" s="28" t="n"/>
      <c r="AC4" s="30" t="n">
        <v>1.5</v>
      </c>
      <c r="AD4" s="24" t="inlineStr">
        <is>
          <t>2026-10-08T03:21:31.369333Z</t>
        </is>
      </c>
      <c r="AE4" s="31" t="inlineStr">
        <is>
          <t>Projected margin +5.4 (home), sd 13.4. Executable ask 0.5000 (asc-wnba-ny-atl-2026-10-07-pos-1pt5).</t>
        </is>
      </c>
      <c r="AF4" s="31" t="inlineStr">
        <is>
          <t>Point-in-time composite Elo + trend + rest margin-normal spread model.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PAPER_CALL_STALE_DATA</t>
        </is>
      </c>
      <c r="AP4" s="24" t="inlineStr">
        <is>
          <t>wnba-nyl</t>
        </is>
      </c>
      <c r="AQ4" s="24" t="inlineStr">
        <is>
          <t>New York Liberty</t>
        </is>
      </c>
      <c r="AR4" s="24" t="inlineStr">
        <is>
          <t>New York Liberty</t>
        </is>
      </c>
      <c r="AS4" s="24" t="inlineStr">
        <is>
          <t>wnba-atl</t>
        </is>
      </c>
      <c r="AT4" s="24" t="inlineStr">
        <is>
          <t>Atlanta Dream</t>
        </is>
      </c>
      <c r="AU4" s="24" t="inlineStr">
        <is>
          <t>Atlanta Dream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f7d192f98d825d7c77be21b0531a91cff101ad35e418fe9d7e07c5d0f769f974</t>
        </is>
      </c>
      <c r="BB4" s="24" t="inlineStr">
        <is>
          <t>margin_normal</t>
        </is>
      </c>
      <c r="BC4" s="24" t="inlineStr">
        <is>
          <t>wnba-spread-margin-v2</t>
        </is>
      </c>
      <c r="BD4" s="24" t="inlineStr">
        <is>
          <t>f7d192f98d825d7c77be21b0531a91cff101ad35e418fe9d7e07c5d0f769f974</t>
        </is>
      </c>
      <c r="BE4" s="24" t="inlineStr">
        <is>
          <t>wnba-spread-margin-v2</t>
        </is>
      </c>
      <c r="BF4" s="24" t="inlineStr">
        <is>
          <t>1</t>
        </is>
      </c>
      <c r="BG4" s="24" t="inlineStr">
        <is>
          <t>f7d192f98d825d7c77be21b0531a91cff101ad35e418fe9d7e07c5d0f769f974</t>
        </is>
      </c>
      <c r="BH4" s="24" t="inlineStr">
        <is>
          <t>2026-10-07T04:34:32.066256Z</t>
        </is>
      </c>
      <c r="BI4" s="24" t="inlineStr">
        <is>
          <t>["same_event","same_team_same_day","same_league_same_day"]</t>
        </is>
      </c>
      <c r="BJ4" s="25" t="n">
        <v>-1.5</v>
      </c>
      <c r="BK4" s="26" t="n">
        <v>100</v>
      </c>
      <c r="BL4" s="27" t="n">
        <v>2</v>
      </c>
      <c r="BM4" s="28" t="n">
        <v>0.5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inlineStr">
        <is>
          <t>2026-10-07T04:34:32.066256Z</t>
        </is>
      </c>
      <c r="CZ4" s="24" t="inlineStr">
        <is>
          <t>True</t>
        </is>
      </c>
      <c r="DA4" s="24" t="inlineStr">
        <is>
          <t>polymarket_us</t>
        </is>
      </c>
      <c r="DB4" s="24" t="inlineStr">
        <is>
          <t>decision_time_executable_quote</t>
        </is>
      </c>
      <c r="DC4" s="24" t="inlineStr">
        <is>
          <t>False</t>
        </is>
      </c>
      <c r="DD4" s="24" t="inlineStr">
        <is>
          <t>bdb13ce91a5ab3d345823d2f5d0bddda2de694f279a9537f6e320483134175af</t>
        </is>
      </c>
      <c r="DE4" s="24" t="inlineStr">
        <is>
          <t>E:\model-prediction\data\odds\wnba\2026-10-07\polymarket_snapshots.jsonl</t>
        </is>
      </c>
      <c r="DF4" s="24" t="inlineStr">
        <is>
          <t>bdb13ce91a5ab3d345823d2f5d0bddda2de694f279a9537f6e320483134175af</t>
        </is>
      </c>
      <c r="DG4" s="24" t="n"/>
      <c r="DH4" s="24" t="n"/>
      <c r="DI4" s="24" t="n"/>
      <c r="DJ4" s="24" t="inlineStr">
        <is>
          <t>0.5</t>
        </is>
      </c>
      <c r="DK4" s="24" t="n"/>
      <c r="DL4" s="24" t="n"/>
      <c r="DM4" s="24" t="n"/>
      <c r="DN4" s="24" t="n"/>
      <c r="DO4" s="24" t="n"/>
      <c r="DP4" s="24" t="n"/>
      <c r="DQ4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"401918297", "event_start_utc": "2026-10-07T23:30Z", "features": {"away_points_hl10": 85.22, "elo_away": 1632.7, "elo_home": 1747.3, "elo_margin": 6.23, "expected_margin": 5.45, "expected_total": 173.19, "history_games": 958, "home_points_hl10": 87.97, "rest_diff": 0.0, "trend_margin": 5.01}, "historical_source_observation_times_verified": false, "inference_inputs": {"line": 1.5, "mean": 5.447778085238765, "sd": 13.37}, "model_version": "wnba-spread-margin-v2", "observed_at_utc": "2026-10-07T22:26:18.674151+00:00", "replay_scope": "Exact final classifier/distribution inputs and artifact. Upstream historical feature construction not certified.", "schema": "scalar-artifact-replay-v1", "snapshot_hash": "e67e868b60a9a5e9d3db3fb0a25f369078ec6044ccab5b4a68c3748984784394"}</t>
        </is>
      </c>
    </row>
    <row r="5" ht="36" customHeight="1">
      <c r="A5" s="24" t="inlineStr">
        <is>
          <t>77dc8171d144475e</t>
        </is>
      </c>
      <c r="B5" s="24" t="inlineStr">
        <is>
          <t>2026-10-07T22:26:19.003679Z</t>
        </is>
      </c>
      <c r="C5" s="24" t="inlineStr">
        <is>
          <t>2026-10-08T01:30Z</t>
        </is>
      </c>
      <c r="D5" s="24" t="inlineStr">
        <is>
          <t>401918298</t>
        </is>
      </c>
      <c r="E5" s="24" t="inlineStr">
        <is>
          <t>WNBA</t>
        </is>
      </c>
      <c r="F5" s="24" t="inlineStr">
        <is>
          <t>Las Vegas Aces</t>
        </is>
      </c>
      <c r="G5" s="24" t="inlineStr">
        <is>
          <t>Golden State Valkyries</t>
        </is>
      </c>
      <c r="H5" s="24" t="inlineStr">
        <is>
          <t>spread</t>
        </is>
      </c>
      <c r="I5" s="24" t="inlineStr">
        <is>
          <t>home</t>
        </is>
      </c>
      <c r="J5" s="25" t="n">
        <v>-1.5</v>
      </c>
      <c r="K5" s="24" t="inlineStr">
        <is>
          <t>polymarket_us</t>
        </is>
      </c>
      <c r="L5" s="26" t="n">
        <v>-104</v>
      </c>
      <c r="M5" s="27" t="n">
        <v>1.961538</v>
      </c>
      <c r="N5" s="28" t="n">
        <v>0.509804</v>
      </c>
      <c r="O5" s="28" t="n">
        <v>0.563515</v>
      </c>
      <c r="P5" s="28" t="n">
        <v>0.03</v>
      </c>
      <c r="Q5" s="28" t="n">
        <v>0.053711</v>
      </c>
      <c r="R5" s="26" t="n">
        <v>59</v>
      </c>
      <c r="S5" s="29" t="n">
        <v>1.25</v>
      </c>
      <c r="T5" s="24" t="inlineStr">
        <is>
          <t>wnba-spread-margin-v2</t>
        </is>
      </c>
      <c r="U5" s="24" t="inlineStr">
        <is>
          <t>settled</t>
        </is>
      </c>
      <c r="V5" s="24" t="inlineStr">
        <is>
          <t>win</t>
        </is>
      </c>
      <c r="W5" s="26" t="n">
        <v>81</v>
      </c>
      <c r="X5" s="26" t="n">
        <v>83</v>
      </c>
      <c r="Y5" s="25" t="n"/>
      <c r="Z5" s="26" t="n"/>
      <c r="AA5" s="28" t="n"/>
      <c r="AB5" s="28" t="n"/>
      <c r="AC5" s="30" t="n">
        <v>1.2019</v>
      </c>
      <c r="AD5" s="24" t="inlineStr">
        <is>
          <t>2026-10-11T04:34:16.300322Z</t>
        </is>
      </c>
      <c r="AE5" s="31" t="inlineStr">
        <is>
          <t>Projected margin +3.6 (home), sd 13.4. Executable ask 0.5100 (asc-wnba-lv-gsv-2026-10-07-pos-1pt5).</t>
        </is>
      </c>
      <c r="AF5" s="31" t="inlineStr">
        <is>
          <t>Point-in-time composite Elo + trend + rest margin-normal spread model.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4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wnba-lva</t>
        </is>
      </c>
      <c r="AQ5" s="24" t="inlineStr">
        <is>
          <t>Las Vegas Aces</t>
        </is>
      </c>
      <c r="AR5" s="24" t="inlineStr">
        <is>
          <t>Las Vegas Aces</t>
        </is>
      </c>
      <c r="AS5" s="24" t="inlineStr">
        <is>
          <t>wnba-gsv</t>
        </is>
      </c>
      <c r="AT5" s="24" t="inlineStr">
        <is>
          <t>Golden State Valkyries</t>
        </is>
      </c>
      <c r="AU5" s="24" t="inlineStr">
        <is>
          <t>Golden State Valkyries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f7d192f98d825d7c77be21b0531a91cff101ad35e418fe9d7e07c5d0f769f974</t>
        </is>
      </c>
      <c r="BB5" s="24" t="inlineStr">
        <is>
          <t>margin_normal</t>
        </is>
      </c>
      <c r="BC5" s="24" t="inlineStr">
        <is>
          <t>wnba-spread-margin-v2</t>
        </is>
      </c>
      <c r="BD5" s="24" t="inlineStr">
        <is>
          <t>f7d192f98d825d7c77be21b0531a91cff101ad35e418fe9d7e07c5d0f769f974</t>
        </is>
      </c>
      <c r="BE5" s="24" t="inlineStr">
        <is>
          <t>wnba-spread-margin-v2</t>
        </is>
      </c>
      <c r="BF5" s="24" t="inlineStr">
        <is>
          <t>1</t>
        </is>
      </c>
      <c r="BG5" s="24" t="inlineStr">
        <is>
          <t>f7d192f98d825d7c77be21b0531a91cff101ad35e418fe9d7e07c5d0f769f974</t>
        </is>
      </c>
      <c r="BH5" s="24" t="inlineStr">
        <is>
          <t>2026-10-07T22:11:27.099850Z</t>
        </is>
      </c>
      <c r="BI5" s="24" t="inlineStr">
        <is>
          <t>["same_event","same_team_same_day","same_league_same_day"]</t>
        </is>
      </c>
      <c r="BJ5" s="25" t="n">
        <v>-1.5</v>
      </c>
      <c r="BK5" s="26" t="n">
        <v>-104</v>
      </c>
      <c r="BL5" s="27" t="n">
        <v>1.961538</v>
      </c>
      <c r="BM5" s="28" t="n">
        <v>0.509804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inlineStr">
        <is>
          <t>2026-10-07T22:11:27.099850Z</t>
        </is>
      </c>
      <c r="CZ5" s="24" t="inlineStr">
        <is>
          <t>True</t>
        </is>
      </c>
      <c r="DA5" s="24" t="inlineStr">
        <is>
          <t>polymarket_us</t>
        </is>
      </c>
      <c r="DB5" s="24" t="inlineStr">
        <is>
          <t>decision_time_executable_quote</t>
        </is>
      </c>
      <c r="DC5" s="24" t="inlineStr">
        <is>
          <t>False</t>
        </is>
      </c>
      <c r="DD5" s="24" t="inlineStr">
        <is>
          <t>8f4999b4f1ec03c26d78111f7c1f4220d5fc7ecad6bd4d63613c85407b14293f</t>
        </is>
      </c>
      <c r="DE5" s="24" t="inlineStr">
        <is>
          <t>E:\model-prediction\data\odds\wnba\2026-10-07\polymarket_snapshots.jsonl</t>
        </is>
      </c>
      <c r="DF5" s="24" t="inlineStr">
        <is>
          <t>8f4999b4f1ec03c26d78111f7c1f4220d5fc7ecad6bd4d63613c85407b14293f</t>
        </is>
      </c>
      <c r="DG5" s="24" t="n"/>
      <c r="DH5" s="24" t="n"/>
      <c r="DI5" s="24" t="n"/>
      <c r="DJ5" s="24" t="inlineStr">
        <is>
          <t>0.509804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"401918298", "event_start_utc": "2026-10-08T01:30Z", "features": {"away_points_hl10": 82.21, "elo_away": 1650.5, "elo_home": 1737.0, "elo_margin": 5.23, "expected_margin": 3.64, "expected_total": 164.24, "history_games": 958, "home_points_hl10": 82.03, "rest_diff": 0.0, "trend_margin": 2.09}, "historical_source_observation_times_verified": false, "inference_inputs": {"line": 1.5, "mean": 3.6377013810631302, "sd": 13.37}, "model_version": "wnba-spread-margin-v2", "observed_at_utc": "2026-10-07T22:26:18.674151+00:00", "replay_scope": "Exact final classifier/distribution inputs and artifact. Upstream historical feature construction not certified.", "schema": "scalar-artifact-replay-v1", "snapshot_hash": "8db47943ddbd56601ebdcdb9658e1a2f59707446910e751250cc4f93755b9cf8"}</t>
        </is>
      </c>
    </row>
    <row r="6" ht="36" customHeight="1">
      <c r="A6" s="24" t="inlineStr">
        <is>
          <t>bf3fedd36a7440ed</t>
        </is>
      </c>
      <c r="B6" s="24" t="inlineStr">
        <is>
          <t>2026-10-07T22:26:19.012055Z</t>
        </is>
      </c>
      <c r="C6" s="24" t="inlineStr">
        <is>
          <t>2026-10-07T23:30Z</t>
        </is>
      </c>
      <c r="D6" s="24" t="inlineStr">
        <is>
          <t>401918297</t>
        </is>
      </c>
      <c r="E6" s="24" t="inlineStr">
        <is>
          <t>WNBA</t>
        </is>
      </c>
      <c r="F6" s="24" t="inlineStr">
        <is>
          <t>New York Liberty</t>
        </is>
      </c>
      <c r="G6" s="24" t="inlineStr">
        <is>
          <t>Atlanta Dream</t>
        </is>
      </c>
      <c r="H6" s="24" t="inlineStr">
        <is>
          <t>total</t>
        </is>
      </c>
      <c r="I6" s="24" t="inlineStr">
        <is>
          <t>under</t>
        </is>
      </c>
      <c r="J6" s="25" t="n">
        <v>172.5</v>
      </c>
      <c r="K6" s="24" t="inlineStr">
        <is>
          <t>polymarket_us</t>
        </is>
      </c>
      <c r="L6" s="26" t="n">
        <v>-122</v>
      </c>
      <c r="M6" s="27" t="n">
        <v>1.819672</v>
      </c>
      <c r="N6" s="28" t="n">
        <v>0.54955</v>
      </c>
      <c r="O6" s="28" t="n">
        <v>0.532064</v>
      </c>
      <c r="P6" s="28" t="n">
        <v>0.03</v>
      </c>
      <c r="Q6" s="28" t="n">
        <v>-0.017486</v>
      </c>
      <c r="R6" s="26" t="n">
        <v>23</v>
      </c>
      <c r="S6" s="29" t="n">
        <v>1</v>
      </c>
      <c r="T6" s="24" t="inlineStr">
        <is>
          <t>wnba-total-margin-v2</t>
        </is>
      </c>
      <c r="U6" s="24" t="inlineStr">
        <is>
          <t>settled</t>
        </is>
      </c>
      <c r="V6" s="24" t="inlineStr">
        <is>
          <t>loss</t>
        </is>
      </c>
      <c r="W6" s="26" t="n">
        <v>98</v>
      </c>
      <c r="X6" s="26" t="n">
        <v>101</v>
      </c>
      <c r="Y6" s="25" t="n"/>
      <c r="Z6" s="26" t="n">
        <v>-127</v>
      </c>
      <c r="AA6" s="28" t="n">
        <v>0.5600000000000001</v>
      </c>
      <c r="AB6" s="28" t="n">
        <v>0.01045</v>
      </c>
      <c r="AC6" s="30" t="n">
        <v>-1</v>
      </c>
      <c r="AD6" s="24" t="inlineStr">
        <is>
          <t>2026-10-08T03:21:32.078730Z</t>
        </is>
      </c>
      <c r="AE6" s="31" t="inlineStr">
        <is>
          <t>Projected total 171.2, sd 16.0. Executable ask 0.5500 (tsc-wnba-ny-atl-2026-10-07-172pt5).</t>
        </is>
      </c>
      <c r="AF6" s="31" t="inlineStr">
        <is>
          <t>Research-baseline total model; not yet locked-holdout qualified.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PAPER_CALL_STALE_DATA</t>
        </is>
      </c>
      <c r="AP6" s="24" t="inlineStr">
        <is>
          <t>wnba-nyl</t>
        </is>
      </c>
      <c r="AQ6" s="24" t="inlineStr">
        <is>
          <t>New York Liberty</t>
        </is>
      </c>
      <c r="AR6" s="24" t="inlineStr">
        <is>
          <t>New York Liberty</t>
        </is>
      </c>
      <c r="AS6" s="24" t="inlineStr">
        <is>
          <t>wnba-atl</t>
        </is>
      </c>
      <c r="AT6" s="24" t="inlineStr">
        <is>
          <t>Atlanta Dream</t>
        </is>
      </c>
      <c r="AU6" s="24" t="inlineStr">
        <is>
          <t>Atlanta Dream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9c9b767590bbbb9a7b333eaf9def066d65bf813e735ed73aa27cfb2c609a4ca5</t>
        </is>
      </c>
      <c r="BB6" s="24" t="inlineStr">
        <is>
          <t>total_normal</t>
        </is>
      </c>
      <c r="BC6" s="24" t="inlineStr">
        <is>
          <t>wnba-total-margin-v2</t>
        </is>
      </c>
      <c r="BD6" s="24" t="inlineStr">
        <is>
          <t>9c9b767590bbbb9a7b333eaf9def066d65bf813e735ed73aa27cfb2c609a4ca5</t>
        </is>
      </c>
      <c r="BE6" s="24" t="inlineStr">
        <is>
          <t>wnba-total-margin-v2</t>
        </is>
      </c>
      <c r="BF6" s="24" t="inlineStr">
        <is>
          <t>1</t>
        </is>
      </c>
      <c r="BG6" s="24" t="inlineStr">
        <is>
          <t>9c9b767590bbbb9a7b333eaf9def066d65bf813e735ed73aa27cfb2c609a4ca5</t>
        </is>
      </c>
      <c r="BH6" s="24" t="inlineStr">
        <is>
          <t>2026-10-07T10:12:40.591612Z</t>
        </is>
      </c>
      <c r="BI6" s="24" t="inlineStr">
        <is>
          <t>["same_event","same_team_same_day","same_league_same_day"]</t>
        </is>
      </c>
      <c r="BJ6" s="25" t="n">
        <v>172.5</v>
      </c>
      <c r="BK6" s="26" t="n">
        <v>-122</v>
      </c>
      <c r="BL6" s="27" t="n">
        <v>1.819672</v>
      </c>
      <c r="BM6" s="28" t="n">
        <v>0.54955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inlineStr">
        <is>
          <t>2026-10-07T10:12:40.591612Z</t>
        </is>
      </c>
      <c r="CZ6" s="24" t="inlineStr">
        <is>
          <t>True</t>
        </is>
      </c>
      <c r="DA6" s="24" t="inlineStr">
        <is>
          <t>polymarket_us</t>
        </is>
      </c>
      <c r="DB6" s="24" t="inlineStr">
        <is>
          <t>decision_time_executable_quote</t>
        </is>
      </c>
      <c r="DC6" s="24" t="inlineStr">
        <is>
          <t>False</t>
        </is>
      </c>
      <c r="DD6" s="24" t="inlineStr">
        <is>
          <t>d0db771f935378b493cb4e6bd26f47499ac59d8bbf796b6a242248d7781f25c3</t>
        </is>
      </c>
      <c r="DE6" s="24" t="inlineStr">
        <is>
          <t>E:\model-prediction\data\odds\wnba\2026-10-07\polymarket_snapshots.jsonl</t>
        </is>
      </c>
      <c r="DF6" s="24" t="inlineStr">
        <is>
          <t>d0db771f935378b493cb4e6bd26f47499ac59d8bbf796b6a242248d7781f25c3</t>
        </is>
      </c>
      <c r="DG6" s="24" t="n"/>
      <c r="DH6" s="24" t="n"/>
      <c r="DI6" s="24" t="n"/>
      <c r="DJ6" s="24" t="inlineStr">
        <is>
          <t>0.54955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"401918297", "event_start_utc": "2026-10-07T23:30Z", "features": {"away_points_hl10": 85.22, "elo_away": 1632.7, "elo_home": 1747.3, "elo_margin": 6.23, "expected_margin": 4.75, "expected_total": 171.21, "history_games": 958, "home_points_hl10": 87.97, "rest_diff": 0.0, "trend_margin": 4.75}, "historical_source_observation_times_verified": false, "inference_inputs": {"line": 172.5, "mean": 171.21267039999998, "sd": 16.0}, "model_version": "wnba-total-margin-v2", "observed_at_utc": "2026-10-07T22:26:18.668634+00:00", "replay_scope": "Exact final classifier/distribution inputs and artifact. Upstream historical feature construction not certified.", "schema": "scalar-artifact-replay-v1", "snapshot_hash": "8682cd9f04bc8e6b9507d72f4813a62c35cf0abd438495d1c096fdf08f148d36"}</t>
        </is>
      </c>
    </row>
    <row r="7" ht="36" customHeight="1">
      <c r="A7" s="24" t="inlineStr">
        <is>
          <t>566f76b4c2a647d0</t>
        </is>
      </c>
      <c r="B7" s="24" t="inlineStr">
        <is>
          <t>2026-10-07T22:26:19.012055Z</t>
        </is>
      </c>
      <c r="C7" s="24" t="inlineStr">
        <is>
          <t>2026-10-08T01:30Z</t>
        </is>
      </c>
      <c r="D7" s="24" t="inlineStr">
        <is>
          <t>401918298</t>
        </is>
      </c>
      <c r="E7" s="24" t="inlineStr">
        <is>
          <t>WNBA</t>
        </is>
      </c>
      <c r="F7" s="24" t="inlineStr">
        <is>
          <t>Las Vegas Aces</t>
        </is>
      </c>
      <c r="G7" s="24" t="inlineStr">
        <is>
          <t>Golden State Valkyries</t>
        </is>
      </c>
      <c r="H7" s="24" t="inlineStr">
        <is>
          <t>total</t>
        </is>
      </c>
      <c r="I7" s="24" t="inlineStr">
        <is>
          <t>over</t>
        </is>
      </c>
      <c r="J7" s="25" t="n">
        <v>156.5</v>
      </c>
      <c r="K7" s="24" t="inlineStr">
        <is>
          <t>polymarket_us</t>
        </is>
      </c>
      <c r="L7" s="26" t="n">
        <v>100</v>
      </c>
      <c r="M7" s="27" t="n">
        <v>2</v>
      </c>
      <c r="N7" s="28" t="n">
        <v>0.5</v>
      </c>
      <c r="O7" s="28" t="n">
        <v>0.690653</v>
      </c>
      <c r="P7" s="28" t="n">
        <v>0.03</v>
      </c>
      <c r="Q7" s="28" t="n">
        <v>0.190653</v>
      </c>
      <c r="R7" s="26" t="n">
        <v>100</v>
      </c>
      <c r="S7" s="29" t="n">
        <v>2</v>
      </c>
      <c r="T7" s="24" t="inlineStr">
        <is>
          <t>wnba-total-margin-v2</t>
        </is>
      </c>
      <c r="U7" s="24" t="inlineStr">
        <is>
          <t>settled</t>
        </is>
      </c>
      <c r="V7" s="24" t="inlineStr">
        <is>
          <t>win</t>
        </is>
      </c>
      <c r="W7" s="26" t="n">
        <v>81</v>
      </c>
      <c r="X7" s="26" t="n">
        <v>83</v>
      </c>
      <c r="Y7" s="25" t="n"/>
      <c r="Z7" s="26" t="n">
        <v>100</v>
      </c>
      <c r="AA7" s="28" t="n">
        <v>0.5</v>
      </c>
      <c r="AB7" s="28" t="n">
        <v>0</v>
      </c>
      <c r="AC7" s="30" t="n">
        <v>2</v>
      </c>
      <c r="AD7" s="24" t="inlineStr">
        <is>
          <t>2026-10-11T04:34:17.555639Z</t>
        </is>
      </c>
      <c r="AE7" s="31" t="inlineStr">
        <is>
          <t>Projected total 164.5, sd 16.0. Executable ask 0.5000 (tsc-wnba-lv-gsv-2026-10-07-156pt5).</t>
        </is>
      </c>
      <c r="AF7" s="31" t="inlineStr">
        <is>
          <t>Research-baseline total model;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wnba-lva</t>
        </is>
      </c>
      <c r="AQ7" s="24" t="inlineStr">
        <is>
          <t>Las Vegas Aces</t>
        </is>
      </c>
      <c r="AR7" s="24" t="inlineStr">
        <is>
          <t>Las Vegas Aces</t>
        </is>
      </c>
      <c r="AS7" s="24" t="inlineStr">
        <is>
          <t>wnba-gsv</t>
        </is>
      </c>
      <c r="AT7" s="24" t="inlineStr">
        <is>
          <t>Golden State Valkyries</t>
        </is>
      </c>
      <c r="AU7" s="24" t="inlineStr">
        <is>
          <t>Golden State Valkyries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9c9b767590bbbb9a7b333eaf9def066d65bf813e735ed73aa27cfb2c609a4ca5</t>
        </is>
      </c>
      <c r="BB7" s="24" t="inlineStr">
        <is>
          <t>total_normal</t>
        </is>
      </c>
      <c r="BC7" s="24" t="inlineStr">
        <is>
          <t>wnba-total-margin-v2</t>
        </is>
      </c>
      <c r="BD7" s="24" t="inlineStr">
        <is>
          <t>9c9b767590bbbb9a7b333eaf9def066d65bf813e735ed73aa27cfb2c609a4ca5</t>
        </is>
      </c>
      <c r="BE7" s="24" t="inlineStr">
        <is>
          <t>wnba-total-margin-v2</t>
        </is>
      </c>
      <c r="BF7" s="24" t="inlineStr">
        <is>
          <t>1</t>
        </is>
      </c>
      <c r="BG7" s="24" t="inlineStr">
        <is>
          <t>9c9b767590bbbb9a7b333eaf9def066d65bf813e735ed73aa27cfb2c609a4ca5</t>
        </is>
      </c>
      <c r="BH7" s="24" t="inlineStr">
        <is>
          <t>2026-10-07T22:11:17.025281Z</t>
        </is>
      </c>
      <c r="BI7" s="24" t="inlineStr">
        <is>
          <t>["same_event","same_team_same_day","same_league_same_day"]</t>
        </is>
      </c>
      <c r="BJ7" s="25" t="n">
        <v>156.5</v>
      </c>
      <c r="BK7" s="26" t="n">
        <v>100</v>
      </c>
      <c r="BL7" s="27" t="n">
        <v>2</v>
      </c>
      <c r="BM7" s="28" t="n">
        <v>0.5</v>
      </c>
      <c r="BN7" s="28" t="n"/>
      <c r="BO7" s="28" t="n"/>
      <c r="BP7" s="25" t="n"/>
      <c r="BQ7" s="27" t="n">
        <v>2</v>
      </c>
      <c r="BR7" s="28" t="n">
        <v>0.5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inlineStr">
        <is>
          <t>2026-10-07T22:11:17.025281Z</t>
        </is>
      </c>
      <c r="CZ7" s="24" t="inlineStr">
        <is>
          <t>True</t>
        </is>
      </c>
      <c r="DA7" s="24" t="inlineStr">
        <is>
          <t>polymarket_us</t>
        </is>
      </c>
      <c r="DB7" s="24" t="inlineStr">
        <is>
          <t>decision_time_executable_quote</t>
        </is>
      </c>
      <c r="DC7" s="24" t="inlineStr">
        <is>
          <t>False</t>
        </is>
      </c>
      <c r="DD7" s="24" t="inlineStr">
        <is>
          <t>d0d926d3be332ae162743f9268d434e0ea7556720f5f614fcf3635608620be7c</t>
        </is>
      </c>
      <c r="DE7" s="24" t="inlineStr">
        <is>
          <t>E:\model-prediction\data\odds\wnba\2026-10-07\polymarket_snapshots.jsonl</t>
        </is>
      </c>
      <c r="DF7" s="24" t="inlineStr">
        <is>
          <t>d0d926d3be332ae162743f9268d434e0ea7556720f5f614fcf3635608620be7c</t>
        </is>
      </c>
      <c r="DG7" s="24" t="n"/>
      <c r="DH7" s="24" t="n"/>
      <c r="DI7" s="24" t="n"/>
      <c r="DJ7" s="24" t="inlineStr">
        <is>
          <t>0.5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"401918298", "event_start_utc": "2026-10-08T01:30Z", "features": {"away_points_hl10": 82.21, "elo_away": 1650.5, "elo_home": 1737.0, "elo_margin": 5.23, "expected_margin": 1.83, "expected_total": 164.46, "history_games": 958, "home_points_hl10": 82.03, "rest_diff": 0.0, "trend_margin": 1.83}, "historical_source_observation_times_verified": false, "inference_inputs": {"line": 156.5, "mean": 164.4632311, "sd": 16.0}, "model_version": "wnba-total-margin-v2", "observed_at_utc": "2026-10-07T22:26:18.668634+00:00", "replay_scope": "Exact final classifier/distribution inputs and artifact. Upstream historical feature construction not certified.", "schema": "scalar-artifact-replay-v1", "snapshot_hash": "d98f727747d1e3ffe12968d91793eac7353590b7de6fe70f10da7cb7d901d524"}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2026-10-11T04:34:17Z</dcterms:created>
  <dcterms:modified xmlns:dcterms="http://purl.org/dc/terms/" xmlns:xsi="http://www.w3.org/2001/XMLSchema-instance" xsi:type="dcterms:W3CDTF">2026-10-11T04:34:17Z</dcterms:modified>
</cp:coreProperties>
</file>