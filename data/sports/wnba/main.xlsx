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49" headerRowCount="1">
  <autoFilter ref="A1:DQ249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COUNTA('Picks'!$A$2:$A$249)</f>
        <v/>
      </c>
      <c r="C4" s="6">
        <f>COUNTIF('Picks'!$U$2:$U$249,"open")</f>
        <v/>
      </c>
      <c r="E4" s="6">
        <f>COUNTIF('Picks'!$U$2:$U$249,"settled")</f>
        <v/>
      </c>
      <c r="G4" s="6">
        <f>IF(COUNTIFS('Picks'!$U$2:$U$249,"settled",'Picks'!$V$2:$V$249,"win")+COUNTIFS('Picks'!$U$2:$U$249,"settled",'Picks'!$V$2:$V$249,"loss")&gt;=$L$2,"Ready","Insufficient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COUNTIF('Picks'!$BX$2:$BX$249,"&gt;0")</f>
        <v/>
      </c>
      <c r="C7" s="6">
        <f>COUNTIFS('Picks'!$BX$2:$BX$249,"&gt;0",'Picks'!$V$2:$V$249,"win")&amp;"-"&amp;COUNTIFS('Picks'!$BX$2:$BX$249,"&gt;0",'Picks'!$V$2:$V$249,"loss")</f>
        <v/>
      </c>
      <c r="E7" s="7">
        <f>IFERROR(COUNTIFS('Picks'!$BX$2:$BX$249,"&gt;0",'Picks'!$V$2:$V$249,"win")/(COUNTIFS('Picks'!$BX$2:$BX$249,"&gt;0",'Picks'!$V$2:$V$249,"win")+COUNTIFS('Picks'!$BX$2:$BX$249,"&gt;0",'Picks'!$V$2:$V$249,"loss")),0)</f>
        <v/>
      </c>
      <c r="G7" s="7">
        <f>IFERROR(SUM('Picks'!$BY$2:$BY$249)/SUM('Picks'!$BX$2:$BX$249),0)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SUM('Picks'!$BY$2:$BY$249)</f>
        <v/>
      </c>
      <c r="C10" s="9">
        <f>IFERROR(AVERAGEIF('Picks'!$AB$2:$AB$249,"&lt;&gt;",'Picks'!$AB$2:$AB$249),0)</f>
        <v/>
      </c>
      <c r="E10" s="6">
        <f>COUNTIFS('Picks'!$AM$2:$AM$249,"QUALIFIED_SHADOW_CALL",'Picks'!$U$2:$U$249,"settled")</f>
        <v/>
      </c>
      <c r="G10" s="8">
        <f>SUMIFS('Picks'!$AC$2:$AC$249,'Picks'!$AM$2:$AM$249,"QUALIFIED_SHADOW_CALL")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COUNTIFS('Picks'!$H$2:$H$249,$A14,'Picks'!$U$2:$U$249,"settled")</f>
        <v/>
      </c>
      <c r="C14" s="13">
        <f>COUNTIFS('Picks'!$H$2:$H$249,$A14,'Picks'!$U$2:$U$249,"settled",'Picks'!$V$2:$V$249,"win")</f>
        <v/>
      </c>
      <c r="D14" s="13">
        <f>COUNTIFS('Picks'!$H$2:$H$249,$A14,'Picks'!$U$2:$U$249,"settled",'Picks'!$V$2:$V$249,"loss")</f>
        <v/>
      </c>
      <c r="E14" s="14">
        <f>IFERROR(C14/(C14+D14),0)</f>
        <v/>
      </c>
      <c r="F14" s="15">
        <f>SUMIFS('Picks'!$BY$2:$BY$249,'Picks'!$H$2:$H$249,$A14)</f>
        <v/>
      </c>
      <c r="G14" s="16">
        <f>IFERROR(AVERAGEIFS('Picks'!$AB$2:$AB$249,'Picks'!$H$2:$H$249,$A14,'Picks'!$U$2:$U$249,"settled"),0)</f>
        <v/>
      </c>
    </row>
    <row r="15">
      <c r="A15" s="17" t="inlineStr">
        <is>
          <t>spread</t>
        </is>
      </c>
      <c r="B15" s="18">
        <f>COUNTIFS('Picks'!$H$2:$H$249,$A15,'Picks'!$U$2:$U$249,"settled")</f>
        <v/>
      </c>
      <c r="C15" s="18">
        <f>COUNTIFS('Picks'!$H$2:$H$249,$A15,'Picks'!$U$2:$U$249,"settled",'Picks'!$V$2:$V$249,"win")</f>
        <v/>
      </c>
      <c r="D15" s="18">
        <f>COUNTIFS('Picks'!$H$2:$H$249,$A15,'Picks'!$U$2:$U$249,"settled",'Picks'!$V$2:$V$249,"loss")</f>
        <v/>
      </c>
      <c r="E15" s="19">
        <f>IFERROR(C15/(C15+D15),0)</f>
        <v/>
      </c>
      <c r="F15" s="20">
        <f>SUMIFS('Picks'!$BY$2:$BY$249,'Picks'!$H$2:$H$249,$A15)</f>
        <v/>
      </c>
      <c r="G15" s="21">
        <f>IFERROR(AVERAGEIFS('Picks'!$AB$2:$AB$249,'Picks'!$H$2:$H$249,$A15,'Picks'!$U$2:$U$249,"settled"),0)</f>
        <v/>
      </c>
    </row>
    <row r="16">
      <c r="A16" s="12" t="inlineStr">
        <is>
          <t>total</t>
        </is>
      </c>
      <c r="B16" s="13">
        <f>COUNTIFS('Picks'!$H$2:$H$249,$A16,'Picks'!$U$2:$U$249,"settled")</f>
        <v/>
      </c>
      <c r="C16" s="13">
        <f>COUNTIFS('Picks'!$H$2:$H$249,$A16,'Picks'!$U$2:$U$249,"settled",'Picks'!$V$2:$V$249,"win")</f>
        <v/>
      </c>
      <c r="D16" s="13">
        <f>COUNTIFS('Picks'!$H$2:$H$249,$A16,'Picks'!$U$2:$U$249,"settled",'Picks'!$V$2:$V$249,"loss")</f>
        <v/>
      </c>
      <c r="E16" s="14">
        <f>IFERROR(C16/(C16+D16),0)</f>
        <v/>
      </c>
      <c r="F16" s="15">
        <f>SUMIFS('Picks'!$BY$2:$BY$249,'Picks'!$H$2:$H$249,$A16)</f>
        <v/>
      </c>
      <c r="G16" s="16">
        <f>IFERROR(AVERAGEIFS('Picks'!$AB$2:$AB$249,'Picks'!$H$2:$H$249,$A16,'Picks'!$U$2:$U$249,"settled"),0)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4afbde32316849b6</t>
        </is>
      </c>
      <c r="B2" s="24" t="inlineStr">
        <is>
          <t>2026-07-29T17:43:50.913671Z</t>
        </is>
      </c>
      <c r="C2" s="24" t="inlineStr">
        <is>
          <t>2026-07-29T20:00:00-0400</t>
        </is>
      </c>
      <c r="D2" s="24" t="inlineStr">
        <is>
          <t>401857097</t>
        </is>
      </c>
      <c r="E2" s="24" t="inlineStr">
        <is>
          <t>WNBA</t>
        </is>
      </c>
      <c r="F2" s="24" t="inlineStr">
        <is>
          <t>Atlanta Dream</t>
        </is>
      </c>
      <c r="G2" s="24" t="inlineStr">
        <is>
          <t>Dallas Wings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0.66476</v>
      </c>
      <c r="P2" s="28" t="n"/>
      <c r="Q2" s="28" t="n">
        <v>0.183991</v>
      </c>
      <c r="R2" s="26" t="n">
        <v>100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loss</t>
        </is>
      </c>
      <c r="W2" s="26" t="n">
        <v>82</v>
      </c>
      <c r="X2" s="26" t="n">
        <v>81</v>
      </c>
      <c r="Y2" s="25" t="n"/>
      <c r="Z2" s="26" t="n"/>
      <c r="AA2" s="28" t="n"/>
      <c r="AB2" s="28" t="n"/>
      <c r="AC2" s="30" t="n">
        <v>-2</v>
      </c>
      <c r="AD2" s="24" t="inlineStr">
        <is>
          <t>2026-07-30T04:11:46.750577Z</t>
        </is>
      </c>
      <c r="AE2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wnba-atl</t>
        </is>
      </c>
      <c r="AQ2" s="24" t="inlineStr">
        <is>
          <t>Atlanta Dream</t>
        </is>
      </c>
      <c r="AR2" s="24" t="inlineStr">
        <is>
          <t>Atlanta Dream</t>
        </is>
      </c>
      <c r="AS2" s="24" t="inlineStr">
        <is>
          <t>wnba-dal</t>
        </is>
      </c>
      <c r="AT2" s="24" t="inlineStr">
        <is>
          <t>Dallas Wings</t>
        </is>
      </c>
      <c r="AU2" s="24" t="inlineStr">
        <is>
          <t>Dallas Wings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f25936b561e6d355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2026-07-29T17:43:12.551208Z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>
        <v>0.475248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0.7229749194</t>
        </is>
      </c>
      <c r="CD2" s="24" t="inlineStr">
        <is>
          <t>-2.425932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0.480769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0591969d590f4c4c</t>
        </is>
      </c>
      <c r="B3" s="24" t="inlineStr">
        <is>
          <t>2026-07-29T17:43:50.913671Z</t>
        </is>
      </c>
      <c r="C3" s="24" t="inlineStr">
        <is>
          <t>2026-07-29T22:00:00-0400</t>
        </is>
      </c>
      <c r="D3" s="24" t="inlineStr">
        <is>
          <t>401857098</t>
        </is>
      </c>
      <c r="E3" s="24" t="inlineStr">
        <is>
          <t>WNBA</t>
        </is>
      </c>
      <c r="F3" s="24" t="inlineStr">
        <is>
          <t>Golden State Valkyries</t>
        </is>
      </c>
      <c r="G3" s="24" t="inlineStr">
        <is>
          <t>Phoenix Mercury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0.7219989999999999</v>
      </c>
      <c r="P3" s="28" t="n"/>
      <c r="Q3" s="28" t="n">
        <v>0.112624</v>
      </c>
      <c r="R3" s="26" t="n">
        <v>79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loss</t>
        </is>
      </c>
      <c r="W3" s="26" t="n">
        <v>89</v>
      </c>
      <c r="X3" s="26" t="n">
        <v>91</v>
      </c>
      <c r="Y3" s="25" t="n"/>
      <c r="Z3" s="26" t="n"/>
      <c r="AA3" s="28" t="n"/>
      <c r="AB3" s="28" t="n"/>
      <c r="AC3" s="30" t="n">
        <v>-2</v>
      </c>
      <c r="AD3" s="24" t="inlineStr">
        <is>
          <t>2026-07-30T05:40:55.703565Z</t>
        </is>
      </c>
      <c r="AE3" s="31" t="inlineStr">
        <is>
          <t>Learned LR call at threshold 0.5001; executable ask 0.6100 (aec-wnba-gsv-phx-2026-07-29).</t>
        </is>
      </c>
      <c r="AF3" s="31" t="inlineStr">
        <is>
          <t>Learned model; shadow-qualified via operator override.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wnba-gsv</t>
        </is>
      </c>
      <c r="AQ3" s="24" t="inlineStr">
        <is>
          <t>Golden State Valkyries</t>
        </is>
      </c>
      <c r="AR3" s="24" t="inlineStr">
        <is>
          <t>Golden State Valkyries</t>
        </is>
      </c>
      <c r="AS3" s="24" t="inlineStr">
        <is>
          <t>wnba-phx</t>
        </is>
      </c>
      <c r="AT3" s="24" t="inlineStr">
        <is>
          <t>Phoenix Mercury</t>
        </is>
      </c>
      <c r="AU3" s="24" t="inlineStr">
        <is>
          <t>Phoenix Mercury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5ba5847b783e4237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2026-07-29T17:43:13.575889Z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>
        <v>0.6039600000000001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0.1902656067</t>
        </is>
      </c>
      <c r="CD3" s="24" t="inlineStr">
        <is>
          <t>-0.399848</t>
        </is>
      </c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0.609375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744b52ceb7314514</t>
        </is>
      </c>
      <c r="B4" s="24" t="inlineStr">
        <is>
          <t>2026-07-30T21:07:38.996144Z</t>
        </is>
      </c>
      <c r="C4" s="24" t="inlineStr">
        <is>
          <t>2026-07-30T20:00:00-0400</t>
        </is>
      </c>
      <c r="D4" s="24" t="inlineStr">
        <is>
          <t>401857099</t>
        </is>
      </c>
      <c r="E4" s="24" t="inlineStr">
        <is>
          <t>WNBA</t>
        </is>
      </c>
      <c r="F4" s="24" t="inlineStr">
        <is>
          <t>Minnesota Lynx</t>
        </is>
      </c>
      <c r="G4" s="24" t="inlineStr">
        <is>
          <t>Toronto Tempo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-614</v>
      </c>
      <c r="M4" s="27" t="n">
        <v>1.162866</v>
      </c>
      <c r="N4" s="28" t="n">
        <v>0.859944</v>
      </c>
      <c r="O4" s="28" t="n">
        <v>0.750119</v>
      </c>
      <c r="P4" s="28" t="n"/>
      <c r="Q4" s="28" t="n">
        <v>-0.109825</v>
      </c>
      <c r="R4" s="26" t="n">
        <v>0</v>
      </c>
      <c r="S4" s="29" t="n">
        <v>2</v>
      </c>
      <c r="T4" s="24" t="inlineStr">
        <is>
          <t>wnba-elo-trend-lr-v4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104</v>
      </c>
      <c r="X4" s="26" t="n">
        <v>72</v>
      </c>
      <c r="Y4" s="25" t="n"/>
      <c r="Z4" s="26" t="n"/>
      <c r="AA4" s="28" t="n"/>
      <c r="AB4" s="28" t="n"/>
      <c r="AC4" s="30" t="n">
        <v>0.3257</v>
      </c>
      <c r="AD4" s="24" t="inlineStr">
        <is>
          <t>2026-07-31T04:29:17.777628Z</t>
        </is>
      </c>
      <c r="AE4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wnba-min</t>
        </is>
      </c>
      <c r="AQ4" s="24" t="inlineStr">
        <is>
          <t>Minnesota Lynx</t>
        </is>
      </c>
      <c r="AR4" s="24" t="inlineStr">
        <is>
          <t>Minnesota Lynx</t>
        </is>
      </c>
      <c r="AS4" s="24" t="inlineStr">
        <is>
          <t>wnba-tor</t>
        </is>
      </c>
      <c r="AT4" s="24" t="inlineStr">
        <is>
          <t>Toronto Tempo</t>
        </is>
      </c>
      <c r="AU4" s="24" t="inlineStr">
        <is>
          <t>Toronto Tempo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7afd5274214b58b7efd7f7febc7be3ab33b92351cda5cc6403c0a39faea0cc8c</t>
        </is>
      </c>
      <c r="BB4" s="24" t="inlineStr">
        <is>
          <t>learned_lr</t>
        </is>
      </c>
      <c r="BC4" s="24" t="inlineStr">
        <is>
          <t>wnba-elo-trend-lr-v4</t>
        </is>
      </c>
      <c r="BD4" s="24" t="inlineStr">
        <is>
          <t>7afd5274214b58b7efd7f7febc7be3ab33b92351cda5cc6403c0a39faea0cc8c</t>
        </is>
      </c>
      <c r="BE4" s="24" t="inlineStr">
        <is>
          <t>a8d16f9be486f04d</t>
        </is>
      </c>
      <c r="BF4" s="24" t="inlineStr">
        <is>
          <t>1</t>
        </is>
      </c>
      <c r="BG4" s="24" t="inlineStr">
        <is>
          <t>wnba-elo-trend-lr-v4</t>
        </is>
      </c>
      <c r="BH4" s="24" t="inlineStr">
        <is>
          <t>2026-07-30T21:07:16.651071Z</t>
        </is>
      </c>
      <c r="BI4" s="24" t="inlineStr">
        <is>
          <t>["same_event","same_team_same_day","same_league_same_day"]</t>
        </is>
      </c>
      <c r="BJ4" s="25" t="n"/>
      <c r="BK4" s="26" t="n">
        <v>-614</v>
      </c>
      <c r="BL4" s="27" t="n">
        <v>1.162866</v>
      </c>
      <c r="BM4" s="28" t="n">
        <v>0.859944</v>
      </c>
      <c r="BN4" s="28" t="n">
        <v>0.851485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0.1447442732</t>
        </is>
      </c>
      <c r="CD4" s="24" t="inlineStr">
        <is>
          <t>-5.213719</t>
        </is>
      </c>
      <c r="CE4" s="24" t="n"/>
      <c r="CF4" s="24" t="n"/>
      <c r="CG4" s="24" t="n"/>
      <c r="CH4" s="24" t="n"/>
      <c r="CI4" s="24" t="inlineStr">
        <is>
          <t>wnba_availability_source_conflict</t>
        </is>
      </c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0.859944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a4fd557587d84dcb</t>
        </is>
      </c>
      <c r="B5" s="24" t="inlineStr">
        <is>
          <t>2026-07-30T21:07:38.996144Z</t>
        </is>
      </c>
      <c r="C5" s="24" t="inlineStr">
        <is>
          <t>2026-07-30T20:00:00-0400</t>
        </is>
      </c>
      <c r="D5" s="24" t="inlineStr">
        <is>
          <t>401857100</t>
        </is>
      </c>
      <c r="E5" s="24" t="inlineStr">
        <is>
          <t>WNBA</t>
        </is>
      </c>
      <c r="F5" s="24" t="inlineStr">
        <is>
          <t>Connecticut Sun</t>
        </is>
      </c>
      <c r="G5" s="24" t="inlineStr">
        <is>
          <t>Chicago Sky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-194</v>
      </c>
      <c r="M5" s="27" t="n">
        <v>1.515464</v>
      </c>
      <c r="N5" s="28" t="n">
        <v>0.659864</v>
      </c>
      <c r="O5" s="28" t="n">
        <v>0.670401</v>
      </c>
      <c r="P5" s="28" t="n"/>
      <c r="Q5" s="28" t="n">
        <v>0.010537</v>
      </c>
      <c r="R5" s="26" t="n">
        <v>28</v>
      </c>
      <c r="S5" s="29" t="n">
        <v>2</v>
      </c>
      <c r="T5" s="24" t="inlineStr">
        <is>
          <t>wnba-elo-trend-lr-v4</t>
        </is>
      </c>
      <c r="U5" s="24" t="inlineStr">
        <is>
          <t>settled</t>
        </is>
      </c>
      <c r="V5" s="24" t="inlineStr">
        <is>
          <t>win</t>
        </is>
      </c>
      <c r="W5" s="26" t="n">
        <v>88</v>
      </c>
      <c r="X5" s="26" t="n">
        <v>94</v>
      </c>
      <c r="Y5" s="25" t="n"/>
      <c r="Z5" s="26" t="n"/>
      <c r="AA5" s="28" t="n"/>
      <c r="AB5" s="28" t="n"/>
      <c r="AC5" s="30" t="n">
        <v>1.0309</v>
      </c>
      <c r="AD5" s="24" t="inlineStr">
        <is>
          <t>2026-07-31T04:29:17.882357Z</t>
        </is>
      </c>
      <c r="AE5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wnba-con</t>
        </is>
      </c>
      <c r="AQ5" s="24" t="inlineStr">
        <is>
          <t>Connecticut Sun</t>
        </is>
      </c>
      <c r="AR5" s="24" t="inlineStr">
        <is>
          <t>Connecticut Sun</t>
        </is>
      </c>
      <c r="AS5" s="24" t="inlineStr">
        <is>
          <t>wnba-chi</t>
        </is>
      </c>
      <c r="AT5" s="24" t="inlineStr">
        <is>
          <t>Chicago Sky</t>
        </is>
      </c>
      <c r="AU5" s="24" t="inlineStr">
        <is>
          <t>Chicago Sky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7afd5274214b58b7efd7f7febc7be3ab33b92351cda5cc6403c0a39faea0cc8c</t>
        </is>
      </c>
      <c r="BB5" s="24" t="inlineStr">
        <is>
          <t>learned_lr</t>
        </is>
      </c>
      <c r="BC5" s="24" t="inlineStr">
        <is>
          <t>wnba-elo-trend-lr-v4</t>
        </is>
      </c>
      <c r="BD5" s="24" t="inlineStr">
        <is>
          <t>7afd5274214b58b7efd7f7febc7be3ab33b92351cda5cc6403c0a39faea0cc8c</t>
        </is>
      </c>
      <c r="BE5" s="24" t="inlineStr">
        <is>
          <t>de1d675da66b275e</t>
        </is>
      </c>
      <c r="BF5" s="24" t="inlineStr">
        <is>
          <t>1</t>
        </is>
      </c>
      <c r="BG5" s="24" t="inlineStr">
        <is>
          <t>wnba-elo-trend-lr-v4</t>
        </is>
      </c>
      <c r="BH5" s="24" t="inlineStr">
        <is>
          <t>2026-07-30T21:07:18.309580Z</t>
        </is>
      </c>
      <c r="BI5" s="24" t="inlineStr">
        <is>
          <t>["same_event","same_team_same_day","same_league_same_day"]</t>
        </is>
      </c>
      <c r="BJ5" s="25" t="n"/>
      <c r="BK5" s="26" t="n">
        <v>-194</v>
      </c>
      <c r="BL5" s="27" t="n">
        <v>1.515464</v>
      </c>
      <c r="BM5" s="28" t="n">
        <v>0.659864</v>
      </c>
      <c r="BN5" s="28" t="n">
        <v>0.653465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0.6616868073</t>
        </is>
      </c>
      <c r="CD5" s="24" t="inlineStr">
        <is>
          <t>5.467445</t>
        </is>
      </c>
      <c r="CE5" s="24" t="n"/>
      <c r="CF5" s="24" t="n"/>
      <c r="CG5" s="24" t="n"/>
      <c r="CH5" s="24" t="n"/>
      <c r="CI5" s="24" t="inlineStr">
        <is>
          <t>wnba_availability_source_conflict</t>
        </is>
      </c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0.659864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429571844f70423e</t>
        </is>
      </c>
      <c r="B6" s="24" t="inlineStr">
        <is>
          <t>2026-07-31T00:56:17.350684Z</t>
        </is>
      </c>
      <c r="C6" s="24" t="inlineStr">
        <is>
          <t>2026-07-30T22:00:00-0400</t>
        </is>
      </c>
      <c r="D6" s="24" t="inlineStr">
        <is>
          <t>401857101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Las Vegas Aces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0.615328</v>
      </c>
      <c r="P6" s="28" t="n"/>
      <c r="Q6" s="28" t="n">
        <v>-0.02496</v>
      </c>
      <c r="R6" s="26" t="n">
        <v>11</v>
      </c>
      <c r="S6" s="29" t="n">
        <v>1.75</v>
      </c>
      <c r="T6" s="24" t="inlineStr">
        <is>
          <t>wnba-elo-trend-lr-v4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99</v>
      </c>
      <c r="X6" s="26" t="n">
        <v>104</v>
      </c>
      <c r="Y6" s="25" t="n"/>
      <c r="Z6" s="26" t="n"/>
      <c r="AA6" s="28" t="n"/>
      <c r="AB6" s="28" t="n"/>
      <c r="AC6" s="30" t="n">
        <v>0.9831</v>
      </c>
      <c r="AD6" s="24" t="inlineStr">
        <is>
          <t>2026-07-31T04:29:18.625735Z</t>
        </is>
      </c>
      <c r="AE6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wnba-lva</t>
        </is>
      </c>
      <c r="AT6" s="24" t="inlineStr">
        <is>
          <t>Las Vegas Aces</t>
        </is>
      </c>
      <c r="AU6" s="24" t="inlineStr">
        <is>
          <t>Las Vegas Aces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7afd5274214b58b7efd7f7febc7be3ab33b92351cda5cc6403c0a39faea0cc8c</t>
        </is>
      </c>
      <c r="BB6" s="24" t="inlineStr">
        <is>
          <t>learned_lr</t>
        </is>
      </c>
      <c r="BC6" s="24" t="inlineStr">
        <is>
          <t>wnba-elo-trend-lr-v4</t>
        </is>
      </c>
      <c r="BD6" s="24" t="inlineStr">
        <is>
          <t>7afd5274214b58b7efd7f7febc7be3ab33b92351cda5cc6403c0a39faea0cc8c</t>
        </is>
      </c>
      <c r="BE6" s="24" t="inlineStr">
        <is>
          <t>181554924d3d25f6</t>
        </is>
      </c>
      <c r="BF6" s="24" t="inlineStr">
        <is>
          <t>1</t>
        </is>
      </c>
      <c r="BG6" s="24" t="inlineStr">
        <is>
          <t>wnba-elo-trend-lr-v4</t>
        </is>
      </c>
      <c r="BH6" s="24" t="inlineStr">
        <is>
          <t>2026-07-31T00:56:07.048062Z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>
        <v>0.633663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0.6511069872</t>
        </is>
      </c>
      <c r="CD6" s="24" t="inlineStr">
        <is>
          <t>-4.276653</t>
        </is>
      </c>
      <c r="CE6" s="24" t="n"/>
      <c r="CF6" s="24" t="n"/>
      <c r="CG6" s="24" t="n"/>
      <c r="CH6" s="24" t="n"/>
      <c r="CI6" s="24" t="inlineStr">
        <is>
          <t>wnba_availability_source_conflict</t>
        </is>
      </c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0.640288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18e5ba2aaf884ddf</t>
        </is>
      </c>
      <c r="B7" s="24" t="inlineStr">
        <is>
          <t>2026-07-31T23:29:42.171549Z</t>
        </is>
      </c>
      <c r="C7" s="24" t="inlineStr">
        <is>
          <t>2026-07-31T19:30:00-0400</t>
        </is>
      </c>
      <c r="D7" s="24" t="inlineStr">
        <is>
          <t>401857102</t>
        </is>
      </c>
      <c r="E7" s="24" t="inlineStr">
        <is>
          <t>WNBA</t>
        </is>
      </c>
      <c r="F7" s="24" t="inlineStr">
        <is>
          <t>Seattle Storm</t>
        </is>
      </c>
      <c r="G7" s="24" t="inlineStr">
        <is>
          <t>Atlanta Dream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-525</v>
      </c>
      <c r="M7" s="27" t="n">
        <v>1.190476</v>
      </c>
      <c r="N7" s="28" t="n">
        <v>0.84</v>
      </c>
      <c r="O7" s="28" t="n">
        <v>0.737046</v>
      </c>
      <c r="P7" s="28" t="n"/>
      <c r="Q7" s="28" t="n">
        <v>-0.102954</v>
      </c>
      <c r="R7" s="26" t="n">
        <v>0</v>
      </c>
      <c r="S7" s="29" t="n">
        <v>2</v>
      </c>
      <c r="T7" s="24" t="inlineStr">
        <is>
          <t>wnba-elo-trend-lr-v4</t>
        </is>
      </c>
      <c r="U7" s="24" t="inlineStr">
        <is>
          <t>settled</t>
        </is>
      </c>
      <c r="V7" s="24" t="inlineStr">
        <is>
          <t>win</t>
        </is>
      </c>
      <c r="W7" s="26" t="n">
        <v>89</v>
      </c>
      <c r="X7" s="26" t="n">
        <v>98</v>
      </c>
      <c r="Y7" s="25" t="n"/>
      <c r="Z7" s="26" t="n"/>
      <c r="AA7" s="28" t="n"/>
      <c r="AB7" s="28" t="n"/>
      <c r="AC7" s="30" t="n">
        <v>0.381</v>
      </c>
      <c r="AD7" s="24" t="inlineStr">
        <is>
          <t>2026-08-01T02:59:57.929008Z</t>
        </is>
      </c>
      <c r="AE7" s="31" t="inlineStr">
        <is>
          <t>Learned LR call at threshold 0.5001; executable ask 0.8400 (aec-wnba-sea-atl-2026-07-31); model edge vs ask -0.1030.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wnba-sea</t>
        </is>
      </c>
      <c r="AQ7" s="24" t="inlineStr">
        <is>
          <t>Seattle Storm</t>
        </is>
      </c>
      <c r="AR7" s="24" t="inlineStr">
        <is>
          <t>Seattle Storm</t>
        </is>
      </c>
      <c r="AS7" s="24" t="inlineStr">
        <is>
          <t>wnba-atl</t>
        </is>
      </c>
      <c r="AT7" s="24" t="inlineStr">
        <is>
          <t>Atlanta Dream</t>
        </is>
      </c>
      <c r="AU7" s="24" t="inlineStr">
        <is>
          <t>Atlanta Dream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7afd5274214b58b7efd7f7febc7be3ab33b92351cda5cc6403c0a39faea0cc8c</t>
        </is>
      </c>
      <c r="BB7" s="24" t="inlineStr">
        <is>
          <t>learned_lr</t>
        </is>
      </c>
      <c r="BC7" s="24" t="inlineStr">
        <is>
          <t>wnba-elo-trend-lr-v4</t>
        </is>
      </c>
      <c r="BD7" s="24" t="inlineStr">
        <is>
          <t>7afd5274214b58b7efd7f7febc7be3ab33b92351cda5cc6403c0a39faea0cc8c</t>
        </is>
      </c>
      <c r="BE7" s="24" t="inlineStr">
        <is>
          <t>8fdca19bc32f576a</t>
        </is>
      </c>
      <c r="BF7" s="24" t="inlineStr">
        <is>
          <t>1</t>
        </is>
      </c>
      <c r="BG7" s="24" t="inlineStr">
        <is>
          <t>wnba-elo-trend-lr-v4</t>
        </is>
      </c>
      <c r="BH7" s="24" t="inlineStr">
        <is>
          <t>2026-07-31T23:29:25.425390Z</t>
        </is>
      </c>
      <c r="BI7" s="24" t="inlineStr">
        <is>
          <t>["same_event","same_team_same_day","same_league_same_day"]</t>
        </is>
      </c>
      <c r="BJ7" s="25" t="n"/>
      <c r="BK7" s="26" t="n">
        <v>-525</v>
      </c>
      <c r="BL7" s="27" t="n">
        <v>1.190476</v>
      </c>
      <c r="BM7" s="28" t="n">
        <v>0.84</v>
      </c>
      <c r="BN7" s="28" t="n">
        <v>0.831683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0.821319619</t>
        </is>
      </c>
      <c r="CD7" s="24" t="inlineStr">
        <is>
          <t>-5.618671</t>
        </is>
      </c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0.84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06a3a214f14c43bf</t>
        </is>
      </c>
      <c r="B8" s="24" t="inlineStr">
        <is>
          <t>2026-07-31T23:29:42.171549Z</t>
        </is>
      </c>
      <c r="C8" s="24" t="inlineStr">
        <is>
          <t>2026-07-31T19:30:00-0400</t>
        </is>
      </c>
      <c r="D8" s="24" t="inlineStr">
        <is>
          <t>401857103</t>
        </is>
      </c>
      <c r="E8" s="24" t="inlineStr">
        <is>
          <t>WNBA</t>
        </is>
      </c>
      <c r="F8" s="24" t="inlineStr">
        <is>
          <t>Dallas Wings</t>
        </is>
      </c>
      <c r="G8" s="24" t="inlineStr">
        <is>
          <t>Washington Mystics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-150</v>
      </c>
      <c r="M8" s="27" t="n">
        <v>1.666667</v>
      </c>
      <c r="N8" s="28" t="n">
        <v>0.6</v>
      </c>
      <c r="O8" s="28" t="n">
        <v>0.575648</v>
      </c>
      <c r="P8" s="28" t="n"/>
      <c r="Q8" s="28" t="n">
        <v>-0.024352</v>
      </c>
      <c r="R8" s="26" t="n">
        <v>11</v>
      </c>
      <c r="S8" s="29" t="n">
        <v>1.25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loss</t>
        </is>
      </c>
      <c r="W8" s="26" t="n">
        <v>75</v>
      </c>
      <c r="X8" s="26" t="n">
        <v>81</v>
      </c>
      <c r="Y8" s="25" t="n"/>
      <c r="Z8" s="26" t="n"/>
      <c r="AA8" s="28" t="n"/>
      <c r="AB8" s="28" t="n"/>
      <c r="AC8" s="30" t="n">
        <v>-1.25</v>
      </c>
      <c r="AD8" s="24" t="inlineStr">
        <is>
          <t>2026-08-01T02:59:58.085221Z</t>
        </is>
      </c>
      <c r="AE8" s="31" t="inlineStr">
        <is>
          <t>Learned LR call at threshold 0.5001; executable ask 0.6000 (aec-wnba-dal-wsh-2026-07-31); model edge vs ask -0.0244.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wnba-dal</t>
        </is>
      </c>
      <c r="AQ8" s="24" t="inlineStr">
        <is>
          <t>Dallas Wings</t>
        </is>
      </c>
      <c r="AR8" s="24" t="inlineStr">
        <is>
          <t>Dallas Wings</t>
        </is>
      </c>
      <c r="AS8" s="24" t="inlineStr">
        <is>
          <t>wnba-was</t>
        </is>
      </c>
      <c r="AT8" s="24" t="inlineStr">
        <is>
          <t>Washington Mystics</t>
        </is>
      </c>
      <c r="AU8" s="24" t="inlineStr">
        <is>
          <t>Washington Mystics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0f848d940ea26816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2026-07-31T23:29:26.294036Z</t>
        </is>
      </c>
      <c r="BI8" s="24" t="inlineStr">
        <is>
          <t>["same_event","same_team_same_day","same_league_same_day"]</t>
        </is>
      </c>
      <c r="BJ8" s="25" t="n"/>
      <c r="BK8" s="26" t="n">
        <v>-150</v>
      </c>
      <c r="BL8" s="27" t="n">
        <v>1.666667</v>
      </c>
      <c r="BM8" s="28" t="n">
        <v>0.6</v>
      </c>
      <c r="BN8" s="28" t="n">
        <v>0.594059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0.4036949453</t>
        </is>
      </c>
      <c r="CD8" s="24" t="inlineStr">
        <is>
          <t>-0.615194</t>
        </is>
      </c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0bea4ee624e94da7</t>
        </is>
      </c>
      <c r="B9" s="24" t="inlineStr">
        <is>
          <t>2026-07-31T23:29:42.171549Z</t>
        </is>
      </c>
      <c r="C9" s="24" t="inlineStr">
        <is>
          <t>2026-07-31T22:00:00-0400</t>
        </is>
      </c>
      <c r="D9" s="24" t="inlineStr">
        <is>
          <t>401857104</t>
        </is>
      </c>
      <c r="E9" s="24" t="inlineStr">
        <is>
          <t>WNBA</t>
        </is>
      </c>
      <c r="F9" s="24" t="inlineStr">
        <is>
          <t>Indiana Fever</t>
        </is>
      </c>
      <c r="G9" s="24" t="inlineStr">
        <is>
          <t>Portland Fire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-300</v>
      </c>
      <c r="M9" s="27" t="n">
        <v>1.333333</v>
      </c>
      <c r="N9" s="28" t="n">
        <v>0.75</v>
      </c>
      <c r="O9" s="28" t="n">
        <v>0.650826</v>
      </c>
      <c r="P9" s="28" t="n"/>
      <c r="Q9" s="28" t="n">
        <v>-0.099174</v>
      </c>
      <c r="R9" s="26" t="n">
        <v>0</v>
      </c>
      <c r="S9" s="29" t="n">
        <v>1.75</v>
      </c>
      <c r="T9" s="24" t="inlineStr">
        <is>
          <t>wnba-elo-trend-lr-v4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112</v>
      </c>
      <c r="X9" s="26" t="n">
        <v>98</v>
      </c>
      <c r="Y9" s="25" t="n"/>
      <c r="Z9" s="26" t="n"/>
      <c r="AA9" s="28" t="n"/>
      <c r="AB9" s="28" t="n"/>
      <c r="AC9" s="30" t="n">
        <v>0.5833</v>
      </c>
      <c r="AD9" s="24" t="inlineStr">
        <is>
          <t>2026-08-01T05:33:36.879084Z</t>
        </is>
      </c>
      <c r="AE9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wnba-ind</t>
        </is>
      </c>
      <c r="AQ9" s="24" t="inlineStr">
        <is>
          <t>Indiana Fever</t>
        </is>
      </c>
      <c r="AR9" s="24" t="inlineStr">
        <is>
          <t>Indiana Fever</t>
        </is>
      </c>
      <c r="AS9" s="24" t="inlineStr">
        <is>
          <t>wnba-por</t>
        </is>
      </c>
      <c r="AT9" s="24" t="inlineStr">
        <is>
          <t>Portland Fire</t>
        </is>
      </c>
      <c r="AU9" s="24" t="inlineStr">
        <is>
          <t>Portland Fire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7afd5274214b58b7efd7f7febc7be3ab33b92351cda5cc6403c0a39faea0cc8c</t>
        </is>
      </c>
      <c r="BB9" s="24" t="inlineStr">
        <is>
          <t>learned_lr</t>
        </is>
      </c>
      <c r="BC9" s="24" t="inlineStr">
        <is>
          <t>wnba-elo-trend-lr-v4</t>
        </is>
      </c>
      <c r="BD9" s="24" t="inlineStr">
        <is>
          <t>7afd5274214b58b7efd7f7febc7be3ab33b92351cda5cc6403c0a39faea0cc8c</t>
        </is>
      </c>
      <c r="BE9" s="24" t="inlineStr">
        <is>
          <t>bcb9c02760c21728</t>
        </is>
      </c>
      <c r="BF9" s="24" t="inlineStr">
        <is>
          <t>1</t>
        </is>
      </c>
      <c r="BG9" s="24" t="inlineStr">
        <is>
          <t>wnba-elo-trend-lr-v4</t>
        </is>
      </c>
      <c r="BH9" s="24" t="inlineStr">
        <is>
          <t>2026-07-31T23:29:27.325378Z</t>
        </is>
      </c>
      <c r="BI9" s="24" t="inlineStr">
        <is>
          <t>["same_event","same_team_same_day","same_league_same_day"]</t>
        </is>
      </c>
      <c r="BJ9" s="25" t="n"/>
      <c r="BK9" s="26" t="n">
        <v>-300</v>
      </c>
      <c r="BL9" s="27" t="n">
        <v>1.333333</v>
      </c>
      <c r="BM9" s="28" t="n">
        <v>0.75</v>
      </c>
      <c r="BN9" s="28" t="n">
        <v>0.742574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0.2910587699</t>
        </is>
      </c>
      <c r="CD9" s="24" t="inlineStr">
        <is>
          <t>-7.416658</t>
        </is>
      </c>
      <c r="CE9" s="24" t="n"/>
      <c r="CF9" s="24" t="n"/>
      <c r="CG9" s="24" t="n"/>
      <c r="CH9" s="24" t="n"/>
      <c r="CI9" s="24" t="inlineStr">
        <is>
          <t>wnba_availability_source_conflict</t>
        </is>
      </c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0.75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2c06cda7ea4b4a18</t>
        </is>
      </c>
      <c r="B10" s="24" t="inlineStr">
        <is>
          <t>2026-08-01T16:50:21.394933Z</t>
        </is>
      </c>
      <c r="C10" s="24" t="inlineStr">
        <is>
          <t>2026-08-01T13:00:00-0400</t>
        </is>
      </c>
      <c r="D10" s="24" t="inlineStr">
        <is>
          <t>401857105</t>
        </is>
      </c>
      <c r="E10" s="24" t="inlineStr">
        <is>
          <t>WNBA</t>
        </is>
      </c>
      <c r="F10" s="24" t="inlineStr">
        <is>
          <t>Las Vegas Aces</t>
        </is>
      </c>
      <c r="G10" s="24" t="inlineStr">
        <is>
          <t>Chicago Sky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-245</v>
      </c>
      <c r="M10" s="27" t="n">
        <v>1.408163</v>
      </c>
      <c r="N10" s="28" t="n">
        <v>0.710145</v>
      </c>
      <c r="O10" s="28" t="n">
        <v>0.646163</v>
      </c>
      <c r="P10" s="28" t="n"/>
      <c r="Q10" s="28" t="n">
        <v>-0.063982</v>
      </c>
      <c r="R10" s="26" t="n">
        <v>0</v>
      </c>
      <c r="S10" s="29" t="n">
        <v>1.75</v>
      </c>
      <c r="T10" s="24" t="inlineStr">
        <is>
          <t>wnba-elo-trend-lr-v4</t>
        </is>
      </c>
      <c r="U10" s="24" t="inlineStr">
        <is>
          <t>settled</t>
        </is>
      </c>
      <c r="V10" s="24" t="inlineStr">
        <is>
          <t>loss</t>
        </is>
      </c>
      <c r="W10" s="26" t="n">
        <v>83</v>
      </c>
      <c r="X10" s="26" t="n">
        <v>84</v>
      </c>
      <c r="Y10" s="25" t="n"/>
      <c r="Z10" s="26" t="n"/>
      <c r="AA10" s="28" t="n"/>
      <c r="AB10" s="28" t="n"/>
      <c r="AC10" s="30" t="n">
        <v>-1.75</v>
      </c>
      <c r="AD10" s="24" t="inlineStr">
        <is>
          <t>2026-08-01T20:13:03.864714Z</t>
        </is>
      </c>
      <c r="AE10" s="31" t="inlineStr">
        <is>
          <t>Learned LR call at threshold 0.5001; executable ask 0.7100 (aec-wnba-lv-chi-2026-08-01); model edge vs ask -0.0638.</t>
        </is>
      </c>
      <c r="AF10" s="31" t="inlineStr">
        <is>
          <t>Learned model; shadow-qualified via operator override.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wnba-lva</t>
        </is>
      </c>
      <c r="AQ10" s="24" t="inlineStr">
        <is>
          <t>Las Vegas Aces</t>
        </is>
      </c>
      <c r="AR10" s="24" t="inlineStr">
        <is>
          <t>Las Vegas Aces</t>
        </is>
      </c>
      <c r="AS10" s="24" t="inlineStr">
        <is>
          <t>wnba-chi</t>
        </is>
      </c>
      <c r="AT10" s="24" t="inlineStr">
        <is>
          <t>Chicago Sky</t>
        </is>
      </c>
      <c r="AU10" s="24" t="inlineStr">
        <is>
          <t>Chicago Sky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7afd5274214b58b7efd7f7febc7be3ab33b92351cda5cc6403c0a39faea0cc8c</t>
        </is>
      </c>
      <c r="BB10" s="24" t="inlineStr">
        <is>
          <t>learned_lr</t>
        </is>
      </c>
      <c r="BC10" s="24" t="inlineStr">
        <is>
          <t>wnba-elo-trend-lr-v4</t>
        </is>
      </c>
      <c r="BD10" s="24" t="inlineStr">
        <is>
          <t>7afd5274214b58b7efd7f7febc7be3ab33b92351cda5cc6403c0a39faea0cc8c</t>
        </is>
      </c>
      <c r="BE10" s="24" t="inlineStr">
        <is>
          <t>51a2c72f2e141b8b</t>
        </is>
      </c>
      <c r="BF10" s="24" t="inlineStr">
        <is>
          <t>1</t>
        </is>
      </c>
      <c r="BG10" s="24" t="inlineStr">
        <is>
          <t>wnba-elo-trend-lr-v4</t>
        </is>
      </c>
      <c r="BH10" s="24" t="inlineStr">
        <is>
          <t>2026-08-01T16:49:04.221920Z</t>
        </is>
      </c>
      <c r="BI10" s="24" t="inlineStr">
        <is>
          <t>["same_event","same_team_same_day","same_league_same_day"]</t>
        </is>
      </c>
      <c r="BJ10" s="25" t="n"/>
      <c r="BK10" s="26" t="n">
        <v>-245</v>
      </c>
      <c r="BL10" s="27" t="n">
        <v>1.408163</v>
      </c>
      <c r="BM10" s="28" t="n">
        <v>0.710145</v>
      </c>
      <c r="BN10" s="28" t="n">
        <v>0.70297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0.317202935</t>
        </is>
      </c>
      <c r="CD10" s="24" t="inlineStr">
        <is>
          <t>4.001837</t>
        </is>
      </c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0.710145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b5171488f8674c06</t>
        </is>
      </c>
      <c r="B11" s="24" t="inlineStr">
        <is>
          <t>2026-08-01T18:37:44.379324Z</t>
        </is>
      </c>
      <c r="C11" s="24" t="inlineStr">
        <is>
          <t>2026-08-01T15:00:00-0400</t>
        </is>
      </c>
      <c r="D11" s="24" t="inlineStr">
        <is>
          <t>401857106</t>
        </is>
      </c>
      <c r="E11" s="24" t="inlineStr">
        <is>
          <t>WNBA</t>
        </is>
      </c>
      <c r="F11" s="24" t="inlineStr">
        <is>
          <t>New York Liberty</t>
        </is>
      </c>
      <c r="G11" s="24" t="inlineStr">
        <is>
          <t>Phoenix Mercury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-144</v>
      </c>
      <c r="M11" s="27" t="n">
        <v>1.694444</v>
      </c>
      <c r="N11" s="28" t="n">
        <v>0.590164</v>
      </c>
      <c r="O11" s="28" t="n">
        <v>0.568764</v>
      </c>
      <c r="P11" s="28" t="n"/>
      <c r="Q11" s="28" t="n">
        <v>-0.0214</v>
      </c>
      <c r="R11" s="26" t="n">
        <v>12</v>
      </c>
      <c r="S11" s="29" t="n">
        <v>1.25</v>
      </c>
      <c r="T11" s="24" t="inlineStr">
        <is>
          <t>wnba-elo-trend-lr-v4</t>
        </is>
      </c>
      <c r="U11" s="24" t="inlineStr">
        <is>
          <t>settled</t>
        </is>
      </c>
      <c r="V11" s="24" t="inlineStr">
        <is>
          <t>win</t>
        </is>
      </c>
      <c r="W11" s="26" t="n">
        <v>94</v>
      </c>
      <c r="X11" s="26" t="n">
        <v>92</v>
      </c>
      <c r="Y11" s="25" t="n"/>
      <c r="Z11" s="26" t="n"/>
      <c r="AA11" s="28" t="n"/>
      <c r="AB11" s="28" t="n"/>
      <c r="AC11" s="30" t="n">
        <v>0.8681</v>
      </c>
      <c r="AD11" s="24" t="inlineStr">
        <is>
          <t>2026-08-01T21:25:16.611294Z</t>
        </is>
      </c>
      <c r="AE11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wnba-nyl</t>
        </is>
      </c>
      <c r="AQ11" s="24" t="inlineStr">
        <is>
          <t>New York Liberty</t>
        </is>
      </c>
      <c r="AR11" s="24" t="inlineStr">
        <is>
          <t>New York Liberty</t>
        </is>
      </c>
      <c r="AS11" s="24" t="inlineStr">
        <is>
          <t>wnba-phx</t>
        </is>
      </c>
      <c r="AT11" s="24" t="inlineStr">
        <is>
          <t>Phoenix Mercury</t>
        </is>
      </c>
      <c r="AU11" s="24" t="inlineStr">
        <is>
          <t>Phoenix Mercury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7afd5274214b58b7efd7f7febc7be3ab33b92351cda5cc6403c0a39faea0cc8c</t>
        </is>
      </c>
      <c r="BB11" s="24" t="inlineStr">
        <is>
          <t>learned_lr</t>
        </is>
      </c>
      <c r="BC11" s="24" t="inlineStr">
        <is>
          <t>wnba-elo-trend-lr-v4</t>
        </is>
      </c>
      <c r="BD11" s="24" t="inlineStr">
        <is>
          <t>7afd5274214b58b7efd7f7febc7be3ab33b92351cda5cc6403c0a39faea0cc8c</t>
        </is>
      </c>
      <c r="BE11" s="24" t="inlineStr">
        <is>
          <t>bbef9e1b90cf700b</t>
        </is>
      </c>
      <c r="BF11" s="24" t="inlineStr">
        <is>
          <t>1</t>
        </is>
      </c>
      <c r="BG11" s="24" t="inlineStr">
        <is>
          <t>wnba-elo-trend-lr-v4</t>
        </is>
      </c>
      <c r="BH11" s="24" t="inlineStr">
        <is>
          <t>2026-08-01T18:36:36.294824Z</t>
        </is>
      </c>
      <c r="BI11" s="24" t="inlineStr">
        <is>
          <t>["same_event","same_team_same_day","same_league_same_day"]</t>
        </is>
      </c>
      <c r="BJ11" s="25" t="n"/>
      <c r="BK11" s="26" t="n">
        <v>-144</v>
      </c>
      <c r="BL11" s="27" t="n">
        <v>1.694444</v>
      </c>
      <c r="BM11" s="28" t="n">
        <v>0.590164</v>
      </c>
      <c r="BN11" s="28" t="n">
        <v>0.584158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0.4080094464</t>
        </is>
      </c>
      <c r="CD11" s="24" t="inlineStr">
        <is>
          <t>-5.162465</t>
        </is>
      </c>
      <c r="CE11" s="24" t="n"/>
      <c r="CF11" s="24" t="n"/>
      <c r="CG11" s="24" t="n"/>
      <c r="CH11" s="24" t="n"/>
      <c r="CI11" s="24" t="inlineStr">
        <is>
          <t>NO_CALL_AVAILABILITY_PLAYER_UNMAPPED</t>
        </is>
      </c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0.590164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f34743eccf0143a3</t>
        </is>
      </c>
      <c r="B12" s="24" t="inlineStr">
        <is>
          <t>2026-08-02T16:48:43.908788Z</t>
        </is>
      </c>
      <c r="C12" s="24" t="inlineStr">
        <is>
          <t>2026-08-02T13:00:00-0400</t>
        </is>
      </c>
      <c r="D12" s="24" t="inlineStr">
        <is>
          <t>401857107</t>
        </is>
      </c>
      <c r="E12" s="24" t="inlineStr">
        <is>
          <t>WNBA</t>
        </is>
      </c>
      <c r="F12" s="24" t="inlineStr">
        <is>
          <t>Indiana Fever</t>
        </is>
      </c>
      <c r="G12" s="24" t="inlineStr">
        <is>
          <t>Minnesota Lynx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-186</v>
      </c>
      <c r="M12" s="27" t="n">
        <v>1.537634</v>
      </c>
      <c r="N12" s="28" t="n">
        <v>0.65035</v>
      </c>
      <c r="O12" s="28" t="n">
        <v>0.643489</v>
      </c>
      <c r="P12" s="28" t="n"/>
      <c r="Q12" s="28" t="n">
        <v>-0.006861</v>
      </c>
      <c r="R12" s="26" t="n">
        <v>20</v>
      </c>
      <c r="S12" s="29" t="n">
        <v>1.5</v>
      </c>
      <c r="T12" s="24" t="inlineStr">
        <is>
          <t>wnba-elo-trend-lr-v4</t>
        </is>
      </c>
      <c r="U12" s="24" t="inlineStr">
        <is>
          <t>settled</t>
        </is>
      </c>
      <c r="V12" s="24" t="inlineStr">
        <is>
          <t>win</t>
        </is>
      </c>
      <c r="W12" s="26" t="n">
        <v>100</v>
      </c>
      <c r="X12" s="26" t="n">
        <v>108</v>
      </c>
      <c r="Y12" s="25" t="n"/>
      <c r="Z12" s="26" t="n"/>
      <c r="AA12" s="28" t="n"/>
      <c r="AB12" s="28" t="n"/>
      <c r="AC12" s="30" t="n">
        <v>0.8065</v>
      </c>
      <c r="AD12" s="24" t="inlineStr">
        <is>
          <t>2026-08-02T19:26:21.579065Z</t>
        </is>
      </c>
      <c r="AE12" s="31" t="inlineStr">
        <is>
          <t>Learned LR call at threshold 0.5001; executable ask 0.6500 (aec-wnba-ind-min-2026-08-02); model edge vs ask -0.0065. NOTE: NO_CALL_AVAILABILITY_PLAYER_UNMAPPED unavailable for this game — defaulted to neutral, other features used normally.</t>
        </is>
      </c>
      <c r="AF12" s="31" t="inlineStr">
        <is>
          <t>Learned model; shadow-qualified via operator override.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wnba-ind</t>
        </is>
      </c>
      <c r="AQ12" s="24" t="inlineStr">
        <is>
          <t>Indiana Fever</t>
        </is>
      </c>
      <c r="AR12" s="24" t="inlineStr">
        <is>
          <t>Indiana Fever</t>
        </is>
      </c>
      <c r="AS12" s="24" t="inlineStr">
        <is>
          <t>wnba-min</t>
        </is>
      </c>
      <c r="AT12" s="24" t="inlineStr">
        <is>
          <t>Minnesota Lynx</t>
        </is>
      </c>
      <c r="AU12" s="24" t="inlineStr">
        <is>
          <t>Minnesota Lynx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7afd5274214b58b7efd7f7febc7be3ab33b92351cda5cc6403c0a39faea0cc8c</t>
        </is>
      </c>
      <c r="BB12" s="24" t="inlineStr">
        <is>
          <t>learned_lr</t>
        </is>
      </c>
      <c r="BC12" s="24" t="inlineStr">
        <is>
          <t>wnba-elo-trend-lr-v4</t>
        </is>
      </c>
      <c r="BD12" s="24" t="inlineStr">
        <is>
          <t>7afd5274214b58b7efd7f7febc7be3ab33b92351cda5cc6403c0a39faea0cc8c</t>
        </is>
      </c>
      <c r="BE12" s="24" t="inlineStr">
        <is>
          <t>cb6d856341c7efe7</t>
        </is>
      </c>
      <c r="BF12" s="24" t="inlineStr">
        <is>
          <t>1</t>
        </is>
      </c>
      <c r="BG12" s="24" t="inlineStr">
        <is>
          <t>wnba-elo-trend-lr-v4</t>
        </is>
      </c>
      <c r="BH12" s="24" t="inlineStr">
        <is>
          <t>2026-08-02T16:47:30.539614Z</t>
        </is>
      </c>
      <c r="BI12" s="24" t="inlineStr">
        <is>
          <t>["same_event","same_team_same_day","same_league_same_day"]</t>
        </is>
      </c>
      <c r="BJ12" s="25" t="n"/>
      <c r="BK12" s="26" t="n">
        <v>-186</v>
      </c>
      <c r="BL12" s="27" t="n">
        <v>1.537634</v>
      </c>
      <c r="BM12" s="28" t="n">
        <v>0.65035</v>
      </c>
      <c r="BN12" s="28" t="n">
        <v>0.643564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0.6810434571</t>
        </is>
      </c>
      <c r="CD12" s="24" t="inlineStr">
        <is>
          <t>-4.330577</t>
        </is>
      </c>
      <c r="CE12" s="24" t="n"/>
      <c r="CF12" s="24" t="n"/>
      <c r="CG12" s="24" t="n"/>
      <c r="CH12" s="24" t="n"/>
      <c r="CI12" s="24" t="inlineStr">
        <is>
          <t>NO_CALL_AVAILABILITY_PLAYER_UNMAPPED</t>
        </is>
      </c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inlineStr">
        <is>
          <t>0.643489</t>
        </is>
      </c>
      <c r="CS12" s="24" t="inlineStr">
        <is>
          <t>0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0.65035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ba9a9375ccd94ae2</t>
        </is>
      </c>
      <c r="B13" s="24" t="inlineStr">
        <is>
          <t>2026-08-02T19:28:41.982598Z</t>
        </is>
      </c>
      <c r="C13" s="24" t="inlineStr">
        <is>
          <t>2026-08-02T15:30:00-0400</t>
        </is>
      </c>
      <c r="D13" s="24" t="inlineStr">
        <is>
          <t>401857108</t>
        </is>
      </c>
      <c r="E13" s="24" t="inlineStr">
        <is>
          <t>WNBA</t>
        </is>
      </c>
      <c r="F13" s="24" t="inlineStr">
        <is>
          <t>Los Angeles Sparks</t>
        </is>
      </c>
      <c r="G13" s="24" t="inlineStr">
        <is>
          <t>Portland Fire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104</v>
      </c>
      <c r="M13" s="27" t="n">
        <v>2.04</v>
      </c>
      <c r="N13" s="28" t="n">
        <v>0.490196</v>
      </c>
      <c r="O13" s="28" t="n">
        <v>0.57112</v>
      </c>
      <c r="P13" s="28" t="n"/>
      <c r="Q13" s="28" t="n">
        <v>0.080924</v>
      </c>
      <c r="R13" s="26" t="n">
        <v>63</v>
      </c>
      <c r="S13" s="29" t="n">
        <v>1.25</v>
      </c>
      <c r="T13" s="24" t="inlineStr">
        <is>
          <t>wnba-elo-trend-lr-v4</t>
        </is>
      </c>
      <c r="U13" s="24" t="inlineStr">
        <is>
          <t>settled</t>
        </is>
      </c>
      <c r="V13" s="24" t="inlineStr">
        <is>
          <t>loss</t>
        </is>
      </c>
      <c r="W13" s="26" t="n">
        <v>106</v>
      </c>
      <c r="X13" s="26" t="n">
        <v>101</v>
      </c>
      <c r="Y13" s="25" t="n"/>
      <c r="Z13" s="26" t="n"/>
      <c r="AA13" s="28" t="n"/>
      <c r="AB13" s="28" t="n"/>
      <c r="AC13" s="30" t="n">
        <v>-1.25</v>
      </c>
      <c r="AD13" s="24" t="inlineStr">
        <is>
          <t>2026-08-02T23:11:53.720458Z</t>
        </is>
      </c>
      <c r="AE13" s="31" t="inlineStr">
        <is>
          <t>Learned LR call at threshold 0.5001; executable ask 0.4900 (aec-wnba-la-por-2026-08-02); model edge vs ask +0.0811. NOTE: NO_CALL_AVAILABILITY_PLAYER_UNMAPPED unavailable for this game — defaulted to neutral, other features used normally.</t>
        </is>
      </c>
      <c r="AF13" s="31" t="inlineStr">
        <is>
          <t>Learned model; shadow-qualified via operator override.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wnba-las</t>
        </is>
      </c>
      <c r="AQ13" s="24" t="inlineStr">
        <is>
          <t>Los Angeles Sparks</t>
        </is>
      </c>
      <c r="AR13" s="24" t="inlineStr">
        <is>
          <t>Los Angeles Sparks</t>
        </is>
      </c>
      <c r="AS13" s="24" t="inlineStr">
        <is>
          <t>wnba-por</t>
        </is>
      </c>
      <c r="AT13" s="24" t="inlineStr">
        <is>
          <t>Portland Fire</t>
        </is>
      </c>
      <c r="AU13" s="24" t="inlineStr">
        <is>
          <t>Portland Fire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7afd5274214b58b7efd7f7febc7be3ab33b92351cda5cc6403c0a39faea0cc8c</t>
        </is>
      </c>
      <c r="BB13" s="24" t="inlineStr">
        <is>
          <t>learned_lr</t>
        </is>
      </c>
      <c r="BC13" s="24" t="inlineStr">
        <is>
          <t>wnba-elo-trend-lr-v4</t>
        </is>
      </c>
      <c r="BD13" s="24" t="inlineStr">
        <is>
          <t>7afd5274214b58b7efd7f7febc7be3ab33b92351cda5cc6403c0a39faea0cc8c</t>
        </is>
      </c>
      <c r="BE13" s="24" t="inlineStr">
        <is>
          <t>58d7c01d51192db8</t>
        </is>
      </c>
      <c r="BF13" s="24" t="inlineStr">
        <is>
          <t>1</t>
        </is>
      </c>
      <c r="BG13" s="24" t="inlineStr">
        <is>
          <t>wnba-elo-trend-lr-v4</t>
        </is>
      </c>
      <c r="BH13" s="24" t="inlineStr">
        <is>
          <t>2026-08-02T19:27:38.881123Z</t>
        </is>
      </c>
      <c r="BI13" s="24" t="inlineStr">
        <is>
          <t>["same_event","same_team_same_day","same_league_same_day"]</t>
        </is>
      </c>
      <c r="BJ13" s="25" t="n"/>
      <c r="BK13" s="26" t="n">
        <v>104</v>
      </c>
      <c r="BL13" s="27" t="n">
        <v>2.04</v>
      </c>
      <c r="BM13" s="28" t="n">
        <v>0.490196</v>
      </c>
      <c r="BN13" s="28" t="n">
        <v>0.485149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0.5937045717</t>
        </is>
      </c>
      <c r="CD13" s="24" t="inlineStr">
        <is>
          <t>-1.420483</t>
        </is>
      </c>
      <c r="CE13" s="24" t="n"/>
      <c r="CF13" s="24" t="n"/>
      <c r="CG13" s="24" t="n"/>
      <c r="CH13" s="24" t="n"/>
      <c r="CI13" s="24" t="inlineStr">
        <is>
          <t>NO_CALL_AVAILABILITY_PLAYER_UNMAPPED</t>
        </is>
      </c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inlineStr">
        <is>
          <t>0.57112</t>
        </is>
      </c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0.490196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2f3026f2ebce4ef9</t>
        </is>
      </c>
      <c r="B14" s="24" t="inlineStr">
        <is>
          <t>2026-08-02T19:28:41.982598Z</t>
        </is>
      </c>
      <c r="C14" s="24" t="inlineStr">
        <is>
          <t>2026-08-02T19:00:00-0400</t>
        </is>
      </c>
      <c r="D14" s="24" t="inlineStr">
        <is>
          <t>401857109</t>
        </is>
      </c>
      <c r="E14" s="24" t="inlineStr">
        <is>
          <t>WNBA</t>
        </is>
      </c>
      <c r="F14" s="24" t="inlineStr">
        <is>
          <t>Connecticut Sun</t>
        </is>
      </c>
      <c r="G14" s="24" t="inlineStr">
        <is>
          <t>Dallas Wings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-488</v>
      </c>
      <c r="M14" s="27" t="n">
        <v>1.204918</v>
      </c>
      <c r="N14" s="28" t="n">
        <v>0.829932</v>
      </c>
      <c r="O14" s="28" t="n">
        <v>0.758559</v>
      </c>
      <c r="P14" s="28" t="n"/>
      <c r="Q14" s="28" t="n">
        <v>-0.07137300000000001</v>
      </c>
      <c r="R14" s="26" t="n">
        <v>0</v>
      </c>
      <c r="S14" s="29" t="n">
        <v>2</v>
      </c>
      <c r="T14" s="24" t="inlineStr">
        <is>
          <t>wnba-elo-trend-lr-v4</t>
        </is>
      </c>
      <c r="U14" s="24" t="inlineStr">
        <is>
          <t>settled</t>
        </is>
      </c>
      <c r="V14" s="24" t="inlineStr">
        <is>
          <t>win</t>
        </is>
      </c>
      <c r="W14" s="26" t="n">
        <v>63</v>
      </c>
      <c r="X14" s="26" t="n">
        <v>83</v>
      </c>
      <c r="Y14" s="25" t="n"/>
      <c r="Z14" s="26" t="n"/>
      <c r="AA14" s="28" t="n"/>
      <c r="AB14" s="28" t="n"/>
      <c r="AC14" s="30" t="n">
        <v>0.4098</v>
      </c>
      <c r="AD14" s="24" t="inlineStr">
        <is>
          <t>2026-08-03T02:33:58.703211Z</t>
        </is>
      </c>
      <c r="AE14" s="31" t="inlineStr">
        <is>
          <t>Learned LR call at threshold 0.5001; executable ask 0.8300 (aec-wnba-conn-dal-2026-08-02); model edge vs ask -0.0714. NOTE: NO_CALL_AVAILABILITY_PLAYER_UNMAPPED unavailable for this game — defaulted to neutral, other features used normally.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wnba-con</t>
        </is>
      </c>
      <c r="AQ14" s="24" t="inlineStr">
        <is>
          <t>Connecticut Sun</t>
        </is>
      </c>
      <c r="AR14" s="24" t="inlineStr">
        <is>
          <t>Connecticut Sun</t>
        </is>
      </c>
      <c r="AS14" s="24" t="inlineStr">
        <is>
          <t>wnba-dal</t>
        </is>
      </c>
      <c r="AT14" s="24" t="inlineStr">
        <is>
          <t>Dallas Wings</t>
        </is>
      </c>
      <c r="AU14" s="24" t="inlineStr">
        <is>
          <t>Dallas Wings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7afd5274214b58b7efd7f7febc7be3ab33b92351cda5cc6403c0a39faea0cc8c</t>
        </is>
      </c>
      <c r="BB14" s="24" t="inlineStr">
        <is>
          <t>learned_lr</t>
        </is>
      </c>
      <c r="BC14" s="24" t="inlineStr">
        <is>
          <t>wnba-elo-trend-lr-v4</t>
        </is>
      </c>
      <c r="BD14" s="24" t="inlineStr">
        <is>
          <t>7afd5274214b58b7efd7f7febc7be3ab33b92351cda5cc6403c0a39faea0cc8c</t>
        </is>
      </c>
      <c r="BE14" s="24" t="inlineStr">
        <is>
          <t>9c0c7cfe02317de7</t>
        </is>
      </c>
      <c r="BF14" s="24" t="inlineStr">
        <is>
          <t>1</t>
        </is>
      </c>
      <c r="BG14" s="24" t="inlineStr">
        <is>
          <t>wnba-elo-trend-lr-v4</t>
        </is>
      </c>
      <c r="BH14" s="24" t="inlineStr">
        <is>
          <t>2026-08-02T19:27:40.019420Z</t>
        </is>
      </c>
      <c r="BI14" s="24" t="inlineStr">
        <is>
          <t>["same_event","same_team_same_day","same_league_same_day"]</t>
        </is>
      </c>
      <c r="BJ14" s="25" t="n"/>
      <c r="BK14" s="26" t="n">
        <v>-488</v>
      </c>
      <c r="BL14" s="27" t="n">
        <v>1.204918</v>
      </c>
      <c r="BM14" s="28" t="n">
        <v>0.829932</v>
      </c>
      <c r="BN14" s="28" t="n">
        <v>0.821782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0.8648169599</t>
        </is>
      </c>
      <c r="CD14" s="24" t="inlineStr">
        <is>
          <t>-2.14749</t>
        </is>
      </c>
      <c r="CE14" s="24" t="n"/>
      <c r="CF14" s="24" t="n"/>
      <c r="CG14" s="24" t="n"/>
      <c r="CH14" s="24" t="n"/>
      <c r="CI14" s="24" t="inlineStr">
        <is>
          <t>NO_CALL_AVAILABILITY_PLAYER_UNMAPPED</t>
        </is>
      </c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inlineStr">
        <is>
          <t>0.758559</t>
        </is>
      </c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0.829932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4672b91740b0470e</t>
        </is>
      </c>
      <c r="B15" s="24" t="inlineStr">
        <is>
          <t>2026-08-02T23:14:34.350495Z</t>
        </is>
      </c>
      <c r="C15" s="24" t="inlineStr">
        <is>
          <t>2026-08-02T20:30:00-0400</t>
        </is>
      </c>
      <c r="D15" s="24" t="inlineStr">
        <is>
          <t>401857110</t>
        </is>
      </c>
      <c r="E15" s="24" t="inlineStr">
        <is>
          <t>WNBA</t>
        </is>
      </c>
      <c r="F15" s="24" t="inlineStr">
        <is>
          <t>Toronto Tempo</t>
        </is>
      </c>
      <c r="G15" s="24" t="inlineStr">
        <is>
          <t>Golden State Valkyries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-733</v>
      </c>
      <c r="M15" s="27" t="n">
        <v>1.136426</v>
      </c>
      <c r="N15" s="28" t="n">
        <v>0.879952</v>
      </c>
      <c r="O15" s="28" t="n">
        <v>0.772803</v>
      </c>
      <c r="P15" s="28" t="n"/>
      <c r="Q15" s="28" t="n">
        <v>-0.107149</v>
      </c>
      <c r="R15" s="26" t="n">
        <v>0</v>
      </c>
      <c r="S15" s="29" t="n">
        <v>2</v>
      </c>
      <c r="T15" s="24" t="inlineStr">
        <is>
          <t>wnba-elo-trend-lr-v4</t>
        </is>
      </c>
      <c r="U15" s="24" t="inlineStr">
        <is>
          <t>settled</t>
        </is>
      </c>
      <c r="V15" s="24" t="inlineStr">
        <is>
          <t>win</t>
        </is>
      </c>
      <c r="W15" s="26" t="n">
        <v>79</v>
      </c>
      <c r="X15" s="26" t="n">
        <v>96</v>
      </c>
      <c r="Y15" s="25" t="n"/>
      <c r="Z15" s="26" t="n"/>
      <c r="AA15" s="28" t="n"/>
      <c r="AB15" s="28" t="n"/>
      <c r="AC15" s="30" t="n">
        <v>0.2729</v>
      </c>
      <c r="AD15" s="24" t="inlineStr">
        <is>
          <t>2026-08-03T02:34:06.515070Z</t>
        </is>
      </c>
      <c r="AE15" s="31" t="inlineStr">
        <is>
          <t>Learned LR call at threshold 0.5001; executable ask 0.8800 (aec-wnba-tor-gsv-2026-08-02); model edge vs ask -0.1072. NOTE: NO_CALL_AVAILABILITY_PLAYER_UNMAPPED unavailable for this game — defaulted to neutral, other features used normally.</t>
        </is>
      </c>
      <c r="AF15" s="31" t="inlineStr">
        <is>
          <t>Learned model; shadow-qualified via operator override.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wnba-tor</t>
        </is>
      </c>
      <c r="AQ15" s="24" t="inlineStr">
        <is>
          <t>Toronto Tempo</t>
        </is>
      </c>
      <c r="AR15" s="24" t="inlineStr">
        <is>
          <t>Toronto Tempo</t>
        </is>
      </c>
      <c r="AS15" s="24" t="inlineStr">
        <is>
          <t>wnba-gsv</t>
        </is>
      </c>
      <c r="AT15" s="24" t="inlineStr">
        <is>
          <t>Golden State Valkyries</t>
        </is>
      </c>
      <c r="AU15" s="24" t="inlineStr">
        <is>
          <t>Golden State Valkyries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7afd5274214b58b7efd7f7febc7be3ab33b92351cda5cc6403c0a39faea0cc8c</t>
        </is>
      </c>
      <c r="BB15" s="24" t="inlineStr">
        <is>
          <t>learned_lr</t>
        </is>
      </c>
      <c r="BC15" s="24" t="inlineStr">
        <is>
          <t>wnba-elo-trend-lr-v4</t>
        </is>
      </c>
      <c r="BD15" s="24" t="inlineStr">
        <is>
          <t>7afd5274214b58b7efd7f7febc7be3ab33b92351cda5cc6403c0a39faea0cc8c</t>
        </is>
      </c>
      <c r="BE15" s="24" t="inlineStr">
        <is>
          <t>c1ef9fc1d2a3714a</t>
        </is>
      </c>
      <c r="BF15" s="24" t="inlineStr">
        <is>
          <t>1</t>
        </is>
      </c>
      <c r="BG15" s="24" t="inlineStr">
        <is>
          <t>wnba-elo-trend-lr-v4</t>
        </is>
      </c>
      <c r="BH15" s="24" t="inlineStr">
        <is>
          <t>2026-08-02T23:13:58.588337Z</t>
        </is>
      </c>
      <c r="BI15" s="24" t="inlineStr">
        <is>
          <t>["same_event","same_team_same_day","same_league_same_day"]</t>
        </is>
      </c>
      <c r="BJ15" s="25" t="n"/>
      <c r="BK15" s="26" t="n">
        <v>-733</v>
      </c>
      <c r="BL15" s="27" t="n">
        <v>1.136426</v>
      </c>
      <c r="BM15" s="28" t="n">
        <v>0.879952</v>
      </c>
      <c r="BN15" s="28" t="n">
        <v>0.871287</v>
      </c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0.8973864278</t>
        </is>
      </c>
      <c r="CD15" s="24" t="inlineStr">
        <is>
          <t>2.248193</t>
        </is>
      </c>
      <c r="CE15" s="24" t="n"/>
      <c r="CF15" s="24" t="n"/>
      <c r="CG15" s="24" t="n"/>
      <c r="CH15" s="24" t="n"/>
      <c r="CI15" s="24" t="inlineStr">
        <is>
          <t>NO_CALL_AVAILABILITY_PLAYER_UNMAPPED</t>
        </is>
      </c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inlineStr">
        <is>
          <t>0.772803</t>
        </is>
      </c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0.879952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f4b42db9be7540a3</t>
        </is>
      </c>
      <c r="B16" s="24" t="inlineStr">
        <is>
          <t>2026-08-03T22:56:28.208831Z</t>
        </is>
      </c>
      <c r="C16" s="24" t="inlineStr">
        <is>
          <t>2026-08-03T19:00:00-0400</t>
        </is>
      </c>
      <c r="D16" s="24" t="inlineStr">
        <is>
          <t>401857111</t>
        </is>
      </c>
      <c r="E16" s="24" t="inlineStr">
        <is>
          <t>WNBA</t>
        </is>
      </c>
      <c r="F16" s="24" t="inlineStr">
        <is>
          <t>Las Vegas Aces</t>
        </is>
      </c>
      <c r="G16" s="24" t="inlineStr">
        <is>
          <t>Atlanta Dream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0.51407</v>
      </c>
      <c r="P16" s="28" t="n"/>
      <c r="Q16" s="28" t="n">
        <v>-0.045401</v>
      </c>
      <c r="R16" s="26" t="n">
        <v>0</v>
      </c>
      <c r="S16" s="29" t="n">
        <v>1</v>
      </c>
      <c r="T16" s="24" t="inlineStr">
        <is>
          <t>wnba-elo-trend-lr-v4</t>
        </is>
      </c>
      <c r="U16" s="24" t="inlineStr">
        <is>
          <t>settled</t>
        </is>
      </c>
      <c r="V16" s="24" t="inlineStr">
        <is>
          <t>loss</t>
        </is>
      </c>
      <c r="W16" s="26" t="n">
        <v>109</v>
      </c>
      <c r="X16" s="26" t="n">
        <v>87</v>
      </c>
      <c r="Y16" s="25" t="n"/>
      <c r="Z16" s="26" t="n"/>
      <c r="AA16" s="28" t="n"/>
      <c r="AB16" s="28" t="n"/>
      <c r="AC16" s="30" t="n">
        <v>-1</v>
      </c>
      <c r="AD16" s="24" t="inlineStr">
        <is>
          <t>2026-08-04T01:58:22.418529Z</t>
        </is>
      </c>
      <c r="AE16" s="31" t="inlineStr">
        <is>
          <t>Learned LR call at threshold 0.5001; executable ask 0.5600 (aec-wnba-lv-atl-2026-08-03); model edge vs ask -0.0459.</t>
        </is>
      </c>
      <c r="AF16" s="31" t="inlineStr">
        <is>
          <t>Learned model; shadow-qualified via operator override.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wnba-lva</t>
        </is>
      </c>
      <c r="AQ16" s="24" t="inlineStr">
        <is>
          <t>Las Vegas Aces</t>
        </is>
      </c>
      <c r="AR16" s="24" t="inlineStr">
        <is>
          <t>Las Vegas Aces</t>
        </is>
      </c>
      <c r="AS16" s="24" t="inlineStr">
        <is>
          <t>wnba-atl</t>
        </is>
      </c>
      <c r="AT16" s="24" t="inlineStr">
        <is>
          <t>Atlanta Dream</t>
        </is>
      </c>
      <c r="AU16" s="24" t="inlineStr">
        <is>
          <t>Atlanta Dream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7afd5274214b58b7efd7f7febc7be3ab33b92351cda5cc6403c0a39faea0cc8c</t>
        </is>
      </c>
      <c r="BB16" s="24" t="inlineStr">
        <is>
          <t>learned_lr</t>
        </is>
      </c>
      <c r="BC16" s="24" t="inlineStr">
        <is>
          <t>wnba-elo-trend-lr-v4</t>
        </is>
      </c>
      <c r="BD16" s="24" t="inlineStr">
        <is>
          <t>7afd5274214b58b7efd7f7febc7be3ab33b92351cda5cc6403c0a39faea0cc8c</t>
        </is>
      </c>
      <c r="BE16" s="24" t="inlineStr">
        <is>
          <t>b2ef49b6e91b5973</t>
        </is>
      </c>
      <c r="BF16" s="24" t="inlineStr">
        <is>
          <t>1</t>
        </is>
      </c>
      <c r="BG16" s="24" t="inlineStr">
        <is>
          <t>wnba-elo-trend-lr-v4</t>
        </is>
      </c>
      <c r="BH16" s="24" t="inlineStr">
        <is>
          <t>2026-08-03T22:56:02.794073Z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>
        <v>0.554455</v>
      </c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0.5210843216</t>
        </is>
      </c>
      <c r="CD16" s="24" t="inlineStr">
        <is>
          <t>2.457049</t>
        </is>
      </c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0.51407</t>
        </is>
      </c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0.559471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7e78f51d0c3f49f8</t>
        </is>
      </c>
      <c r="B17" s="24" t="inlineStr">
        <is>
          <t>2026-08-03T22:56:28.208831Z</t>
        </is>
      </c>
      <c r="C17" s="24" t="inlineStr">
        <is>
          <t>2026-08-03T19:00:00-0400</t>
        </is>
      </c>
      <c r="D17" s="24" t="inlineStr">
        <is>
          <t>401857112</t>
        </is>
      </c>
      <c r="E17" s="24" t="inlineStr">
        <is>
          <t>WNBA</t>
        </is>
      </c>
      <c r="F17" s="24" t="inlineStr">
        <is>
          <t>Seattle Storm</t>
        </is>
      </c>
      <c r="G17" s="24" t="inlineStr">
        <is>
          <t>New York Liberty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-300</v>
      </c>
      <c r="M17" s="27" t="n">
        <v>1.333333</v>
      </c>
      <c r="N17" s="28" t="n">
        <v>0.75</v>
      </c>
      <c r="O17" s="28" t="n">
        <v>0.668225</v>
      </c>
      <c r="P17" s="28" t="n"/>
      <c r="Q17" s="28" t="n">
        <v>-0.081775</v>
      </c>
      <c r="R17" s="26" t="n">
        <v>0</v>
      </c>
      <c r="S17" s="29" t="n">
        <v>1.75</v>
      </c>
      <c r="T17" s="24" t="inlineStr">
        <is>
          <t>wnba-elo-trend-lr-v4</t>
        </is>
      </c>
      <c r="U17" s="24" t="inlineStr">
        <is>
          <t>settled</t>
        </is>
      </c>
      <c r="V17" s="24" t="inlineStr">
        <is>
          <t>win</t>
        </is>
      </c>
      <c r="W17" s="26" t="n">
        <v>83</v>
      </c>
      <c r="X17" s="26" t="n">
        <v>95</v>
      </c>
      <c r="Y17" s="25" t="n"/>
      <c r="Z17" s="26" t="n"/>
      <c r="AA17" s="28" t="n"/>
      <c r="AB17" s="28" t="n"/>
      <c r="AC17" s="30" t="n">
        <v>0.5833</v>
      </c>
      <c r="AD17" s="24" t="inlineStr">
        <is>
          <t>2026-08-04T01:58:22.599025Z</t>
        </is>
      </c>
      <c r="AE17" s="31" t="inlineStr">
        <is>
          <t>Learned LR call at threshold 0.5001; executable ask 0.7500 (aec-wnba-sea-ny-2026-08-03); model edge vs ask -0.0818.</t>
        </is>
      </c>
      <c r="AF17" s="31" t="inlineStr">
        <is>
          <t>Learned model; shadow-qualified via operator override.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wnba-sea</t>
        </is>
      </c>
      <c r="AQ17" s="24" t="inlineStr">
        <is>
          <t>Seattle Storm</t>
        </is>
      </c>
      <c r="AR17" s="24" t="inlineStr">
        <is>
          <t>Seattle Storm</t>
        </is>
      </c>
      <c r="AS17" s="24" t="inlineStr">
        <is>
          <t>wnba-nyl</t>
        </is>
      </c>
      <c r="AT17" s="24" t="inlineStr">
        <is>
          <t>New York Liberty</t>
        </is>
      </c>
      <c r="AU17" s="24" t="inlineStr">
        <is>
          <t>New York Liberty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7afd5274214b58b7efd7f7febc7be3ab33b92351cda5cc6403c0a39faea0cc8c</t>
        </is>
      </c>
      <c r="BB17" s="24" t="inlineStr">
        <is>
          <t>learned_lr</t>
        </is>
      </c>
      <c r="BC17" s="24" t="inlineStr">
        <is>
          <t>wnba-elo-trend-lr-v4</t>
        </is>
      </c>
      <c r="BD17" s="24" t="inlineStr">
        <is>
          <t>7afd5274214b58b7efd7f7febc7be3ab33b92351cda5cc6403c0a39faea0cc8c</t>
        </is>
      </c>
      <c r="BE17" s="24" t="inlineStr">
        <is>
          <t>a7a2cf055acd172e</t>
        </is>
      </c>
      <c r="BF17" s="24" t="inlineStr">
        <is>
          <t>1</t>
        </is>
      </c>
      <c r="BG17" s="24" t="inlineStr">
        <is>
          <t>wnba-elo-trend-lr-v4</t>
        </is>
      </c>
      <c r="BH17" s="24" t="inlineStr">
        <is>
          <t>2026-08-03T22:56:03.448712Z</t>
        </is>
      </c>
      <c r="BI17" s="24" t="inlineStr">
        <is>
          <t>["same_event","same_team_same_day","same_league_same_day"]</t>
        </is>
      </c>
      <c r="BJ17" s="25" t="n"/>
      <c r="BK17" s="26" t="n">
        <v>-300</v>
      </c>
      <c r="BL17" s="27" t="n">
        <v>1.333333</v>
      </c>
      <c r="BM17" s="28" t="n">
        <v>0.75</v>
      </c>
      <c r="BN17" s="28" t="n">
        <v>0.742574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0.826825309</t>
        </is>
      </c>
      <c r="CD17" s="24" t="inlineStr">
        <is>
          <t>-1.349631</t>
        </is>
      </c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0.668225</t>
        </is>
      </c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0.75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eb5ee14f5b6c46f6</t>
        </is>
      </c>
      <c r="B18" s="24" t="inlineStr">
        <is>
          <t>2026-08-03T22:56:28.208831Z</t>
        </is>
      </c>
      <c r="C18" s="24" t="inlineStr">
        <is>
          <t>2026-08-03T21:00:00-0400</t>
        </is>
      </c>
      <c r="D18" s="24" t="inlineStr">
        <is>
          <t>401857113</t>
        </is>
      </c>
      <c r="E18" s="24" t="inlineStr">
        <is>
          <t>WNBA</t>
        </is>
      </c>
      <c r="F18" s="24" t="inlineStr">
        <is>
          <t>Phoenix Mercury</t>
        </is>
      </c>
      <c r="G18" s="24" t="inlineStr">
        <is>
          <t>Chicago Sky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117</v>
      </c>
      <c r="M18" s="27" t="n">
        <v>2.17</v>
      </c>
      <c r="N18" s="28" t="n">
        <v>0.460829</v>
      </c>
      <c r="O18" s="28" t="n">
        <v>0.580877</v>
      </c>
      <c r="P18" s="28" t="n"/>
      <c r="Q18" s="28" t="n">
        <v>0.120048</v>
      </c>
      <c r="R18" s="26" t="n">
        <v>83</v>
      </c>
      <c r="S18" s="29" t="n">
        <v>1.25</v>
      </c>
      <c r="T18" s="24" t="inlineStr">
        <is>
          <t>wnba-elo-trend-lr-v4</t>
        </is>
      </c>
      <c r="U18" s="24" t="inlineStr">
        <is>
          <t>settled</t>
        </is>
      </c>
      <c r="V18" s="24" t="inlineStr">
        <is>
          <t>loss</t>
        </is>
      </c>
      <c r="W18" s="26" t="n">
        <v>106</v>
      </c>
      <c r="X18" s="26" t="n">
        <v>101</v>
      </c>
      <c r="Y18" s="25" t="n"/>
      <c r="Z18" s="26" t="n"/>
      <c r="AA18" s="28" t="n"/>
      <c r="AB18" s="28" t="n"/>
      <c r="AC18" s="30" t="n">
        <v>-1.25</v>
      </c>
      <c r="AD18" s="24" t="inlineStr">
        <is>
          <t>2026-08-04T03:57:44.109194Z</t>
        </is>
      </c>
      <c r="AE18" s="31" t="inlineStr">
        <is>
          <t>Learned LR call at threshold 0.5001; executable ask 0.4600 (aec-wnba-phx-chi-2026-08-03); model edge vs ask +0.1209. NOTE: NO_CALL_AVAILABILITY_PLAYER_UNMAPPED unavailable for this game — defaulted to neutral, other features used normally.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wnba-phx</t>
        </is>
      </c>
      <c r="AQ18" s="24" t="inlineStr">
        <is>
          <t>Phoenix Mercury</t>
        </is>
      </c>
      <c r="AR18" s="24" t="inlineStr">
        <is>
          <t>Phoenix Mercury</t>
        </is>
      </c>
      <c r="AS18" s="24" t="inlineStr">
        <is>
          <t>wnba-chi</t>
        </is>
      </c>
      <c r="AT18" s="24" t="inlineStr">
        <is>
          <t>Chicago Sky</t>
        </is>
      </c>
      <c r="AU18" s="24" t="inlineStr">
        <is>
          <t>Chicago Sky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7afd5274214b58b7efd7f7febc7be3ab33b92351cda5cc6403c0a39faea0cc8c</t>
        </is>
      </c>
      <c r="BB18" s="24" t="inlineStr">
        <is>
          <t>learned_lr</t>
        </is>
      </c>
      <c r="BC18" s="24" t="inlineStr">
        <is>
          <t>wnba-elo-trend-lr-v4</t>
        </is>
      </c>
      <c r="BD18" s="24" t="inlineStr">
        <is>
          <t>7afd5274214b58b7efd7f7febc7be3ab33b92351cda5cc6403c0a39faea0cc8c</t>
        </is>
      </c>
      <c r="BE18" s="24" t="inlineStr">
        <is>
          <t>7a2885907d6a5230</t>
        </is>
      </c>
      <c r="BF18" s="24" t="inlineStr">
        <is>
          <t>1</t>
        </is>
      </c>
      <c r="BG18" s="24" t="inlineStr">
        <is>
          <t>wnba-elo-trend-lr-v4</t>
        </is>
      </c>
      <c r="BH18" s="24" t="inlineStr">
        <is>
          <t>2026-08-03T22:56:03.908601Z</t>
        </is>
      </c>
      <c r="BI18" s="24" t="inlineStr">
        <is>
          <t>["same_event","same_team_same_day","same_league_same_day"]</t>
        </is>
      </c>
      <c r="BJ18" s="25" t="n"/>
      <c r="BK18" s="26" t="n">
        <v>117</v>
      </c>
      <c r="BL18" s="27" t="n">
        <v>2.17</v>
      </c>
      <c r="BM18" s="28" t="n">
        <v>0.460829</v>
      </c>
      <c r="BN18" s="28" t="n">
        <v>0.455446</v>
      </c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0.6165118128</t>
        </is>
      </c>
      <c r="CD18" s="24" t="inlineStr">
        <is>
          <t>3.666063</t>
        </is>
      </c>
      <c r="CE18" s="24" t="n"/>
      <c r="CF18" s="24" t="n"/>
      <c r="CG18" s="24" t="n"/>
      <c r="CH18" s="24" t="n"/>
      <c r="CI18" s="24" t="inlineStr">
        <is>
          <t>NO_CALL_AVAILABILITY_PLAYER_UNMAPPED</t>
        </is>
      </c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0.580877</t>
        </is>
      </c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0.460829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b168d7d686c645e1</t>
        </is>
      </c>
      <c r="B19" s="24" t="inlineStr">
        <is>
          <t>2026-08-05T01:07:48.070985Z</t>
        </is>
      </c>
      <c r="C19" s="24" t="inlineStr">
        <is>
          <t>2026-08-04T22:00:00-0400</t>
        </is>
      </c>
      <c r="D19" s="24" t="inlineStr">
        <is>
          <t>401857114</t>
        </is>
      </c>
      <c r="E19" s="24" t="inlineStr">
        <is>
          <t>WNBA</t>
        </is>
      </c>
      <c r="F19" s="24" t="inlineStr">
        <is>
          <t>Toronto Tempo</t>
        </is>
      </c>
      <c r="G19" s="24" t="inlineStr">
        <is>
          <t>Golden State Valkyries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-614</v>
      </c>
      <c r="M19" s="27" t="n">
        <v>1.162866</v>
      </c>
      <c r="N19" s="28" t="n">
        <v>0.859944</v>
      </c>
      <c r="O19" s="28" t="n">
        <v>0.774468</v>
      </c>
      <c r="P19" s="28" t="n"/>
      <c r="Q19" s="28" t="n">
        <v>-0.085476</v>
      </c>
      <c r="R19" s="26" t="n">
        <v>0</v>
      </c>
      <c r="S19" s="29" t="n">
        <v>2</v>
      </c>
      <c r="T19" s="24" t="inlineStr">
        <is>
          <t>wnba-elo-trend-lr-v4</t>
        </is>
      </c>
      <c r="U19" s="24" t="inlineStr">
        <is>
          <t>settled</t>
        </is>
      </c>
      <c r="V19" s="24" t="inlineStr">
        <is>
          <t>win</t>
        </is>
      </c>
      <c r="W19" s="26" t="n">
        <v>82</v>
      </c>
      <c r="X19" s="26" t="n">
        <v>92</v>
      </c>
      <c r="Y19" s="25" t="n"/>
      <c r="Z19" s="26" t="n"/>
      <c r="AA19" s="28" t="n"/>
      <c r="AB19" s="28" t="n"/>
      <c r="AC19" s="30" t="n">
        <v>0.3257</v>
      </c>
      <c r="AD19" s="24" t="inlineStr">
        <is>
          <t>2026-08-05T04:21:25.381491Z</t>
        </is>
      </c>
      <c r="AE19" s="31" t="inlineStr">
        <is>
          <t>Learned LR call at threshold 0.5001; executable ask 0.8600 (aec-wnba-tor-gsv-2026-08-04); model edge vs ask -0.0855.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wnba-tor</t>
        </is>
      </c>
      <c r="AQ19" s="24" t="inlineStr">
        <is>
          <t>Toronto Tempo</t>
        </is>
      </c>
      <c r="AR19" s="24" t="inlineStr">
        <is>
          <t>Toronto Tempo</t>
        </is>
      </c>
      <c r="AS19" s="24" t="inlineStr">
        <is>
          <t>wnba-gsv</t>
        </is>
      </c>
      <c r="AT19" s="24" t="inlineStr">
        <is>
          <t>Golden State Valkyries</t>
        </is>
      </c>
      <c r="AU19" s="24" t="inlineStr">
        <is>
          <t>Golden State Valkyries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7afd5274214b58b7efd7f7febc7be3ab33b92351cda5cc6403c0a39faea0cc8c</t>
        </is>
      </c>
      <c r="BB19" s="24" t="inlineStr">
        <is>
          <t>learned_lr</t>
        </is>
      </c>
      <c r="BC19" s="24" t="inlineStr">
        <is>
          <t>wnba-elo-trend-lr-v4</t>
        </is>
      </c>
      <c r="BD19" s="24" t="inlineStr">
        <is>
          <t>7afd5274214b58b7efd7f7febc7be3ab33b92351cda5cc6403c0a39faea0cc8c</t>
        </is>
      </c>
      <c r="BE19" s="24" t="inlineStr">
        <is>
          <t>fb46ae94639bf9af</t>
        </is>
      </c>
      <c r="BF19" s="24" t="inlineStr">
        <is>
          <t>1</t>
        </is>
      </c>
      <c r="BG19" s="24" t="inlineStr">
        <is>
          <t>wnba-elo-trend-lr-v4</t>
        </is>
      </c>
      <c r="BH19" s="24" t="inlineStr">
        <is>
          <t>2026-08-05T01:07:13.594446Z</t>
        </is>
      </c>
      <c r="BI19" s="24" t="inlineStr">
        <is>
          <t>["same_event","same_team_same_day","same_league_same_day"]</t>
        </is>
      </c>
      <c r="BJ19" s="25" t="n"/>
      <c r="BK19" s="26" t="n">
        <v>-614</v>
      </c>
      <c r="BL19" s="27" t="n">
        <v>1.162866</v>
      </c>
      <c r="BM19" s="28" t="n">
        <v>0.859944</v>
      </c>
      <c r="BN19" s="28" t="n">
        <v>0.851485</v>
      </c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0.9026326565</t>
        </is>
      </c>
      <c r="CD19" s="24" t="inlineStr">
        <is>
          <t>2.972439</t>
        </is>
      </c>
      <c r="CE19" s="24" t="n"/>
      <c r="CF19" s="24" t="n"/>
      <c r="CG19" s="24" t="n"/>
      <c r="CH19" s="24" t="n"/>
      <c r="CI19" s="24" t="n"/>
      <c r="CJ19" s="24" t="inlineStr">
        <is>
          <t>1.230079</t>
        </is>
      </c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0.774468</t>
        </is>
      </c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0.859944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bde24094fcd540e4</t>
        </is>
      </c>
      <c r="B20" s="24" t="inlineStr">
        <is>
          <t>2026-08-07T21:56:24.360448Z</t>
        </is>
      </c>
      <c r="C20" s="24" t="inlineStr">
        <is>
          <t>2026-08-07T19:30:00-0400</t>
        </is>
      </c>
      <c r="D20" s="24" t="inlineStr">
        <is>
          <t>401857123</t>
        </is>
      </c>
      <c r="E20" s="24" t="inlineStr">
        <is>
          <t>WNBA</t>
        </is>
      </c>
      <c r="F20" s="24" t="inlineStr">
        <is>
          <t>Atlanta Dream</t>
        </is>
      </c>
      <c r="G20" s="24" t="inlineStr">
        <is>
          <t>Washington Mystics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194</v>
      </c>
      <c r="M20" s="27" t="n">
        <v>2.94</v>
      </c>
      <c r="N20" s="28" t="n">
        <v>0.340136</v>
      </c>
      <c r="O20" s="28" t="n">
        <v>0.561972</v>
      </c>
      <c r="P20" s="28" t="n"/>
      <c r="Q20" s="28" t="n">
        <v>0.221836</v>
      </c>
      <c r="R20" s="26" t="n">
        <v>100</v>
      </c>
      <c r="S20" s="29" t="n">
        <v>1</v>
      </c>
      <c r="T20" s="24" t="inlineStr">
        <is>
          <t>wnba-elo-trend-lr-v4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74</v>
      </c>
      <c r="X20" s="26" t="n">
        <v>79</v>
      </c>
      <c r="Y20" s="25" t="n"/>
      <c r="Z20" s="26" t="n"/>
      <c r="AA20" s="28" t="n"/>
      <c r="AB20" s="28" t="n"/>
      <c r="AC20" s="30" t="n">
        <v>1.94</v>
      </c>
      <c r="AD20" s="24" t="inlineStr">
        <is>
          <t>2026-08-08T04:03:09.389849Z</t>
        </is>
      </c>
      <c r="AE20" s="31" t="inlineStr">
        <is>
          <t>Learned LR call at threshold 0.5001; executable ask 0.3400 (aec-wnba-atl-wsh-2026-08-07); model edge vs ask +0.2220.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wnba-atl</t>
        </is>
      </c>
      <c r="AQ20" s="24" t="inlineStr">
        <is>
          <t>Atlanta Dream</t>
        </is>
      </c>
      <c r="AR20" s="24" t="inlineStr">
        <is>
          <t>Atlanta Dream</t>
        </is>
      </c>
      <c r="AS20" s="24" t="inlineStr">
        <is>
          <t>wnba-was</t>
        </is>
      </c>
      <c r="AT20" s="24" t="inlineStr">
        <is>
          <t>Washington Mystics</t>
        </is>
      </c>
      <c r="AU20" s="24" t="inlineStr">
        <is>
          <t>Washington Mystics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7afd5274214b58b7efd7f7febc7be3ab33b92351cda5cc6403c0a39faea0cc8c</t>
        </is>
      </c>
      <c r="BB20" s="24" t="inlineStr">
        <is>
          <t>learned_lr</t>
        </is>
      </c>
      <c r="BC20" s="24" t="inlineStr">
        <is>
          <t>wnba-elo-trend-lr-v4</t>
        </is>
      </c>
      <c r="BD20" s="24" t="inlineStr">
        <is>
          <t>7afd5274214b58b7efd7f7febc7be3ab33b92351cda5cc6403c0a39faea0cc8c</t>
        </is>
      </c>
      <c r="BE20" s="24" t="inlineStr">
        <is>
          <t>7527e38cbf3d298e</t>
        </is>
      </c>
      <c r="BF20" s="24" t="inlineStr">
        <is>
          <t>1</t>
        </is>
      </c>
      <c r="BG20" s="24" t="inlineStr">
        <is>
          <t>wnba-elo-trend-lr-v4</t>
        </is>
      </c>
      <c r="BH20" s="24" t="inlineStr">
        <is>
          <t>2026-08-07T21:56:00.000131Z</t>
        </is>
      </c>
      <c r="BI20" s="24" t="inlineStr">
        <is>
          <t>["same_event","same_team_same_day","same_league_same_day"]</t>
        </is>
      </c>
      <c r="BJ20" s="25" t="n"/>
      <c r="BK20" s="26" t="n">
        <v>194</v>
      </c>
      <c r="BL20" s="27" t="n">
        <v>2.94</v>
      </c>
      <c r="BM20" s="28" t="n">
        <v>0.340136</v>
      </c>
      <c r="BN20" s="28" t="n">
        <v>0.336634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0.5839932663</t>
        </is>
      </c>
      <c r="CD20" s="24" t="inlineStr">
        <is>
          <t>-1.592597</t>
        </is>
      </c>
      <c r="CE20" s="24" t="n"/>
      <c r="CF20" s="24" t="n"/>
      <c r="CG20" s="24" t="n"/>
      <c r="CH20" s="24" t="n"/>
      <c r="CI20" s="24" t="n"/>
      <c r="CJ20" s="24" t="inlineStr">
        <is>
          <t>6.900454</t>
        </is>
      </c>
      <c r="CK20" s="24" t="n"/>
      <c r="CL20" s="24" t="n"/>
      <c r="CM20" s="24" t="n"/>
      <c r="CN20" s="24" t="n"/>
      <c r="CO20" s="24" t="n"/>
      <c r="CP20" s="24" t="n"/>
      <c r="CQ20" s="24" t="n"/>
      <c r="CR20" s="24" t="inlineStr">
        <is>
          <t>0.561972</t>
        </is>
      </c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0.340136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6abb4415c15d45fe</t>
        </is>
      </c>
      <c r="B21" s="24" t="inlineStr">
        <is>
          <t>2026-08-08T18:35:59.410253Z</t>
        </is>
      </c>
      <c r="C21" s="24" t="inlineStr">
        <is>
          <t>2026-08-08T20:30:00-0400</t>
        </is>
      </c>
      <c r="D21" s="24" t="inlineStr">
        <is>
          <t>401857127</t>
        </is>
      </c>
      <c r="E21" s="24" t="inlineStr">
        <is>
          <t>WNBA</t>
        </is>
      </c>
      <c r="F21" s="24" t="inlineStr">
        <is>
          <t>Seattle Storm</t>
        </is>
      </c>
      <c r="G21" s="24" t="inlineStr">
        <is>
          <t>Portland Fire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100</v>
      </c>
      <c r="M21" s="27" t="n">
        <v>2</v>
      </c>
      <c r="N21" s="28" t="n">
        <v>0.5</v>
      </c>
      <c r="O21" s="28" t="n">
        <v>0.636385</v>
      </c>
      <c r="P21" s="28" t="n"/>
      <c r="Q21" s="28" t="n">
        <v>0.136385</v>
      </c>
      <c r="R21" s="26" t="n">
        <v>91</v>
      </c>
      <c r="S21" s="29" t="n">
        <v>1.5</v>
      </c>
      <c r="T21" s="24" t="inlineStr">
        <is>
          <t>wnba-elo-trend-lr-v4</t>
        </is>
      </c>
      <c r="U21" s="24" t="inlineStr">
        <is>
          <t>settled</t>
        </is>
      </c>
      <c r="V21" s="24" t="inlineStr">
        <is>
          <t>win</t>
        </is>
      </c>
      <c r="W21" s="26" t="n">
        <v>93</v>
      </c>
      <c r="X21" s="26" t="n">
        <v>100</v>
      </c>
      <c r="Y21" s="25" t="n"/>
      <c r="Z21" s="26" t="n"/>
      <c r="AA21" s="28" t="n"/>
      <c r="AB21" s="28" t="n"/>
      <c r="AC21" s="30" t="n">
        <v>1.5</v>
      </c>
      <c r="AD21" s="24" t="inlineStr">
        <is>
          <t>2026-08-09T05:12:03.525470Z</t>
        </is>
      </c>
      <c r="AE21" s="31" t="inlineStr">
        <is>
          <t>Learned LR call at threshold 0.5001; executable ask 0.5000 (aec-wnba-sea-por-2026-08-08); model edge vs ask +0.1364. NOTE: NO_CALL_AVAILABILITY_SOURCE_CONFLICT unavailable for this game — defaulted to neutral, other features used normally.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wnba-sea</t>
        </is>
      </c>
      <c r="AQ21" s="24" t="inlineStr">
        <is>
          <t>Seattle Storm</t>
        </is>
      </c>
      <c r="AR21" s="24" t="inlineStr">
        <is>
          <t>Seattle Storm</t>
        </is>
      </c>
      <c r="AS21" s="24" t="inlineStr">
        <is>
          <t>wnba-por</t>
        </is>
      </c>
      <c r="AT21" s="24" t="inlineStr">
        <is>
          <t>Portland Fire</t>
        </is>
      </c>
      <c r="AU21" s="24" t="inlineStr">
        <is>
          <t>Portland Fire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7afd5274214b58b7efd7f7febc7be3ab33b92351cda5cc6403c0a39faea0cc8c</t>
        </is>
      </c>
      <c r="BB21" s="24" t="inlineStr">
        <is>
          <t>learned_lr</t>
        </is>
      </c>
      <c r="BC21" s="24" t="inlineStr">
        <is>
          <t>wnba-elo-trend-lr-v4</t>
        </is>
      </c>
      <c r="BD21" s="24" t="inlineStr">
        <is>
          <t>7afd5274214b58b7efd7f7febc7be3ab33b92351cda5cc6403c0a39faea0cc8c</t>
        </is>
      </c>
      <c r="BE21" s="24" t="inlineStr">
        <is>
          <t>c4f4370995132da0</t>
        </is>
      </c>
      <c r="BF21" s="24" t="inlineStr">
        <is>
          <t>1</t>
        </is>
      </c>
      <c r="BG21" s="24" t="inlineStr">
        <is>
          <t>wnba-elo-trend-lr-v4</t>
        </is>
      </c>
      <c r="BH21" s="24" t="inlineStr">
        <is>
          <t>2026-08-08T18:35:41.814320Z</t>
        </is>
      </c>
      <c r="BI21" s="24" t="inlineStr">
        <is>
          <t>["same_event","same_team_same_day","same_league_same_day"]</t>
        </is>
      </c>
      <c r="BJ21" s="25" t="n"/>
      <c r="BK21" s="26" t="n">
        <v>100</v>
      </c>
      <c r="BL21" s="27" t="n">
        <v>2</v>
      </c>
      <c r="BM21" s="28" t="n">
        <v>0.5</v>
      </c>
      <c r="BN21" s="28" t="n">
        <v>0.49505</v>
      </c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0.6792726129</t>
        </is>
      </c>
      <c r="CD21" s="24" t="inlineStr">
        <is>
          <t>-3.251216</t>
        </is>
      </c>
      <c r="CE21" s="24" t="n"/>
      <c r="CF21" s="24" t="n"/>
      <c r="CG21" s="24" t="n"/>
      <c r="CH21" s="24" t="n"/>
      <c r="CI21" s="24" t="inlineStr">
        <is>
          <t>NO_CALL_AVAILABILITY_SOURCE_CONFLICT</t>
        </is>
      </c>
      <c r="CJ21" s="24" t="inlineStr">
        <is>
          <t>6.663423</t>
        </is>
      </c>
      <c r="CK21" s="24" t="n"/>
      <c r="CL21" s="24" t="n"/>
      <c r="CM21" s="24" t="n"/>
      <c r="CN21" s="24" t="n"/>
      <c r="CO21" s="24" t="n"/>
      <c r="CP21" s="24" t="n"/>
      <c r="CQ21" s="24" t="n"/>
      <c r="CR21" s="24" t="inlineStr">
        <is>
          <t>0.636385</t>
        </is>
      </c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21ce05a60e8d4051</t>
        </is>
      </c>
      <c r="B22" s="24" t="inlineStr">
        <is>
          <t>2026-08-09T13:59:23.763456Z</t>
        </is>
      </c>
      <c r="C22" s="24" t="inlineStr">
        <is>
          <t>2026-08-09T12:30:00-0400</t>
        </is>
      </c>
      <c r="D22" s="24" t="inlineStr">
        <is>
          <t>401857128</t>
        </is>
      </c>
      <c r="E22" s="24" t="inlineStr">
        <is>
          <t>WNBA</t>
        </is>
      </c>
      <c r="F22" s="24" t="inlineStr">
        <is>
          <t>Las Vegas Aces</t>
        </is>
      </c>
      <c r="G22" s="24" t="inlineStr">
        <is>
          <t>New York Liberty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300</v>
      </c>
      <c r="M22" s="27" t="n">
        <v>4</v>
      </c>
      <c r="N22" s="28" t="n">
        <v>0.25</v>
      </c>
      <c r="O22" s="28" t="n">
        <v>0.513331</v>
      </c>
      <c r="P22" s="28" t="n"/>
      <c r="Q22" s="28" t="n">
        <v>0.263331</v>
      </c>
      <c r="R22" s="26" t="n">
        <v>100</v>
      </c>
      <c r="S22" s="29" t="n">
        <v>1</v>
      </c>
      <c r="T22" s="24" t="inlineStr">
        <is>
          <t>wnba-elo-trend-lr-v4</t>
        </is>
      </c>
      <c r="U22" s="24" t="inlineStr">
        <is>
          <t>settled</t>
        </is>
      </c>
      <c r="V22" s="24" t="inlineStr">
        <is>
          <t>loss</t>
        </is>
      </c>
      <c r="W22" s="26" t="n">
        <v>71</v>
      </c>
      <c r="X22" s="26" t="n">
        <v>111</v>
      </c>
      <c r="Y22" s="25" t="n"/>
      <c r="Z22" s="26" t="n"/>
      <c r="AA22" s="28" t="n"/>
      <c r="AB22" s="28" t="n"/>
      <c r="AC22" s="30" t="n">
        <v>-1</v>
      </c>
      <c r="AD22" s="24" t="inlineStr">
        <is>
          <t>2026-08-09T20:24:25.527598Z</t>
        </is>
      </c>
      <c r="AE22" s="31" t="inlineStr">
        <is>
          <t>Learned LR call at threshold 0.5001; executable ask 0.2500 (aec-wnba-lv-ny-2026-08-09); model edge vs ask +0.2633. NOTE: NO_CALL_AVAILABILITY_SOURCE_CONFLICT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wnba-lva</t>
        </is>
      </c>
      <c r="AQ22" s="24" t="inlineStr">
        <is>
          <t>Las Vegas Aces</t>
        </is>
      </c>
      <c r="AR22" s="24" t="inlineStr">
        <is>
          <t>Las Vegas Aces</t>
        </is>
      </c>
      <c r="AS22" s="24" t="inlineStr">
        <is>
          <t>wnba-nyl</t>
        </is>
      </c>
      <c r="AT22" s="24" t="inlineStr">
        <is>
          <t>New York Liberty</t>
        </is>
      </c>
      <c r="AU22" s="24" t="inlineStr">
        <is>
          <t>New York Liberty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7afd5274214b58b7efd7f7febc7be3ab33b92351cda5cc6403c0a39faea0cc8c</t>
        </is>
      </c>
      <c r="BB22" s="24" t="inlineStr">
        <is>
          <t>learned_lr</t>
        </is>
      </c>
      <c r="BC22" s="24" t="inlineStr">
        <is>
          <t>wnba-elo-trend-lr-v4</t>
        </is>
      </c>
      <c r="BD22" s="24" t="inlineStr">
        <is>
          <t>7afd5274214b58b7efd7f7febc7be3ab33b92351cda5cc6403c0a39faea0cc8c</t>
        </is>
      </c>
      <c r="BE22" s="24" t="inlineStr">
        <is>
          <t>326af12f4add44d3</t>
        </is>
      </c>
      <c r="BF22" s="24" t="inlineStr">
        <is>
          <t>1</t>
        </is>
      </c>
      <c r="BG22" s="24" t="inlineStr">
        <is>
          <t>wnba-elo-trend-lr-v4</t>
        </is>
      </c>
      <c r="BH22" s="24" t="inlineStr">
        <is>
          <t>2026-08-09T13:58:13.130881Z</t>
        </is>
      </c>
      <c r="BI22" s="24" t="inlineStr">
        <is>
          <t>["same_event","same_team_same_day","same_league_same_day"]</t>
        </is>
      </c>
      <c r="BJ22" s="25" t="n"/>
      <c r="BK22" s="26" t="n">
        <v>300</v>
      </c>
      <c r="BL22" s="27" t="n">
        <v>4</v>
      </c>
      <c r="BM22" s="28" t="n">
        <v>0.25</v>
      </c>
      <c r="BN22" s="28" t="n">
        <v>0.247525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0.4879470816</t>
        </is>
      </c>
      <c r="CD22" s="24" t="inlineStr">
        <is>
          <t>3.090342</t>
        </is>
      </c>
      <c r="CE22" s="24" t="n"/>
      <c r="CF22" s="24" t="n"/>
      <c r="CG22" s="24" t="n"/>
      <c r="CH22" s="24" t="n"/>
      <c r="CI22" s="24" t="inlineStr">
        <is>
          <t>NO_CALL_AVAILABILITY_SOURCE_CONFLICT</t>
        </is>
      </c>
      <c r="CJ22" s="24" t="inlineStr">
        <is>
          <t>-3.371641</t>
        </is>
      </c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0.513331</t>
        </is>
      </c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0.25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9bb87c61647d4403</t>
        </is>
      </c>
      <c r="B23" s="24" t="inlineStr">
        <is>
          <t>2026-08-09T17:06:21.079905Z</t>
        </is>
      </c>
      <c r="C23" s="24" t="inlineStr">
        <is>
          <t>2026-08-09T15:00:00-0400</t>
        </is>
      </c>
      <c r="D23" s="24" t="inlineStr">
        <is>
          <t>401857129</t>
        </is>
      </c>
      <c r="E23" s="24" t="inlineStr">
        <is>
          <t>WNBA</t>
        </is>
      </c>
      <c r="F23" s="24" t="inlineStr">
        <is>
          <t>Phoenix Mercury</t>
        </is>
      </c>
      <c r="G23" s="24" t="inlineStr">
        <is>
          <t>Washington Mystics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-113</v>
      </c>
      <c r="M23" s="27" t="n">
        <v>1.884956</v>
      </c>
      <c r="N23" s="28" t="n">
        <v>0.530516</v>
      </c>
      <c r="O23" s="28" t="n">
        <v>0.695232</v>
      </c>
      <c r="P23" s="28" t="n"/>
      <c r="Q23" s="28" t="n">
        <v>0.164716</v>
      </c>
      <c r="R23" s="26" t="n">
        <v>100</v>
      </c>
      <c r="S23" s="29" t="n">
        <v>2</v>
      </c>
      <c r="T23" s="24" t="inlineStr">
        <is>
          <t>wnba-elo-trend-lr-v4</t>
        </is>
      </c>
      <c r="U23" s="24" t="inlineStr">
        <is>
          <t>settled</t>
        </is>
      </c>
      <c r="V23" s="24" t="inlineStr">
        <is>
          <t>win</t>
        </is>
      </c>
      <c r="W23" s="26" t="n">
        <v>75</v>
      </c>
      <c r="X23" s="26" t="n">
        <v>95</v>
      </c>
      <c r="Y23" s="25" t="n"/>
      <c r="Z23" s="26" t="n"/>
      <c r="AA23" s="28" t="n"/>
      <c r="AB23" s="28" t="n"/>
      <c r="AC23" s="30" t="n">
        <v>1.7699</v>
      </c>
      <c r="AD23" s="24" t="inlineStr">
        <is>
          <t>2026-08-09T23:28:57.101159Z</t>
        </is>
      </c>
      <c r="AE23" s="31" t="inlineStr">
        <is>
          <t>Learned LR call at threshold 0.5001; executable ask 0.5300 (aec-wnba-phx-wsh-2026-08-09); model edge vs ask +0.1652. NOTE: NO_CALL_AVAILABILITY_SOURCE_CONFLICT unavailable for this game — defaulted to neutral, other features used normally.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wnba-phx</t>
        </is>
      </c>
      <c r="AQ23" s="24" t="inlineStr">
        <is>
          <t>Phoenix Mercury</t>
        </is>
      </c>
      <c r="AR23" s="24" t="inlineStr">
        <is>
          <t>Phoenix Mercury</t>
        </is>
      </c>
      <c r="AS23" s="24" t="inlineStr">
        <is>
          <t>wnba-was</t>
        </is>
      </c>
      <c r="AT23" s="24" t="inlineStr">
        <is>
          <t>Washington Mystics</t>
        </is>
      </c>
      <c r="AU23" s="24" t="inlineStr">
        <is>
          <t>Washington Mystics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7afd5274214b58b7efd7f7febc7be3ab33b92351cda5cc6403c0a39faea0cc8c</t>
        </is>
      </c>
      <c r="BB23" s="24" t="inlineStr">
        <is>
          <t>learned_lr</t>
        </is>
      </c>
      <c r="BC23" s="24" t="inlineStr">
        <is>
          <t>wnba-elo-trend-lr-v4</t>
        </is>
      </c>
      <c r="BD23" s="24" t="inlineStr">
        <is>
          <t>7afd5274214b58b7efd7f7febc7be3ab33b92351cda5cc6403c0a39faea0cc8c</t>
        </is>
      </c>
      <c r="BE23" s="24" t="inlineStr">
        <is>
          <t>28057b4491fbc31b</t>
        </is>
      </c>
      <c r="BF23" s="24" t="inlineStr">
        <is>
          <t>1</t>
        </is>
      </c>
      <c r="BG23" s="24" t="inlineStr">
        <is>
          <t>wnba-elo-trend-lr-v4</t>
        </is>
      </c>
      <c r="BH23" s="24" t="inlineStr">
        <is>
          <t>2026-08-09T17:05:41.727182Z</t>
        </is>
      </c>
      <c r="BI23" s="24" t="inlineStr">
        <is>
          <t>["same_event","same_team_same_day","same_league_same_day"]</t>
        </is>
      </c>
      <c r="BJ23" s="25" t="n"/>
      <c r="BK23" s="26" t="n">
        <v>-113</v>
      </c>
      <c r="BL23" s="27" t="n">
        <v>1.884956</v>
      </c>
      <c r="BM23" s="28" t="n">
        <v>0.530516</v>
      </c>
      <c r="BN23" s="28" t="n">
        <v>0.524752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0.7723991943</t>
        </is>
      </c>
      <c r="CD23" s="24" t="inlineStr">
        <is>
          <t>0.96982</t>
        </is>
      </c>
      <c r="CE23" s="24" t="n"/>
      <c r="CF23" s="24" t="n"/>
      <c r="CG23" s="24" t="n"/>
      <c r="CH23" s="24" t="n"/>
      <c r="CI23" s="24" t="inlineStr">
        <is>
          <t>NO_CALL_AVAILABILITY_SOURCE_CONFLICT</t>
        </is>
      </c>
      <c r="CJ23" s="24" t="inlineStr">
        <is>
          <t>6.116575</t>
        </is>
      </c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0.695232</t>
        </is>
      </c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0.530516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cb2c0aa7c6c446e9</t>
        </is>
      </c>
      <c r="B24" s="24" t="inlineStr">
        <is>
          <t>2026-08-09T20:27:02.435009Z</t>
        </is>
      </c>
      <c r="C24" s="24" t="inlineStr">
        <is>
          <t>2026-08-09T19:00:00-0400</t>
        </is>
      </c>
      <c r="D24" s="24" t="inlineStr">
        <is>
          <t>401857131</t>
        </is>
      </c>
      <c r="E24" s="24" t="inlineStr">
        <is>
          <t>WNBA</t>
        </is>
      </c>
      <c r="F24" s="24" t="inlineStr">
        <is>
          <t>Golden State Valkyries</t>
        </is>
      </c>
      <c r="G24" s="24" t="inlineStr">
        <is>
          <t>Los Angeles Sparks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-233</v>
      </c>
      <c r="M24" s="27" t="n">
        <v>1.429185</v>
      </c>
      <c r="N24" s="28" t="n">
        <v>0.6997</v>
      </c>
      <c r="O24" s="28" t="n">
        <v>0.68049</v>
      </c>
      <c r="P24" s="28" t="n"/>
      <c r="Q24" s="28" t="n">
        <v>-0.01921</v>
      </c>
      <c r="R24" s="26" t="n">
        <v>14</v>
      </c>
      <c r="S24" s="29" t="n">
        <v>1.75</v>
      </c>
      <c r="T24" s="24" t="inlineStr">
        <is>
          <t>wnba-elo-trend-lr-v4</t>
        </is>
      </c>
      <c r="U24" s="24" t="inlineStr">
        <is>
          <t>settled</t>
        </is>
      </c>
      <c r="V24" s="24" t="inlineStr">
        <is>
          <t>win</t>
        </is>
      </c>
      <c r="W24" s="26" t="n">
        <v>84</v>
      </c>
      <c r="X24" s="26" t="n">
        <v>78</v>
      </c>
      <c r="Y24" s="25" t="n"/>
      <c r="Z24" s="26" t="n"/>
      <c r="AA24" s="28" t="n"/>
      <c r="AB24" s="28" t="n"/>
      <c r="AC24" s="30" t="n">
        <v>0.7511</v>
      </c>
      <c r="AD24" s="24" t="inlineStr">
        <is>
          <t>2026-08-10T02:33:53.277745Z</t>
        </is>
      </c>
      <c r="AE24" s="31" t="inlineStr">
        <is>
          <t>Learned LR call at threshold 0.5001; executable ask 0.7000 (aec-wnba-gsv-la-2026-08-09); model edge vs ask -0.0195. NOTE: NO_CALL_AVAILABILITY_SOURCE_CONFLICT unavailable for this game — defaulted to neutral, other features used normally.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wnba-gsv</t>
        </is>
      </c>
      <c r="AQ24" s="24" t="inlineStr">
        <is>
          <t>Golden State Valkyries</t>
        </is>
      </c>
      <c r="AR24" s="24" t="inlineStr">
        <is>
          <t>Golden State Valkyries</t>
        </is>
      </c>
      <c r="AS24" s="24" t="inlineStr">
        <is>
          <t>wnba-las</t>
        </is>
      </c>
      <c r="AT24" s="24" t="inlineStr">
        <is>
          <t>Los Angeles Sparks</t>
        </is>
      </c>
      <c r="AU24" s="24" t="inlineStr">
        <is>
          <t>Los Angeles Sparks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7afd5274214b58b7efd7f7febc7be3ab33b92351cda5cc6403c0a39faea0cc8c</t>
        </is>
      </c>
      <c r="BB24" s="24" t="inlineStr">
        <is>
          <t>learned_lr</t>
        </is>
      </c>
      <c r="BC24" s="24" t="inlineStr">
        <is>
          <t>wnba-elo-trend-lr-v4</t>
        </is>
      </c>
      <c r="BD24" s="24" t="inlineStr">
        <is>
          <t>7afd5274214b58b7efd7f7febc7be3ab33b92351cda5cc6403c0a39faea0cc8c</t>
        </is>
      </c>
      <c r="BE24" s="24" t="inlineStr">
        <is>
          <t>3f8776ef716da556</t>
        </is>
      </c>
      <c r="BF24" s="24" t="inlineStr">
        <is>
          <t>1</t>
        </is>
      </c>
      <c r="BG24" s="24" t="inlineStr">
        <is>
          <t>wnba-elo-trend-lr-v4</t>
        </is>
      </c>
      <c r="BH24" s="24" t="inlineStr">
        <is>
          <t>2026-08-09T20:26:42.890552Z</t>
        </is>
      </c>
      <c r="BI24" s="24" t="inlineStr">
        <is>
          <t>["same_event","same_team_same_day","same_league_same_day"]</t>
        </is>
      </c>
      <c r="BJ24" s="25" t="n"/>
      <c r="BK24" s="26" t="n">
        <v>-233</v>
      </c>
      <c r="BL24" s="27" t="n">
        <v>1.429185</v>
      </c>
      <c r="BM24" s="28" t="n">
        <v>0.6997</v>
      </c>
      <c r="BN24" s="28" t="n">
        <v>0.693069</v>
      </c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0.2620546512</t>
        </is>
      </c>
      <c r="CD24" s="24" t="inlineStr">
        <is>
          <t>1.491968</t>
        </is>
      </c>
      <c r="CE24" s="24" t="n"/>
      <c r="CF24" s="24" t="n"/>
      <c r="CG24" s="24" t="n"/>
      <c r="CH24" s="24" t="n"/>
      <c r="CI24" s="24" t="inlineStr">
        <is>
          <t>NO_CALL_AVAILABILITY_SOURCE_CONFLICT</t>
        </is>
      </c>
      <c r="CJ24" s="24" t="inlineStr">
        <is>
          <t>-1.513705</t>
        </is>
      </c>
      <c r="CK24" s="24" t="n"/>
      <c r="CL24" s="24" t="n"/>
      <c r="CM24" s="24" t="n"/>
      <c r="CN24" s="24" t="n"/>
      <c r="CO24" s="24" t="n"/>
      <c r="CP24" s="24" t="n"/>
      <c r="CQ24" s="24" t="n"/>
      <c r="CR24" s="24" t="inlineStr">
        <is>
          <t>0.68049</t>
        </is>
      </c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0.6997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84e168c081034099</t>
        </is>
      </c>
      <c r="B25" s="24" t="inlineStr">
        <is>
          <t>2026-08-10T16:34:47.251195Z</t>
        </is>
      </c>
      <c r="C25" s="24" t="inlineStr">
        <is>
          <t>2026-08-10T20:00:00-0400</t>
        </is>
      </c>
      <c r="D25" s="24" t="inlineStr">
        <is>
          <t>401857132</t>
        </is>
      </c>
      <c r="E25" s="24" t="inlineStr">
        <is>
          <t>WNBA</t>
        </is>
      </c>
      <c r="F25" s="24" t="inlineStr">
        <is>
          <t>Toronto Tempo</t>
        </is>
      </c>
      <c r="G25" s="24" t="inlineStr">
        <is>
          <t>Atlanta Dream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-733</v>
      </c>
      <c r="M25" s="27" t="n">
        <v>1.136426</v>
      </c>
      <c r="N25" s="28" t="n">
        <v>0.879952</v>
      </c>
      <c r="O25" s="28" t="n">
        <v>0.737133</v>
      </c>
      <c r="P25" s="28" t="n"/>
      <c r="Q25" s="28" t="n">
        <v>-0.142819</v>
      </c>
      <c r="R25" s="26" t="n">
        <v>0</v>
      </c>
      <c r="S25" s="29" t="n">
        <v>2</v>
      </c>
      <c r="T25" s="24" t="inlineStr">
        <is>
          <t>wnba-elo-trend-lr-v4</t>
        </is>
      </c>
      <c r="U25" s="24" t="inlineStr">
        <is>
          <t>settled</t>
        </is>
      </c>
      <c r="V25" s="24" t="inlineStr">
        <is>
          <t>win</t>
        </is>
      </c>
      <c r="W25" s="26" t="n">
        <v>95</v>
      </c>
      <c r="X25" s="26" t="n">
        <v>107</v>
      </c>
      <c r="Y25" s="25" t="n"/>
      <c r="Z25" s="26" t="n"/>
      <c r="AA25" s="28" t="n"/>
      <c r="AB25" s="28" t="n"/>
      <c r="AC25" s="30" t="n">
        <v>0.2729</v>
      </c>
      <c r="AD25" s="24" t="inlineStr">
        <is>
          <t>2026-08-12T21:13:36.678663Z</t>
        </is>
      </c>
      <c r="AE25" s="31" t="inlineStr">
        <is>
          <t>Learned LR call at threshold 0.5001; executable ask 0.8800 (aec-wnba-tor-atl-2026-08-10); model edge vs ask -0.1429. NOTE: NO_CALL_AVAILABILITY_SOURCE_CONFLICT unavailable for this game — defaulted to neutral, other features used normally.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wnba-tor</t>
        </is>
      </c>
      <c r="AQ25" s="24" t="inlineStr">
        <is>
          <t>Toronto Tempo</t>
        </is>
      </c>
      <c r="AR25" s="24" t="inlineStr">
        <is>
          <t>Toronto Tempo</t>
        </is>
      </c>
      <c r="AS25" s="24" t="inlineStr">
        <is>
          <t>wnba-atl</t>
        </is>
      </c>
      <c r="AT25" s="24" t="inlineStr">
        <is>
          <t>Atlanta Dream</t>
        </is>
      </c>
      <c r="AU25" s="24" t="inlineStr">
        <is>
          <t>Atlanta Dream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7afd5274214b58b7efd7f7febc7be3ab33b92351cda5cc6403c0a39faea0cc8c</t>
        </is>
      </c>
      <c r="BB25" s="24" t="inlineStr">
        <is>
          <t>learned_lr</t>
        </is>
      </c>
      <c r="BC25" s="24" t="inlineStr">
        <is>
          <t>wnba-elo-trend-lr-v4</t>
        </is>
      </c>
      <c r="BD25" s="24" t="inlineStr">
        <is>
          <t>7afd5274214b58b7efd7f7febc7be3ab33b92351cda5cc6403c0a39faea0cc8c</t>
        </is>
      </c>
      <c r="BE25" s="24" t="inlineStr">
        <is>
          <t>cc3e04aa2e66419b</t>
        </is>
      </c>
      <c r="BF25" s="24" t="inlineStr">
        <is>
          <t>1</t>
        </is>
      </c>
      <c r="BG25" s="24" t="inlineStr">
        <is>
          <t>wnba-elo-trend-lr-v4</t>
        </is>
      </c>
      <c r="BH25" s="24" t="inlineStr">
        <is>
          <t>2026-08-10T16:34:14.661341Z</t>
        </is>
      </c>
      <c r="BI25" s="24" t="inlineStr">
        <is>
          <t>["same_event","same_team_same_day","same_league_same_day"]</t>
        </is>
      </c>
      <c r="BJ25" s="25" t="n"/>
      <c r="BK25" s="26" t="n">
        <v>-733</v>
      </c>
      <c r="BL25" s="27" t="n">
        <v>1.136426</v>
      </c>
      <c r="BM25" s="28" t="n">
        <v>0.879952</v>
      </c>
      <c r="BN25" s="28" t="n">
        <v>0.871287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0.8354799774</t>
        </is>
      </c>
      <c r="CD25" s="24" t="inlineStr">
        <is>
          <t>3.773711</t>
        </is>
      </c>
      <c r="CE25" s="24" t="n"/>
      <c r="CF25" s="24" t="n"/>
      <c r="CG25" s="24" t="n"/>
      <c r="CH25" s="24" t="n"/>
      <c r="CI25" s="24" t="inlineStr">
        <is>
          <t>NO_CALL_AVAILABILITY_SOURCE_CONFLICT</t>
        </is>
      </c>
      <c r="CJ25" s="24" t="inlineStr">
        <is>
          <t>-3.297793</t>
        </is>
      </c>
      <c r="CK25" s="24" t="n"/>
      <c r="CL25" s="24" t="n"/>
      <c r="CM25" s="24" t="n"/>
      <c r="CN25" s="24" t="n"/>
      <c r="CO25" s="24" t="n"/>
      <c r="CP25" s="24" t="n"/>
      <c r="CQ25" s="24" t="n"/>
      <c r="CR25" s="24" t="inlineStr">
        <is>
          <t>0.737133</t>
        </is>
      </c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0.879952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a01d4ac1e5f74584</t>
        </is>
      </c>
      <c r="B26" s="24" t="inlineStr">
        <is>
          <t>2026-08-10T16:34:47.251195Z</t>
        </is>
      </c>
      <c r="C26" s="24" t="inlineStr">
        <is>
          <t>2026-08-10T22:00:00-0400</t>
        </is>
      </c>
      <c r="D26" s="24" t="inlineStr">
        <is>
          <t>401857133</t>
        </is>
      </c>
      <c r="E26" s="24" t="inlineStr">
        <is>
          <t>WNBA</t>
        </is>
      </c>
      <c r="F26" s="24" t="inlineStr">
        <is>
          <t>Chicago Sky</t>
        </is>
      </c>
      <c r="G26" s="24" t="inlineStr">
        <is>
          <t>Seattle Storm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-113</v>
      </c>
      <c r="M26" s="27" t="n">
        <v>1.884956</v>
      </c>
      <c r="N26" s="28" t="n">
        <v>0.530516</v>
      </c>
      <c r="O26" s="28" t="n">
        <v>0.543228</v>
      </c>
      <c r="P26" s="28" t="n"/>
      <c r="Q26" s="28" t="n">
        <v>0.012712</v>
      </c>
      <c r="R26" s="26" t="n">
        <v>29</v>
      </c>
      <c r="S26" s="29" t="n">
        <v>1</v>
      </c>
      <c r="T26" s="24" t="inlineStr">
        <is>
          <t>wnba-elo-trend-lr-v4</t>
        </is>
      </c>
      <c r="U26" s="24" t="inlineStr">
        <is>
          <t>settled</t>
        </is>
      </c>
      <c r="V26" s="24" t="inlineStr">
        <is>
          <t>loss</t>
        </is>
      </c>
      <c r="W26" s="26" t="n">
        <v>88</v>
      </c>
      <c r="X26" s="26" t="n">
        <v>97</v>
      </c>
      <c r="Y26" s="25" t="n"/>
      <c r="Z26" s="26" t="n"/>
      <c r="AA26" s="28" t="n"/>
      <c r="AB26" s="28" t="n"/>
      <c r="AC26" s="30" t="n">
        <v>-1</v>
      </c>
      <c r="AD26" s="24" t="inlineStr">
        <is>
          <t>2026-08-12T21:13:36.979390Z</t>
        </is>
      </c>
      <c r="AE26" s="31" t="inlineStr">
        <is>
          <t>Learned LR call at threshold 0.5001; executable ask 0.5300 (aec-wnba-chi-sea-2026-08-10); model edge vs ask +0.0132.</t>
        </is>
      </c>
      <c r="AF26" s="31" t="inlineStr">
        <is>
          <t>Learned model; shadow-qualified via operator override.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wnba-chi</t>
        </is>
      </c>
      <c r="AQ26" s="24" t="inlineStr">
        <is>
          <t>Chicago Sky</t>
        </is>
      </c>
      <c r="AR26" s="24" t="inlineStr">
        <is>
          <t>Chicago Sky</t>
        </is>
      </c>
      <c r="AS26" s="24" t="inlineStr">
        <is>
          <t>wnba-sea</t>
        </is>
      </c>
      <c r="AT26" s="24" t="inlineStr">
        <is>
          <t>Seattle Storm</t>
        </is>
      </c>
      <c r="AU26" s="24" t="inlineStr">
        <is>
          <t>Seattle Storm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7afd5274214b58b7efd7f7febc7be3ab33b92351cda5cc6403c0a39faea0cc8c</t>
        </is>
      </c>
      <c r="BB26" s="24" t="inlineStr">
        <is>
          <t>learned_lr</t>
        </is>
      </c>
      <c r="BC26" s="24" t="inlineStr">
        <is>
          <t>wnba-elo-trend-lr-v4</t>
        </is>
      </c>
      <c r="BD26" s="24" t="inlineStr">
        <is>
          <t>7afd5274214b58b7efd7f7febc7be3ab33b92351cda5cc6403c0a39faea0cc8c</t>
        </is>
      </c>
      <c r="BE26" s="24" t="inlineStr">
        <is>
          <t>0f4dad8fd6dfb442</t>
        </is>
      </c>
      <c r="BF26" s="24" t="inlineStr">
        <is>
          <t>1</t>
        </is>
      </c>
      <c r="BG26" s="24" t="inlineStr">
        <is>
          <t>wnba-elo-trend-lr-v4</t>
        </is>
      </c>
      <c r="BH26" s="24" t="inlineStr">
        <is>
          <t>2026-08-10T16:34:14.903004Z</t>
        </is>
      </c>
      <c r="BI26" s="24" t="inlineStr">
        <is>
          <t>["same_event","same_team_same_day","same_league_same_day"]</t>
        </is>
      </c>
      <c r="BJ26" s="25" t="n"/>
      <c r="BK26" s="26" t="n">
        <v>-113</v>
      </c>
      <c r="BL26" s="27" t="n">
        <v>1.884956</v>
      </c>
      <c r="BM26" s="28" t="n">
        <v>0.530516</v>
      </c>
      <c r="BN26" s="28" t="n">
        <v>0.524752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0.4387952332</t>
        </is>
      </c>
      <c r="CD26" s="24" t="inlineStr">
        <is>
          <t>-0.915897</t>
        </is>
      </c>
      <c r="CE26" s="24" t="n"/>
      <c r="CF26" s="24" t="n"/>
      <c r="CG26" s="24" t="n"/>
      <c r="CH26" s="24" t="n"/>
      <c r="CI26" s="24" t="n"/>
      <c r="CJ26" s="24" t="inlineStr">
        <is>
          <t>-5.749741</t>
        </is>
      </c>
      <c r="CK26" s="24" t="n"/>
      <c r="CL26" s="24" t="n"/>
      <c r="CM26" s="24" t="n"/>
      <c r="CN26" s="24" t="n"/>
      <c r="CO26" s="24" t="n"/>
      <c r="CP26" s="24" t="n"/>
      <c r="CQ26" s="24" t="n"/>
      <c r="CR26" s="24" t="inlineStr">
        <is>
          <t>0.543228</t>
        </is>
      </c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0.530516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861a886108cf403d</t>
        </is>
      </c>
      <c r="B27" s="24" t="inlineStr">
        <is>
          <t>2026-08-12T21:16:50.725033Z</t>
        </is>
      </c>
      <c r="C27" s="24" t="inlineStr">
        <is>
          <t>2026-08-12T20:00:00-0400</t>
        </is>
      </c>
      <c r="D27" s="24" t="inlineStr">
        <is>
          <t>401857137</t>
        </is>
      </c>
      <c r="E27" s="24" t="inlineStr">
        <is>
          <t>WNBA</t>
        </is>
      </c>
      <c r="F27" s="24" t="inlineStr">
        <is>
          <t>Toronto Tempo</t>
        </is>
      </c>
      <c r="G27" s="24" t="inlineStr">
        <is>
          <t>Dallas Wings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-426</v>
      </c>
      <c r="M27" s="27" t="n">
        <v>1.234742</v>
      </c>
      <c r="N27" s="28" t="n">
        <v>0.809886</v>
      </c>
      <c r="O27" s="28" t="n">
        <v>0.752207</v>
      </c>
      <c r="P27" s="28" t="n"/>
      <c r="Q27" s="28" t="n">
        <v>-0.057679</v>
      </c>
      <c r="R27" s="26" t="n">
        <v>0</v>
      </c>
      <c r="S27" s="29" t="n">
        <v>2</v>
      </c>
      <c r="T27" s="24" t="inlineStr">
        <is>
          <t>wnba-elo-trend-lr-v4</t>
        </is>
      </c>
      <c r="U27" s="24" t="inlineStr">
        <is>
          <t>settled</t>
        </is>
      </c>
      <c r="V27" s="24" t="inlineStr">
        <is>
          <t>win</t>
        </is>
      </c>
      <c r="W27" s="26" t="n">
        <v>88</v>
      </c>
      <c r="X27" s="26" t="n">
        <v>94</v>
      </c>
      <c r="Y27" s="25" t="n"/>
      <c r="Z27" s="26" t="n"/>
      <c r="AA27" s="28" t="n"/>
      <c r="AB27" s="28" t="n"/>
      <c r="AC27" s="30" t="n">
        <v>0.4695</v>
      </c>
      <c r="AD27" s="24" t="inlineStr">
        <is>
          <t>2026-08-13T05:31:01.137054Z</t>
        </is>
      </c>
      <c r="AE27" s="31" t="inlineStr">
        <is>
          <t>Learned LR call at threshold 0.5001; executable ask 0.8100 (aec-wnba-tor-dal-2026-08-12); model edge vs ask -0.0578. NOTE: NO_CALL_AVAILABILITY_SOURCE_CONFLICT unavailable for this game — defaulted to neutral, other features used normally.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wnba-tor</t>
        </is>
      </c>
      <c r="AQ27" s="24" t="inlineStr">
        <is>
          <t>Toronto Tempo</t>
        </is>
      </c>
      <c r="AR27" s="24" t="inlineStr">
        <is>
          <t>Toronto Tempo</t>
        </is>
      </c>
      <c r="AS27" s="24" t="inlineStr">
        <is>
          <t>wnba-dal</t>
        </is>
      </c>
      <c r="AT27" s="24" t="inlineStr">
        <is>
          <t>Dallas Wings</t>
        </is>
      </c>
      <c r="AU27" s="24" t="inlineStr">
        <is>
          <t>Dallas Wings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7afd5274214b58b7efd7f7febc7be3ab33b92351cda5cc6403c0a39faea0cc8c</t>
        </is>
      </c>
      <c r="BB27" s="24" t="inlineStr">
        <is>
          <t>learned_lr</t>
        </is>
      </c>
      <c r="BC27" s="24" t="inlineStr">
        <is>
          <t>wnba-elo-trend-lr-v4</t>
        </is>
      </c>
      <c r="BD27" s="24" t="inlineStr">
        <is>
          <t>7afd5274214b58b7efd7f7febc7be3ab33b92351cda5cc6403c0a39faea0cc8c</t>
        </is>
      </c>
      <c r="BE27" s="24" t="inlineStr">
        <is>
          <t>bed262b4cc2cb026</t>
        </is>
      </c>
      <c r="BF27" s="24" t="inlineStr">
        <is>
          <t>1</t>
        </is>
      </c>
      <c r="BG27" s="24" t="inlineStr">
        <is>
          <t>wnba-elo-trend-lr-v4</t>
        </is>
      </c>
      <c r="BH27" s="24" t="inlineStr">
        <is>
          <t>2026-08-12T21:16:26.173511Z</t>
        </is>
      </c>
      <c r="BI27" s="24" t="inlineStr">
        <is>
          <t>["same_event","same_team_same_day","same_league_same_day"]</t>
        </is>
      </c>
      <c r="BJ27" s="25" t="n"/>
      <c r="BK27" s="26" t="n">
        <v>-426</v>
      </c>
      <c r="BL27" s="27" t="n">
        <v>1.234742</v>
      </c>
      <c r="BM27" s="28" t="n">
        <v>0.809886</v>
      </c>
      <c r="BN27" s="28" t="n">
        <v>0.80198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0.8593821994</t>
        </is>
      </c>
      <c r="CD27" s="24" t="inlineStr">
        <is>
          <t>1.688216</t>
        </is>
      </c>
      <c r="CE27" s="24" t="n"/>
      <c r="CF27" s="24" t="n"/>
      <c r="CG27" s="24" t="n"/>
      <c r="CH27" s="24" t="n"/>
      <c r="CI27" s="24" t="inlineStr">
        <is>
          <t>NO_CALL_AVAILABILITY_SOURCE_CONFLICT</t>
        </is>
      </c>
      <c r="CJ27" s="24" t="inlineStr">
        <is>
          <t>0.008501</t>
        </is>
      </c>
      <c r="CK27" s="24" t="n"/>
      <c r="CL27" s="24" t="n"/>
      <c r="CM27" s="24" t="n"/>
      <c r="CN27" s="24" t="n"/>
      <c r="CO27" s="24" t="n"/>
      <c r="CP27" s="24" t="n"/>
      <c r="CQ27" s="24" t="n"/>
      <c r="CR27" s="24" t="inlineStr">
        <is>
          <t>0.752207</t>
        </is>
      </c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0.809886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72137c22563b4746</t>
        </is>
      </c>
      <c r="B28" s="24" t="inlineStr">
        <is>
          <t>2026-08-12T21:16:50.725033Z</t>
        </is>
      </c>
      <c r="C28" s="24" t="inlineStr">
        <is>
          <t>2026-08-12T22:00:00-0400</t>
        </is>
      </c>
      <c r="D28" s="24" t="inlineStr">
        <is>
          <t>401857138</t>
        </is>
      </c>
      <c r="E28" s="24" t="inlineStr">
        <is>
          <t>WNBA</t>
        </is>
      </c>
      <c r="F28" s="24" t="inlineStr">
        <is>
          <t>Chicago Sky</t>
        </is>
      </c>
      <c r="G28" s="24" t="inlineStr">
        <is>
          <t>Golden State Valkyries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-376</v>
      </c>
      <c r="M28" s="27" t="n">
        <v>1.265957</v>
      </c>
      <c r="N28" s="28" t="n">
        <v>0.789916</v>
      </c>
      <c r="O28" s="28" t="n">
        <v>0.7756999999999999</v>
      </c>
      <c r="P28" s="28" t="n"/>
      <c r="Q28" s="28" t="n">
        <v>-0.014216</v>
      </c>
      <c r="R28" s="26" t="n">
        <v>17</v>
      </c>
      <c r="S28" s="29" t="n">
        <v>2</v>
      </c>
      <c r="T28" s="24" t="inlineStr">
        <is>
          <t>wnba-elo-trend-lr-v4</t>
        </is>
      </c>
      <c r="U28" s="24" t="inlineStr">
        <is>
          <t>settled</t>
        </is>
      </c>
      <c r="V28" s="24" t="inlineStr">
        <is>
          <t>win</t>
        </is>
      </c>
      <c r="W28" s="26" t="n">
        <v>71</v>
      </c>
      <c r="X28" s="26" t="n">
        <v>91</v>
      </c>
      <c r="Y28" s="25" t="n"/>
      <c r="Z28" s="26" t="n"/>
      <c r="AA28" s="28" t="n"/>
      <c r="AB28" s="28" t="n"/>
      <c r="AC28" s="30" t="n">
        <v>0.5319</v>
      </c>
      <c r="AD28" s="24" t="inlineStr">
        <is>
          <t>2026-08-13T05:31:01.522228Z</t>
        </is>
      </c>
      <c r="AE28" s="31" t="inlineStr">
        <is>
          <t>Learned LR call at threshold 0.5001; executable ask 0.7900 (aec-wnba-chi-gsv-2026-08-12); model edge vs ask -0.0143.</t>
        </is>
      </c>
      <c r="AF28" s="31" t="inlineStr">
        <is>
          <t>Learned model; shadow-qualified via operator override.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wnba-chi</t>
        </is>
      </c>
      <c r="AQ28" s="24" t="inlineStr">
        <is>
          <t>Chicago Sky</t>
        </is>
      </c>
      <c r="AR28" s="24" t="inlineStr">
        <is>
          <t>Chicago Sky</t>
        </is>
      </c>
      <c r="AS28" s="24" t="inlineStr">
        <is>
          <t>wnba-gsv</t>
        </is>
      </c>
      <c r="AT28" s="24" t="inlineStr">
        <is>
          <t>Golden State Valkyries</t>
        </is>
      </c>
      <c r="AU28" s="24" t="inlineStr">
        <is>
          <t>Golden State Valkyries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7afd5274214b58b7efd7f7febc7be3ab33b92351cda5cc6403c0a39faea0cc8c</t>
        </is>
      </c>
      <c r="BB28" s="24" t="inlineStr">
        <is>
          <t>learned_lr</t>
        </is>
      </c>
      <c r="BC28" s="24" t="inlineStr">
        <is>
          <t>wnba-elo-trend-lr-v4</t>
        </is>
      </c>
      <c r="BD28" s="24" t="inlineStr">
        <is>
          <t>7afd5274214b58b7efd7f7febc7be3ab33b92351cda5cc6403c0a39faea0cc8c</t>
        </is>
      </c>
      <c r="BE28" s="24" t="inlineStr">
        <is>
          <t>25be967f882f1f6d</t>
        </is>
      </c>
      <c r="BF28" s="24" t="inlineStr">
        <is>
          <t>1</t>
        </is>
      </c>
      <c r="BG28" s="24" t="inlineStr">
        <is>
          <t>wnba-elo-trend-lr-v4</t>
        </is>
      </c>
      <c r="BH28" s="24" t="inlineStr">
        <is>
          <t>2026-08-12T21:16:26.781920Z</t>
        </is>
      </c>
      <c r="BI28" s="24" t="inlineStr">
        <is>
          <t>["same_event","same_team_same_day","same_league_same_day"]</t>
        </is>
      </c>
      <c r="BJ28" s="25" t="n"/>
      <c r="BK28" s="26" t="n">
        <v>-376</v>
      </c>
      <c r="BL28" s="27" t="n">
        <v>1.265957</v>
      </c>
      <c r="BM28" s="28" t="n">
        <v>0.789916</v>
      </c>
      <c r="BN28" s="28" t="n">
        <v>0.782178</v>
      </c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0.8909512632</t>
        </is>
      </c>
      <c r="CD28" s="24" t="inlineStr">
        <is>
          <t>-3.866065</t>
        </is>
      </c>
      <c r="CE28" s="24" t="n"/>
      <c r="CF28" s="24" t="n"/>
      <c r="CG28" s="24" t="n"/>
      <c r="CH28" s="24" t="n"/>
      <c r="CI28" s="24" t="n"/>
      <c r="CJ28" s="24" t="inlineStr">
        <is>
          <t>2.087162</t>
        </is>
      </c>
      <c r="CK28" s="24" t="n"/>
      <c r="CL28" s="24" t="n"/>
      <c r="CM28" s="24" t="n"/>
      <c r="CN28" s="24" t="n"/>
      <c r="CO28" s="24" t="n"/>
      <c r="CP28" s="24" t="n"/>
      <c r="CQ28" s="24" t="n"/>
      <c r="CR28" s="24" t="inlineStr">
        <is>
          <t>0.7757</t>
        </is>
      </c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0.789916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e8731de8bd364854</t>
        </is>
      </c>
      <c r="B29" s="24" t="inlineStr">
        <is>
          <t>2026-08-12T21:16:50.725033Z</t>
        </is>
      </c>
      <c r="C29" s="24" t="inlineStr">
        <is>
          <t>2026-08-12T22:00:00-0400</t>
        </is>
      </c>
      <c r="D29" s="24" t="inlineStr">
        <is>
          <t>401857139</t>
        </is>
      </c>
      <c r="E29" s="24" t="inlineStr">
        <is>
          <t>WNBA</t>
        </is>
      </c>
      <c r="F29" s="24" t="inlineStr">
        <is>
          <t>Minnesota Lynx</t>
        </is>
      </c>
      <c r="G29" s="24" t="inlineStr">
        <is>
          <t>Portland Fire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-614</v>
      </c>
      <c r="M29" s="27" t="n">
        <v>1.162866</v>
      </c>
      <c r="N29" s="28" t="n">
        <v>0.859944</v>
      </c>
      <c r="O29" s="28" t="n">
        <v>0.723101</v>
      </c>
      <c r="P29" s="28" t="n"/>
      <c r="Q29" s="28" t="n">
        <v>-0.136843</v>
      </c>
      <c r="R29" s="26" t="n">
        <v>0</v>
      </c>
      <c r="S29" s="29" t="n">
        <v>2</v>
      </c>
      <c r="T29" s="24" t="inlineStr">
        <is>
          <t>wnba-elo-trend-lr-v4</t>
        </is>
      </c>
      <c r="U29" s="24" t="inlineStr">
        <is>
          <t>settled</t>
        </is>
      </c>
      <c r="V29" s="24" t="inlineStr">
        <is>
          <t>win</t>
        </is>
      </c>
      <c r="W29" s="26" t="n">
        <v>85</v>
      </c>
      <c r="X29" s="26" t="n">
        <v>81</v>
      </c>
      <c r="Y29" s="25" t="n"/>
      <c r="Z29" s="26" t="n"/>
      <c r="AA29" s="28" t="n"/>
      <c r="AB29" s="28" t="n"/>
      <c r="AC29" s="30" t="n">
        <v>0.3257</v>
      </c>
      <c r="AD29" s="24" t="inlineStr">
        <is>
          <t>2026-08-13T05:31:01.898406Z</t>
        </is>
      </c>
      <c r="AE29" s="31" t="inlineStr">
        <is>
          <t>Learned LR call at threshold 0.5001; executable ask 0.8600 (aec-wnba-min-por-2026-08-12); model edge vs ask -0.1369. NOTE: NO_CALL_AVAILABILITY_SOURCE_CONFLICT unavailable for this game — defaulted to neutral, other features used normally.</t>
        </is>
      </c>
      <c r="AF29" s="31" t="inlineStr">
        <is>
          <t>Learned model; shadow-qualified via operator override.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wnba-min</t>
        </is>
      </c>
      <c r="AQ29" s="24" t="inlineStr">
        <is>
          <t>Minnesota Lynx</t>
        </is>
      </c>
      <c r="AR29" s="24" t="inlineStr">
        <is>
          <t>Minnesota Lynx</t>
        </is>
      </c>
      <c r="AS29" s="24" t="inlineStr">
        <is>
          <t>wnba-por</t>
        </is>
      </c>
      <c r="AT29" s="24" t="inlineStr">
        <is>
          <t>Portland Fire</t>
        </is>
      </c>
      <c r="AU29" s="24" t="inlineStr">
        <is>
          <t>Portland Fire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7afd5274214b58b7efd7f7febc7be3ab33b92351cda5cc6403c0a39faea0cc8c</t>
        </is>
      </c>
      <c r="BB29" s="24" t="inlineStr">
        <is>
          <t>learned_lr</t>
        </is>
      </c>
      <c r="BC29" s="24" t="inlineStr">
        <is>
          <t>wnba-elo-trend-lr-v4</t>
        </is>
      </c>
      <c r="BD29" s="24" t="inlineStr">
        <is>
          <t>7afd5274214b58b7efd7f7febc7be3ab33b92351cda5cc6403c0a39faea0cc8c</t>
        </is>
      </c>
      <c r="BE29" s="24" t="inlineStr">
        <is>
          <t>54b300fef3816245</t>
        </is>
      </c>
      <c r="BF29" s="24" t="inlineStr">
        <is>
          <t>1</t>
        </is>
      </c>
      <c r="BG29" s="24" t="inlineStr">
        <is>
          <t>wnba-elo-trend-lr-v4</t>
        </is>
      </c>
      <c r="BH29" s="24" t="inlineStr">
        <is>
          <t>2026-08-12T21:16:27.215401Z</t>
        </is>
      </c>
      <c r="BI29" s="24" t="inlineStr">
        <is>
          <t>["same_event","same_team_same_day","same_league_same_day"]</t>
        </is>
      </c>
      <c r="BJ29" s="25" t="n"/>
      <c r="BK29" s="26" t="n">
        <v>-614</v>
      </c>
      <c r="BL29" s="27" t="n">
        <v>1.162866</v>
      </c>
      <c r="BM29" s="28" t="n">
        <v>0.859944</v>
      </c>
      <c r="BN29" s="28" t="n">
        <v>0.851485</v>
      </c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0.1965379833</t>
        </is>
      </c>
      <c r="CD29" s="24" t="inlineStr">
        <is>
          <t>-1.095212</t>
        </is>
      </c>
      <c r="CE29" s="24" t="n"/>
      <c r="CF29" s="24" t="n"/>
      <c r="CG29" s="24" t="n"/>
      <c r="CH29" s="24" t="n"/>
      <c r="CI29" s="24" t="inlineStr">
        <is>
          <t>NO_CALL_AVAILABILITY_SOURCE_CONFLICT</t>
        </is>
      </c>
      <c r="CJ29" s="24" t="inlineStr">
        <is>
          <t>3.932321</t>
        </is>
      </c>
      <c r="CK29" s="24" t="n"/>
      <c r="CL29" s="24" t="n"/>
      <c r="CM29" s="24" t="n"/>
      <c r="CN29" s="24" t="n"/>
      <c r="CO29" s="24" t="n"/>
      <c r="CP29" s="24" t="n"/>
      <c r="CQ29" s="24" t="n"/>
      <c r="CR29" s="24" t="inlineStr">
        <is>
          <t>0.723101</t>
        </is>
      </c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0.859944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218b65fd15e6467e</t>
        </is>
      </c>
      <c r="B30" s="24" t="inlineStr">
        <is>
          <t>2026-08-13T20:13:40.904816Z</t>
        </is>
      </c>
      <c r="C30" s="24" t="inlineStr">
        <is>
          <t>2026-08-13T19:00:00-0400</t>
        </is>
      </c>
      <c r="D30" s="24" t="inlineStr">
        <is>
          <t>401857140</t>
        </is>
      </c>
      <c r="E30" s="24" t="inlineStr">
        <is>
          <t>WNBA</t>
        </is>
      </c>
      <c r="F30" s="24" t="inlineStr">
        <is>
          <t>Atlanta Dream</t>
        </is>
      </c>
      <c r="G30" s="24" t="inlineStr">
        <is>
          <t>Connecticut Sun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-456</v>
      </c>
      <c r="M30" s="27" t="n">
        <v>1.219298</v>
      </c>
      <c r="N30" s="28" t="n">
        <v>0.820144</v>
      </c>
      <c r="O30" s="28" t="n">
        <v>0.6314380000000001</v>
      </c>
      <c r="P30" s="28" t="n"/>
      <c r="Q30" s="28" t="n">
        <v>-0.188706</v>
      </c>
      <c r="R30" s="26" t="n">
        <v>0</v>
      </c>
      <c r="S30" s="29" t="n">
        <v>1.5</v>
      </c>
      <c r="T30" s="24" t="inlineStr">
        <is>
          <t>wnba-elo-trend-lr-v4</t>
        </is>
      </c>
      <c r="U30" s="24" t="inlineStr">
        <is>
          <t>settled</t>
        </is>
      </c>
      <c r="V30" s="24" t="inlineStr">
        <is>
          <t>win</t>
        </is>
      </c>
      <c r="W30" s="26" t="n">
        <v>104</v>
      </c>
      <c r="X30" s="26" t="n">
        <v>69</v>
      </c>
      <c r="Y30" s="25" t="n"/>
      <c r="Z30" s="26" t="n"/>
      <c r="AA30" s="28" t="n"/>
      <c r="AB30" s="28" t="n"/>
      <c r="AC30" s="30" t="n">
        <v>0.3289</v>
      </c>
      <c r="AD30" s="24" t="inlineStr">
        <is>
          <t>2026-08-14T02:20:53.073891Z</t>
        </is>
      </c>
      <c r="AE30" s="31" t="inlineStr">
        <is>
          <t>Learned LR call at threshold 0.5001; executable ask 0.8200 (aec-wnba-atl-conn-2026-08-13); model edge vs ask -0.1886. NOTE: NO_CALL_AVAILABILITY_PLAYER_UNMAPPED unavailable for this game — defaulted to neutral, other features used normally.</t>
        </is>
      </c>
      <c r="AF30" s="31" t="inlineStr">
        <is>
          <t>Learned model; shadow-qualified via operator override.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wnba-atl</t>
        </is>
      </c>
      <c r="AQ30" s="24" t="inlineStr">
        <is>
          <t>Atlanta Dream</t>
        </is>
      </c>
      <c r="AR30" s="24" t="inlineStr">
        <is>
          <t>Atlanta Dream</t>
        </is>
      </c>
      <c r="AS30" s="24" t="inlineStr">
        <is>
          <t>wnba-con</t>
        </is>
      </c>
      <c r="AT30" s="24" t="inlineStr">
        <is>
          <t>Connecticut Sun</t>
        </is>
      </c>
      <c r="AU30" s="24" t="inlineStr">
        <is>
          <t>Connecticut Sun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7afd5274214b58b7efd7f7febc7be3ab33b92351cda5cc6403c0a39faea0cc8c</t>
        </is>
      </c>
      <c r="BB30" s="24" t="inlineStr">
        <is>
          <t>learned_lr</t>
        </is>
      </c>
      <c r="BC30" s="24" t="inlineStr">
        <is>
          <t>wnba-elo-trend-lr-v4</t>
        </is>
      </c>
      <c r="BD30" s="24" t="inlineStr">
        <is>
          <t>7afd5274214b58b7efd7f7febc7be3ab33b92351cda5cc6403c0a39faea0cc8c</t>
        </is>
      </c>
      <c r="BE30" s="24" t="inlineStr">
        <is>
          <t>eb693c1f8106b97c</t>
        </is>
      </c>
      <c r="BF30" s="24" t="inlineStr">
        <is>
          <t>1</t>
        </is>
      </c>
      <c r="BG30" s="24" t="inlineStr">
        <is>
          <t>wnba-elo-trend-lr-v4</t>
        </is>
      </c>
      <c r="BH30" s="24" t="inlineStr">
        <is>
          <t>2026-08-13T20:12:56.479036Z</t>
        </is>
      </c>
      <c r="BI30" s="24" t="inlineStr">
        <is>
          <t>["same_event","same_team_same_day","same_league_same_day"]</t>
        </is>
      </c>
      <c r="BJ30" s="25" t="n"/>
      <c r="BK30" s="26" t="n">
        <v>-456</v>
      </c>
      <c r="BL30" s="27" t="n">
        <v>1.219298</v>
      </c>
      <c r="BM30" s="28" t="n">
        <v>0.820144</v>
      </c>
      <c r="BN30" s="28" t="n">
        <v>0.811881</v>
      </c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0.3258499922</t>
        </is>
      </c>
      <c r="CD30" s="24" t="inlineStr">
        <is>
          <t>-4.55436</t>
        </is>
      </c>
      <c r="CE30" s="24" t="n"/>
      <c r="CF30" s="24" t="n"/>
      <c r="CG30" s="24" t="n"/>
      <c r="CH30" s="24" t="n"/>
      <c r="CI30" s="24" t="inlineStr">
        <is>
          <t>NO_CALL_AVAILABILITY_PLAYER_UNMAPPED</t>
        </is>
      </c>
      <c r="CJ30" s="24" t="inlineStr">
        <is>
          <t>6.374313</t>
        </is>
      </c>
      <c r="CK30" s="24" t="n"/>
      <c r="CL30" s="24" t="n"/>
      <c r="CM30" s="24" t="n"/>
      <c r="CN30" s="24" t="n"/>
      <c r="CO30" s="24" t="n"/>
      <c r="CP30" s="24" t="n"/>
      <c r="CQ30" s="24" t="n"/>
      <c r="CR30" s="24" t="inlineStr">
        <is>
          <t>0.631438</t>
        </is>
      </c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0.820144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4e263838567045f7</t>
        </is>
      </c>
      <c r="B31" s="24" t="inlineStr">
        <is>
          <t>2026-08-13T20:13:53.996718Z</t>
        </is>
      </c>
      <c r="C31" s="24" t="inlineStr">
        <is>
          <t>2026-08-13T23:00Z</t>
        </is>
      </c>
      <c r="D31" s="24" t="inlineStr">
        <is>
          <t>401857140</t>
        </is>
      </c>
      <c r="E31" s="24" t="inlineStr">
        <is>
          <t>WNBA</t>
        </is>
      </c>
      <c r="F31" s="24" t="inlineStr">
        <is>
          <t>Atlanta Dream</t>
        </is>
      </c>
      <c r="G31" s="24" t="inlineStr">
        <is>
          <t>Connecticut Sun</t>
        </is>
      </c>
      <c r="H31" s="24" t="inlineStr">
        <is>
          <t>spread</t>
        </is>
      </c>
      <c r="I31" s="24" t="inlineStr">
        <is>
          <t>home</t>
        </is>
      </c>
      <c r="J31" s="25" t="n">
        <v>10.5</v>
      </c>
      <c r="K31" s="24" t="inlineStr">
        <is>
          <t>polymarket_us</t>
        </is>
      </c>
      <c r="L31" s="26" t="n">
        <v>-104</v>
      </c>
      <c r="M31" s="27" t="n">
        <v>1.961538</v>
      </c>
      <c r="N31" s="28" t="n">
        <v>0.509804</v>
      </c>
      <c r="O31" s="28" t="n">
        <v>0.805971</v>
      </c>
      <c r="P31" s="28" t="n">
        <v>0.03</v>
      </c>
      <c r="Q31" s="28" t="n">
        <v>0.296167</v>
      </c>
      <c r="R31" s="26" t="n">
        <v>100</v>
      </c>
      <c r="S31" s="29" t="n">
        <v>2</v>
      </c>
      <c r="T31" s="24" t="inlineStr">
        <is>
          <t>wnba-spread-margin-v1</t>
        </is>
      </c>
      <c r="U31" s="24" t="inlineStr">
        <is>
          <t>settled</t>
        </is>
      </c>
      <c r="V31" s="24" t="inlineStr">
        <is>
          <t>loss</t>
        </is>
      </c>
      <c r="W31" s="26" t="n">
        <v>104</v>
      </c>
      <c r="X31" s="26" t="n">
        <v>69</v>
      </c>
      <c r="Y31" s="25" t="n"/>
      <c r="Z31" s="26" t="n"/>
      <c r="AA31" s="28" t="n"/>
      <c r="AB31" s="28" t="n"/>
      <c r="AC31" s="30" t="n">
        <v>-2</v>
      </c>
      <c r="AD31" s="24" t="inlineStr">
        <is>
          <t>2026-08-14T02:20:53.441272Z</t>
        </is>
      </c>
      <c r="AE31" s="31" t="inlineStr">
        <is>
          <t>Projected margin -1.4 (home), sd 10.5. Executable ask 0.5100 (asc-wnba-atl-conn-2026-08-13-neg-10pt5).</t>
        </is>
      </c>
      <c r="AF31" s="31" t="inlineStr">
        <is>
          <t>Research-baseline margin-normal spread model; not yet locked-holdout qualified.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wnba-atl</t>
        </is>
      </c>
      <c r="AQ31" s="24" t="inlineStr">
        <is>
          <t>Atlanta Dream</t>
        </is>
      </c>
      <c r="AR31" s="24" t="inlineStr">
        <is>
          <t>Atlanta Dream</t>
        </is>
      </c>
      <c r="AS31" s="24" t="inlineStr">
        <is>
          <t>wnba-con</t>
        </is>
      </c>
      <c r="AT31" s="24" t="inlineStr">
        <is>
          <t>Connecticut Sun</t>
        </is>
      </c>
      <c r="AU31" s="24" t="inlineStr">
        <is>
          <t>Connecticut Sun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23ba88bcc86a710d76233b349116f2eefe021a993d2d3b9102922e567a027b4c</t>
        </is>
      </c>
      <c r="BB31" s="24" t="inlineStr">
        <is>
          <t>margin_normal</t>
        </is>
      </c>
      <c r="BC31" s="24" t="inlineStr">
        <is>
          <t>wnba-spread-margin-v1</t>
        </is>
      </c>
      <c r="BD31" s="24" t="inlineStr">
        <is>
          <t>23ba88bcc86a710d76233b349116f2eefe021a993d2d3b9102922e567a027b4c</t>
        </is>
      </c>
      <c r="BE31" s="24" t="inlineStr">
        <is>
          <t>wnba-spread-margin-v1</t>
        </is>
      </c>
      <c r="BF31" s="24" t="inlineStr">
        <is>
          <t>1</t>
        </is>
      </c>
      <c r="BG31" s="24" t="inlineStr">
        <is>
          <t>23ba88bcc86a710d76233b349116f2eefe021a993d2d3b9102922e567a027b4c</t>
        </is>
      </c>
      <c r="BH31" s="24" t="inlineStr">
        <is>
          <t>2026-08-13T20:13:52.634037+00:00</t>
        </is>
      </c>
      <c r="BI31" s="24" t="inlineStr">
        <is>
          <t>["same_event","same_team_same_day","same_league_same_day"]</t>
        </is>
      </c>
      <c r="BJ31" s="25" t="n">
        <v>10.5</v>
      </c>
      <c r="BK31" s="26" t="n">
        <v>-104</v>
      </c>
      <c r="BL31" s="27" t="n">
        <v>1.961538</v>
      </c>
      <c r="BM31" s="28" t="n">
        <v>0.509804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0.509804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f65b5198bfed46a9</t>
        </is>
      </c>
      <c r="B32" s="24" t="inlineStr">
        <is>
          <t>2026-08-13T23:18:37.762945Z</t>
        </is>
      </c>
      <c r="C32" s="24" t="inlineStr">
        <is>
          <t>2026-08-13T20:00:00-0400</t>
        </is>
      </c>
      <c r="D32" s="24" t="inlineStr">
        <is>
          <t>401857141</t>
        </is>
      </c>
      <c r="E32" s="24" t="inlineStr">
        <is>
          <t>WNBA</t>
        </is>
      </c>
      <c r="F32" s="24" t="inlineStr">
        <is>
          <t>Los Angeles Sparks</t>
        </is>
      </c>
      <c r="G32" s="24" t="inlineStr">
        <is>
          <t>New York Liberty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-335</v>
      </c>
      <c r="M32" s="27" t="n">
        <v>1.298507</v>
      </c>
      <c r="N32" s="28" t="n">
        <v>0.770115</v>
      </c>
      <c r="O32" s="28" t="n">
        <v>0.70842</v>
      </c>
      <c r="P32" s="28" t="n"/>
      <c r="Q32" s="28" t="n">
        <v>-0.061695</v>
      </c>
      <c r="R32" s="26" t="n">
        <v>0</v>
      </c>
      <c r="S32" s="29" t="n">
        <v>2</v>
      </c>
      <c r="T32" s="24" t="inlineStr">
        <is>
          <t>wnba-elo-trend-lr-v4</t>
        </is>
      </c>
      <c r="U32" s="24" t="inlineStr">
        <is>
          <t>settled</t>
        </is>
      </c>
      <c r="V32" s="24" t="inlineStr">
        <is>
          <t>win</t>
        </is>
      </c>
      <c r="W32" s="26" t="n">
        <v>81</v>
      </c>
      <c r="X32" s="26" t="n">
        <v>85</v>
      </c>
      <c r="Y32" s="25" t="n"/>
      <c r="Z32" s="26" t="n"/>
      <c r="AA32" s="28" t="n"/>
      <c r="AB32" s="28" t="n"/>
      <c r="AC32" s="30" t="n">
        <v>0.597</v>
      </c>
      <c r="AD32" s="24" t="inlineStr">
        <is>
          <t>2026-08-14T02:20:53.705956Z</t>
        </is>
      </c>
      <c r="AE32" s="31" t="inlineStr">
        <is>
          <t>Learned LR call at threshold 0.5001; executable ask 0.7700 (aec-wnba-la-ny-2026-08-13); model edge vs ask -0.0616.</t>
        </is>
      </c>
      <c r="AF32" s="31" t="inlineStr">
        <is>
          <t>Learned model; shadow-qualified via operator override.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wnba-las</t>
        </is>
      </c>
      <c r="AQ32" s="24" t="inlineStr">
        <is>
          <t>Los Angeles Sparks</t>
        </is>
      </c>
      <c r="AR32" s="24" t="inlineStr">
        <is>
          <t>Los Angeles Sparks</t>
        </is>
      </c>
      <c r="AS32" s="24" t="inlineStr">
        <is>
          <t>wnba-nyl</t>
        </is>
      </c>
      <c r="AT32" s="24" t="inlineStr">
        <is>
          <t>New York Liberty</t>
        </is>
      </c>
      <c r="AU32" s="24" t="inlineStr">
        <is>
          <t>New York Liberty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7afd5274214b58b7efd7f7febc7be3ab33b92351cda5cc6403c0a39faea0cc8c</t>
        </is>
      </c>
      <c r="BB32" s="24" t="inlineStr">
        <is>
          <t>learned_lr</t>
        </is>
      </c>
      <c r="BC32" s="24" t="inlineStr">
        <is>
          <t>wnba-elo-trend-lr-v4</t>
        </is>
      </c>
      <c r="BD32" s="24" t="inlineStr">
        <is>
          <t>7afd5274214b58b7efd7f7febc7be3ab33b92351cda5cc6403c0a39faea0cc8c</t>
        </is>
      </c>
      <c r="BE32" s="24" t="inlineStr">
        <is>
          <t>16b7a00d19006dde</t>
        </is>
      </c>
      <c r="BF32" s="24" t="inlineStr">
        <is>
          <t>1</t>
        </is>
      </c>
      <c r="BG32" s="24" t="inlineStr">
        <is>
          <t>wnba-elo-trend-lr-v4</t>
        </is>
      </c>
      <c r="BH32" s="24" t="inlineStr">
        <is>
          <t>2026-08-13T23:18:20.272681Z</t>
        </is>
      </c>
      <c r="BI32" s="24" t="inlineStr">
        <is>
          <t>["same_event","same_team_same_day","same_league_same_day"]</t>
        </is>
      </c>
      <c r="BJ32" s="25" t="n"/>
      <c r="BK32" s="26" t="n">
        <v>-335</v>
      </c>
      <c r="BL32" s="27" t="n">
        <v>1.298507</v>
      </c>
      <c r="BM32" s="28" t="n">
        <v>0.770115</v>
      </c>
      <c r="BN32" s="28" t="n">
        <v>0.7623760000000001</v>
      </c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0.7947999616</t>
        </is>
      </c>
      <c r="CD32" s="24" t="inlineStr">
        <is>
          <t>5.744366</t>
        </is>
      </c>
      <c r="CE32" s="24" t="n"/>
      <c r="CF32" s="24" t="n"/>
      <c r="CG32" s="24" t="n"/>
      <c r="CH32" s="24" t="n"/>
      <c r="CI32" s="24" t="n"/>
      <c r="CJ32" s="24" t="inlineStr">
        <is>
          <t>-2.420027</t>
        </is>
      </c>
      <c r="CK32" s="24" t="n"/>
      <c r="CL32" s="24" t="n"/>
      <c r="CM32" s="24" t="n"/>
      <c r="CN32" s="24" t="n"/>
      <c r="CO32" s="24" t="n"/>
      <c r="CP32" s="24" t="n"/>
      <c r="CQ32" s="24" t="n"/>
      <c r="CR32" s="24" t="inlineStr">
        <is>
          <t>0.70842</t>
        </is>
      </c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0.770115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432a05ccc3f241ec</t>
        </is>
      </c>
      <c r="B33" s="24" t="inlineStr">
        <is>
          <t>2026-08-13T23:18:37.762945Z</t>
        </is>
      </c>
      <c r="C33" s="24" t="inlineStr">
        <is>
          <t>2026-08-13T22:00:00-0400</t>
        </is>
      </c>
      <c r="D33" s="24" t="inlineStr">
        <is>
          <t>401857142</t>
        </is>
      </c>
      <c r="E33" s="24" t="inlineStr">
        <is>
          <t>WNBA</t>
        </is>
      </c>
      <c r="F33" s="24" t="inlineStr">
        <is>
          <t>Washington Mystics</t>
        </is>
      </c>
      <c r="G33" s="24" t="inlineStr">
        <is>
          <t>Las Vegas Aces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-203</v>
      </c>
      <c r="M33" s="27" t="n">
        <v>1.492611</v>
      </c>
      <c r="N33" s="28" t="n">
        <v>0.669967</v>
      </c>
      <c r="O33" s="28" t="n">
        <v>0.637269</v>
      </c>
      <c r="P33" s="28" t="n"/>
      <c r="Q33" s="28" t="n">
        <v>-0.032698</v>
      </c>
      <c r="R33" s="26" t="n">
        <v>7</v>
      </c>
      <c r="S33" s="29" t="n">
        <v>1.5</v>
      </c>
      <c r="T33" s="24" t="inlineStr">
        <is>
          <t>wnba-elo-trend-lr-v4</t>
        </is>
      </c>
      <c r="U33" s="24" t="inlineStr">
        <is>
          <t>settled</t>
        </is>
      </c>
      <c r="V33" s="24" t="inlineStr">
        <is>
          <t>win</t>
        </is>
      </c>
      <c r="W33" s="26" t="n">
        <v>76</v>
      </c>
      <c r="X33" s="26" t="n">
        <v>83</v>
      </c>
      <c r="Y33" s="25" t="n"/>
      <c r="Z33" s="26" t="n"/>
      <c r="AA33" s="28" t="n"/>
      <c r="AB33" s="28" t="n"/>
      <c r="AC33" s="30" t="n">
        <v>0.7389</v>
      </c>
      <c r="AD33" s="24" t="inlineStr">
        <is>
          <t>2026-08-14T04:07:44.388992Z</t>
        </is>
      </c>
      <c r="AE33" s="31" t="inlineStr">
        <is>
          <t>Learned LR call at threshold 0.5001; executable ask 0.6700 (aec-wnba-wsh-lv-2026-08-13); model edge vs ask -0.0327.</t>
        </is>
      </c>
      <c r="AF33" s="31" t="inlineStr">
        <is>
          <t>Learned model; shadow-qualified via operator override.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wnba-was</t>
        </is>
      </c>
      <c r="AQ33" s="24" t="inlineStr">
        <is>
          <t>Washington Mystics</t>
        </is>
      </c>
      <c r="AR33" s="24" t="inlineStr">
        <is>
          <t>Washington Mystics</t>
        </is>
      </c>
      <c r="AS33" s="24" t="inlineStr">
        <is>
          <t>wnba-lva</t>
        </is>
      </c>
      <c r="AT33" s="24" t="inlineStr">
        <is>
          <t>Las Vegas Aces</t>
        </is>
      </c>
      <c r="AU33" s="24" t="inlineStr">
        <is>
          <t>Las Vegas Aces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7afd5274214b58b7efd7f7febc7be3ab33b92351cda5cc6403c0a39faea0cc8c</t>
        </is>
      </c>
      <c r="BB33" s="24" t="inlineStr">
        <is>
          <t>learned_lr</t>
        </is>
      </c>
      <c r="BC33" s="24" t="inlineStr">
        <is>
          <t>wnba-elo-trend-lr-v4</t>
        </is>
      </c>
      <c r="BD33" s="24" t="inlineStr">
        <is>
          <t>7afd5274214b58b7efd7f7febc7be3ab33b92351cda5cc6403c0a39faea0cc8c</t>
        </is>
      </c>
      <c r="BE33" s="24" t="inlineStr">
        <is>
          <t>ff96e0111a58886e</t>
        </is>
      </c>
      <c r="BF33" s="24" t="inlineStr">
        <is>
          <t>1</t>
        </is>
      </c>
      <c r="BG33" s="24" t="inlineStr">
        <is>
          <t>wnba-elo-trend-lr-v4</t>
        </is>
      </c>
      <c r="BH33" s="24" t="inlineStr">
        <is>
          <t>2026-08-13T23:18:20.863377Z</t>
        </is>
      </c>
      <c r="BI33" s="24" t="inlineStr">
        <is>
          <t>["same_event","same_team_same_day","same_league_same_day"]</t>
        </is>
      </c>
      <c r="BJ33" s="25" t="n"/>
      <c r="BK33" s="26" t="n">
        <v>-203</v>
      </c>
      <c r="BL33" s="27" t="n">
        <v>1.492611</v>
      </c>
      <c r="BM33" s="28" t="n">
        <v>0.669967</v>
      </c>
      <c r="BN33" s="28" t="n">
        <v>0.663366</v>
      </c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0.6691278675</t>
        </is>
      </c>
      <c r="CD33" s="24" t="inlineStr">
        <is>
          <t>-3.282439</t>
        </is>
      </c>
      <c r="CE33" s="24" t="n"/>
      <c r="CF33" s="24" t="n"/>
      <c r="CG33" s="24" t="n"/>
      <c r="CH33" s="24" t="n"/>
      <c r="CI33" s="24" t="n"/>
      <c r="CJ33" s="24" t="inlineStr">
        <is>
          <t>-5.390663</t>
        </is>
      </c>
      <c r="CK33" s="24" t="n"/>
      <c r="CL33" s="24" t="n"/>
      <c r="CM33" s="24" t="n"/>
      <c r="CN33" s="24" t="n"/>
      <c r="CO33" s="24" t="n"/>
      <c r="CP33" s="24" t="n"/>
      <c r="CQ33" s="24" t="n"/>
      <c r="CR33" s="24" t="inlineStr">
        <is>
          <t>0.637269</t>
        </is>
      </c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0.669967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6511c4d79518444b</t>
        </is>
      </c>
      <c r="B34" s="24" t="inlineStr">
        <is>
          <t>2026-08-13T23:18:50.428612Z</t>
        </is>
      </c>
      <c r="C34" s="24" t="inlineStr">
        <is>
          <t>2026-08-14T00:00Z</t>
        </is>
      </c>
      <c r="D34" s="24" t="inlineStr">
        <is>
          <t>401857141</t>
        </is>
      </c>
      <c r="E34" s="24" t="inlineStr">
        <is>
          <t>WNBA</t>
        </is>
      </c>
      <c r="F34" s="24" t="inlineStr">
        <is>
          <t>Los Angeles Sparks</t>
        </is>
      </c>
      <c r="G34" s="24" t="inlineStr">
        <is>
          <t>New York Liberty</t>
        </is>
      </c>
      <c r="H34" s="24" t="inlineStr">
        <is>
          <t>spread</t>
        </is>
      </c>
      <c r="I34" s="24" t="inlineStr">
        <is>
          <t>away</t>
        </is>
      </c>
      <c r="J34" s="25" t="n">
        <v>9.5</v>
      </c>
      <c r="K34" s="24" t="inlineStr">
        <is>
          <t>polymarket_us</t>
        </is>
      </c>
      <c r="L34" s="26" t="n">
        <v>100</v>
      </c>
      <c r="M34" s="27" t="n">
        <v>2</v>
      </c>
      <c r="N34" s="28" t="n">
        <v>0.5</v>
      </c>
      <c r="O34" s="28" t="n">
        <v>0.656249</v>
      </c>
      <c r="P34" s="28" t="n">
        <v>0.03</v>
      </c>
      <c r="Q34" s="28" t="n">
        <v>0.156249</v>
      </c>
      <c r="R34" s="26" t="n">
        <v>100</v>
      </c>
      <c r="S34" s="29" t="n">
        <v>1.75</v>
      </c>
      <c r="T34" s="24" t="inlineStr">
        <is>
          <t>wnba-spread-margin-v1</t>
        </is>
      </c>
      <c r="U34" s="24" t="inlineStr">
        <is>
          <t>settled</t>
        </is>
      </c>
      <c r="V34" s="24" t="inlineStr">
        <is>
          <t>win</t>
        </is>
      </c>
      <c r="W34" s="26" t="n">
        <v>81</v>
      </c>
      <c r="X34" s="26" t="n">
        <v>85</v>
      </c>
      <c r="Y34" s="25" t="n"/>
      <c r="Z34" s="26" t="n"/>
      <c r="AA34" s="28" t="n"/>
      <c r="AB34" s="28" t="n"/>
      <c r="AC34" s="30" t="n">
        <v>1.75</v>
      </c>
      <c r="AD34" s="24" t="inlineStr">
        <is>
          <t>2026-08-14T02:20:54.012864Z</t>
        </is>
      </c>
      <c r="AE34" s="31" t="inlineStr">
        <is>
          <t>Projected margin +5.3 (home), sd 10.5. Executable ask 0.5000 (asc-wnba-la-ny-2026-08-13-pos-9pt5).</t>
        </is>
      </c>
      <c r="AF34" s="31" t="inlineStr">
        <is>
          <t>Research-baseline margin-normal spread model;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wnba-las</t>
        </is>
      </c>
      <c r="AQ34" s="24" t="inlineStr">
        <is>
          <t>Los Angeles Sparks</t>
        </is>
      </c>
      <c r="AR34" s="24" t="inlineStr">
        <is>
          <t>Los Angeles Sparks</t>
        </is>
      </c>
      <c r="AS34" s="24" t="inlineStr">
        <is>
          <t>wnba-nyl</t>
        </is>
      </c>
      <c r="AT34" s="24" t="inlineStr">
        <is>
          <t>New York Liberty</t>
        </is>
      </c>
      <c r="AU34" s="24" t="inlineStr">
        <is>
          <t>New York Liberty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23ba88bcc86a710d76233b349116f2eefe021a993d2d3b9102922e567a027b4c</t>
        </is>
      </c>
      <c r="BB34" s="24" t="inlineStr">
        <is>
          <t>margin_normal</t>
        </is>
      </c>
      <c r="BC34" s="24" t="inlineStr">
        <is>
          <t>wnba-spread-margin-v1</t>
        </is>
      </c>
      <c r="BD34" s="24" t="inlineStr">
        <is>
          <t>23ba88bcc86a710d76233b349116f2eefe021a993d2d3b9102922e567a027b4c</t>
        </is>
      </c>
      <c r="BE34" s="24" t="inlineStr">
        <is>
          <t>wnba-spread-margin-v1</t>
        </is>
      </c>
      <c r="BF34" s="24" t="inlineStr">
        <is>
          <t>1</t>
        </is>
      </c>
      <c r="BG34" s="24" t="inlineStr">
        <is>
          <t>23ba88bcc86a710d76233b349116f2eefe021a993d2d3b9102922e567a027b4c</t>
        </is>
      </c>
      <c r="BH34" s="24" t="inlineStr">
        <is>
          <t>2026-08-13T23:18:49.173873+00:00</t>
        </is>
      </c>
      <c r="BI34" s="24" t="inlineStr">
        <is>
          <t>["same_event","same_team_same_day","same_league_same_day"]</t>
        </is>
      </c>
      <c r="BJ34" s="25" t="n">
        <v>9.5</v>
      </c>
      <c r="BK34" s="26" t="n">
        <v>100</v>
      </c>
      <c r="BL34" s="27" t="n">
        <v>2</v>
      </c>
      <c r="BM34" s="28" t="n">
        <v>0.5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5863ff8916f148fa</t>
        </is>
      </c>
      <c r="B35" s="24" t="inlineStr">
        <is>
          <t>2026-08-13T23:18:50.428612Z</t>
        </is>
      </c>
      <c r="C35" s="24" t="inlineStr">
        <is>
          <t>2026-08-14T02:00Z</t>
        </is>
      </c>
      <c r="D35" s="24" t="inlineStr">
        <is>
          <t>401857142</t>
        </is>
      </c>
      <c r="E35" s="24" t="inlineStr">
        <is>
          <t>WNBA</t>
        </is>
      </c>
      <c r="F35" s="24" t="inlineStr">
        <is>
          <t>Washington Mystics</t>
        </is>
      </c>
      <c r="G35" s="24" t="inlineStr">
        <is>
          <t>Las Vegas Aces</t>
        </is>
      </c>
      <c r="H35" s="24" t="inlineStr">
        <is>
          <t>spread</t>
        </is>
      </c>
      <c r="I35" s="24" t="inlineStr">
        <is>
          <t>away</t>
        </is>
      </c>
      <c r="J35" s="25" t="n">
        <v>5.5</v>
      </c>
      <c r="K35" s="24" t="inlineStr">
        <is>
          <t>polymarket_us</t>
        </is>
      </c>
      <c r="L35" s="26" t="n">
        <v>100</v>
      </c>
      <c r="M35" s="27" t="n">
        <v>2</v>
      </c>
      <c r="N35" s="28" t="n">
        <v>0.5</v>
      </c>
      <c r="O35" s="28" t="n">
        <v>0.592154</v>
      </c>
      <c r="P35" s="28" t="n">
        <v>0.03</v>
      </c>
      <c r="Q35" s="28" t="n">
        <v>0.092154</v>
      </c>
      <c r="R35" s="26" t="n">
        <v>78</v>
      </c>
      <c r="S35" s="29" t="n">
        <v>1.5</v>
      </c>
      <c r="T35" s="24" t="inlineStr">
        <is>
          <t>wnba-spread-margin-v1</t>
        </is>
      </c>
      <c r="U35" s="24" t="inlineStr">
        <is>
          <t>settled</t>
        </is>
      </c>
      <c r="V35" s="24" t="inlineStr">
        <is>
          <t>loss</t>
        </is>
      </c>
      <c r="W35" s="26" t="n">
        <v>76</v>
      </c>
      <c r="X35" s="26" t="n">
        <v>83</v>
      </c>
      <c r="Y35" s="25" t="n"/>
      <c r="Z35" s="26" t="n"/>
      <c r="AA35" s="28" t="n"/>
      <c r="AB35" s="28" t="n"/>
      <c r="AC35" s="30" t="n">
        <v>-1.5</v>
      </c>
      <c r="AD35" s="24" t="inlineStr">
        <is>
          <t>2026-08-14T04:07:44.784507Z</t>
        </is>
      </c>
      <c r="AE35" s="31" t="inlineStr">
        <is>
          <t>Projected margin +3.1 (home), sd 10.5. Executable ask 0.5000 (asc-wnba-wsh-lv-2026-08-13-pos-5pt5).</t>
        </is>
      </c>
      <c r="AF35" s="31" t="inlineStr">
        <is>
          <t>Research-baseline margin-normal spread model;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wnba-was</t>
        </is>
      </c>
      <c r="AQ35" s="24" t="inlineStr">
        <is>
          <t>Washington Mystics</t>
        </is>
      </c>
      <c r="AR35" s="24" t="inlineStr">
        <is>
          <t>Washington Mystics</t>
        </is>
      </c>
      <c r="AS35" s="24" t="inlineStr">
        <is>
          <t>wnba-lva</t>
        </is>
      </c>
      <c r="AT35" s="24" t="inlineStr">
        <is>
          <t>Las Vegas Aces</t>
        </is>
      </c>
      <c r="AU35" s="24" t="inlineStr">
        <is>
          <t>Las Vegas Aces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23ba88bcc86a710d76233b349116f2eefe021a993d2d3b9102922e567a027b4c</t>
        </is>
      </c>
      <c r="BB35" s="24" t="inlineStr">
        <is>
          <t>margin_normal</t>
        </is>
      </c>
      <c r="BC35" s="24" t="inlineStr">
        <is>
          <t>wnba-spread-margin-v1</t>
        </is>
      </c>
      <c r="BD35" s="24" t="inlineStr">
        <is>
          <t>23ba88bcc86a710d76233b349116f2eefe021a993d2d3b9102922e567a027b4c</t>
        </is>
      </c>
      <c r="BE35" s="24" t="inlineStr">
        <is>
          <t>wnba-spread-margin-v1</t>
        </is>
      </c>
      <c r="BF35" s="24" t="inlineStr">
        <is>
          <t>1</t>
        </is>
      </c>
      <c r="BG35" s="24" t="inlineStr">
        <is>
          <t>23ba88bcc86a710d76233b349116f2eefe021a993d2d3b9102922e567a027b4c</t>
        </is>
      </c>
      <c r="BH35" s="24" t="inlineStr">
        <is>
          <t>2026-08-13T23:18:49.173873+00:00</t>
        </is>
      </c>
      <c r="BI35" s="24" t="inlineStr">
        <is>
          <t>["same_event","same_team_same_day","same_league_same_day"]</t>
        </is>
      </c>
      <c r="BJ35" s="25" t="n">
        <v>5.5</v>
      </c>
      <c r="BK35" s="26" t="n">
        <v>100</v>
      </c>
      <c r="BL35" s="27" t="n">
        <v>2</v>
      </c>
      <c r="BM35" s="28" t="n">
        <v>0.5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a2d3635ae9a64000</t>
        </is>
      </c>
      <c r="B36" s="24" t="inlineStr">
        <is>
          <t>2026-08-15T14:42:31.491167Z</t>
        </is>
      </c>
      <c r="C36" s="24" t="inlineStr">
        <is>
          <t>2026-08-15T13:00:00-0400</t>
        </is>
      </c>
      <c r="D36" s="24" t="inlineStr">
        <is>
          <t>401857145</t>
        </is>
      </c>
      <c r="E36" s="24" t="inlineStr">
        <is>
          <t>WNBA</t>
        </is>
      </c>
      <c r="F36" s="24" t="inlineStr">
        <is>
          <t>New York Liberty</t>
        </is>
      </c>
      <c r="G36" s="24" t="inlineStr">
        <is>
          <t>Connecticut Sun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-400</v>
      </c>
      <c r="M36" s="27" t="n">
        <v>1.25</v>
      </c>
      <c r="N36" s="28" t="n">
        <v>0.8</v>
      </c>
      <c r="O36" s="28" t="n">
        <v>0.685605</v>
      </c>
      <c r="P36" s="28" t="n"/>
      <c r="Q36" s="28" t="n">
        <v>-0.114395</v>
      </c>
      <c r="R36" s="26" t="n">
        <v>0</v>
      </c>
      <c r="S36" s="29" t="n">
        <v>2</v>
      </c>
      <c r="T36" s="24" t="inlineStr">
        <is>
          <t>wnba-elo-trend-lr-v4</t>
        </is>
      </c>
      <c r="U36" s="24" t="inlineStr">
        <is>
          <t>settled</t>
        </is>
      </c>
      <c r="V36" s="24" t="inlineStr">
        <is>
          <t>win</t>
        </is>
      </c>
      <c r="W36" s="26" t="n">
        <v>82</v>
      </c>
      <c r="X36" s="26" t="n">
        <v>75</v>
      </c>
      <c r="Y36" s="25" t="n"/>
      <c r="Z36" s="26" t="n"/>
      <c r="AA36" s="28" t="n"/>
      <c r="AB36" s="28" t="n"/>
      <c r="AC36" s="30" t="n">
        <v>0.5</v>
      </c>
      <c r="AD36" s="24" t="inlineStr">
        <is>
          <t>2026-08-15T21:02:41.383322Z</t>
        </is>
      </c>
      <c r="AE36" s="31" t="inlineStr">
        <is>
          <t>Learned LR call at threshold 0.5001; executable ask 0.8000 (aec-wnba-ny-conn-2026-08-15); model edge vs ask -0.1144. NOTE: NO_CALL_AVAILABILITY_PLAYER_UNMAPPED unavailable for this game — defaulted to neutral, other features used normally.</t>
        </is>
      </c>
      <c r="AF36" s="31" t="inlineStr">
        <is>
          <t>Learned model; shadow-qualified via operator override.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wnba-nyl</t>
        </is>
      </c>
      <c r="AQ36" s="24" t="inlineStr">
        <is>
          <t>New York Liberty</t>
        </is>
      </c>
      <c r="AR36" s="24" t="inlineStr">
        <is>
          <t>New York Liberty</t>
        </is>
      </c>
      <c r="AS36" s="24" t="inlineStr">
        <is>
          <t>wnba-con</t>
        </is>
      </c>
      <c r="AT36" s="24" t="inlineStr">
        <is>
          <t>Connecticut Sun</t>
        </is>
      </c>
      <c r="AU36" s="24" t="inlineStr">
        <is>
          <t>Connecticut Sun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7afd5274214b58b7efd7f7febc7be3ab33b92351cda5cc6403c0a39faea0cc8c</t>
        </is>
      </c>
      <c r="BB36" s="24" t="inlineStr">
        <is>
          <t>learned_lr</t>
        </is>
      </c>
      <c r="BC36" s="24" t="inlineStr">
        <is>
          <t>wnba-elo-trend-lr-v4</t>
        </is>
      </c>
      <c r="BD36" s="24" t="inlineStr">
        <is>
          <t>7afd5274214b58b7efd7f7febc7be3ab33b92351cda5cc6403c0a39faea0cc8c</t>
        </is>
      </c>
      <c r="BE36" s="24" t="inlineStr">
        <is>
          <t>99beb5c5f1bdac63</t>
        </is>
      </c>
      <c r="BF36" s="24" t="inlineStr">
        <is>
          <t>1</t>
        </is>
      </c>
      <c r="BG36" s="24" t="inlineStr">
        <is>
          <t>wnba-elo-trend-lr-v4</t>
        </is>
      </c>
      <c r="BH36" s="24" t="inlineStr">
        <is>
          <t>2026-08-15T14:40:56.716033Z</t>
        </is>
      </c>
      <c r="BI36" s="24" t="inlineStr">
        <is>
          <t>["same_event","same_team_same_day","same_league_same_day"]</t>
        </is>
      </c>
      <c r="BJ36" s="25" t="n"/>
      <c r="BK36" s="26" t="n">
        <v>-400</v>
      </c>
      <c r="BL36" s="27" t="n">
        <v>1.25</v>
      </c>
      <c r="BM36" s="28" t="n">
        <v>0.8</v>
      </c>
      <c r="BN36" s="28" t="n">
        <v>0.792079</v>
      </c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0.2368017501</t>
        </is>
      </c>
      <c r="CD36" s="24" t="inlineStr">
        <is>
          <t>-7.328303</t>
        </is>
      </c>
      <c r="CE36" s="24" t="n"/>
      <c r="CF36" s="24" t="n"/>
      <c r="CG36" s="24" t="n"/>
      <c r="CH36" s="24" t="n"/>
      <c r="CI36" s="24" t="inlineStr">
        <is>
          <t>NO_CALL_AVAILABILITY_PLAYER_UNMAPPED</t>
        </is>
      </c>
      <c r="CJ36" s="24" t="inlineStr">
        <is>
          <t>-0.131272</t>
        </is>
      </c>
      <c r="CK36" s="24" t="n"/>
      <c r="CL36" s="24" t="n"/>
      <c r="CM36" s="24" t="n"/>
      <c r="CN36" s="24" t="n"/>
      <c r="CO36" s="24" t="n"/>
      <c r="CP36" s="24" t="n"/>
      <c r="CQ36" s="24" t="n"/>
      <c r="CR36" s="24" t="inlineStr">
        <is>
          <t>0.685605</t>
        </is>
      </c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0.8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a3dc51cf0a2c4e34</t>
        </is>
      </c>
      <c r="B37" s="24" t="inlineStr">
        <is>
          <t>2026-08-15T14:43:01.179646Z</t>
        </is>
      </c>
      <c r="C37" s="24" t="inlineStr">
        <is>
          <t>2026-08-15T17:00Z</t>
        </is>
      </c>
      <c r="D37" s="24" t="inlineStr">
        <is>
          <t>401857145</t>
        </is>
      </c>
      <c r="E37" s="24" t="inlineStr">
        <is>
          <t>WNBA</t>
        </is>
      </c>
      <c r="F37" s="24" t="inlineStr">
        <is>
          <t>New York Liberty</t>
        </is>
      </c>
      <c r="G37" s="24" t="inlineStr">
        <is>
          <t>Connecticut Sun</t>
        </is>
      </c>
      <c r="H37" s="24" t="inlineStr">
        <is>
          <t>spread</t>
        </is>
      </c>
      <c r="I37" s="24" t="inlineStr">
        <is>
          <t>home</t>
        </is>
      </c>
      <c r="J37" s="25" t="n">
        <v>9.5</v>
      </c>
      <c r="K37" s="24" t="inlineStr">
        <is>
          <t>polymarket_us</t>
        </is>
      </c>
      <c r="L37" s="26" t="n">
        <v>-117</v>
      </c>
      <c r="M37" s="27" t="n">
        <v>1.854701</v>
      </c>
      <c r="N37" s="28" t="n">
        <v>0.539171</v>
      </c>
      <c r="O37" s="28" t="n">
        <v>0.736937</v>
      </c>
      <c r="P37" s="28" t="n">
        <v>0.03</v>
      </c>
      <c r="Q37" s="28" t="n">
        <v>0.197766</v>
      </c>
      <c r="R37" s="26" t="n">
        <v>100</v>
      </c>
      <c r="S37" s="29" t="n">
        <v>2</v>
      </c>
      <c r="T37" s="24" t="inlineStr">
        <is>
          <t>wnba-spread-margin-v1</t>
        </is>
      </c>
      <c r="U37" s="24" t="inlineStr">
        <is>
          <t>settled</t>
        </is>
      </c>
      <c r="V37" s="24" t="inlineStr">
        <is>
          <t>win</t>
        </is>
      </c>
      <c r="W37" s="26" t="n">
        <v>82</v>
      </c>
      <c r="X37" s="26" t="n">
        <v>75</v>
      </c>
      <c r="Y37" s="25" t="n"/>
      <c r="Z37" s="26" t="n"/>
      <c r="AA37" s="28" t="n"/>
      <c r="AB37" s="28" t="n"/>
      <c r="AC37" s="30" t="n">
        <v>1.7094</v>
      </c>
      <c r="AD37" s="24" t="inlineStr">
        <is>
          <t>2026-08-15T21:02:41.805145Z</t>
        </is>
      </c>
      <c r="AE37" s="31" t="inlineStr">
        <is>
          <t>Projected margin -2.8 (home), sd 10.5. Executable ask 0.5400 (asc-wnba-ny-conn-2026-08-15-neg-9pt5).</t>
        </is>
      </c>
      <c r="AF37" s="31" t="inlineStr">
        <is>
          <t>Research-baseline margin-normal spread model; not yet locked-holdout qualified.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wnba-nyl</t>
        </is>
      </c>
      <c r="AQ37" s="24" t="inlineStr">
        <is>
          <t>New York Liberty</t>
        </is>
      </c>
      <c r="AR37" s="24" t="inlineStr">
        <is>
          <t>New York Liberty</t>
        </is>
      </c>
      <c r="AS37" s="24" t="inlineStr">
        <is>
          <t>wnba-con</t>
        </is>
      </c>
      <c r="AT37" s="24" t="inlineStr">
        <is>
          <t>Connecticut Sun</t>
        </is>
      </c>
      <c r="AU37" s="24" t="inlineStr">
        <is>
          <t>Connecticut Sun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23ba88bcc86a710d76233b349116f2eefe021a993d2d3b9102922e567a027b4c</t>
        </is>
      </c>
      <c r="BB37" s="24" t="inlineStr">
        <is>
          <t>margin_normal</t>
        </is>
      </c>
      <c r="BC37" s="24" t="inlineStr">
        <is>
          <t>wnba-spread-margin-v1</t>
        </is>
      </c>
      <c r="BD37" s="24" t="inlineStr">
        <is>
          <t>23ba88bcc86a710d76233b349116f2eefe021a993d2d3b9102922e567a027b4c</t>
        </is>
      </c>
      <c r="BE37" s="24" t="inlineStr">
        <is>
          <t>wnba-spread-margin-v1</t>
        </is>
      </c>
      <c r="BF37" s="24" t="inlineStr">
        <is>
          <t>1</t>
        </is>
      </c>
      <c r="BG37" s="24" t="inlineStr">
        <is>
          <t>23ba88bcc86a710d76233b349116f2eefe021a993d2d3b9102922e567a027b4c</t>
        </is>
      </c>
      <c r="BH37" s="24" t="inlineStr">
        <is>
          <t>2026-08-15T14:42:57.887220+00:00</t>
        </is>
      </c>
      <c r="BI37" s="24" t="inlineStr">
        <is>
          <t>["same_event","same_team_same_day","same_league_same_day"]</t>
        </is>
      </c>
      <c r="BJ37" s="25" t="n">
        <v>9.5</v>
      </c>
      <c r="BK37" s="26" t="n">
        <v>-117</v>
      </c>
      <c r="BL37" s="27" t="n">
        <v>1.854701</v>
      </c>
      <c r="BM37" s="28" t="n">
        <v>0.539171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0.539171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040731720b8f4afb</t>
        </is>
      </c>
      <c r="B38" s="24" t="inlineStr">
        <is>
          <t>2026-08-15T21:05:43.603531Z</t>
        </is>
      </c>
      <c r="C38" s="24" t="inlineStr">
        <is>
          <t>2026-08-15T19:30:00-0400</t>
        </is>
      </c>
      <c r="D38" s="24" t="inlineStr">
        <is>
          <t>401857146</t>
        </is>
      </c>
      <c r="E38" s="24" t="inlineStr">
        <is>
          <t>WNBA</t>
        </is>
      </c>
      <c r="F38" s="24" t="inlineStr">
        <is>
          <t>Los Angeles Sparks</t>
        </is>
      </c>
      <c r="G38" s="24" t="inlineStr">
        <is>
          <t>Washington Mystics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-257</v>
      </c>
      <c r="M38" s="27" t="n">
        <v>1.389105</v>
      </c>
      <c r="N38" s="28" t="n">
        <v>0.719888</v>
      </c>
      <c r="O38" s="28" t="n">
        <v>0.685826</v>
      </c>
      <c r="P38" s="28" t="n"/>
      <c r="Q38" s="28" t="n">
        <v>-0.034062</v>
      </c>
      <c r="R38" s="26" t="n">
        <v>6</v>
      </c>
      <c r="S38" s="29" t="n">
        <v>2</v>
      </c>
      <c r="T38" s="24" t="inlineStr">
        <is>
          <t>wnba-elo-trend-lr-v4</t>
        </is>
      </c>
      <c r="U38" s="24" t="inlineStr">
        <is>
          <t>settled</t>
        </is>
      </c>
      <c r="V38" s="24" t="inlineStr">
        <is>
          <t>win</t>
        </is>
      </c>
      <c r="W38" s="26" t="n">
        <v>70</v>
      </c>
      <c r="X38" s="26" t="n">
        <v>80</v>
      </c>
      <c r="Y38" s="25" t="n"/>
      <c r="Z38" s="26" t="n"/>
      <c r="AA38" s="28" t="n"/>
      <c r="AB38" s="28" t="n"/>
      <c r="AC38" s="30" t="n">
        <v>0.7782</v>
      </c>
      <c r="AD38" s="24" t="inlineStr">
        <is>
          <t>2026-08-16T03:13:22.445689Z</t>
        </is>
      </c>
      <c r="AE38" s="31" t="inlineStr">
        <is>
          <t>Learned LR call at threshold 0.5001; executable ask 0.7200 (aec-wnba-la-wsh-2026-08-15); model edge vs ask -0.0342.</t>
        </is>
      </c>
      <c r="AF38" s="31" t="inlineStr">
        <is>
          <t>Learned model; shadow-qualified via operator override.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wnba-las</t>
        </is>
      </c>
      <c r="AQ38" s="24" t="inlineStr">
        <is>
          <t>Los Angeles Sparks</t>
        </is>
      </c>
      <c r="AR38" s="24" t="inlineStr">
        <is>
          <t>Los Angeles Sparks</t>
        </is>
      </c>
      <c r="AS38" s="24" t="inlineStr">
        <is>
          <t>wnba-was</t>
        </is>
      </c>
      <c r="AT38" s="24" t="inlineStr">
        <is>
          <t>Washington Mystics</t>
        </is>
      </c>
      <c r="AU38" s="24" t="inlineStr">
        <is>
          <t>Washington Mystics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7afd5274214b58b7efd7f7febc7be3ab33b92351cda5cc6403c0a39faea0cc8c</t>
        </is>
      </c>
      <c r="BB38" s="24" t="inlineStr">
        <is>
          <t>learned_lr</t>
        </is>
      </c>
      <c r="BC38" s="24" t="inlineStr">
        <is>
          <t>wnba-elo-trend-lr-v4</t>
        </is>
      </c>
      <c r="BD38" s="24" t="inlineStr">
        <is>
          <t>7afd5274214b58b7efd7f7febc7be3ab33b92351cda5cc6403c0a39faea0cc8c</t>
        </is>
      </c>
      <c r="BE38" s="24" t="inlineStr">
        <is>
          <t>2e68570bcd8d7d01</t>
        </is>
      </c>
      <c r="BF38" s="24" t="inlineStr">
        <is>
          <t>1</t>
        </is>
      </c>
      <c r="BG38" s="24" t="inlineStr">
        <is>
          <t>wnba-elo-trend-lr-v4</t>
        </is>
      </c>
      <c r="BH38" s="24" t="inlineStr">
        <is>
          <t>2026-08-15T21:04:52.752754Z</t>
        </is>
      </c>
      <c r="BI38" s="24" t="inlineStr">
        <is>
          <t>["same_event","same_team_same_day","same_league_same_day"]</t>
        </is>
      </c>
      <c r="BJ38" s="25" t="n"/>
      <c r="BK38" s="26" t="n">
        <v>-257</v>
      </c>
      <c r="BL38" s="27" t="n">
        <v>1.389105</v>
      </c>
      <c r="BM38" s="28" t="n">
        <v>0.719888</v>
      </c>
      <c r="BN38" s="28" t="n">
        <v>0.712871</v>
      </c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0.7544168084</t>
        </is>
      </c>
      <c r="CD38" s="24" t="inlineStr">
        <is>
          <t>1.10837</t>
        </is>
      </c>
      <c r="CE38" s="24" t="n"/>
      <c r="CF38" s="24" t="n"/>
      <c r="CG38" s="24" t="n"/>
      <c r="CH38" s="24" t="n"/>
      <c r="CI38" s="24" t="n"/>
      <c r="CJ38" s="24" t="inlineStr">
        <is>
          <t>1.594967</t>
        </is>
      </c>
      <c r="CK38" s="24" t="n"/>
      <c r="CL38" s="24" t="n"/>
      <c r="CM38" s="24" t="n"/>
      <c r="CN38" s="24" t="n"/>
      <c r="CO38" s="24" t="n"/>
      <c r="CP38" s="24" t="n"/>
      <c r="CQ38" s="24" t="n"/>
      <c r="CR38" s="24" t="inlineStr">
        <is>
          <t>0.685826</t>
        </is>
      </c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0.719888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7d847758941e4c10</t>
        </is>
      </c>
      <c r="B39" s="24" t="inlineStr">
        <is>
          <t>2026-08-15T21:05:43.603531Z</t>
        </is>
      </c>
      <c r="C39" s="24" t="inlineStr">
        <is>
          <t>2026-08-15T20:00:00-0400</t>
        </is>
      </c>
      <c r="D39" s="24" t="inlineStr">
        <is>
          <t>401857147</t>
        </is>
      </c>
      <c r="E39" s="24" t="inlineStr">
        <is>
          <t>WNBA</t>
        </is>
      </c>
      <c r="F39" s="24" t="inlineStr">
        <is>
          <t>Minnesota Lynx</t>
        </is>
      </c>
      <c r="G39" s="24" t="inlineStr">
        <is>
          <t>Las Vegas Aces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-127</v>
      </c>
      <c r="M39" s="27" t="n">
        <v>1.787402</v>
      </c>
      <c r="N39" s="28" t="n">
        <v>0.5594710000000001</v>
      </c>
      <c r="O39" s="28" t="n">
        <v>0.535227</v>
      </c>
      <c r="P39" s="28" t="n"/>
      <c r="Q39" s="28" t="n">
        <v>-0.024244</v>
      </c>
      <c r="R39" s="26" t="n">
        <v>10</v>
      </c>
      <c r="S39" s="29" t="n">
        <v>1</v>
      </c>
      <c r="T39" s="24" t="inlineStr">
        <is>
          <t>wnba-elo-trend-lr-v4</t>
        </is>
      </c>
      <c r="U39" s="24" t="inlineStr">
        <is>
          <t>settled</t>
        </is>
      </c>
      <c r="V39" s="24" t="inlineStr">
        <is>
          <t>win</t>
        </is>
      </c>
      <c r="W39" s="26" t="n">
        <v>92</v>
      </c>
      <c r="X39" s="26" t="n">
        <v>87</v>
      </c>
      <c r="Y39" s="25" t="n"/>
      <c r="Z39" s="26" t="n"/>
      <c r="AA39" s="28" t="n"/>
      <c r="AB39" s="28" t="n"/>
      <c r="AC39" s="30" t="n">
        <v>0.7874</v>
      </c>
      <c r="AD39" s="24" t="inlineStr">
        <is>
          <t>2026-08-16T03:13:22.859324Z</t>
        </is>
      </c>
      <c r="AE39" s="31" t="inlineStr">
        <is>
          <t>Learned LR call at threshold 0.5001; executable ask 0.5600 (aec-wnba-min-lv-2026-08-15); model edge vs ask -0.0248.</t>
        </is>
      </c>
      <c r="AF39" s="31" t="inlineStr">
        <is>
          <t>Learned model; shadow-qualified via operator override.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wnba-min</t>
        </is>
      </c>
      <c r="AQ39" s="24" t="inlineStr">
        <is>
          <t>Minnesota Lynx</t>
        </is>
      </c>
      <c r="AR39" s="24" t="inlineStr">
        <is>
          <t>Minnesota Lynx</t>
        </is>
      </c>
      <c r="AS39" s="24" t="inlineStr">
        <is>
          <t>wnba-lva</t>
        </is>
      </c>
      <c r="AT39" s="24" t="inlineStr">
        <is>
          <t>Las Vegas Aces</t>
        </is>
      </c>
      <c r="AU39" s="24" t="inlineStr">
        <is>
          <t>Las Vegas Aces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7afd5274214b58b7efd7f7febc7be3ab33b92351cda5cc6403c0a39faea0cc8c</t>
        </is>
      </c>
      <c r="BB39" s="24" t="inlineStr">
        <is>
          <t>learned_lr</t>
        </is>
      </c>
      <c r="BC39" s="24" t="inlineStr">
        <is>
          <t>wnba-elo-trend-lr-v4</t>
        </is>
      </c>
      <c r="BD39" s="24" t="inlineStr">
        <is>
          <t>7afd5274214b58b7efd7f7febc7be3ab33b92351cda5cc6403c0a39faea0cc8c</t>
        </is>
      </c>
      <c r="BE39" s="24" t="inlineStr">
        <is>
          <t>554ffa8a5cae6ec3</t>
        </is>
      </c>
      <c r="BF39" s="24" t="inlineStr">
        <is>
          <t>1</t>
        </is>
      </c>
      <c r="BG39" s="24" t="inlineStr">
        <is>
          <t>wnba-elo-trend-lr-v4</t>
        </is>
      </c>
      <c r="BH39" s="24" t="inlineStr">
        <is>
          <t>2026-08-15T21:04:53.288429Z</t>
        </is>
      </c>
      <c r="BI39" s="24" t="inlineStr">
        <is>
          <t>["same_event","same_team_same_day","same_league_same_day"]</t>
        </is>
      </c>
      <c r="BJ39" s="25" t="n"/>
      <c r="BK39" s="26" t="n">
        <v>-127</v>
      </c>
      <c r="BL39" s="27" t="n">
        <v>1.787402</v>
      </c>
      <c r="BM39" s="28" t="n">
        <v>0.5594710000000001</v>
      </c>
      <c r="BN39" s="28" t="n">
        <v>0.554455</v>
      </c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0.4509171752</t>
        </is>
      </c>
      <c r="CD39" s="24" t="inlineStr">
        <is>
          <t>-2.93478</t>
        </is>
      </c>
      <c r="CE39" s="24" t="n"/>
      <c r="CF39" s="24" t="n"/>
      <c r="CG39" s="24" t="n"/>
      <c r="CH39" s="24" t="n"/>
      <c r="CI39" s="24" t="n"/>
      <c r="CJ39" s="24" t="inlineStr">
        <is>
          <t>0.86419</t>
        </is>
      </c>
      <c r="CK39" s="24" t="n"/>
      <c r="CL39" s="24" t="n"/>
      <c r="CM39" s="24" t="n"/>
      <c r="CN39" s="24" t="n"/>
      <c r="CO39" s="24" t="n"/>
      <c r="CP39" s="24" t="n"/>
      <c r="CQ39" s="24" t="n"/>
      <c r="CR39" s="24" t="inlineStr">
        <is>
          <t>0.535227</t>
        </is>
      </c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0.559471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713fb2315e0b4118</t>
        </is>
      </c>
      <c r="B40" s="24" t="inlineStr">
        <is>
          <t>2026-08-15T21:06:05.083356Z</t>
        </is>
      </c>
      <c r="C40" s="24" t="inlineStr">
        <is>
          <t>2026-08-15T23:30Z</t>
        </is>
      </c>
      <c r="D40" s="24" t="inlineStr">
        <is>
          <t>401857146</t>
        </is>
      </c>
      <c r="E40" s="24" t="inlineStr">
        <is>
          <t>WNBA</t>
        </is>
      </c>
      <c r="F40" s="24" t="inlineStr">
        <is>
          <t>Los Angeles Sparks</t>
        </is>
      </c>
      <c r="G40" s="24" t="inlineStr">
        <is>
          <t>Washington Mystics</t>
        </is>
      </c>
      <c r="H40" s="24" t="inlineStr">
        <is>
          <t>spread</t>
        </is>
      </c>
      <c r="I40" s="24" t="inlineStr">
        <is>
          <t>away</t>
        </is>
      </c>
      <c r="J40" s="25" t="n">
        <v>7.5</v>
      </c>
      <c r="K40" s="24" t="inlineStr">
        <is>
          <t>polymarket_us</t>
        </is>
      </c>
      <c r="L40" s="26" t="n">
        <v>-117</v>
      </c>
      <c r="M40" s="27" t="n">
        <v>1.854701</v>
      </c>
      <c r="N40" s="28" t="n">
        <v>0.539171</v>
      </c>
      <c r="O40" s="28" t="n">
        <v>0.642732</v>
      </c>
      <c r="P40" s="28" t="n">
        <v>0.03</v>
      </c>
      <c r="Q40" s="28" t="n">
        <v>0.103561</v>
      </c>
      <c r="R40" s="26" t="n">
        <v>84</v>
      </c>
      <c r="S40" s="29" t="n">
        <v>1.75</v>
      </c>
      <c r="T40" s="24" t="inlineStr">
        <is>
          <t>wnba-spread-margin-v1</t>
        </is>
      </c>
      <c r="U40" s="24" t="inlineStr">
        <is>
          <t>settled</t>
        </is>
      </c>
      <c r="V40" s="24" t="inlineStr">
        <is>
          <t>loss</t>
        </is>
      </c>
      <c r="W40" s="26" t="n">
        <v>70</v>
      </c>
      <c r="X40" s="26" t="n">
        <v>80</v>
      </c>
      <c r="Y40" s="25" t="n"/>
      <c r="Z40" s="26" t="n"/>
      <c r="AA40" s="28" t="n"/>
      <c r="AB40" s="28" t="n"/>
      <c r="AC40" s="30" t="n">
        <v>-1.75</v>
      </c>
      <c r="AD40" s="24" t="inlineStr">
        <is>
          <t>2026-08-16T03:13:31.747310Z</t>
        </is>
      </c>
      <c r="AE40" s="31" t="inlineStr">
        <is>
          <t>Projected margin +3.7 (home), sd 10.5. Executable ask 0.5400 (asc-wnba-la-wsh-2026-08-15-pos-7pt5).</t>
        </is>
      </c>
      <c r="AF40" s="31" t="inlineStr">
        <is>
          <t>Research-baseline margin-normal spread model; not yet locked-holdout qualified.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wnba-las</t>
        </is>
      </c>
      <c r="AQ40" s="24" t="inlineStr">
        <is>
          <t>Los Angeles Sparks</t>
        </is>
      </c>
      <c r="AR40" s="24" t="inlineStr">
        <is>
          <t>Los Angeles Sparks</t>
        </is>
      </c>
      <c r="AS40" s="24" t="inlineStr">
        <is>
          <t>wnba-was</t>
        </is>
      </c>
      <c r="AT40" s="24" t="inlineStr">
        <is>
          <t>Washington Mystics</t>
        </is>
      </c>
      <c r="AU40" s="24" t="inlineStr">
        <is>
          <t>Washington Mystics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23ba88bcc86a710d76233b349116f2eefe021a993d2d3b9102922e567a027b4c</t>
        </is>
      </c>
      <c r="BB40" s="24" t="inlineStr">
        <is>
          <t>margin_normal</t>
        </is>
      </c>
      <c r="BC40" s="24" t="inlineStr">
        <is>
          <t>wnba-spread-margin-v1</t>
        </is>
      </c>
      <c r="BD40" s="24" t="inlineStr">
        <is>
          <t>23ba88bcc86a710d76233b349116f2eefe021a993d2d3b9102922e567a027b4c</t>
        </is>
      </c>
      <c r="BE40" s="24" t="inlineStr">
        <is>
          <t>wnba-spread-margin-v1</t>
        </is>
      </c>
      <c r="BF40" s="24" t="inlineStr">
        <is>
          <t>1</t>
        </is>
      </c>
      <c r="BG40" s="24" t="inlineStr">
        <is>
          <t>23ba88bcc86a710d76233b349116f2eefe021a993d2d3b9102922e567a027b4c</t>
        </is>
      </c>
      <c r="BH40" s="24" t="inlineStr">
        <is>
          <t>2026-08-15T21:06:03.684792+00:00</t>
        </is>
      </c>
      <c r="BI40" s="24" t="inlineStr">
        <is>
          <t>["same_event","same_team_same_day","same_league_same_day"]</t>
        </is>
      </c>
      <c r="BJ40" s="25" t="n">
        <v>7.5</v>
      </c>
      <c r="BK40" s="26" t="n">
        <v>-117</v>
      </c>
      <c r="BL40" s="27" t="n">
        <v>1.854701</v>
      </c>
      <c r="BM40" s="28" t="n">
        <v>0.539171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0.539171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77eea1ea77c04934</t>
        </is>
      </c>
      <c r="B41" s="24" t="inlineStr">
        <is>
          <t>2026-08-15T21:06:05.083356Z</t>
        </is>
      </c>
      <c r="C41" s="24" t="inlineStr">
        <is>
          <t>2026-08-16T00:00Z</t>
        </is>
      </c>
      <c r="D41" s="24" t="inlineStr">
        <is>
          <t>401857147</t>
        </is>
      </c>
      <c r="E41" s="24" t="inlineStr">
        <is>
          <t>WNBA</t>
        </is>
      </c>
      <c r="F41" s="24" t="inlineStr">
        <is>
          <t>Minnesota Lynx</t>
        </is>
      </c>
      <c r="G41" s="24" t="inlineStr">
        <is>
          <t>Las Vegas Aces</t>
        </is>
      </c>
      <c r="H41" s="24" t="inlineStr">
        <is>
          <t>spread</t>
        </is>
      </c>
      <c r="I41" s="24" t="inlineStr">
        <is>
          <t>home</t>
        </is>
      </c>
      <c r="J41" s="25" t="n">
        <v>4.5</v>
      </c>
      <c r="K41" s="24" t="inlineStr">
        <is>
          <t>polymarket_us</t>
        </is>
      </c>
      <c r="L41" s="26" t="n">
        <v>-163</v>
      </c>
      <c r="M41" s="27" t="n">
        <v>1.613497</v>
      </c>
      <c r="N41" s="28" t="n">
        <v>0.619772</v>
      </c>
      <c r="O41" s="28" t="n">
        <v>0.682588</v>
      </c>
      <c r="P41" s="28" t="n">
        <v>0.03</v>
      </c>
      <c r="Q41" s="28" t="n">
        <v>0.062816</v>
      </c>
      <c r="R41" s="26" t="n">
        <v>63</v>
      </c>
      <c r="S41" s="29" t="n">
        <v>2</v>
      </c>
      <c r="T41" s="24" t="inlineStr">
        <is>
          <t>wnba-spread-margin-v1</t>
        </is>
      </c>
      <c r="U41" s="24" t="inlineStr">
        <is>
          <t>settled</t>
        </is>
      </c>
      <c r="V41" s="24" t="inlineStr">
        <is>
          <t>loss</t>
        </is>
      </c>
      <c r="W41" s="26" t="n">
        <v>92</v>
      </c>
      <c r="X41" s="26" t="n">
        <v>87</v>
      </c>
      <c r="Y41" s="25" t="n"/>
      <c r="Z41" s="26" t="n"/>
      <c r="AA41" s="28" t="n"/>
      <c r="AB41" s="28" t="n"/>
      <c r="AC41" s="30" t="n">
        <v>-2</v>
      </c>
      <c r="AD41" s="24" t="inlineStr">
        <is>
          <t>2026-08-16T03:13:32.051446Z</t>
        </is>
      </c>
      <c r="AE41" s="31" t="inlineStr">
        <is>
          <t>Projected margin +0.5 (home), sd 10.5. Executable ask 0.6200 (asc-wnba-min-lv-2026-08-15-neg-4pt5).</t>
        </is>
      </c>
      <c r="AF41" s="31" t="inlineStr">
        <is>
          <t>Research-baseline margin-normal spread model;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wnba-min</t>
        </is>
      </c>
      <c r="AQ41" s="24" t="inlineStr">
        <is>
          <t>Minnesota Lynx</t>
        </is>
      </c>
      <c r="AR41" s="24" t="inlineStr">
        <is>
          <t>Minnesota Lynx</t>
        </is>
      </c>
      <c r="AS41" s="24" t="inlineStr">
        <is>
          <t>wnba-lva</t>
        </is>
      </c>
      <c r="AT41" s="24" t="inlineStr">
        <is>
          <t>Las Vegas Aces</t>
        </is>
      </c>
      <c r="AU41" s="24" t="inlineStr">
        <is>
          <t>Las Vegas Aces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23ba88bcc86a710d76233b349116f2eefe021a993d2d3b9102922e567a027b4c</t>
        </is>
      </c>
      <c r="BB41" s="24" t="inlineStr">
        <is>
          <t>margin_normal</t>
        </is>
      </c>
      <c r="BC41" s="24" t="inlineStr">
        <is>
          <t>wnba-spread-margin-v1</t>
        </is>
      </c>
      <c r="BD41" s="24" t="inlineStr">
        <is>
          <t>23ba88bcc86a710d76233b349116f2eefe021a993d2d3b9102922e567a027b4c</t>
        </is>
      </c>
      <c r="BE41" s="24" t="inlineStr">
        <is>
          <t>wnba-spread-margin-v1</t>
        </is>
      </c>
      <c r="BF41" s="24" t="inlineStr">
        <is>
          <t>1</t>
        </is>
      </c>
      <c r="BG41" s="24" t="inlineStr">
        <is>
          <t>23ba88bcc86a710d76233b349116f2eefe021a993d2d3b9102922e567a027b4c</t>
        </is>
      </c>
      <c r="BH41" s="24" t="inlineStr">
        <is>
          <t>2026-08-15T21:06:03.684792+00:00</t>
        </is>
      </c>
      <c r="BI41" s="24" t="inlineStr">
        <is>
          <t>["same_event","same_team_same_day","same_league_same_day"]</t>
        </is>
      </c>
      <c r="BJ41" s="25" t="n">
        <v>4.5</v>
      </c>
      <c r="BK41" s="26" t="n">
        <v>-163</v>
      </c>
      <c r="BL41" s="27" t="n">
        <v>1.613497</v>
      </c>
      <c r="BM41" s="28" t="n">
        <v>0.619772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0.619772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3063bdc712e64a60</t>
        </is>
      </c>
      <c r="B42" s="24" t="inlineStr">
        <is>
          <t>2026-08-16T17:43:47.434299Z</t>
        </is>
      </c>
      <c r="C42" s="24" t="inlineStr">
        <is>
          <t>2026-08-16T17:00:00-0400</t>
        </is>
      </c>
      <c r="D42" s="24" t="inlineStr">
        <is>
          <t>401857148</t>
        </is>
      </c>
      <c r="E42" s="24" t="inlineStr">
        <is>
          <t>WNBA</t>
        </is>
      </c>
      <c r="F42" s="24" t="inlineStr">
        <is>
          <t>Chicago Sky</t>
        </is>
      </c>
      <c r="G42" s="24" t="inlineStr">
        <is>
          <t>Seattle Storm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117</v>
      </c>
      <c r="M42" s="27" t="n">
        <v>2.17</v>
      </c>
      <c r="N42" s="28" t="n">
        <v>0.460829</v>
      </c>
      <c r="O42" s="28" t="n">
        <v>0.505508</v>
      </c>
      <c r="P42" s="28" t="n"/>
      <c r="Q42" s="28" t="n">
        <v>0.044679</v>
      </c>
      <c r="R42" s="26" t="n">
        <v>45</v>
      </c>
      <c r="S42" s="29" t="n">
        <v>1</v>
      </c>
      <c r="T42" s="24" t="inlineStr">
        <is>
          <t>wnba-elo-trend-lr-v4</t>
        </is>
      </c>
      <c r="U42" s="24" t="inlineStr">
        <is>
          <t>settled</t>
        </is>
      </c>
      <c r="V42" s="24" t="inlineStr">
        <is>
          <t>loss</t>
        </is>
      </c>
      <c r="W42" s="26" t="n">
        <v>82</v>
      </c>
      <c r="X42" s="26" t="n">
        <v>80</v>
      </c>
      <c r="Y42" s="25" t="n"/>
      <c r="Z42" s="26" t="n"/>
      <c r="AA42" s="28" t="n"/>
      <c r="AB42" s="28" t="n"/>
      <c r="AC42" s="30" t="n">
        <v>-1</v>
      </c>
      <c r="AD42" s="24" t="inlineStr">
        <is>
          <t>2026-08-17T05:22:58.926604Z</t>
        </is>
      </c>
      <c r="AE42" s="31" t="inlineStr">
        <is>
          <t>Learned LR call at threshold 0.5001; executable ask 0.4600 (aec-wnba-chi-sea-2026-08-16); model edge vs ask +0.0455.</t>
        </is>
      </c>
      <c r="AF42" s="31" t="inlineStr">
        <is>
          <t>Learned model; shadow-qualified via operator override.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wnba-chi</t>
        </is>
      </c>
      <c r="AQ42" s="24" t="inlineStr">
        <is>
          <t>Chicago Sky</t>
        </is>
      </c>
      <c r="AR42" s="24" t="inlineStr">
        <is>
          <t>Chicago Sky</t>
        </is>
      </c>
      <c r="AS42" s="24" t="inlineStr">
        <is>
          <t>wnba-sea</t>
        </is>
      </c>
      <c r="AT42" s="24" t="inlineStr">
        <is>
          <t>Seattle Storm</t>
        </is>
      </c>
      <c r="AU42" s="24" t="inlineStr">
        <is>
          <t>Seattle Storm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7afd5274214b58b7efd7f7febc7be3ab33b92351cda5cc6403c0a39faea0cc8c</t>
        </is>
      </c>
      <c r="BB42" s="24" t="inlineStr">
        <is>
          <t>learned_lr</t>
        </is>
      </c>
      <c r="BC42" s="24" t="inlineStr">
        <is>
          <t>wnba-elo-trend-lr-v4</t>
        </is>
      </c>
      <c r="BD42" s="24" t="inlineStr">
        <is>
          <t>7afd5274214b58b7efd7f7febc7be3ab33b92351cda5cc6403c0a39faea0cc8c</t>
        </is>
      </c>
      <c r="BE42" s="24" t="inlineStr">
        <is>
          <t>e31b647942f0ba84</t>
        </is>
      </c>
      <c r="BF42" s="24" t="inlineStr">
        <is>
          <t>1</t>
        </is>
      </c>
      <c r="BG42" s="24" t="inlineStr">
        <is>
          <t>wnba-elo-trend-lr-v4</t>
        </is>
      </c>
      <c r="BH42" s="24" t="inlineStr">
        <is>
          <t>2026-08-16T17:42:34.402557Z</t>
        </is>
      </c>
      <c r="BI42" s="24" t="inlineStr">
        <is>
          <t>["same_event","same_team_same_day","same_league_same_day"]</t>
        </is>
      </c>
      <c r="BJ42" s="25" t="n"/>
      <c r="BK42" s="26" t="n">
        <v>117</v>
      </c>
      <c r="BL42" s="27" t="n">
        <v>2.17</v>
      </c>
      <c r="BM42" s="28" t="n">
        <v>0.460829</v>
      </c>
      <c r="BN42" s="28" t="n">
        <v>0.455446</v>
      </c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0.5069165212</t>
        </is>
      </c>
      <c r="CD42" s="24" t="inlineStr">
        <is>
          <t>-0.1981</t>
        </is>
      </c>
      <c r="CE42" s="24" t="n"/>
      <c r="CF42" s="24" t="n"/>
      <c r="CG42" s="24" t="n"/>
      <c r="CH42" s="24" t="n"/>
      <c r="CI42" s="24" t="n"/>
      <c r="CJ42" s="24" t="inlineStr">
        <is>
          <t>-1.226101</t>
        </is>
      </c>
      <c r="CK42" s="24" t="n"/>
      <c r="CL42" s="24" t="n"/>
      <c r="CM42" s="24" t="n"/>
      <c r="CN42" s="24" t="n"/>
      <c r="CO42" s="24" t="n"/>
      <c r="CP42" s="24" t="n"/>
      <c r="CQ42" s="24" t="n"/>
      <c r="CR42" s="24" t="inlineStr">
        <is>
          <t>0.505508</t>
        </is>
      </c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0.460829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2d4b64f07ca34881</t>
        </is>
      </c>
      <c r="B43" s="24" t="inlineStr">
        <is>
          <t>2026-08-16T17:43:47.434299Z</t>
        </is>
      </c>
      <c r="C43" s="24" t="inlineStr">
        <is>
          <t>2026-08-16T17:00:00-0400</t>
        </is>
      </c>
      <c r="D43" s="24" t="inlineStr">
        <is>
          <t>401857150</t>
        </is>
      </c>
      <c r="E43" s="24" t="inlineStr">
        <is>
          <t>WNBA</t>
        </is>
      </c>
      <c r="F43" s="24" t="inlineStr">
        <is>
          <t>Indiana Fever</t>
        </is>
      </c>
      <c r="G43" s="24" t="inlineStr">
        <is>
          <t>Atlanta Dream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113</v>
      </c>
      <c r="M43" s="27" t="n">
        <v>2.13</v>
      </c>
      <c r="N43" s="28" t="n">
        <v>0.469484</v>
      </c>
      <c r="O43" s="28" t="n">
        <v>0.552561</v>
      </c>
      <c r="P43" s="28" t="n"/>
      <c r="Q43" s="28" t="n">
        <v>0.083077</v>
      </c>
      <c r="R43" s="26" t="n">
        <v>64</v>
      </c>
      <c r="S43" s="29" t="n">
        <v>1</v>
      </c>
      <c r="T43" s="24" t="inlineStr">
        <is>
          <t>wnba-elo-trend-lr-v4</t>
        </is>
      </c>
      <c r="U43" s="24" t="inlineStr">
        <is>
          <t>settled</t>
        </is>
      </c>
      <c r="V43" s="24" t="inlineStr">
        <is>
          <t>win</t>
        </is>
      </c>
      <c r="W43" s="26" t="n">
        <v>95</v>
      </c>
      <c r="X43" s="26" t="n">
        <v>91</v>
      </c>
      <c r="Y43" s="25" t="n"/>
      <c r="Z43" s="26" t="n"/>
      <c r="AA43" s="28" t="n"/>
      <c r="AB43" s="28" t="n"/>
      <c r="AC43" s="30" t="n">
        <v>1.13</v>
      </c>
      <c r="AD43" s="24" t="inlineStr">
        <is>
          <t>2026-08-17T05:22:59.818939Z</t>
        </is>
      </c>
      <c r="AE43" s="31" t="inlineStr">
        <is>
          <t>Learned LR call at threshold 0.5001; executable ask 0.4700 (aec-wnba-ind-atl-2026-08-16); model edge vs ask +0.0826. NOTE: NO_CALL_AVAILABILITY_SOURCE_CONFLICT unavailable for this game — defaulted to neutral, other features used normally.</t>
        </is>
      </c>
      <c r="AF43" s="31" t="inlineStr">
        <is>
          <t>Learned model; shadow-qualified via operator override.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wnba-ind</t>
        </is>
      </c>
      <c r="AQ43" s="24" t="inlineStr">
        <is>
          <t>Indiana Fever</t>
        </is>
      </c>
      <c r="AR43" s="24" t="inlineStr">
        <is>
          <t>Indiana Fever</t>
        </is>
      </c>
      <c r="AS43" s="24" t="inlineStr">
        <is>
          <t>wnba-atl</t>
        </is>
      </c>
      <c r="AT43" s="24" t="inlineStr">
        <is>
          <t>Atlanta Dream</t>
        </is>
      </c>
      <c r="AU43" s="24" t="inlineStr">
        <is>
          <t>Atlanta Dream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7afd5274214b58b7efd7f7febc7be3ab33b92351cda5cc6403c0a39faea0cc8c</t>
        </is>
      </c>
      <c r="BB43" s="24" t="inlineStr">
        <is>
          <t>learned_lr</t>
        </is>
      </c>
      <c r="BC43" s="24" t="inlineStr">
        <is>
          <t>wnba-elo-trend-lr-v4</t>
        </is>
      </c>
      <c r="BD43" s="24" t="inlineStr">
        <is>
          <t>7afd5274214b58b7efd7f7febc7be3ab33b92351cda5cc6403c0a39faea0cc8c</t>
        </is>
      </c>
      <c r="BE43" s="24" t="inlineStr">
        <is>
          <t>6e56c78aff0fe99c</t>
        </is>
      </c>
      <c r="BF43" s="24" t="inlineStr">
        <is>
          <t>1</t>
        </is>
      </c>
      <c r="BG43" s="24" t="inlineStr">
        <is>
          <t>wnba-elo-trend-lr-v4</t>
        </is>
      </c>
      <c r="BH43" s="24" t="inlineStr">
        <is>
          <t>2026-08-16T17:42:35.115555Z</t>
        </is>
      </c>
      <c r="BI43" s="24" t="inlineStr">
        <is>
          <t>["same_event","same_team_same_day","same_league_same_day"]</t>
        </is>
      </c>
      <c r="BJ43" s="25" t="n"/>
      <c r="BK43" s="26" t="n">
        <v>113</v>
      </c>
      <c r="BL43" s="27" t="n">
        <v>2.13</v>
      </c>
      <c r="BM43" s="28" t="n">
        <v>0.469484</v>
      </c>
      <c r="BN43" s="28" t="n">
        <v>0.465347</v>
      </c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0.4343524295</t>
        </is>
      </c>
      <c r="CD43" s="24" t="inlineStr">
        <is>
          <t>0.372168</t>
        </is>
      </c>
      <c r="CE43" s="24" t="n"/>
      <c r="CF43" s="24" t="n"/>
      <c r="CG43" s="24" t="n"/>
      <c r="CH43" s="24" t="n"/>
      <c r="CI43" s="24" t="inlineStr">
        <is>
          <t>NO_CALL_AVAILABILITY_SOURCE_CONFLICT</t>
        </is>
      </c>
      <c r="CJ43" s="24" t="inlineStr">
        <is>
          <t>-0.625358</t>
        </is>
      </c>
      <c r="CK43" s="24" t="n"/>
      <c r="CL43" s="24" t="n"/>
      <c r="CM43" s="24" t="n"/>
      <c r="CN43" s="24" t="n"/>
      <c r="CO43" s="24" t="n"/>
      <c r="CP43" s="24" t="n"/>
      <c r="CQ43" s="24" t="n"/>
      <c r="CR43" s="24" t="inlineStr">
        <is>
          <t>0.552561</t>
        </is>
      </c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0.469484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52304b3a81404aed</t>
        </is>
      </c>
      <c r="B44" s="24" t="inlineStr">
        <is>
          <t>2026-08-16T17:43:47.434299Z</t>
        </is>
      </c>
      <c r="C44" s="24" t="inlineStr">
        <is>
          <t>2026-08-16T19:00:00-0400</t>
        </is>
      </c>
      <c r="D44" s="24" t="inlineStr">
        <is>
          <t>401857149</t>
        </is>
      </c>
      <c r="E44" s="24" t="inlineStr">
        <is>
          <t>WNBA</t>
        </is>
      </c>
      <c r="F44" s="24" t="inlineStr">
        <is>
          <t>Portland Fire</t>
        </is>
      </c>
      <c r="G44" s="24" t="inlineStr">
        <is>
          <t>Phoenix Mercury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-186</v>
      </c>
      <c r="M44" s="27" t="n">
        <v>1.537634</v>
      </c>
      <c r="N44" s="28" t="n">
        <v>0.65035</v>
      </c>
      <c r="O44" s="28" t="n">
        <v>0.576265</v>
      </c>
      <c r="P44" s="28" t="n"/>
      <c r="Q44" s="28" t="n">
        <v>-0.074085</v>
      </c>
      <c r="R44" s="26" t="n">
        <v>0</v>
      </c>
      <c r="S44" s="29" t="n">
        <v>1.25</v>
      </c>
      <c r="T44" s="24" t="inlineStr">
        <is>
          <t>wnba-elo-trend-lr-v4</t>
        </is>
      </c>
      <c r="U44" s="24" t="inlineStr">
        <is>
          <t>settled</t>
        </is>
      </c>
      <c r="V44" s="24" t="inlineStr">
        <is>
          <t>loss</t>
        </is>
      </c>
      <c r="W44" s="26" t="n">
        <v>88</v>
      </c>
      <c r="X44" s="26" t="n">
        <v>85</v>
      </c>
      <c r="Y44" s="25" t="n"/>
      <c r="Z44" s="26" t="n"/>
      <c r="AA44" s="28" t="n"/>
      <c r="AB44" s="28" t="n"/>
      <c r="AC44" s="30" t="n">
        <v>-1.25</v>
      </c>
      <c r="AD44" s="24" t="inlineStr">
        <is>
          <t>2026-08-17T05:23:00.694459Z</t>
        </is>
      </c>
      <c r="AE44" s="31" t="inlineStr">
        <is>
          <t>Learned LR call at threshold 0.5001; executable ask 0.6500 (aec-wnba-por-phx-2026-08-16); model edge vs ask -0.0737.</t>
        </is>
      </c>
      <c r="AF44" s="31" t="inlineStr">
        <is>
          <t>Learned model; shadow-qualified via operator override.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wnba-por</t>
        </is>
      </c>
      <c r="AQ44" s="24" t="inlineStr">
        <is>
          <t>Portland Fire</t>
        </is>
      </c>
      <c r="AR44" s="24" t="inlineStr">
        <is>
          <t>Portland Fire</t>
        </is>
      </c>
      <c r="AS44" s="24" t="inlineStr">
        <is>
          <t>wnba-phx</t>
        </is>
      </c>
      <c r="AT44" s="24" t="inlineStr">
        <is>
          <t>Phoenix Mercury</t>
        </is>
      </c>
      <c r="AU44" s="24" t="inlineStr">
        <is>
          <t>Phoenix Mercury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7afd5274214b58b7efd7f7febc7be3ab33b92351cda5cc6403c0a39faea0cc8c</t>
        </is>
      </c>
      <c r="BB44" s="24" t="inlineStr">
        <is>
          <t>learned_lr</t>
        </is>
      </c>
      <c r="BC44" s="24" t="inlineStr">
        <is>
          <t>wnba-elo-trend-lr-v4</t>
        </is>
      </c>
      <c r="BD44" s="24" t="inlineStr">
        <is>
          <t>7afd5274214b58b7efd7f7febc7be3ab33b92351cda5cc6403c0a39faea0cc8c</t>
        </is>
      </c>
      <c r="BE44" s="24" t="inlineStr">
        <is>
          <t>0e8d9cfd1336c751</t>
        </is>
      </c>
      <c r="BF44" s="24" t="inlineStr">
        <is>
          <t>1</t>
        </is>
      </c>
      <c r="BG44" s="24" t="inlineStr">
        <is>
          <t>wnba-elo-trend-lr-v4</t>
        </is>
      </c>
      <c r="BH44" s="24" t="inlineStr">
        <is>
          <t>2026-08-16T17:42:35.898633Z</t>
        </is>
      </c>
      <c r="BI44" s="24" t="inlineStr">
        <is>
          <t>["same_event","same_team_same_day","same_league_same_day"]</t>
        </is>
      </c>
      <c r="BJ44" s="25" t="n"/>
      <c r="BK44" s="26" t="n">
        <v>-186</v>
      </c>
      <c r="BL44" s="27" t="n">
        <v>1.537634</v>
      </c>
      <c r="BM44" s="28" t="n">
        <v>0.65035</v>
      </c>
      <c r="BN44" s="28" t="n">
        <v>0.643564</v>
      </c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0.5906756496</t>
        </is>
      </c>
      <c r="CD44" s="24" t="inlineStr">
        <is>
          <t>-1.347709</t>
        </is>
      </c>
      <c r="CE44" s="24" t="n"/>
      <c r="CF44" s="24" t="n"/>
      <c r="CG44" s="24" t="n"/>
      <c r="CH44" s="24" t="n"/>
      <c r="CI44" s="24" t="n"/>
      <c r="CJ44" s="24" t="inlineStr">
        <is>
          <t>-6.376537</t>
        </is>
      </c>
      <c r="CK44" s="24" t="n"/>
      <c r="CL44" s="24" t="n"/>
      <c r="CM44" s="24" t="n"/>
      <c r="CN44" s="24" t="n"/>
      <c r="CO44" s="24" t="n"/>
      <c r="CP44" s="24" t="n"/>
      <c r="CQ44" s="24" t="n"/>
      <c r="CR44" s="24" t="inlineStr">
        <is>
          <t>0.576265</t>
        </is>
      </c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0.65035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ed01574235364778</t>
        </is>
      </c>
      <c r="B45" s="24" t="inlineStr">
        <is>
          <t>2026-08-16T17:44:10.908553Z</t>
        </is>
      </c>
      <c r="C45" s="24" t="inlineStr">
        <is>
          <t>2026-08-16T21:00Z</t>
        </is>
      </c>
      <c r="D45" s="24" t="inlineStr">
        <is>
          <t>401857148</t>
        </is>
      </c>
      <c r="E45" s="24" t="inlineStr">
        <is>
          <t>WNBA</t>
        </is>
      </c>
      <c r="F45" s="24" t="inlineStr">
        <is>
          <t>Chicago Sky</t>
        </is>
      </c>
      <c r="G45" s="24" t="inlineStr">
        <is>
          <t>Seattle Storm</t>
        </is>
      </c>
      <c r="H45" s="24" t="inlineStr">
        <is>
          <t>spread</t>
        </is>
      </c>
      <c r="I45" s="24" t="inlineStr">
        <is>
          <t>home</t>
        </is>
      </c>
      <c r="J45" s="25" t="n">
        <v>4.5</v>
      </c>
      <c r="K45" s="24" t="inlineStr">
        <is>
          <t>polymarket_us</t>
        </is>
      </c>
      <c r="L45" s="26" t="n">
        <v>-203</v>
      </c>
      <c r="M45" s="27" t="n">
        <v>1.492611</v>
      </c>
      <c r="N45" s="28" t="n">
        <v>0.669967</v>
      </c>
      <c r="O45" s="28" t="n">
        <v>0.721278</v>
      </c>
      <c r="P45" s="28" t="n">
        <v>0.03</v>
      </c>
      <c r="Q45" s="28" t="n">
        <v>0.051311</v>
      </c>
      <c r="R45" s="26" t="n">
        <v>58</v>
      </c>
      <c r="S45" s="29" t="n">
        <v>2</v>
      </c>
      <c r="T45" s="24" t="inlineStr">
        <is>
          <t>wnba-spread-margin-v1</t>
        </is>
      </c>
      <c r="U45" s="24" t="inlineStr">
        <is>
          <t>settled</t>
        </is>
      </c>
      <c r="V45" s="24" t="inlineStr">
        <is>
          <t>win</t>
        </is>
      </c>
      <c r="W45" s="26" t="n">
        <v>82</v>
      </c>
      <c r="X45" s="26" t="n">
        <v>80</v>
      </c>
      <c r="Y45" s="25" t="n"/>
      <c r="Z45" s="26" t="n"/>
      <c r="AA45" s="28" t="n"/>
      <c r="AB45" s="28" t="n"/>
      <c r="AC45" s="30" t="n">
        <v>0.9852</v>
      </c>
      <c r="AD45" s="24" t="inlineStr">
        <is>
          <t>2026-08-17T05:23:01.499204Z</t>
        </is>
      </c>
      <c r="AE45" s="31" t="inlineStr">
        <is>
          <t>Projected margin +1.7 (home), sd 10.5. Executable ask 0.6700 (asc-wnba-chi-sea-2026-08-16-neg-4pt5).</t>
        </is>
      </c>
      <c r="AF45" s="31" t="inlineStr">
        <is>
          <t>Research-baseline margin-normal spread model;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wnba-chi</t>
        </is>
      </c>
      <c r="AQ45" s="24" t="inlineStr">
        <is>
          <t>Chicago Sky</t>
        </is>
      </c>
      <c r="AR45" s="24" t="inlineStr">
        <is>
          <t>Chicago Sky</t>
        </is>
      </c>
      <c r="AS45" s="24" t="inlineStr">
        <is>
          <t>wnba-sea</t>
        </is>
      </c>
      <c r="AT45" s="24" t="inlineStr">
        <is>
          <t>Seattle Storm</t>
        </is>
      </c>
      <c r="AU45" s="24" t="inlineStr">
        <is>
          <t>Seattle Storm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23ba88bcc86a710d76233b349116f2eefe021a993d2d3b9102922e567a027b4c</t>
        </is>
      </c>
      <c r="BB45" s="24" t="inlineStr">
        <is>
          <t>margin_normal</t>
        </is>
      </c>
      <c r="BC45" s="24" t="inlineStr">
        <is>
          <t>wnba-spread-margin-v1</t>
        </is>
      </c>
      <c r="BD45" s="24" t="inlineStr">
        <is>
          <t>23ba88bcc86a710d76233b349116f2eefe021a993d2d3b9102922e567a027b4c</t>
        </is>
      </c>
      <c r="BE45" s="24" t="inlineStr">
        <is>
          <t>wnba-spread-margin-v1</t>
        </is>
      </c>
      <c r="BF45" s="24" t="inlineStr">
        <is>
          <t>1</t>
        </is>
      </c>
      <c r="BG45" s="24" t="inlineStr">
        <is>
          <t>23ba88bcc86a710d76233b349116f2eefe021a993d2d3b9102922e567a027b4c</t>
        </is>
      </c>
      <c r="BH45" s="24" t="inlineStr">
        <is>
          <t>2026-08-16T17:44:09.495327+00:00</t>
        </is>
      </c>
      <c r="BI45" s="24" t="inlineStr">
        <is>
          <t>["same_event","same_team_same_day","same_league_same_day"]</t>
        </is>
      </c>
      <c r="BJ45" s="25" t="n">
        <v>4.5</v>
      </c>
      <c r="BK45" s="26" t="n">
        <v>-203</v>
      </c>
      <c r="BL45" s="27" t="n">
        <v>1.492611</v>
      </c>
      <c r="BM45" s="28" t="n">
        <v>0.669967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0.669967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8c2e17ab040f4375</t>
        </is>
      </c>
      <c r="B46" s="24" t="inlineStr">
        <is>
          <t>2026-08-16T17:44:10.908553Z</t>
        </is>
      </c>
      <c r="C46" s="24" t="inlineStr">
        <is>
          <t>2026-08-16T21:00Z</t>
        </is>
      </c>
      <c r="D46" s="24" t="inlineStr">
        <is>
          <t>401857150</t>
        </is>
      </c>
      <c r="E46" s="24" t="inlineStr">
        <is>
          <t>WNBA</t>
        </is>
      </c>
      <c r="F46" s="24" t="inlineStr">
        <is>
          <t>Indiana Fever</t>
        </is>
      </c>
      <c r="G46" s="24" t="inlineStr">
        <is>
          <t>Atlanta Dream</t>
        </is>
      </c>
      <c r="H46" s="24" t="inlineStr">
        <is>
          <t>spread</t>
        </is>
      </c>
      <c r="I46" s="24" t="inlineStr">
        <is>
          <t>away</t>
        </is>
      </c>
      <c r="J46" s="25" t="n">
        <v>1.5</v>
      </c>
      <c r="K46" s="24" t="inlineStr">
        <is>
          <t>polymarket_us</t>
        </is>
      </c>
      <c r="L46" s="26" t="n">
        <v>100</v>
      </c>
      <c r="M46" s="27" t="n">
        <v>2</v>
      </c>
      <c r="N46" s="28" t="n">
        <v>0.5</v>
      </c>
      <c r="O46" s="28" t="n">
        <v>0.519842</v>
      </c>
      <c r="P46" s="28" t="n">
        <v>0.03</v>
      </c>
      <c r="Q46" s="28" t="n">
        <v>0.019842</v>
      </c>
      <c r="R46" s="26" t="n">
        <v>42</v>
      </c>
      <c r="S46" s="29" t="n">
        <v>1</v>
      </c>
      <c r="T46" s="24" t="inlineStr">
        <is>
          <t>wnba-spread-margin-v1</t>
        </is>
      </c>
      <c r="U46" s="24" t="inlineStr">
        <is>
          <t>settled</t>
        </is>
      </c>
      <c r="V46" s="24" t="inlineStr">
        <is>
          <t>win</t>
        </is>
      </c>
      <c r="W46" s="26" t="n">
        <v>95</v>
      </c>
      <c r="X46" s="26" t="n">
        <v>91</v>
      </c>
      <c r="Y46" s="25" t="n"/>
      <c r="Z46" s="26" t="n"/>
      <c r="AA46" s="28" t="n"/>
      <c r="AB46" s="28" t="n"/>
      <c r="AC46" s="30" t="n">
        <v>1</v>
      </c>
      <c r="AD46" s="24" t="inlineStr">
        <is>
          <t>2026-08-17T05:23:02.215802Z</t>
        </is>
      </c>
      <c r="AE46" s="31" t="inlineStr">
        <is>
          <t>Projected margin +1.0 (home), sd 10.5. Executable ask 0.5000 (asc-wnba-ind-atl-2026-08-16-pos-1pt5).</t>
        </is>
      </c>
      <c r="AF46" s="31" t="inlineStr">
        <is>
          <t>Research-baseline margin-normal spread model;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wnba-ind</t>
        </is>
      </c>
      <c r="AQ46" s="24" t="inlineStr">
        <is>
          <t>Indiana Fever</t>
        </is>
      </c>
      <c r="AR46" s="24" t="inlineStr">
        <is>
          <t>Indiana Fever</t>
        </is>
      </c>
      <c r="AS46" s="24" t="inlineStr">
        <is>
          <t>wnba-atl</t>
        </is>
      </c>
      <c r="AT46" s="24" t="inlineStr">
        <is>
          <t>Atlanta Dream</t>
        </is>
      </c>
      <c r="AU46" s="24" t="inlineStr">
        <is>
          <t>Atlanta Dream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23ba88bcc86a710d76233b349116f2eefe021a993d2d3b9102922e567a027b4c</t>
        </is>
      </c>
      <c r="BB46" s="24" t="inlineStr">
        <is>
          <t>margin_normal</t>
        </is>
      </c>
      <c r="BC46" s="24" t="inlineStr">
        <is>
          <t>wnba-spread-margin-v1</t>
        </is>
      </c>
      <c r="BD46" s="24" t="inlineStr">
        <is>
          <t>23ba88bcc86a710d76233b349116f2eefe021a993d2d3b9102922e567a027b4c</t>
        </is>
      </c>
      <c r="BE46" s="24" t="inlineStr">
        <is>
          <t>wnba-spread-margin-v1</t>
        </is>
      </c>
      <c r="BF46" s="24" t="inlineStr">
        <is>
          <t>1</t>
        </is>
      </c>
      <c r="BG46" s="24" t="inlineStr">
        <is>
          <t>23ba88bcc86a710d76233b349116f2eefe021a993d2d3b9102922e567a027b4c</t>
        </is>
      </c>
      <c r="BH46" s="24" t="inlineStr">
        <is>
          <t>2026-08-16T17:44:09.495327+00:00</t>
        </is>
      </c>
      <c r="BI46" s="24" t="inlineStr">
        <is>
          <t>["same_event","same_team_same_day","same_league_same_day"]</t>
        </is>
      </c>
      <c r="BJ46" s="25" t="n">
        <v>1.5</v>
      </c>
      <c r="BK46" s="26" t="n">
        <v>100</v>
      </c>
      <c r="BL46" s="27" t="n">
        <v>2</v>
      </c>
      <c r="BM46" s="28" t="n">
        <v>0.5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b3efb0ab24ad4294</t>
        </is>
      </c>
      <c r="B47" s="24" t="inlineStr">
        <is>
          <t>2026-08-16T17:44:10.908553Z</t>
        </is>
      </c>
      <c r="C47" s="24" t="inlineStr">
        <is>
          <t>2026-08-16T23:00Z</t>
        </is>
      </c>
      <c r="D47" s="24" t="inlineStr">
        <is>
          <t>401857149</t>
        </is>
      </c>
      <c r="E47" s="24" t="inlineStr">
        <is>
          <t>WNBA</t>
        </is>
      </c>
      <c r="F47" s="24" t="inlineStr">
        <is>
          <t>Portland Fire</t>
        </is>
      </c>
      <c r="G47" s="24" t="inlineStr">
        <is>
          <t>Phoenix Mercury</t>
        </is>
      </c>
      <c r="H47" s="24" t="inlineStr">
        <is>
          <t>spread</t>
        </is>
      </c>
      <c r="I47" s="24" t="inlineStr">
        <is>
          <t>away</t>
        </is>
      </c>
      <c r="J47" s="25" t="n">
        <v>3.5</v>
      </c>
      <c r="K47" s="24" t="inlineStr">
        <is>
          <t>polymarket_us</t>
        </is>
      </c>
      <c r="L47" s="26" t="n">
        <v>122</v>
      </c>
      <c r="M47" s="27" t="n">
        <v>2.22</v>
      </c>
      <c r="N47" s="28" t="n">
        <v>0.45045</v>
      </c>
      <c r="O47" s="28" t="n">
        <v>0.583745</v>
      </c>
      <c r="P47" s="28" t="n">
        <v>0.03</v>
      </c>
      <c r="Q47" s="28" t="n">
        <v>0.133295</v>
      </c>
      <c r="R47" s="26" t="n">
        <v>99</v>
      </c>
      <c r="S47" s="29" t="n">
        <v>1.25</v>
      </c>
      <c r="T47" s="24" t="inlineStr">
        <is>
          <t>wnba-spread-margin-v1</t>
        </is>
      </c>
      <c r="U47" s="24" t="inlineStr">
        <is>
          <t>settled</t>
        </is>
      </c>
      <c r="V47" s="24" t="inlineStr">
        <is>
          <t>win</t>
        </is>
      </c>
      <c r="W47" s="26" t="n">
        <v>88</v>
      </c>
      <c r="X47" s="26" t="n">
        <v>85</v>
      </c>
      <c r="Y47" s="25" t="n"/>
      <c r="Z47" s="26" t="n"/>
      <c r="AA47" s="28" t="n"/>
      <c r="AB47" s="28" t="n"/>
      <c r="AC47" s="30" t="n">
        <v>1.525</v>
      </c>
      <c r="AD47" s="24" t="inlineStr">
        <is>
          <t>2026-08-17T05:23:02.954385Z</t>
        </is>
      </c>
      <c r="AE47" s="31" t="inlineStr">
        <is>
          <t>Projected margin +1.3 (home), sd 10.5. Executable ask 0.4500 (asc-wnba-por-phx-2026-08-16-pos-3pt5).</t>
        </is>
      </c>
      <c r="AF47" s="31" t="inlineStr">
        <is>
          <t>Research-baseline margin-normal spread model; not yet locked-holdout qualified.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wnba-por</t>
        </is>
      </c>
      <c r="AQ47" s="24" t="inlineStr">
        <is>
          <t>Portland Fire</t>
        </is>
      </c>
      <c r="AR47" s="24" t="inlineStr">
        <is>
          <t>Portland Fire</t>
        </is>
      </c>
      <c r="AS47" s="24" t="inlineStr">
        <is>
          <t>wnba-phx</t>
        </is>
      </c>
      <c r="AT47" s="24" t="inlineStr">
        <is>
          <t>Phoenix Mercury</t>
        </is>
      </c>
      <c r="AU47" s="24" t="inlineStr">
        <is>
          <t>Phoenix Mercury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23ba88bcc86a710d76233b349116f2eefe021a993d2d3b9102922e567a027b4c</t>
        </is>
      </c>
      <c r="BB47" s="24" t="inlineStr">
        <is>
          <t>margin_normal</t>
        </is>
      </c>
      <c r="BC47" s="24" t="inlineStr">
        <is>
          <t>wnba-spread-margin-v1</t>
        </is>
      </c>
      <c r="BD47" s="24" t="inlineStr">
        <is>
          <t>23ba88bcc86a710d76233b349116f2eefe021a993d2d3b9102922e567a027b4c</t>
        </is>
      </c>
      <c r="BE47" s="24" t="inlineStr">
        <is>
          <t>wnba-spread-margin-v1</t>
        </is>
      </c>
      <c r="BF47" s="24" t="inlineStr">
        <is>
          <t>1</t>
        </is>
      </c>
      <c r="BG47" s="24" t="inlineStr">
        <is>
          <t>23ba88bcc86a710d76233b349116f2eefe021a993d2d3b9102922e567a027b4c</t>
        </is>
      </c>
      <c r="BH47" s="24" t="inlineStr">
        <is>
          <t>2026-08-16T17:44:09.495327+00:00</t>
        </is>
      </c>
      <c r="BI47" s="24" t="inlineStr">
        <is>
          <t>["same_event","same_team_same_day","same_league_same_day"]</t>
        </is>
      </c>
      <c r="BJ47" s="25" t="n">
        <v>3.5</v>
      </c>
      <c r="BK47" s="26" t="n">
        <v>122</v>
      </c>
      <c r="BL47" s="27" t="n">
        <v>2.22</v>
      </c>
      <c r="BM47" s="28" t="n">
        <v>0.45045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0.45045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ec419a9237d947f1</t>
        </is>
      </c>
      <c r="B48" s="24" t="inlineStr">
        <is>
          <t>2026-08-18T22:12:07.007819Z</t>
        </is>
      </c>
      <c r="C48" s="24" t="inlineStr">
        <is>
          <t>2026-08-18T19:00:00-0400</t>
        </is>
      </c>
      <c r="D48" s="24" t="inlineStr">
        <is>
          <t>401857152</t>
        </is>
      </c>
      <c r="E48" s="24" t="inlineStr">
        <is>
          <t>WNBA</t>
        </is>
      </c>
      <c r="F48" s="24" t="inlineStr">
        <is>
          <t>Los Angeles Sparks</t>
        </is>
      </c>
      <c r="G48" s="24" t="inlineStr">
        <is>
          <t>Connecticut Sun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-138</v>
      </c>
      <c r="M48" s="27" t="n">
        <v>1.724638</v>
      </c>
      <c r="N48" s="28" t="n">
        <v>0.579832</v>
      </c>
      <c r="O48" s="28" t="n">
        <v>0.515175</v>
      </c>
      <c r="P48" s="28" t="n"/>
      <c r="Q48" s="28" t="n">
        <v>-0.06465700000000001</v>
      </c>
      <c r="R48" s="26" t="n">
        <v>0</v>
      </c>
      <c r="S48" s="29" t="n">
        <v>1</v>
      </c>
      <c r="T48" s="24" t="inlineStr">
        <is>
          <t>wnba-elo-trend-lr-v4</t>
        </is>
      </c>
      <c r="U48" s="24" t="inlineStr">
        <is>
          <t>settled</t>
        </is>
      </c>
      <c r="V48" s="24" t="inlineStr">
        <is>
          <t>loss</t>
        </is>
      </c>
      <c r="W48" s="26" t="n">
        <v>77</v>
      </c>
      <c r="X48" s="26" t="n">
        <v>85</v>
      </c>
      <c r="Y48" s="25" t="n"/>
      <c r="Z48" s="26" t="n"/>
      <c r="AA48" s="28" t="n"/>
      <c r="AB48" s="28" t="n"/>
      <c r="AC48" s="30" t="n">
        <v>-1</v>
      </c>
      <c r="AD48" s="24" t="inlineStr">
        <is>
          <t>2026-08-19T03:45:53.438143Z</t>
        </is>
      </c>
      <c r="AE48" s="31" t="inlineStr">
        <is>
          <t>Learned LR call at threshold 0.5001; executable ask 0.5800 (aec-wnba-la-conn-2026-08-18); model edge vs ask -0.0648. NOTE: NO_CALL_AVAILABILITY_PLAYER_UNMAPPED unavailable for this game — defaulted to neutral, other features used normally.</t>
        </is>
      </c>
      <c r="AF48" s="31" t="inlineStr">
        <is>
          <t>Learned model; shadow-qualified via operator override.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wnba-las</t>
        </is>
      </c>
      <c r="AQ48" s="24" t="inlineStr">
        <is>
          <t>Los Angeles Sparks</t>
        </is>
      </c>
      <c r="AR48" s="24" t="inlineStr">
        <is>
          <t>Los Angeles Sparks</t>
        </is>
      </c>
      <c r="AS48" s="24" t="inlineStr">
        <is>
          <t>wnba-con</t>
        </is>
      </c>
      <c r="AT48" s="24" t="inlineStr">
        <is>
          <t>Connecticut Sun</t>
        </is>
      </c>
      <c r="AU48" s="24" t="inlineStr">
        <is>
          <t>Connecticut Sun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7afd5274214b58b7efd7f7febc7be3ab33b92351cda5cc6403c0a39faea0cc8c</t>
        </is>
      </c>
      <c r="BB48" s="24" t="inlineStr">
        <is>
          <t>learned_lr</t>
        </is>
      </c>
      <c r="BC48" s="24" t="inlineStr">
        <is>
          <t>wnba-elo-trend-lr-v4</t>
        </is>
      </c>
      <c r="BD48" s="24" t="inlineStr">
        <is>
          <t>7afd5274214b58b7efd7f7febc7be3ab33b92351cda5cc6403c0a39faea0cc8c</t>
        </is>
      </c>
      <c r="BE48" s="24" t="inlineStr">
        <is>
          <t>4ac814d47516e500</t>
        </is>
      </c>
      <c r="BF48" s="24" t="inlineStr">
        <is>
          <t>1</t>
        </is>
      </c>
      <c r="BG48" s="24" t="inlineStr">
        <is>
          <t>wnba-elo-trend-lr-v4</t>
        </is>
      </c>
      <c r="BH48" s="24" t="inlineStr">
        <is>
          <t>2026-08-18T22:11:41.486763Z</t>
        </is>
      </c>
      <c r="BI48" s="24" t="inlineStr">
        <is>
          <t>["same_event","same_team_same_day","same_league_same_day"]</t>
        </is>
      </c>
      <c r="BJ48" s="25" t="n"/>
      <c r="BK48" s="26" t="n">
        <v>-138</v>
      </c>
      <c r="BL48" s="27" t="n">
        <v>1.724638</v>
      </c>
      <c r="BM48" s="28" t="n">
        <v>0.579832</v>
      </c>
      <c r="BN48" s="28" t="n">
        <v>0.574257</v>
      </c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0.4793878073</t>
        </is>
      </c>
      <c r="CD48" s="24" t="inlineStr">
        <is>
          <t>-0.262517</t>
        </is>
      </c>
      <c r="CE48" s="24" t="n"/>
      <c r="CF48" s="24" t="n"/>
      <c r="CG48" s="24" t="n"/>
      <c r="CH48" s="24" t="n"/>
      <c r="CI48" s="24" t="inlineStr">
        <is>
          <t>NO_CALL_AVAILABILITY_PLAYER_UNMAPPED</t>
        </is>
      </c>
      <c r="CJ48" s="24" t="inlineStr">
        <is>
          <t>-2.280895</t>
        </is>
      </c>
      <c r="CK48" s="24" t="n"/>
      <c r="CL48" s="24" t="n"/>
      <c r="CM48" s="24" t="n"/>
      <c r="CN48" s="24" t="n"/>
      <c r="CO48" s="24" t="n"/>
      <c r="CP48" s="24" t="n"/>
      <c r="CQ48" s="24" t="n"/>
      <c r="CR48" s="24" t="inlineStr">
        <is>
          <t>0.515175</t>
        </is>
      </c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0.579832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650c9743d6f84867</t>
        </is>
      </c>
      <c r="B49" s="24" t="inlineStr">
        <is>
          <t>2026-08-18T22:12:07.007819Z</t>
        </is>
      </c>
      <c r="C49" s="24" t="inlineStr">
        <is>
          <t>2026-08-18T19:00:00-0400</t>
        </is>
      </c>
      <c r="D49" s="24" t="inlineStr">
        <is>
          <t>401857153</t>
        </is>
      </c>
      <c r="E49" s="24" t="inlineStr">
        <is>
          <t>WNBA</t>
        </is>
      </c>
      <c r="F49" s="24" t="inlineStr">
        <is>
          <t>Indiana Fever</t>
        </is>
      </c>
      <c r="G49" s="24" t="inlineStr">
        <is>
          <t>Toronto Tempo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-488</v>
      </c>
      <c r="M49" s="27" t="n">
        <v>1.204918</v>
      </c>
      <c r="N49" s="28" t="n">
        <v>0.829932</v>
      </c>
      <c r="O49" s="28" t="n">
        <v>0.752309</v>
      </c>
      <c r="P49" s="28" t="n"/>
      <c r="Q49" s="28" t="n">
        <v>-0.077623</v>
      </c>
      <c r="R49" s="26" t="n">
        <v>0</v>
      </c>
      <c r="S49" s="29" t="n">
        <v>2</v>
      </c>
      <c r="T49" s="24" t="inlineStr">
        <is>
          <t>wnba-elo-trend-lr-v4</t>
        </is>
      </c>
      <c r="U49" s="24" t="inlineStr">
        <is>
          <t>settled</t>
        </is>
      </c>
      <c r="V49" s="24" t="inlineStr">
        <is>
          <t>win</t>
        </is>
      </c>
      <c r="W49" s="26" t="n">
        <v>101</v>
      </c>
      <c r="X49" s="26" t="n">
        <v>95</v>
      </c>
      <c r="Y49" s="25" t="n"/>
      <c r="Z49" s="26" t="n"/>
      <c r="AA49" s="28" t="n"/>
      <c r="AB49" s="28" t="n"/>
      <c r="AC49" s="30" t="n">
        <v>0.4098</v>
      </c>
      <c r="AD49" s="24" t="inlineStr">
        <is>
          <t>2026-08-19T03:45:53.879732Z</t>
        </is>
      </c>
      <c r="AE49" s="31" t="inlineStr">
        <is>
          <t>Learned LR call at threshold 0.5001; executable ask 0.8300 (aec-wnba-ind-tor-2026-08-18); model edge vs ask -0.0777. NOTE: NO_CALL_AVAILABILITY_REPORT_INCOMPLETE unavailable for this game — defaulted to neutral, other features used normally.</t>
        </is>
      </c>
      <c r="AF49" s="31" t="inlineStr">
        <is>
          <t>Learned model; shadow-qualified via operator override.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wnba-ind</t>
        </is>
      </c>
      <c r="AQ49" s="24" t="inlineStr">
        <is>
          <t>Indiana Fever</t>
        </is>
      </c>
      <c r="AR49" s="24" t="inlineStr">
        <is>
          <t>Indiana Fever</t>
        </is>
      </c>
      <c r="AS49" s="24" t="inlineStr">
        <is>
          <t>wnba-tor</t>
        </is>
      </c>
      <c r="AT49" s="24" t="inlineStr">
        <is>
          <t>Toronto Tempo</t>
        </is>
      </c>
      <c r="AU49" s="24" t="inlineStr">
        <is>
          <t>Toronto Tempo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7afd5274214b58b7efd7f7febc7be3ab33b92351cda5cc6403c0a39faea0cc8c</t>
        </is>
      </c>
      <c r="BB49" s="24" t="inlineStr">
        <is>
          <t>learned_lr</t>
        </is>
      </c>
      <c r="BC49" s="24" t="inlineStr">
        <is>
          <t>wnba-elo-trend-lr-v4</t>
        </is>
      </c>
      <c r="BD49" s="24" t="inlineStr">
        <is>
          <t>7afd5274214b58b7efd7f7febc7be3ab33b92351cda5cc6403c0a39faea0cc8c</t>
        </is>
      </c>
      <c r="BE49" s="24" t="inlineStr">
        <is>
          <t>09c53b2b6b54421f</t>
        </is>
      </c>
      <c r="BF49" s="24" t="inlineStr">
        <is>
          <t>1</t>
        </is>
      </c>
      <c r="BG49" s="24" t="inlineStr">
        <is>
          <t>wnba-elo-trend-lr-v4</t>
        </is>
      </c>
      <c r="BH49" s="24" t="inlineStr">
        <is>
          <t>2026-08-18T22:11:41.564221Z</t>
        </is>
      </c>
      <c r="BI49" s="24" t="inlineStr">
        <is>
          <t>["same_event","same_team_same_day","same_league_same_day"]</t>
        </is>
      </c>
      <c r="BJ49" s="25" t="n"/>
      <c r="BK49" s="26" t="n">
        <v>-488</v>
      </c>
      <c r="BL49" s="27" t="n">
        <v>1.204918</v>
      </c>
      <c r="BM49" s="28" t="n">
        <v>0.829932</v>
      </c>
      <c r="BN49" s="28" t="n">
        <v>0.821782</v>
      </c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inlineStr">
        <is>
          <t>0.1343124219</t>
        </is>
      </c>
      <c r="CD49" s="24" t="inlineStr">
        <is>
          <t>-5.979951</t>
        </is>
      </c>
      <c r="CE49" s="24" t="n"/>
      <c r="CF49" s="24" t="n"/>
      <c r="CG49" s="24" t="n"/>
      <c r="CH49" s="24" t="n"/>
      <c r="CI49" s="24" t="inlineStr">
        <is>
          <t>NO_CALL_AVAILABILITY_REPORT_INCOMPLETE</t>
        </is>
      </c>
      <c r="CJ49" s="24" t="inlineStr">
        <is>
          <t>0.197661</t>
        </is>
      </c>
      <c r="CK49" s="24" t="n"/>
      <c r="CL49" s="24" t="n"/>
      <c r="CM49" s="24" t="n"/>
      <c r="CN49" s="24" t="n"/>
      <c r="CO49" s="24" t="n"/>
      <c r="CP49" s="24" t="n"/>
      <c r="CQ49" s="24" t="n"/>
      <c r="CR49" s="24" t="inlineStr">
        <is>
          <t>0.752309</t>
        </is>
      </c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0.829932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57acfb0dd8e546f6</t>
        </is>
      </c>
      <c r="B50" s="24" t="inlineStr">
        <is>
          <t>2026-08-18T22:12:45.315771Z</t>
        </is>
      </c>
      <c r="C50" s="24" t="inlineStr">
        <is>
          <t>2026-08-18T23:00Z</t>
        </is>
      </c>
      <c r="D50" s="24" t="inlineStr">
        <is>
          <t>401857152</t>
        </is>
      </c>
      <c r="E50" s="24" t="inlineStr">
        <is>
          <t>WNBA</t>
        </is>
      </c>
      <c r="F50" s="24" t="inlineStr">
        <is>
          <t>Los Angeles Sparks</t>
        </is>
      </c>
      <c r="G50" s="24" t="inlineStr">
        <is>
          <t>Connecticut Sun</t>
        </is>
      </c>
      <c r="H50" s="24" t="inlineStr">
        <is>
          <t>spread</t>
        </is>
      </c>
      <c r="I50" s="24" t="inlineStr">
        <is>
          <t>home</t>
        </is>
      </c>
      <c r="J50" s="25" t="n">
        <v>1.5</v>
      </c>
      <c r="K50" s="24" t="inlineStr">
        <is>
          <t>polymarket_us</t>
        </is>
      </c>
      <c r="L50" s="26" t="n">
        <v>-104</v>
      </c>
      <c r="M50" s="27" t="n">
        <v>1.961538</v>
      </c>
      <c r="N50" s="28" t="n">
        <v>0.509804</v>
      </c>
      <c r="O50" s="28" t="n">
        <v>0.580602</v>
      </c>
      <c r="P50" s="28" t="n">
        <v>0.03</v>
      </c>
      <c r="Q50" s="28" t="n">
        <v>0.070798</v>
      </c>
      <c r="R50" s="26" t="n">
        <v>67</v>
      </c>
      <c r="S50" s="29" t="n">
        <v>1.25</v>
      </c>
      <c r="T50" s="24" t="inlineStr">
        <is>
          <t>wnba-spread-margin-v1</t>
        </is>
      </c>
      <c r="U50" s="24" t="inlineStr">
        <is>
          <t>settled</t>
        </is>
      </c>
      <c r="V50" s="24" t="inlineStr">
        <is>
          <t>win</t>
        </is>
      </c>
      <c r="W50" s="26" t="n">
        <v>77</v>
      </c>
      <c r="X50" s="26" t="n">
        <v>85</v>
      </c>
      <c r="Y50" s="25" t="n"/>
      <c r="Z50" s="26" t="n"/>
      <c r="AA50" s="28" t="n"/>
      <c r="AB50" s="28" t="n"/>
      <c r="AC50" s="30" t="n">
        <v>1.2019</v>
      </c>
      <c r="AD50" s="24" t="inlineStr">
        <is>
          <t>2026-08-19T03:46:13.923526Z</t>
        </is>
      </c>
      <c r="AE50" s="31" t="inlineStr">
        <is>
          <t>Projected margin +0.6 (home), sd 10.5. Executable ask 0.5100 (asc-wnba-la-conn-2026-08-18-neg-1pt5).</t>
        </is>
      </c>
      <c r="AF50" s="31" t="inlineStr">
        <is>
          <t>Research-baseline margin-normal spread model;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wnba-las</t>
        </is>
      </c>
      <c r="AQ50" s="24" t="inlineStr">
        <is>
          <t>Los Angeles Sparks</t>
        </is>
      </c>
      <c r="AR50" s="24" t="inlineStr">
        <is>
          <t>Los Angeles Sparks</t>
        </is>
      </c>
      <c r="AS50" s="24" t="inlineStr">
        <is>
          <t>wnba-con</t>
        </is>
      </c>
      <c r="AT50" s="24" t="inlineStr">
        <is>
          <t>Connecticut Sun</t>
        </is>
      </c>
      <c r="AU50" s="24" t="inlineStr">
        <is>
          <t>Connecticut Sun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23ba88bcc86a710d76233b349116f2eefe021a993d2d3b9102922e567a027b4c</t>
        </is>
      </c>
      <c r="BB50" s="24" t="inlineStr">
        <is>
          <t>margin_normal</t>
        </is>
      </c>
      <c r="BC50" s="24" t="inlineStr">
        <is>
          <t>wnba-spread-margin-v1</t>
        </is>
      </c>
      <c r="BD50" s="24" t="inlineStr">
        <is>
          <t>23ba88bcc86a710d76233b349116f2eefe021a993d2d3b9102922e567a027b4c</t>
        </is>
      </c>
      <c r="BE50" s="24" t="inlineStr">
        <is>
          <t>wnba-spread-margin-v1</t>
        </is>
      </c>
      <c r="BF50" s="24" t="inlineStr">
        <is>
          <t>1</t>
        </is>
      </c>
      <c r="BG50" s="24" t="inlineStr">
        <is>
          <t>23ba88bcc86a710d76233b349116f2eefe021a993d2d3b9102922e567a027b4c</t>
        </is>
      </c>
      <c r="BH50" s="24" t="inlineStr">
        <is>
          <t>2026-08-18T22:12:43.810324+00:00</t>
        </is>
      </c>
      <c r="BI50" s="24" t="inlineStr">
        <is>
          <t>["same_event","same_team_same_day","same_league_same_day"]</t>
        </is>
      </c>
      <c r="BJ50" s="25" t="n">
        <v>1.5</v>
      </c>
      <c r="BK50" s="26" t="n">
        <v>-104</v>
      </c>
      <c r="BL50" s="27" t="n">
        <v>1.961538</v>
      </c>
      <c r="BM50" s="28" t="n">
        <v>0.509804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0.509804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283af36c0775417f</t>
        </is>
      </c>
      <c r="B51" s="24" t="inlineStr">
        <is>
          <t>2026-08-18T22:12:45.315771Z</t>
        </is>
      </c>
      <c r="C51" s="24" t="inlineStr">
        <is>
          <t>2026-08-18T23:00Z</t>
        </is>
      </c>
      <c r="D51" s="24" t="inlineStr">
        <is>
          <t>401857153</t>
        </is>
      </c>
      <c r="E51" s="24" t="inlineStr">
        <is>
          <t>WNBA</t>
        </is>
      </c>
      <c r="F51" s="24" t="inlineStr">
        <is>
          <t>Indiana Fever</t>
        </is>
      </c>
      <c r="G51" s="24" t="inlineStr">
        <is>
          <t>Toronto Tempo</t>
        </is>
      </c>
      <c r="H51" s="24" t="inlineStr">
        <is>
          <t>spread</t>
        </is>
      </c>
      <c r="I51" s="24" t="inlineStr">
        <is>
          <t>home</t>
        </is>
      </c>
      <c r="J51" s="25" t="n">
        <v>10.5</v>
      </c>
      <c r="K51" s="24" t="inlineStr">
        <is>
          <t>polymarket_us</t>
        </is>
      </c>
      <c r="L51" s="26" t="n">
        <v>-104</v>
      </c>
      <c r="M51" s="27" t="n">
        <v>1.961538</v>
      </c>
      <c r="N51" s="28" t="n">
        <v>0.509804</v>
      </c>
      <c r="O51" s="28" t="n">
        <v>0.726617</v>
      </c>
      <c r="P51" s="28" t="n">
        <v>0.03</v>
      </c>
      <c r="Q51" s="28" t="n">
        <v>0.216813</v>
      </c>
      <c r="R51" s="26" t="n">
        <v>100</v>
      </c>
      <c r="S51" s="29" t="n">
        <v>2</v>
      </c>
      <c r="T51" s="24" t="inlineStr">
        <is>
          <t>wnba-spread-margin-v1</t>
        </is>
      </c>
      <c r="U51" s="24" t="inlineStr">
        <is>
          <t>settled</t>
        </is>
      </c>
      <c r="V51" s="24" t="inlineStr">
        <is>
          <t>win</t>
        </is>
      </c>
      <c r="W51" s="26" t="n">
        <v>101</v>
      </c>
      <c r="X51" s="26" t="n">
        <v>95</v>
      </c>
      <c r="Y51" s="25" t="n"/>
      <c r="Z51" s="26" t="n"/>
      <c r="AA51" s="28" t="n"/>
      <c r="AB51" s="28" t="n"/>
      <c r="AC51" s="30" t="n">
        <v>1.9231</v>
      </c>
      <c r="AD51" s="24" t="inlineStr">
        <is>
          <t>2026-08-19T03:46:14.339204Z</t>
        </is>
      </c>
      <c r="AE51" s="31" t="inlineStr">
        <is>
          <t>Projected margin -4.2 (home), sd 10.5. Executable ask 0.5100 (asc-wnba-ind-tor-2026-08-18-neg-10pt5).</t>
        </is>
      </c>
      <c r="AF51" s="31" t="inlineStr">
        <is>
          <t>Research-baseline margin-normal spread model; not yet locked-holdout qualified.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wnba-ind</t>
        </is>
      </c>
      <c r="AQ51" s="24" t="inlineStr">
        <is>
          <t>Indiana Fever</t>
        </is>
      </c>
      <c r="AR51" s="24" t="inlineStr">
        <is>
          <t>Indiana Fever</t>
        </is>
      </c>
      <c r="AS51" s="24" t="inlineStr">
        <is>
          <t>wnba-tor</t>
        </is>
      </c>
      <c r="AT51" s="24" t="inlineStr">
        <is>
          <t>Toronto Tempo</t>
        </is>
      </c>
      <c r="AU51" s="24" t="inlineStr">
        <is>
          <t>Toronto Tempo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23ba88bcc86a710d76233b349116f2eefe021a993d2d3b9102922e567a027b4c</t>
        </is>
      </c>
      <c r="BB51" s="24" t="inlineStr">
        <is>
          <t>margin_normal</t>
        </is>
      </c>
      <c r="BC51" s="24" t="inlineStr">
        <is>
          <t>wnba-spread-margin-v1</t>
        </is>
      </c>
      <c r="BD51" s="24" t="inlineStr">
        <is>
          <t>23ba88bcc86a710d76233b349116f2eefe021a993d2d3b9102922e567a027b4c</t>
        </is>
      </c>
      <c r="BE51" s="24" t="inlineStr">
        <is>
          <t>wnba-spread-margin-v1</t>
        </is>
      </c>
      <c r="BF51" s="24" t="inlineStr">
        <is>
          <t>1</t>
        </is>
      </c>
      <c r="BG51" s="24" t="inlineStr">
        <is>
          <t>23ba88bcc86a710d76233b349116f2eefe021a993d2d3b9102922e567a027b4c</t>
        </is>
      </c>
      <c r="BH51" s="24" t="inlineStr">
        <is>
          <t>2026-08-18T22:12:43.810324+00:00</t>
        </is>
      </c>
      <c r="BI51" s="24" t="inlineStr">
        <is>
          <t>["same_event","same_team_same_day","same_league_same_day"]</t>
        </is>
      </c>
      <c r="BJ51" s="25" t="n">
        <v>10.5</v>
      </c>
      <c r="BK51" s="26" t="n">
        <v>-104</v>
      </c>
      <c r="BL51" s="27" t="n">
        <v>1.961538</v>
      </c>
      <c r="BM51" s="28" t="n">
        <v>0.509804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0.509804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d113366ffcd04930</t>
        </is>
      </c>
      <c r="B52" s="24" t="inlineStr">
        <is>
          <t>2026-08-19T00:43:58.792599Z</t>
        </is>
      </c>
      <c r="C52" s="24" t="inlineStr">
        <is>
          <t>2026-08-18T21:00:00-0400</t>
        </is>
      </c>
      <c r="D52" s="24" t="inlineStr">
        <is>
          <t>401857154</t>
        </is>
      </c>
      <c r="E52" s="24" t="inlineStr">
        <is>
          <t>WNBA</t>
        </is>
      </c>
      <c r="F52" s="24" t="inlineStr">
        <is>
          <t>New York Liberty</t>
        </is>
      </c>
      <c r="G52" s="24" t="inlineStr">
        <is>
          <t>Chicago Sky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-186</v>
      </c>
      <c r="M52" s="27" t="n">
        <v>1.537634</v>
      </c>
      <c r="N52" s="28" t="n">
        <v>0.65035</v>
      </c>
      <c r="O52" s="28" t="n">
        <v>0.647637</v>
      </c>
      <c r="P52" s="28" t="n"/>
      <c r="Q52" s="28" t="n">
        <v>-0.002713</v>
      </c>
      <c r="R52" s="26" t="n">
        <v>22</v>
      </c>
      <c r="S52" s="29" t="n">
        <v>1.75</v>
      </c>
      <c r="T52" s="24" t="inlineStr">
        <is>
          <t>wnba-elo-trend-lr-v4</t>
        </is>
      </c>
      <c r="U52" s="24" t="inlineStr">
        <is>
          <t>settled</t>
        </is>
      </c>
      <c r="V52" s="24" t="inlineStr">
        <is>
          <t>loss</t>
        </is>
      </c>
      <c r="W52" s="26" t="n">
        <v>86</v>
      </c>
      <c r="X52" s="26" t="n">
        <v>93</v>
      </c>
      <c r="Y52" s="25" t="n"/>
      <c r="Z52" s="26" t="n"/>
      <c r="AA52" s="28" t="n"/>
      <c r="AB52" s="28" t="n"/>
      <c r="AC52" s="30" t="n">
        <v>-1.75</v>
      </c>
      <c r="AD52" s="24" t="inlineStr">
        <is>
          <t>2026-08-19T03:46:14.742258Z</t>
        </is>
      </c>
      <c r="AE52" s="31" t="inlineStr">
        <is>
          <t>Learned LR call at threshold 0.5001; executable ask 0.6500 (aec-wnba-ny-chi-2026-08-18); model edge vs ask -0.0024.</t>
        </is>
      </c>
      <c r="AF52" s="31" t="inlineStr">
        <is>
          <t>Learned model; shadow-qualified via operator override.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wnba-nyl</t>
        </is>
      </c>
      <c r="AQ52" s="24" t="inlineStr">
        <is>
          <t>New York Liberty</t>
        </is>
      </c>
      <c r="AR52" s="24" t="inlineStr">
        <is>
          <t>New York Liberty</t>
        </is>
      </c>
      <c r="AS52" s="24" t="inlineStr">
        <is>
          <t>wnba-chi</t>
        </is>
      </c>
      <c r="AT52" s="24" t="inlineStr">
        <is>
          <t>Chicago Sky</t>
        </is>
      </c>
      <c r="AU52" s="24" t="inlineStr">
        <is>
          <t>Chicago Sky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7afd5274214b58b7efd7f7febc7be3ab33b92351cda5cc6403c0a39faea0cc8c</t>
        </is>
      </c>
      <c r="BB52" s="24" t="inlineStr">
        <is>
          <t>learned_lr</t>
        </is>
      </c>
      <c r="BC52" s="24" t="inlineStr">
        <is>
          <t>wnba-elo-trend-lr-v4</t>
        </is>
      </c>
      <c r="BD52" s="24" t="inlineStr">
        <is>
          <t>7afd5274214b58b7efd7f7febc7be3ab33b92351cda5cc6403c0a39faea0cc8c</t>
        </is>
      </c>
      <c r="BE52" s="24" t="inlineStr">
        <is>
          <t>b3ab5c92747b7756</t>
        </is>
      </c>
      <c r="BF52" s="24" t="inlineStr">
        <is>
          <t>1</t>
        </is>
      </c>
      <c r="BG52" s="24" t="inlineStr">
        <is>
          <t>wnba-elo-trend-lr-v4</t>
        </is>
      </c>
      <c r="BH52" s="24" t="inlineStr">
        <is>
          <t>2026-08-19T00:43:54.630720Z</t>
        </is>
      </c>
      <c r="BI52" s="24" t="inlineStr">
        <is>
          <t>["same_event","same_team_same_day","same_league_same_day"]</t>
        </is>
      </c>
      <c r="BJ52" s="25" t="n"/>
      <c r="BK52" s="26" t="n">
        <v>-186</v>
      </c>
      <c r="BL52" s="27" t="n">
        <v>1.537634</v>
      </c>
      <c r="BM52" s="28" t="n">
        <v>0.65035</v>
      </c>
      <c r="BN52" s="28" t="n">
        <v>0.643564</v>
      </c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inlineStr">
        <is>
          <t>0.3055984261</t>
        </is>
      </c>
      <c r="CD52" s="24" t="inlineStr">
        <is>
          <t>-0.635904</t>
        </is>
      </c>
      <c r="CE52" s="24" t="n"/>
      <c r="CF52" s="24" t="n"/>
      <c r="CG52" s="24" t="n"/>
      <c r="CH52" s="24" t="n"/>
      <c r="CI52" s="24" t="n"/>
      <c r="CJ52" s="24" t="inlineStr">
        <is>
          <t>-0.322006</t>
        </is>
      </c>
      <c r="CK52" s="24" t="n"/>
      <c r="CL52" s="24" t="n"/>
      <c r="CM52" s="24" t="n"/>
      <c r="CN52" s="24" t="n"/>
      <c r="CO52" s="24" t="n"/>
      <c r="CP52" s="24" t="n"/>
      <c r="CQ52" s="24" t="n"/>
      <c r="CR52" s="24" t="inlineStr">
        <is>
          <t>0.647637</t>
        </is>
      </c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0.65035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5d4f30d7a26645d4</t>
        </is>
      </c>
      <c r="B53" s="24" t="inlineStr">
        <is>
          <t>2026-08-19T00:43:58.792599Z</t>
        </is>
      </c>
      <c r="C53" s="24" t="inlineStr">
        <is>
          <t>2026-08-18T21:00:00-0400</t>
        </is>
      </c>
      <c r="D53" s="24" t="inlineStr">
        <is>
          <t>401857155</t>
        </is>
      </c>
      <c r="E53" s="24" t="inlineStr">
        <is>
          <t>WNBA</t>
        </is>
      </c>
      <c r="F53" s="24" t="inlineStr">
        <is>
          <t>Atlanta Dream</t>
        </is>
      </c>
      <c r="G53" s="24" t="inlineStr">
        <is>
          <t>Las Vegas Aces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-156</v>
      </c>
      <c r="M53" s="27" t="n">
        <v>1.641026</v>
      </c>
      <c r="N53" s="28" t="n">
        <v>0.609375</v>
      </c>
      <c r="O53" s="28" t="n">
        <v>0.639351</v>
      </c>
      <c r="P53" s="28" t="n"/>
      <c r="Q53" s="28" t="n">
        <v>0.029976</v>
      </c>
      <c r="R53" s="26" t="n">
        <v>38</v>
      </c>
      <c r="S53" s="29" t="n">
        <v>1.5</v>
      </c>
      <c r="T53" s="24" t="inlineStr">
        <is>
          <t>wnba-elo-trend-lr-v4</t>
        </is>
      </c>
      <c r="U53" s="24" t="inlineStr">
        <is>
          <t>settled</t>
        </is>
      </c>
      <c r="V53" s="24" t="inlineStr">
        <is>
          <t>loss</t>
        </is>
      </c>
      <c r="W53" s="26" t="n">
        <v>97</v>
      </c>
      <c r="X53" s="26" t="n">
        <v>82</v>
      </c>
      <c r="Y53" s="25" t="n"/>
      <c r="Z53" s="26" t="n"/>
      <c r="AA53" s="28" t="n"/>
      <c r="AB53" s="28" t="n"/>
      <c r="AC53" s="30" t="n">
        <v>-1.5</v>
      </c>
      <c r="AD53" s="24" t="inlineStr">
        <is>
          <t>2026-08-19T03:46:15.186071Z</t>
        </is>
      </c>
      <c r="AE53" s="31" t="inlineStr">
        <is>
          <t>Learned LR call at threshold 0.5001; executable ask 0.6100 (aec-wnba-atl-lv-2026-08-18); model edge vs ask +0.0294. NOTE: NO_CALL_AVAILABILITY_REPORT_INCOMPLETE unavailable for this game — defaulted to neutral, other features used normally.</t>
        </is>
      </c>
      <c r="AF53" s="31" t="inlineStr">
        <is>
          <t>Learned model; shadow-qualified via operator override.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wnba-atl</t>
        </is>
      </c>
      <c r="AQ53" s="24" t="inlineStr">
        <is>
          <t>Atlanta Dream</t>
        </is>
      </c>
      <c r="AR53" s="24" t="inlineStr">
        <is>
          <t>Atlanta Dream</t>
        </is>
      </c>
      <c r="AS53" s="24" t="inlineStr">
        <is>
          <t>wnba-lva</t>
        </is>
      </c>
      <c r="AT53" s="24" t="inlineStr">
        <is>
          <t>Las Vegas Aces</t>
        </is>
      </c>
      <c r="AU53" s="24" t="inlineStr">
        <is>
          <t>Las Vegas Aces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7afd5274214b58b7efd7f7febc7be3ab33b92351cda5cc6403c0a39faea0cc8c</t>
        </is>
      </c>
      <c r="BB53" s="24" t="inlineStr">
        <is>
          <t>learned_lr</t>
        </is>
      </c>
      <c r="BC53" s="24" t="inlineStr">
        <is>
          <t>wnba-elo-trend-lr-v4</t>
        </is>
      </c>
      <c r="BD53" s="24" t="inlineStr">
        <is>
          <t>7afd5274214b58b7efd7f7febc7be3ab33b92351cda5cc6403c0a39faea0cc8c</t>
        </is>
      </c>
      <c r="BE53" s="24" t="inlineStr">
        <is>
          <t>c87458b079090f9c</t>
        </is>
      </c>
      <c r="BF53" s="24" t="inlineStr">
        <is>
          <t>1</t>
        </is>
      </c>
      <c r="BG53" s="24" t="inlineStr">
        <is>
          <t>wnba-elo-trend-lr-v4</t>
        </is>
      </c>
      <c r="BH53" s="24" t="inlineStr">
        <is>
          <t>2026-08-19T00:43:54.795987Z</t>
        </is>
      </c>
      <c r="BI53" s="24" t="inlineStr">
        <is>
          <t>["same_event","same_team_same_day","same_league_same_day"]</t>
        </is>
      </c>
      <c r="BJ53" s="25" t="n"/>
      <c r="BK53" s="26" t="n">
        <v>-156</v>
      </c>
      <c r="BL53" s="27" t="n">
        <v>1.641026</v>
      </c>
      <c r="BM53" s="28" t="n">
        <v>0.609375</v>
      </c>
      <c r="BN53" s="28" t="n">
        <v>0.6039600000000001</v>
      </c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0.6748225855</t>
        </is>
      </c>
      <c r="CD53" s="24" t="inlineStr">
        <is>
          <t>-4.755939</t>
        </is>
      </c>
      <c r="CE53" s="24" t="n"/>
      <c r="CF53" s="24" t="n"/>
      <c r="CG53" s="24" t="n"/>
      <c r="CH53" s="24" t="n"/>
      <c r="CI53" s="24" t="inlineStr">
        <is>
          <t>NO_CALL_AVAILABILITY_REPORT_INCOMPLETE</t>
        </is>
      </c>
      <c r="CJ53" s="24" t="inlineStr">
        <is>
          <t>1.004237</t>
        </is>
      </c>
      <c r="CK53" s="24" t="n"/>
      <c r="CL53" s="24" t="n"/>
      <c r="CM53" s="24" t="n"/>
      <c r="CN53" s="24" t="n"/>
      <c r="CO53" s="24" t="n"/>
      <c r="CP53" s="24" t="n"/>
      <c r="CQ53" s="24" t="n"/>
      <c r="CR53" s="24" t="inlineStr">
        <is>
          <t>0.639351</t>
        </is>
      </c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0.609375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1eacfc4df8864c6d</t>
        </is>
      </c>
      <c r="B54" s="24" t="inlineStr">
        <is>
          <t>2026-08-19T00:44:06.395371Z</t>
        </is>
      </c>
      <c r="C54" s="24" t="inlineStr">
        <is>
          <t>2026-08-19T01:00Z</t>
        </is>
      </c>
      <c r="D54" s="24" t="inlineStr">
        <is>
          <t>401857154</t>
        </is>
      </c>
      <c r="E54" s="24" t="inlineStr">
        <is>
          <t>WNBA</t>
        </is>
      </c>
      <c r="F54" s="24" t="inlineStr">
        <is>
          <t>New York Liberty</t>
        </is>
      </c>
      <c r="G54" s="24" t="inlineStr">
        <is>
          <t>Chicago Sky</t>
        </is>
      </c>
      <c r="H54" s="24" t="inlineStr">
        <is>
          <t>spread</t>
        </is>
      </c>
      <c r="I54" s="24" t="inlineStr">
        <is>
          <t>home</t>
        </is>
      </c>
      <c r="J54" s="25" t="n">
        <v>8.5</v>
      </c>
      <c r="K54" s="24" t="inlineStr">
        <is>
          <t>polymarket_us</t>
        </is>
      </c>
      <c r="L54" s="26" t="n">
        <v>-257</v>
      </c>
      <c r="M54" s="27" t="n">
        <v>1.389105</v>
      </c>
      <c r="N54" s="28" t="n">
        <v>0.719888</v>
      </c>
      <c r="O54" s="28" t="n">
        <v>0.769991</v>
      </c>
      <c r="P54" s="28" t="n">
        <v>0.03</v>
      </c>
      <c r="Q54" s="28" t="n">
        <v>0.050103</v>
      </c>
      <c r="R54" s="26" t="n">
        <v>57</v>
      </c>
      <c r="S54" s="29" t="n">
        <v>2</v>
      </c>
      <c r="T54" s="24" t="inlineStr">
        <is>
          <t>wnba-spread-margin-v1</t>
        </is>
      </c>
      <c r="U54" s="24" t="inlineStr">
        <is>
          <t>settled</t>
        </is>
      </c>
      <c r="V54" s="24" t="inlineStr">
        <is>
          <t>win</t>
        </is>
      </c>
      <c r="W54" s="26" t="n">
        <v>86</v>
      </c>
      <c r="X54" s="26" t="n">
        <v>93</v>
      </c>
      <c r="Y54" s="25" t="n"/>
      <c r="Z54" s="26" t="n"/>
      <c r="AA54" s="28" t="n"/>
      <c r="AB54" s="28" t="n"/>
      <c r="AC54" s="30" t="n">
        <v>0.7782</v>
      </c>
      <c r="AD54" s="24" t="inlineStr">
        <is>
          <t>2026-08-19T03:46:15.631036Z</t>
        </is>
      </c>
      <c r="AE54" s="31" t="inlineStr">
        <is>
          <t>Projected margin -0.7 (home), sd 10.5. Executable ask 0.7200 (asc-wnba-ny-chi-2026-08-18-neg-8pt5).</t>
        </is>
      </c>
      <c r="AF54" s="31" t="inlineStr">
        <is>
          <t>Research-baseline margin-normal spread model; not yet locked-holdout qualified.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wnba-nyl</t>
        </is>
      </c>
      <c r="AQ54" s="24" t="inlineStr">
        <is>
          <t>New York Liberty</t>
        </is>
      </c>
      <c r="AR54" s="24" t="inlineStr">
        <is>
          <t>New York Liberty</t>
        </is>
      </c>
      <c r="AS54" s="24" t="inlineStr">
        <is>
          <t>wnba-chi</t>
        </is>
      </c>
      <c r="AT54" s="24" t="inlineStr">
        <is>
          <t>Chicago Sky</t>
        </is>
      </c>
      <c r="AU54" s="24" t="inlineStr">
        <is>
          <t>Chicago Sky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23ba88bcc86a710d76233b349116f2eefe021a993d2d3b9102922e567a027b4c</t>
        </is>
      </c>
      <c r="BB54" s="24" t="inlineStr">
        <is>
          <t>margin_normal</t>
        </is>
      </c>
      <c r="BC54" s="24" t="inlineStr">
        <is>
          <t>wnba-spread-margin-v1</t>
        </is>
      </c>
      <c r="BD54" s="24" t="inlineStr">
        <is>
          <t>23ba88bcc86a710d76233b349116f2eefe021a993d2d3b9102922e567a027b4c</t>
        </is>
      </c>
      <c r="BE54" s="24" t="inlineStr">
        <is>
          <t>wnba-spread-margin-v1</t>
        </is>
      </c>
      <c r="BF54" s="24" t="inlineStr">
        <is>
          <t>1</t>
        </is>
      </c>
      <c r="BG54" s="24" t="inlineStr">
        <is>
          <t>23ba88bcc86a710d76233b349116f2eefe021a993d2d3b9102922e567a027b4c</t>
        </is>
      </c>
      <c r="BH54" s="24" t="inlineStr">
        <is>
          <t>2026-08-19T00:44:05.823477+00:00</t>
        </is>
      </c>
      <c r="BI54" s="24" t="inlineStr">
        <is>
          <t>["same_event","same_team_same_day","same_league_same_day"]</t>
        </is>
      </c>
      <c r="BJ54" s="25" t="n">
        <v>8.5</v>
      </c>
      <c r="BK54" s="26" t="n">
        <v>-257</v>
      </c>
      <c r="BL54" s="27" t="n">
        <v>1.389105</v>
      </c>
      <c r="BM54" s="28" t="n">
        <v>0.719888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0.719888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f62182182aff405a</t>
        </is>
      </c>
      <c r="B55" s="24" t="inlineStr">
        <is>
          <t>2026-08-19T00:44:06.395371Z</t>
        </is>
      </c>
      <c r="C55" s="24" t="inlineStr">
        <is>
          <t>2026-08-19T01:00Z</t>
        </is>
      </c>
      <c r="D55" s="24" t="inlineStr">
        <is>
          <t>401857155</t>
        </is>
      </c>
      <c r="E55" s="24" t="inlineStr">
        <is>
          <t>WNBA</t>
        </is>
      </c>
      <c r="F55" s="24" t="inlineStr">
        <is>
          <t>Atlanta Dream</t>
        </is>
      </c>
      <c r="G55" s="24" t="inlineStr">
        <is>
          <t>Las Vegas Aces</t>
        </is>
      </c>
      <c r="H55" s="24" t="inlineStr">
        <is>
          <t>spread</t>
        </is>
      </c>
      <c r="I55" s="24" t="inlineStr">
        <is>
          <t>home</t>
        </is>
      </c>
      <c r="J55" s="25" t="n">
        <v>-1.5</v>
      </c>
      <c r="K55" s="24" t="inlineStr">
        <is>
          <t>polymarket_us</t>
        </is>
      </c>
      <c r="L55" s="26" t="n">
        <v>-133</v>
      </c>
      <c r="M55" s="27" t="n">
        <v>1.75188</v>
      </c>
      <c r="N55" s="28" t="n">
        <v>0.570815</v>
      </c>
      <c r="O55" s="28" t="n">
        <v>0.505279</v>
      </c>
      <c r="P55" s="28" t="n">
        <v>0.03</v>
      </c>
      <c r="Q55" s="28" t="n">
        <v>-0.065536</v>
      </c>
      <c r="R55" s="26" t="n">
        <v>0</v>
      </c>
      <c r="S55" s="29" t="n">
        <v>1</v>
      </c>
      <c r="T55" s="24" t="inlineStr">
        <is>
          <t>wnba-spread-margin-v1</t>
        </is>
      </c>
      <c r="U55" s="24" t="inlineStr">
        <is>
          <t>settled</t>
        </is>
      </c>
      <c r="V55" s="24" t="inlineStr">
        <is>
          <t>loss</t>
        </is>
      </c>
      <c r="W55" s="26" t="n">
        <v>97</v>
      </c>
      <c r="X55" s="26" t="n">
        <v>82</v>
      </c>
      <c r="Y55" s="25" t="n"/>
      <c r="Z55" s="26" t="n"/>
      <c r="AA55" s="28" t="n"/>
      <c r="AB55" s="28" t="n"/>
      <c r="AC55" s="30" t="n">
        <v>-1</v>
      </c>
      <c r="AD55" s="24" t="inlineStr">
        <is>
          <t>2026-08-19T03:46:16.038488Z</t>
        </is>
      </c>
      <c r="AE55" s="31" t="inlineStr">
        <is>
          <t>Projected margin +1.6 (home), sd 10.5. Executable ask 0.5700 (asc-wnba-atl-lv-2026-08-18-pos-1pt5).</t>
        </is>
      </c>
      <c r="AF55" s="31" t="inlineStr">
        <is>
          <t>Research-baseline margin-normal spread model;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wnba-atl</t>
        </is>
      </c>
      <c r="AQ55" s="24" t="inlineStr">
        <is>
          <t>Atlanta Dream</t>
        </is>
      </c>
      <c r="AR55" s="24" t="inlineStr">
        <is>
          <t>Atlanta Dream</t>
        </is>
      </c>
      <c r="AS55" s="24" t="inlineStr">
        <is>
          <t>wnba-lva</t>
        </is>
      </c>
      <c r="AT55" s="24" t="inlineStr">
        <is>
          <t>Las Vegas Aces</t>
        </is>
      </c>
      <c r="AU55" s="24" t="inlineStr">
        <is>
          <t>Las Vegas Aces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23ba88bcc86a710d76233b349116f2eefe021a993d2d3b9102922e567a027b4c</t>
        </is>
      </c>
      <c r="BB55" s="24" t="inlineStr">
        <is>
          <t>margin_normal</t>
        </is>
      </c>
      <c r="BC55" s="24" t="inlineStr">
        <is>
          <t>wnba-spread-margin-v1</t>
        </is>
      </c>
      <c r="BD55" s="24" t="inlineStr">
        <is>
          <t>23ba88bcc86a710d76233b349116f2eefe021a993d2d3b9102922e567a027b4c</t>
        </is>
      </c>
      <c r="BE55" s="24" t="inlineStr">
        <is>
          <t>wnba-spread-margin-v1</t>
        </is>
      </c>
      <c r="BF55" s="24" t="inlineStr">
        <is>
          <t>1</t>
        </is>
      </c>
      <c r="BG55" s="24" t="inlineStr">
        <is>
          <t>23ba88bcc86a710d76233b349116f2eefe021a993d2d3b9102922e567a027b4c</t>
        </is>
      </c>
      <c r="BH55" s="24" t="inlineStr">
        <is>
          <t>2026-08-19T00:44:05.823477+00:00</t>
        </is>
      </c>
      <c r="BI55" s="24" t="inlineStr">
        <is>
          <t>["same_event","same_team_same_day","same_league_same_day"]</t>
        </is>
      </c>
      <c r="BJ55" s="25" t="n">
        <v>-1.5</v>
      </c>
      <c r="BK55" s="26" t="n">
        <v>-133</v>
      </c>
      <c r="BL55" s="27" t="n">
        <v>1.75188</v>
      </c>
      <c r="BM55" s="28" t="n">
        <v>0.570815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0.570815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ee586eaefc4f4d4f</t>
        </is>
      </c>
      <c r="B56" s="24" t="inlineStr">
        <is>
          <t>2026-08-19T23:06:55.993509Z</t>
        </is>
      </c>
      <c r="C56" s="24" t="inlineStr">
        <is>
          <t>2026-08-19T19:30:00-0400</t>
        </is>
      </c>
      <c r="D56" s="24" t="inlineStr">
        <is>
          <t>401857156</t>
        </is>
      </c>
      <c r="E56" s="24" t="inlineStr">
        <is>
          <t>WNBA</t>
        </is>
      </c>
      <c r="F56" s="24" t="inlineStr">
        <is>
          <t>Toronto Tempo</t>
        </is>
      </c>
      <c r="G56" s="24" t="inlineStr">
        <is>
          <t>Washington Mystics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-809</v>
      </c>
      <c r="M56" s="27" t="n">
        <v>1.123609</v>
      </c>
      <c r="N56" s="28" t="n">
        <v>0.889989</v>
      </c>
      <c r="O56" s="28" t="n">
        <v>0.752704</v>
      </c>
      <c r="P56" s="28" t="n"/>
      <c r="Q56" s="28" t="n">
        <v>-0.137285</v>
      </c>
      <c r="R56" s="26" t="n">
        <v>0</v>
      </c>
      <c r="S56" s="29" t="n">
        <v>2</v>
      </c>
      <c r="T56" s="24" t="inlineStr">
        <is>
          <t>wnba-elo-trend-lr-v4</t>
        </is>
      </c>
      <c r="U56" s="24" t="inlineStr">
        <is>
          <t>settled</t>
        </is>
      </c>
      <c r="V56" s="24" t="inlineStr">
        <is>
          <t>win</t>
        </is>
      </c>
      <c r="W56" s="26" t="n">
        <v>82</v>
      </c>
      <c r="X56" s="26" t="n">
        <v>93</v>
      </c>
      <c r="Y56" s="25" t="n"/>
      <c r="Z56" s="26" t="n"/>
      <c r="AA56" s="28" t="n"/>
      <c r="AB56" s="28" t="n"/>
      <c r="AC56" s="30" t="n">
        <v>0.2472</v>
      </c>
      <c r="AD56" s="24" t="inlineStr">
        <is>
          <t>2026-08-20T02:28:44.046493Z</t>
        </is>
      </c>
      <c r="AE56" s="31" t="inlineStr">
        <is>
          <t>Learned LR call at threshold 0.5001; executable ask 0.8900 (aec-wnba-tor-wsh-2026-08-19); model edge vs ask -0.1373.</t>
        </is>
      </c>
      <c r="AF56" s="31" t="inlineStr">
        <is>
          <t>Learned model; shadow-qualified via operator override.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wnba-tor</t>
        </is>
      </c>
      <c r="AQ56" s="24" t="inlineStr">
        <is>
          <t>Toronto Tempo</t>
        </is>
      </c>
      <c r="AR56" s="24" t="inlineStr">
        <is>
          <t>Toronto Tempo</t>
        </is>
      </c>
      <c r="AS56" s="24" t="inlineStr">
        <is>
          <t>wnba-was</t>
        </is>
      </c>
      <c r="AT56" s="24" t="inlineStr">
        <is>
          <t>Washington Mystics</t>
        </is>
      </c>
      <c r="AU56" s="24" t="inlineStr">
        <is>
          <t>Washington Mystics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7afd5274214b58b7efd7f7febc7be3ab33b92351cda5cc6403c0a39faea0cc8c</t>
        </is>
      </c>
      <c r="BB56" s="24" t="inlineStr">
        <is>
          <t>learned_lr</t>
        </is>
      </c>
      <c r="BC56" s="24" t="inlineStr">
        <is>
          <t>wnba-elo-trend-lr-v4</t>
        </is>
      </c>
      <c r="BD56" s="24" t="inlineStr">
        <is>
          <t>7afd5274214b58b7efd7f7febc7be3ab33b92351cda5cc6403c0a39faea0cc8c</t>
        </is>
      </c>
      <c r="BE56" s="24" t="inlineStr">
        <is>
          <t>88ce956df8e8b7d8</t>
        </is>
      </c>
      <c r="BF56" s="24" t="inlineStr">
        <is>
          <t>1</t>
        </is>
      </c>
      <c r="BG56" s="24" t="inlineStr">
        <is>
          <t>wnba-elo-trend-lr-v4</t>
        </is>
      </c>
      <c r="BH56" s="24" t="inlineStr">
        <is>
          <t>2026-08-19T23:06:26.332400Z</t>
        </is>
      </c>
      <c r="BI56" s="24" t="inlineStr">
        <is>
          <t>["same_event","same_team_same_day","same_league_same_day"]</t>
        </is>
      </c>
      <c r="BJ56" s="25" t="n"/>
      <c r="BK56" s="26" t="n">
        <v>-809</v>
      </c>
      <c r="BL56" s="27" t="n">
        <v>1.123609</v>
      </c>
      <c r="BM56" s="28" t="n">
        <v>0.889989</v>
      </c>
      <c r="BN56" s="28" t="n">
        <v>0.881188</v>
      </c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inlineStr">
        <is>
          <t>0.8632806879</t>
        </is>
      </c>
      <c r="CD56" s="24" t="inlineStr">
        <is>
          <t>0.942489</t>
        </is>
      </c>
      <c r="CE56" s="24" t="n"/>
      <c r="CF56" s="24" t="n"/>
      <c r="CG56" s="24" t="n"/>
      <c r="CH56" s="24" t="n"/>
      <c r="CI56" s="24" t="n"/>
      <c r="CJ56" s="24" t="inlineStr">
        <is>
          <t>4.974981</t>
        </is>
      </c>
      <c r="CK56" s="24" t="n"/>
      <c r="CL56" s="24" t="n"/>
      <c r="CM56" s="24" t="n"/>
      <c r="CN56" s="24" t="n"/>
      <c r="CO56" s="24" t="n"/>
      <c r="CP56" s="24" t="n"/>
      <c r="CQ56" s="24" t="n"/>
      <c r="CR56" s="24" t="inlineStr">
        <is>
          <t>0.752704</t>
        </is>
      </c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0.889989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74703ed26c4e4e71</t>
        </is>
      </c>
      <c r="B57" s="24" t="inlineStr">
        <is>
          <t>2026-08-19T23:06:55.993509Z</t>
        </is>
      </c>
      <c r="C57" s="24" t="inlineStr">
        <is>
          <t>2026-08-19T22:00:00-0400</t>
        </is>
      </c>
      <c r="D57" s="24" t="inlineStr">
        <is>
          <t>401857157</t>
        </is>
      </c>
      <c r="E57" s="24" t="inlineStr">
        <is>
          <t>WNBA</t>
        </is>
      </c>
      <c r="F57" s="24" t="inlineStr">
        <is>
          <t>Minnesota Lynx</t>
        </is>
      </c>
      <c r="G57" s="24" t="inlineStr">
        <is>
          <t>Golden State Valkyries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133</v>
      </c>
      <c r="M57" s="27" t="n">
        <v>2.33</v>
      </c>
      <c r="N57" s="28" t="n">
        <v>0.429185</v>
      </c>
      <c r="O57" s="28" t="n">
        <v>0.536983</v>
      </c>
      <c r="P57" s="28" t="n"/>
      <c r="Q57" s="28" t="n">
        <v>0.107798</v>
      </c>
      <c r="R57" s="26" t="n">
        <v>76</v>
      </c>
      <c r="S57" s="29" t="n">
        <v>1</v>
      </c>
      <c r="T57" s="24" t="inlineStr">
        <is>
          <t>wnba-elo-trend-lr-v4</t>
        </is>
      </c>
      <c r="U57" s="24" t="inlineStr">
        <is>
          <t>settled</t>
        </is>
      </c>
      <c r="V57" s="24" t="inlineStr">
        <is>
          <t>loss</t>
        </is>
      </c>
      <c r="W57" s="26" t="n">
        <v>77</v>
      </c>
      <c r="X57" s="26" t="n">
        <v>66</v>
      </c>
      <c r="Y57" s="25" t="n"/>
      <c r="Z57" s="26" t="n"/>
      <c r="AA57" s="28" t="n"/>
      <c r="AB57" s="28" t="n"/>
      <c r="AC57" s="30" t="n">
        <v>-1</v>
      </c>
      <c r="AD57" s="24" t="inlineStr">
        <is>
          <t>2026-08-20T05:33:08.361492Z</t>
        </is>
      </c>
      <c r="AE57" s="31" t="inlineStr">
        <is>
          <t>Learned LR call at threshold 0.5001; executable ask 0.4300 (aec-wnba-min-gsv-2026-08-19); model edge vs ask +0.1070. NOTE: NO_CALL_AVAILABILITY_REPORT_INCOMPLETE unavailable for this game — defaulted to neutral, other features used normally.</t>
        </is>
      </c>
      <c r="AF57" s="31" t="inlineStr">
        <is>
          <t>Learned model; shadow-qualified via operator override.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wnba-min</t>
        </is>
      </c>
      <c r="AQ57" s="24" t="inlineStr">
        <is>
          <t>Minnesota Lynx</t>
        </is>
      </c>
      <c r="AR57" s="24" t="inlineStr">
        <is>
          <t>Minnesota Lynx</t>
        </is>
      </c>
      <c r="AS57" s="24" t="inlineStr">
        <is>
          <t>wnba-gsv</t>
        </is>
      </c>
      <c r="AT57" s="24" t="inlineStr">
        <is>
          <t>Golden State Valkyries</t>
        </is>
      </c>
      <c r="AU57" s="24" t="inlineStr">
        <is>
          <t>Golden State Valkyries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7afd5274214b58b7efd7f7febc7be3ab33b92351cda5cc6403c0a39faea0cc8c</t>
        </is>
      </c>
      <c r="BB57" s="24" t="inlineStr">
        <is>
          <t>learned_lr</t>
        </is>
      </c>
      <c r="BC57" s="24" t="inlineStr">
        <is>
          <t>wnba-elo-trend-lr-v4</t>
        </is>
      </c>
      <c r="BD57" s="24" t="inlineStr">
        <is>
          <t>7afd5274214b58b7efd7f7febc7be3ab33b92351cda5cc6403c0a39faea0cc8c</t>
        </is>
      </c>
      <c r="BE57" s="24" t="inlineStr">
        <is>
          <t>0754c99bf03497a5</t>
        </is>
      </c>
      <c r="BF57" s="24" t="inlineStr">
        <is>
          <t>1</t>
        </is>
      </c>
      <c r="BG57" s="24" t="inlineStr">
        <is>
          <t>wnba-elo-trend-lr-v4</t>
        </is>
      </c>
      <c r="BH57" s="24" t="inlineStr">
        <is>
          <t>2026-08-19T23:06:26.379311Z</t>
        </is>
      </c>
      <c r="BI57" s="24" t="inlineStr">
        <is>
          <t>["same_event","same_team_same_day","same_league_same_day"]</t>
        </is>
      </c>
      <c r="BJ57" s="25" t="n"/>
      <c r="BK57" s="26" t="n">
        <v>133</v>
      </c>
      <c r="BL57" s="27" t="n">
        <v>2.33</v>
      </c>
      <c r="BM57" s="28" t="n">
        <v>0.429185</v>
      </c>
      <c r="BN57" s="28" t="n">
        <v>0.425743</v>
      </c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inlineStr">
        <is>
          <t>0.548888647</t>
        </is>
      </c>
      <c r="CD57" s="24" t="inlineStr">
        <is>
          <t>-1.51</t>
        </is>
      </c>
      <c r="CE57" s="24" t="n"/>
      <c r="CF57" s="24" t="n"/>
      <c r="CG57" s="24" t="n"/>
      <c r="CH57" s="24" t="n"/>
      <c r="CI57" s="24" t="inlineStr">
        <is>
          <t>NO_CALL_AVAILABILITY_REPORT_INCOMPLETE</t>
        </is>
      </c>
      <c r="CJ57" s="24" t="inlineStr">
        <is>
          <t>3.624674</t>
        </is>
      </c>
      <c r="CK57" s="24" t="n"/>
      <c r="CL57" s="24" t="n"/>
      <c r="CM57" s="24" t="n"/>
      <c r="CN57" s="24" t="n"/>
      <c r="CO57" s="24" t="n"/>
      <c r="CP57" s="24" t="n"/>
      <c r="CQ57" s="24" t="n"/>
      <c r="CR57" s="24" t="inlineStr">
        <is>
          <t>0.536983</t>
        </is>
      </c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0.429185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af04f1533c3f4fb6</t>
        </is>
      </c>
      <c r="B58" s="24" t="inlineStr">
        <is>
          <t>2026-08-19T23:07:14.241250Z</t>
        </is>
      </c>
      <c r="C58" s="24" t="inlineStr">
        <is>
          <t>2026-08-19T23:30Z</t>
        </is>
      </c>
      <c r="D58" s="24" t="inlineStr">
        <is>
          <t>401857156</t>
        </is>
      </c>
      <c r="E58" s="24" t="inlineStr">
        <is>
          <t>WNBA</t>
        </is>
      </c>
      <c r="F58" s="24" t="inlineStr">
        <is>
          <t>Toronto Tempo</t>
        </is>
      </c>
      <c r="G58" s="24" t="inlineStr">
        <is>
          <t>Washington Mystics</t>
        </is>
      </c>
      <c r="H58" s="24" t="inlineStr">
        <is>
          <t>spread</t>
        </is>
      </c>
      <c r="I58" s="24" t="inlineStr">
        <is>
          <t>away</t>
        </is>
      </c>
      <c r="J58" s="25" t="n">
        <v>10.5</v>
      </c>
      <c r="K58" s="24" t="inlineStr">
        <is>
          <t>polymarket_us</t>
        </is>
      </c>
      <c r="L58" s="26" t="n">
        <v>100</v>
      </c>
      <c r="M58" s="27" t="n">
        <v>2</v>
      </c>
      <c r="N58" s="28" t="n">
        <v>0.5</v>
      </c>
      <c r="O58" s="28" t="n">
        <v>0.6860810000000001</v>
      </c>
      <c r="P58" s="28" t="n">
        <v>0.03</v>
      </c>
      <c r="Q58" s="28" t="n">
        <v>0.186081</v>
      </c>
      <c r="R58" s="26" t="n">
        <v>100</v>
      </c>
      <c r="S58" s="29" t="n">
        <v>2</v>
      </c>
      <c r="T58" s="24" t="inlineStr">
        <is>
          <t>wnba-spread-margin-v1</t>
        </is>
      </c>
      <c r="U58" s="24" t="inlineStr">
        <is>
          <t>settled</t>
        </is>
      </c>
      <c r="V58" s="24" t="inlineStr">
        <is>
          <t>loss</t>
        </is>
      </c>
      <c r="W58" s="26" t="n">
        <v>82</v>
      </c>
      <c r="X58" s="26" t="n">
        <v>93</v>
      </c>
      <c r="Y58" s="25" t="n"/>
      <c r="Z58" s="26" t="n"/>
      <c r="AA58" s="28" t="n"/>
      <c r="AB58" s="28" t="n"/>
      <c r="AC58" s="30" t="n">
        <v>-2</v>
      </c>
      <c r="AD58" s="24" t="inlineStr">
        <is>
          <t>2026-08-20T02:28:46.196158Z</t>
        </is>
      </c>
      <c r="AE58" s="31" t="inlineStr">
        <is>
          <t>Projected margin +5.4 (home), sd 10.5. Executable ask 0.5000 (asc-wnba-tor-wsh-2026-08-19-pos-10pt5).</t>
        </is>
      </c>
      <c r="AF58" s="31" t="inlineStr">
        <is>
          <t>Research-baseline margin-normal spread model; not yet locked-holdout qualified.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wnba-tor</t>
        </is>
      </c>
      <c r="AQ58" s="24" t="inlineStr">
        <is>
          <t>Toronto Tempo</t>
        </is>
      </c>
      <c r="AR58" s="24" t="inlineStr">
        <is>
          <t>Toronto Tempo</t>
        </is>
      </c>
      <c r="AS58" s="24" t="inlineStr">
        <is>
          <t>wnba-was</t>
        </is>
      </c>
      <c r="AT58" s="24" t="inlineStr">
        <is>
          <t>Washington Mystics</t>
        </is>
      </c>
      <c r="AU58" s="24" t="inlineStr">
        <is>
          <t>Washington Mystics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23ba88bcc86a710d76233b349116f2eefe021a993d2d3b9102922e567a027b4c</t>
        </is>
      </c>
      <c r="BB58" s="24" t="inlineStr">
        <is>
          <t>margin_normal</t>
        </is>
      </c>
      <c r="BC58" s="24" t="inlineStr">
        <is>
          <t>wnba-spread-margin-v1</t>
        </is>
      </c>
      <c r="BD58" s="24" t="inlineStr">
        <is>
          <t>23ba88bcc86a710d76233b349116f2eefe021a993d2d3b9102922e567a027b4c</t>
        </is>
      </c>
      <c r="BE58" s="24" t="inlineStr">
        <is>
          <t>wnba-spread-margin-v1</t>
        </is>
      </c>
      <c r="BF58" s="24" t="inlineStr">
        <is>
          <t>1</t>
        </is>
      </c>
      <c r="BG58" s="24" t="inlineStr">
        <is>
          <t>23ba88bcc86a710d76233b349116f2eefe021a993d2d3b9102922e567a027b4c</t>
        </is>
      </c>
      <c r="BH58" s="24" t="inlineStr">
        <is>
          <t>2026-08-19T23:07:12.540564+00:00</t>
        </is>
      </c>
      <c r="BI58" s="24" t="inlineStr">
        <is>
          <t>["same_event","same_team_same_day","same_league_same_day"]</t>
        </is>
      </c>
      <c r="BJ58" s="25" t="n">
        <v>10.5</v>
      </c>
      <c r="BK58" s="26" t="n">
        <v>100</v>
      </c>
      <c r="BL58" s="27" t="n">
        <v>2</v>
      </c>
      <c r="BM58" s="28" t="n">
        <v>0.5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32c856a00e3042fe</t>
        </is>
      </c>
      <c r="B59" s="24" t="inlineStr">
        <is>
          <t>2026-08-19T23:07:14.241250Z</t>
        </is>
      </c>
      <c r="C59" s="24" t="inlineStr">
        <is>
          <t>2026-08-20T02:00Z</t>
        </is>
      </c>
      <c r="D59" s="24" t="inlineStr">
        <is>
          <t>401857157</t>
        </is>
      </c>
      <c r="E59" s="24" t="inlineStr">
        <is>
          <t>WNBA</t>
        </is>
      </c>
      <c r="F59" s="24" t="inlineStr">
        <is>
          <t>Minnesota Lynx</t>
        </is>
      </c>
      <c r="G59" s="24" t="inlineStr">
        <is>
          <t>Golden State Valkyries</t>
        </is>
      </c>
      <c r="H59" s="24" t="inlineStr">
        <is>
          <t>spread</t>
        </is>
      </c>
      <c r="I59" s="24" t="inlineStr">
        <is>
          <t>home</t>
        </is>
      </c>
      <c r="J59" s="25" t="n">
        <v>4.5</v>
      </c>
      <c r="K59" s="24" t="inlineStr">
        <is>
          <t>polymarket_us</t>
        </is>
      </c>
      <c r="L59" s="26" t="n">
        <v>-163</v>
      </c>
      <c r="M59" s="27" t="n">
        <v>1.613497</v>
      </c>
      <c r="N59" s="28" t="n">
        <v>0.619772</v>
      </c>
      <c r="O59" s="28" t="n">
        <v>0.720288</v>
      </c>
      <c r="P59" s="28" t="n">
        <v>0.03</v>
      </c>
      <c r="Q59" s="28" t="n">
        <v>0.100516</v>
      </c>
      <c r="R59" s="26" t="n">
        <v>82</v>
      </c>
      <c r="S59" s="29" t="n">
        <v>2</v>
      </c>
      <c r="T59" s="24" t="inlineStr">
        <is>
          <t>wnba-spread-margin-v1</t>
        </is>
      </c>
      <c r="U59" s="24" t="inlineStr">
        <is>
          <t>settled</t>
        </is>
      </c>
      <c r="V59" s="24" t="inlineStr">
        <is>
          <t>loss</t>
        </is>
      </c>
      <c r="W59" s="26" t="n">
        <v>77</v>
      </c>
      <c r="X59" s="26" t="n">
        <v>66</v>
      </c>
      <c r="Y59" s="25" t="n"/>
      <c r="Z59" s="26" t="n"/>
      <c r="AA59" s="28" t="n"/>
      <c r="AB59" s="28" t="n"/>
      <c r="AC59" s="30" t="n">
        <v>-2</v>
      </c>
      <c r="AD59" s="24" t="inlineStr">
        <is>
          <t>2026-08-20T05:33:15.614467Z</t>
        </is>
      </c>
      <c r="AE59" s="31" t="inlineStr">
        <is>
          <t>Projected margin +1.6 (home), sd 10.5. Executable ask 0.6200 (asc-wnba-min-gsv-2026-08-19-neg-4pt5).</t>
        </is>
      </c>
      <c r="AF59" s="31" t="inlineStr">
        <is>
          <t>Research-baseline margin-normal spread model; not yet locked-holdout qualified.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wnba-min</t>
        </is>
      </c>
      <c r="AQ59" s="24" t="inlineStr">
        <is>
          <t>Minnesota Lynx</t>
        </is>
      </c>
      <c r="AR59" s="24" t="inlineStr">
        <is>
          <t>Minnesota Lynx</t>
        </is>
      </c>
      <c r="AS59" s="24" t="inlineStr">
        <is>
          <t>wnba-gsv</t>
        </is>
      </c>
      <c r="AT59" s="24" t="inlineStr">
        <is>
          <t>Golden State Valkyries</t>
        </is>
      </c>
      <c r="AU59" s="24" t="inlineStr">
        <is>
          <t>Golden State Valkyries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23ba88bcc86a710d76233b349116f2eefe021a993d2d3b9102922e567a027b4c</t>
        </is>
      </c>
      <c r="BB59" s="24" t="inlineStr">
        <is>
          <t>margin_normal</t>
        </is>
      </c>
      <c r="BC59" s="24" t="inlineStr">
        <is>
          <t>wnba-spread-margin-v1</t>
        </is>
      </c>
      <c r="BD59" s="24" t="inlineStr">
        <is>
          <t>23ba88bcc86a710d76233b349116f2eefe021a993d2d3b9102922e567a027b4c</t>
        </is>
      </c>
      <c r="BE59" s="24" t="inlineStr">
        <is>
          <t>wnba-spread-margin-v1</t>
        </is>
      </c>
      <c r="BF59" s="24" t="inlineStr">
        <is>
          <t>1</t>
        </is>
      </c>
      <c r="BG59" s="24" t="inlineStr">
        <is>
          <t>23ba88bcc86a710d76233b349116f2eefe021a993d2d3b9102922e567a027b4c</t>
        </is>
      </c>
      <c r="BH59" s="24" t="inlineStr">
        <is>
          <t>2026-08-19T23:07:12.540564+00:00</t>
        </is>
      </c>
      <c r="BI59" s="24" t="inlineStr">
        <is>
          <t>["same_event","same_team_same_day","same_league_same_day"]</t>
        </is>
      </c>
      <c r="BJ59" s="25" t="n">
        <v>4.5</v>
      </c>
      <c r="BK59" s="26" t="n">
        <v>-163</v>
      </c>
      <c r="BL59" s="27" t="n">
        <v>1.613497</v>
      </c>
      <c r="BM59" s="28" t="n">
        <v>0.619772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0.619772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96a7ae0ca3ec4dc5</t>
        </is>
      </c>
      <c r="B60" s="24" t="inlineStr">
        <is>
          <t>2026-08-20T22:22:59.074318Z</t>
        </is>
      </c>
      <c r="C60" s="24" t="inlineStr">
        <is>
          <t>2026-08-20T20:00:00-0400</t>
        </is>
      </c>
      <c r="D60" s="24" t="inlineStr">
        <is>
          <t>401857158</t>
        </is>
      </c>
      <c r="E60" s="24" t="inlineStr">
        <is>
          <t>WNBA</t>
        </is>
      </c>
      <c r="F60" s="24" t="inlineStr">
        <is>
          <t>Indiana Fever</t>
        </is>
      </c>
      <c r="G60" s="24" t="inlineStr">
        <is>
          <t>Dallas Wings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-150</v>
      </c>
      <c r="M60" s="27" t="n">
        <v>1.666667</v>
      </c>
      <c r="N60" s="28" t="n">
        <v>0.6</v>
      </c>
      <c r="O60" s="28" t="n">
        <v>0.587869</v>
      </c>
      <c r="P60" s="28" t="n"/>
      <c r="Q60" s="28" t="n">
        <v>-0.012131</v>
      </c>
      <c r="R60" s="26" t="n">
        <v>17</v>
      </c>
      <c r="S60" s="29" t="n">
        <v>1.25</v>
      </c>
      <c r="T60" s="24" t="inlineStr">
        <is>
          <t>wnba-elo-trend-lr-v4</t>
        </is>
      </c>
      <c r="U60" s="24" t="inlineStr">
        <is>
          <t>settled</t>
        </is>
      </c>
      <c r="V60" s="24" t="inlineStr">
        <is>
          <t>loss</t>
        </is>
      </c>
      <c r="W60" s="26" t="n">
        <v>85</v>
      </c>
      <c r="X60" s="26" t="n">
        <v>91</v>
      </c>
      <c r="Y60" s="25" t="n"/>
      <c r="Z60" s="26" t="n"/>
      <c r="AA60" s="28" t="n"/>
      <c r="AB60" s="28" t="n"/>
      <c r="AC60" s="30" t="n">
        <v>-1.25</v>
      </c>
      <c r="AD60" s="24" t="inlineStr">
        <is>
          <t>2026-08-21T04:28:27.704084Z</t>
        </is>
      </c>
      <c r="AE60" s="31" t="inlineStr">
        <is>
          <t>Learned LR call at threshold 0.5001; executable ask 0.6000 (aec-wnba-ind-dal-2026-08-20); model edge vs ask -0.0121. NOTE: NO_CALL_AVAILABILITY_SOURCE_CONFLICT unavailable for this game — defaulted to neutral, other features used normally.</t>
        </is>
      </c>
      <c r="AF60" s="31" t="inlineStr">
        <is>
          <t>Learned model; shadow-qualified via operator override.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4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wnba-ind</t>
        </is>
      </c>
      <c r="AQ60" s="24" t="inlineStr">
        <is>
          <t>Indiana Fever</t>
        </is>
      </c>
      <c r="AR60" s="24" t="inlineStr">
        <is>
          <t>Indiana Fever</t>
        </is>
      </c>
      <c r="AS60" s="24" t="inlineStr">
        <is>
          <t>wnba-dal</t>
        </is>
      </c>
      <c r="AT60" s="24" t="inlineStr">
        <is>
          <t>Dallas Wings</t>
        </is>
      </c>
      <c r="AU60" s="24" t="inlineStr">
        <is>
          <t>Dallas Wings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7afd5274214b58b7efd7f7febc7be3ab33b92351cda5cc6403c0a39faea0cc8c</t>
        </is>
      </c>
      <c r="BB60" s="24" t="inlineStr">
        <is>
          <t>learned_lr</t>
        </is>
      </c>
      <c r="BC60" s="24" t="inlineStr">
        <is>
          <t>wnba-elo-trend-lr-v4</t>
        </is>
      </c>
      <c r="BD60" s="24" t="inlineStr">
        <is>
          <t>7afd5274214b58b7efd7f7febc7be3ab33b92351cda5cc6403c0a39faea0cc8c</t>
        </is>
      </c>
      <c r="BE60" s="24" t="inlineStr">
        <is>
          <t>8f48a6aa0bf15e8d</t>
        </is>
      </c>
      <c r="BF60" s="24" t="inlineStr">
        <is>
          <t>1</t>
        </is>
      </c>
      <c r="BG60" s="24" t="inlineStr">
        <is>
          <t>wnba-elo-trend-lr-v4</t>
        </is>
      </c>
      <c r="BH60" s="24" t="inlineStr">
        <is>
          <t>2026-08-20T22:22:47.116844Z</t>
        </is>
      </c>
      <c r="BI60" s="24" t="inlineStr">
        <is>
          <t>["same_event","same_team_same_day","same_league_same_day"]</t>
        </is>
      </c>
      <c r="BJ60" s="25" t="n"/>
      <c r="BK60" s="26" t="n">
        <v>-150</v>
      </c>
      <c r="BL60" s="27" t="n">
        <v>1.666667</v>
      </c>
      <c r="BM60" s="28" t="n">
        <v>0.6</v>
      </c>
      <c r="BN60" s="28" t="n">
        <v>0.594059</v>
      </c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inlineStr">
        <is>
          <t>0.3776979686</t>
        </is>
      </c>
      <c r="CD60" s="24" t="inlineStr">
        <is>
          <t>-5.480075</t>
        </is>
      </c>
      <c r="CE60" s="24" t="n"/>
      <c r="CF60" s="24" t="n"/>
      <c r="CG60" s="24" t="n"/>
      <c r="CH60" s="24" t="n"/>
      <c r="CI60" s="24" t="inlineStr">
        <is>
          <t>NO_CALL_AVAILABILITY_SOURCE_CONFLICT</t>
        </is>
      </c>
      <c r="CJ60" s="24" t="inlineStr">
        <is>
          <t>1.449897</t>
        </is>
      </c>
      <c r="CK60" s="24" t="n"/>
      <c r="CL60" s="24" t="n"/>
      <c r="CM60" s="24" t="n"/>
      <c r="CN60" s="24" t="n"/>
      <c r="CO60" s="24" t="n"/>
      <c r="CP60" s="24" t="n"/>
      <c r="CQ60" s="24" t="n"/>
      <c r="CR60" s="24" t="inlineStr">
        <is>
          <t>0.587869</t>
        </is>
      </c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77f32f8119534fc5</t>
        </is>
      </c>
      <c r="B61" s="24" t="inlineStr">
        <is>
          <t>2026-08-20T22:23:19.351424Z</t>
        </is>
      </c>
      <c r="C61" s="24" t="inlineStr">
        <is>
          <t>2026-08-21T00:00Z</t>
        </is>
      </c>
      <c r="D61" s="24" t="inlineStr">
        <is>
          <t>401857158</t>
        </is>
      </c>
      <c r="E61" s="24" t="inlineStr">
        <is>
          <t>WNBA</t>
        </is>
      </c>
      <c r="F61" s="24" t="inlineStr">
        <is>
          <t>Indiana Fever</t>
        </is>
      </c>
      <c r="G61" s="24" t="inlineStr">
        <is>
          <t>Dallas Wings</t>
        </is>
      </c>
      <c r="H61" s="24" t="inlineStr">
        <is>
          <t>spread</t>
        </is>
      </c>
      <c r="I61" s="24" t="inlineStr">
        <is>
          <t>home</t>
        </is>
      </c>
      <c r="J61" s="25" t="n">
        <v>4.5</v>
      </c>
      <c r="K61" s="24" t="inlineStr">
        <is>
          <t>polymarket_us</t>
        </is>
      </c>
      <c r="L61" s="26" t="n">
        <v>-117</v>
      </c>
      <c r="M61" s="27" t="n">
        <v>1.854701</v>
      </c>
      <c r="N61" s="28" t="n">
        <v>0.539171</v>
      </c>
      <c r="O61" s="28" t="n">
        <v>0.639384</v>
      </c>
      <c r="P61" s="28" t="n">
        <v>0.03</v>
      </c>
      <c r="Q61" s="28" t="n">
        <v>0.100213</v>
      </c>
      <c r="R61" s="26" t="n">
        <v>82</v>
      </c>
      <c r="S61" s="29" t="n">
        <v>1.75</v>
      </c>
      <c r="T61" s="24" t="inlineStr">
        <is>
          <t>wnba-spread-margin-v1</t>
        </is>
      </c>
      <c r="U61" s="24" t="inlineStr">
        <is>
          <t>settled</t>
        </is>
      </c>
      <c r="V61" s="24" t="inlineStr">
        <is>
          <t>win</t>
        </is>
      </c>
      <c r="W61" s="26" t="n">
        <v>85</v>
      </c>
      <c r="X61" s="26" t="n">
        <v>91</v>
      </c>
      <c r="Y61" s="25" t="n"/>
      <c r="Z61" s="26" t="n"/>
      <c r="AA61" s="28" t="n"/>
      <c r="AB61" s="28" t="n"/>
      <c r="AC61" s="30" t="n">
        <v>1.4957</v>
      </c>
      <c r="AD61" s="24" t="inlineStr">
        <is>
          <t>2026-08-21T04:28:35.303982Z</t>
        </is>
      </c>
      <c r="AE61" s="31" t="inlineStr">
        <is>
          <t>Projected margin -0.8 (home), sd 10.5. Executable ask 0.5400 (asc-wnba-ind-dal-2026-08-20-neg-4pt5).</t>
        </is>
      </c>
      <c r="AF61" s="31" t="inlineStr">
        <is>
          <t>Research-baseline margin-normal spread model; not yet locked-holdout qualified.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4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wnba-ind</t>
        </is>
      </c>
      <c r="AQ61" s="24" t="inlineStr">
        <is>
          <t>Indiana Fever</t>
        </is>
      </c>
      <c r="AR61" s="24" t="inlineStr">
        <is>
          <t>Indiana Fever</t>
        </is>
      </c>
      <c r="AS61" s="24" t="inlineStr">
        <is>
          <t>wnba-dal</t>
        </is>
      </c>
      <c r="AT61" s="24" t="inlineStr">
        <is>
          <t>Dallas Wings</t>
        </is>
      </c>
      <c r="AU61" s="24" t="inlineStr">
        <is>
          <t>Dallas Wings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23ba88bcc86a710d76233b349116f2eefe021a993d2d3b9102922e567a027b4c</t>
        </is>
      </c>
      <c r="BB61" s="24" t="inlineStr">
        <is>
          <t>margin_normal</t>
        </is>
      </c>
      <c r="BC61" s="24" t="inlineStr">
        <is>
          <t>wnba-spread-margin-v1</t>
        </is>
      </c>
      <c r="BD61" s="24" t="inlineStr">
        <is>
          <t>23ba88bcc86a710d76233b349116f2eefe021a993d2d3b9102922e567a027b4c</t>
        </is>
      </c>
      <c r="BE61" s="24" t="inlineStr">
        <is>
          <t>wnba-spread-margin-v1</t>
        </is>
      </c>
      <c r="BF61" s="24" t="inlineStr">
        <is>
          <t>1</t>
        </is>
      </c>
      <c r="BG61" s="24" t="inlineStr">
        <is>
          <t>23ba88bcc86a710d76233b349116f2eefe021a993d2d3b9102922e567a027b4c</t>
        </is>
      </c>
      <c r="BH61" s="24" t="inlineStr">
        <is>
          <t>2026-08-20T22:23:17.091789+00:00</t>
        </is>
      </c>
      <c r="BI61" s="24" t="inlineStr">
        <is>
          <t>["same_event","same_team_same_day","same_league_same_day"]</t>
        </is>
      </c>
      <c r="BJ61" s="25" t="n">
        <v>4.5</v>
      </c>
      <c r="BK61" s="26" t="n">
        <v>-117</v>
      </c>
      <c r="BL61" s="27" t="n">
        <v>1.854701</v>
      </c>
      <c r="BM61" s="28" t="n">
        <v>0.539171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0.539171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1bef223aa15a410e</t>
        </is>
      </c>
      <c r="B62" s="24" t="inlineStr">
        <is>
          <t>2026-08-21T01:26:22.534088Z</t>
        </is>
      </c>
      <c r="C62" s="24" t="inlineStr">
        <is>
          <t>2026-08-20T22:00:00-0400</t>
        </is>
      </c>
      <c r="D62" s="24" t="inlineStr">
        <is>
          <t>401857159</t>
        </is>
      </c>
      <c r="E62" s="24" t="inlineStr">
        <is>
          <t>WNBA</t>
        </is>
      </c>
      <c r="F62" s="24" t="inlineStr">
        <is>
          <t>Connecticut Sun</t>
        </is>
      </c>
      <c r="G62" s="24" t="inlineStr">
        <is>
          <t>Las Vegas Aces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-1011</v>
      </c>
      <c r="M62" s="27" t="n">
        <v>1.098912</v>
      </c>
      <c r="N62" s="28" t="n">
        <v>0.909991</v>
      </c>
      <c r="O62" s="28" t="n">
        <v>0.745155</v>
      </c>
      <c r="P62" s="28" t="n"/>
      <c r="Q62" s="28" t="n">
        <v>-0.164836</v>
      </c>
      <c r="R62" s="26" t="n">
        <v>0</v>
      </c>
      <c r="S62" s="29" t="n">
        <v>2</v>
      </c>
      <c r="T62" s="24" t="inlineStr">
        <is>
          <t>wnba-elo-trend-lr-v4</t>
        </is>
      </c>
      <c r="U62" s="24" t="inlineStr">
        <is>
          <t>settled</t>
        </is>
      </c>
      <c r="V62" s="24" t="inlineStr">
        <is>
          <t>win</t>
        </is>
      </c>
      <c r="W62" s="26" t="n">
        <v>78</v>
      </c>
      <c r="X62" s="26" t="n">
        <v>101</v>
      </c>
      <c r="Y62" s="25" t="n"/>
      <c r="Z62" s="26" t="n"/>
      <c r="AA62" s="28" t="n"/>
      <c r="AB62" s="28" t="n"/>
      <c r="AC62" s="30" t="n">
        <v>0.1978</v>
      </c>
      <c r="AD62" s="24" t="inlineStr">
        <is>
          <t>2026-08-21T04:28:35.933895Z</t>
        </is>
      </c>
      <c r="AE62" s="31" t="inlineStr">
        <is>
          <t>Learned LR call at threshold 0.5001; executable ask 0.9100 (aec-wnba-conn-lv-2026-08-20); model edge vs ask -0.1648.</t>
        </is>
      </c>
      <c r="AF62" s="31" t="inlineStr">
        <is>
          <t>Learned model; shadow-qualified via operator override.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4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wnba-con</t>
        </is>
      </c>
      <c r="AQ62" s="24" t="inlineStr">
        <is>
          <t>Connecticut Sun</t>
        </is>
      </c>
      <c r="AR62" s="24" t="inlineStr">
        <is>
          <t>Connecticut Sun</t>
        </is>
      </c>
      <c r="AS62" s="24" t="inlineStr">
        <is>
          <t>wnba-lva</t>
        </is>
      </c>
      <c r="AT62" s="24" t="inlineStr">
        <is>
          <t>Las Vegas Aces</t>
        </is>
      </c>
      <c r="AU62" s="24" t="inlineStr">
        <is>
          <t>Las Vegas Aces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7afd5274214b58b7efd7f7febc7be3ab33b92351cda5cc6403c0a39faea0cc8c</t>
        </is>
      </c>
      <c r="BB62" s="24" t="inlineStr">
        <is>
          <t>learned_lr</t>
        </is>
      </c>
      <c r="BC62" s="24" t="inlineStr">
        <is>
          <t>wnba-elo-trend-lr-v4</t>
        </is>
      </c>
      <c r="BD62" s="24" t="inlineStr">
        <is>
          <t>7afd5274214b58b7efd7f7febc7be3ab33b92351cda5cc6403c0a39faea0cc8c</t>
        </is>
      </c>
      <c r="BE62" s="24" t="inlineStr">
        <is>
          <t>b1f518d0edf734a5</t>
        </is>
      </c>
      <c r="BF62" s="24" t="inlineStr">
        <is>
          <t>1</t>
        </is>
      </c>
      <c r="BG62" s="24" t="inlineStr">
        <is>
          <t>wnba-elo-trend-lr-v4</t>
        </is>
      </c>
      <c r="BH62" s="24" t="inlineStr">
        <is>
          <t>2026-08-21T01:26:18.561880Z</t>
        </is>
      </c>
      <c r="BI62" s="24" t="inlineStr">
        <is>
          <t>["same_event","same_team_same_day","same_league_same_day"]</t>
        </is>
      </c>
      <c r="BJ62" s="25" t="n"/>
      <c r="BK62" s="26" t="n">
        <v>-1011</v>
      </c>
      <c r="BL62" s="27" t="n">
        <v>1.098912</v>
      </c>
      <c r="BM62" s="28" t="n">
        <v>0.909991</v>
      </c>
      <c r="BN62" s="28" t="n">
        <v>0.90099</v>
      </c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inlineStr">
        <is>
          <t>0.8413981018</t>
        </is>
      </c>
      <c r="CD62" s="24" t="inlineStr">
        <is>
          <t>0.74875</t>
        </is>
      </c>
      <c r="CE62" s="24" t="n"/>
      <c r="CF62" s="24" t="n"/>
      <c r="CG62" s="24" t="n"/>
      <c r="CH62" s="24" t="n"/>
      <c r="CI62" s="24" t="n"/>
      <c r="CJ62" s="24" t="inlineStr">
        <is>
          <t>-4.260746</t>
        </is>
      </c>
      <c r="CK62" s="24" t="n"/>
      <c r="CL62" s="24" t="n"/>
      <c r="CM62" s="24" t="n"/>
      <c r="CN62" s="24" t="n"/>
      <c r="CO62" s="24" t="n"/>
      <c r="CP62" s="24" t="n"/>
      <c r="CQ62" s="24" t="n"/>
      <c r="CR62" s="24" t="inlineStr">
        <is>
          <t>0.745155</t>
        </is>
      </c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0.909991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9fbb10455fda4a2d</t>
        </is>
      </c>
      <c r="B63" s="24" t="inlineStr">
        <is>
          <t>2026-08-21T01:26:22.534088Z</t>
        </is>
      </c>
      <c r="C63" s="24" t="inlineStr">
        <is>
          <t>2026-08-20T22:00:00-0400</t>
        </is>
      </c>
      <c r="D63" s="24" t="inlineStr">
        <is>
          <t>401857160</t>
        </is>
      </c>
      <c r="E63" s="24" t="inlineStr">
        <is>
          <t>WNBA</t>
        </is>
      </c>
      <c r="F63" s="24" t="inlineStr">
        <is>
          <t>Atlanta Dream</t>
        </is>
      </c>
      <c r="G63" s="24" t="inlineStr">
        <is>
          <t>Los Angeles Sparks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-400</v>
      </c>
      <c r="M63" s="27" t="n">
        <v>1.25</v>
      </c>
      <c r="N63" s="28" t="n">
        <v>0.8</v>
      </c>
      <c r="O63" s="28" t="n">
        <v>0.647864</v>
      </c>
      <c r="P63" s="28" t="n"/>
      <c r="Q63" s="28" t="n">
        <v>-0.152136</v>
      </c>
      <c r="R63" s="26" t="n">
        <v>0</v>
      </c>
      <c r="S63" s="29" t="n">
        <v>1.75</v>
      </c>
      <c r="T63" s="24" t="inlineStr">
        <is>
          <t>wnba-elo-trend-lr-v4</t>
        </is>
      </c>
      <c r="U63" s="24" t="inlineStr">
        <is>
          <t>settled</t>
        </is>
      </c>
      <c r="V63" s="24" t="inlineStr">
        <is>
          <t>win</t>
        </is>
      </c>
      <c r="W63" s="26" t="n">
        <v>124</v>
      </c>
      <c r="X63" s="26" t="n">
        <v>88</v>
      </c>
      <c r="Y63" s="25" t="n"/>
      <c r="Z63" s="26" t="n"/>
      <c r="AA63" s="28" t="n"/>
      <c r="AB63" s="28" t="n"/>
      <c r="AC63" s="30" t="n">
        <v>0.4375</v>
      </c>
      <c r="AD63" s="24" t="inlineStr">
        <is>
          <t>2026-08-21T04:28:36.640558Z</t>
        </is>
      </c>
      <c r="AE63" s="31" t="inlineStr">
        <is>
          <t>Learned LR call at threshold 0.5001; executable ask 0.8000 (aec-wnba-atl-la-2026-08-20); model edge vs ask -0.1521.</t>
        </is>
      </c>
      <c r="AF63" s="31" t="inlineStr">
        <is>
          <t>Learned model; shadow-qualified via operator override.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4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wnba-atl</t>
        </is>
      </c>
      <c r="AQ63" s="24" t="inlineStr">
        <is>
          <t>Atlanta Dream</t>
        </is>
      </c>
      <c r="AR63" s="24" t="inlineStr">
        <is>
          <t>Atlanta Dream</t>
        </is>
      </c>
      <c r="AS63" s="24" t="inlineStr">
        <is>
          <t>wnba-las</t>
        </is>
      </c>
      <c r="AT63" s="24" t="inlineStr">
        <is>
          <t>Los Angeles Sparks</t>
        </is>
      </c>
      <c r="AU63" s="24" t="inlineStr">
        <is>
          <t>Los Angeles Sparks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7afd5274214b58b7efd7f7febc7be3ab33b92351cda5cc6403c0a39faea0cc8c</t>
        </is>
      </c>
      <c r="BB63" s="24" t="inlineStr">
        <is>
          <t>learned_lr</t>
        </is>
      </c>
      <c r="BC63" s="24" t="inlineStr">
        <is>
          <t>wnba-elo-trend-lr-v4</t>
        </is>
      </c>
      <c r="BD63" s="24" t="inlineStr">
        <is>
          <t>7afd5274214b58b7efd7f7febc7be3ab33b92351cda5cc6403c0a39faea0cc8c</t>
        </is>
      </c>
      <c r="BE63" s="24" t="inlineStr">
        <is>
          <t>f6b8a9e03518be86</t>
        </is>
      </c>
      <c r="BF63" s="24" t="inlineStr">
        <is>
          <t>1</t>
        </is>
      </c>
      <c r="BG63" s="24" t="inlineStr">
        <is>
          <t>wnba-elo-trend-lr-v4</t>
        </is>
      </c>
      <c r="BH63" s="24" t="inlineStr">
        <is>
          <t>2026-08-21T01:26:18.758925Z</t>
        </is>
      </c>
      <c r="BI63" s="24" t="inlineStr">
        <is>
          <t>["same_event","same_team_same_day","same_league_same_day"]</t>
        </is>
      </c>
      <c r="BJ63" s="25" t="n"/>
      <c r="BK63" s="26" t="n">
        <v>-400</v>
      </c>
      <c r="BL63" s="27" t="n">
        <v>1.25</v>
      </c>
      <c r="BM63" s="28" t="n">
        <v>0.8</v>
      </c>
      <c r="BN63" s="28" t="n">
        <v>0.792079</v>
      </c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inlineStr">
        <is>
          <t>0.2916036634</t>
        </is>
      </c>
      <c r="CD63" s="24" t="inlineStr">
        <is>
          <t>-8.367492</t>
        </is>
      </c>
      <c r="CE63" s="24" t="n"/>
      <c r="CF63" s="24" t="n"/>
      <c r="CG63" s="24" t="n"/>
      <c r="CH63" s="24" t="n"/>
      <c r="CI63" s="24" t="n"/>
      <c r="CJ63" s="24" t="inlineStr">
        <is>
          <t>2.864903</t>
        </is>
      </c>
      <c r="CK63" s="24" t="n"/>
      <c r="CL63" s="24" t="n"/>
      <c r="CM63" s="24" t="n"/>
      <c r="CN63" s="24" t="n"/>
      <c r="CO63" s="24" t="n"/>
      <c r="CP63" s="24" t="n"/>
      <c r="CQ63" s="24" t="n"/>
      <c r="CR63" s="24" t="inlineStr">
        <is>
          <t>0.647864</t>
        </is>
      </c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0.8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d8adeebaeade4d61</t>
        </is>
      </c>
      <c r="B64" s="24" t="inlineStr">
        <is>
          <t>2026-08-21T01:26:35.986424Z</t>
        </is>
      </c>
      <c r="C64" s="24" t="inlineStr">
        <is>
          <t>2026-08-21T02:00Z</t>
        </is>
      </c>
      <c r="D64" s="24" t="inlineStr">
        <is>
          <t>401857159</t>
        </is>
      </c>
      <c r="E64" s="24" t="inlineStr">
        <is>
          <t>WNBA</t>
        </is>
      </c>
      <c r="F64" s="24" t="inlineStr">
        <is>
          <t>Connecticut Sun</t>
        </is>
      </c>
      <c r="G64" s="24" t="inlineStr">
        <is>
          <t>Las Vegas Aces</t>
        </is>
      </c>
      <c r="H64" s="24" t="inlineStr">
        <is>
          <t>spread</t>
        </is>
      </c>
      <c r="I64" s="24" t="inlineStr">
        <is>
          <t>away</t>
        </is>
      </c>
      <c r="J64" s="25" t="n">
        <v>14.5</v>
      </c>
      <c r="K64" s="24" t="inlineStr">
        <is>
          <t>polymarket_us</t>
        </is>
      </c>
      <c r="L64" s="26" t="n">
        <v>-104</v>
      </c>
      <c r="M64" s="27" t="n">
        <v>1.961538</v>
      </c>
      <c r="N64" s="28" t="n">
        <v>0.509804</v>
      </c>
      <c r="O64" s="28" t="n">
        <v>0.797995</v>
      </c>
      <c r="P64" s="28" t="n">
        <v>0.03</v>
      </c>
      <c r="Q64" s="28" t="n">
        <v>0.288191</v>
      </c>
      <c r="R64" s="26" t="n">
        <v>100</v>
      </c>
      <c r="S64" s="29" t="n">
        <v>2</v>
      </c>
      <c r="T64" s="24" t="inlineStr">
        <is>
          <t>wnba-spread-margin-v1</t>
        </is>
      </c>
      <c r="U64" s="24" t="inlineStr">
        <is>
          <t>settled</t>
        </is>
      </c>
      <c r="V64" s="24" t="inlineStr">
        <is>
          <t>loss</t>
        </is>
      </c>
      <c r="W64" s="26" t="n">
        <v>78</v>
      </c>
      <c r="X64" s="26" t="n">
        <v>101</v>
      </c>
      <c r="Y64" s="25" t="n"/>
      <c r="Z64" s="26" t="n"/>
      <c r="AA64" s="28" t="n"/>
      <c r="AB64" s="28" t="n"/>
      <c r="AC64" s="30" t="n">
        <v>-2</v>
      </c>
      <c r="AD64" s="24" t="inlineStr">
        <is>
          <t>2026-08-21T04:28:37.290140Z</t>
        </is>
      </c>
      <c r="AE64" s="31" t="inlineStr">
        <is>
          <t>Projected margin +5.7 (home), sd 10.5. Executable ask 0.5100 (asc-wnba-conn-lv-2026-08-20-pos-14pt5).</t>
        </is>
      </c>
      <c r="AF64" s="31" t="inlineStr">
        <is>
          <t>Research-baseline margin-normal spread model; not yet locked-holdout qualified.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4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wnba-con</t>
        </is>
      </c>
      <c r="AQ64" s="24" t="inlineStr">
        <is>
          <t>Connecticut Sun</t>
        </is>
      </c>
      <c r="AR64" s="24" t="inlineStr">
        <is>
          <t>Connecticut Sun</t>
        </is>
      </c>
      <c r="AS64" s="24" t="inlineStr">
        <is>
          <t>wnba-lva</t>
        </is>
      </c>
      <c r="AT64" s="24" t="inlineStr">
        <is>
          <t>Las Vegas Aces</t>
        </is>
      </c>
      <c r="AU64" s="24" t="inlineStr">
        <is>
          <t>Las Vegas Aces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23ba88bcc86a710d76233b349116f2eefe021a993d2d3b9102922e567a027b4c</t>
        </is>
      </c>
      <c r="BB64" s="24" t="inlineStr">
        <is>
          <t>margin_normal</t>
        </is>
      </c>
      <c r="BC64" s="24" t="inlineStr">
        <is>
          <t>wnba-spread-margin-v1</t>
        </is>
      </c>
      <c r="BD64" s="24" t="inlineStr">
        <is>
          <t>23ba88bcc86a710d76233b349116f2eefe021a993d2d3b9102922e567a027b4c</t>
        </is>
      </c>
      <c r="BE64" s="24" t="inlineStr">
        <is>
          <t>wnba-spread-margin-v1</t>
        </is>
      </c>
      <c r="BF64" s="24" t="inlineStr">
        <is>
          <t>1</t>
        </is>
      </c>
      <c r="BG64" s="24" t="inlineStr">
        <is>
          <t>23ba88bcc86a710d76233b349116f2eefe021a993d2d3b9102922e567a027b4c</t>
        </is>
      </c>
      <c r="BH64" s="24" t="inlineStr">
        <is>
          <t>2026-08-21T01:26:35.449630+00:00</t>
        </is>
      </c>
      <c r="BI64" s="24" t="inlineStr">
        <is>
          <t>["same_event","same_team_same_day","same_league_same_day"]</t>
        </is>
      </c>
      <c r="BJ64" s="25" t="n">
        <v>14.5</v>
      </c>
      <c r="BK64" s="26" t="n">
        <v>-104</v>
      </c>
      <c r="BL64" s="27" t="n">
        <v>1.961538</v>
      </c>
      <c r="BM64" s="28" t="n">
        <v>0.509804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0.509804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ed29063aa30c4cee</t>
        </is>
      </c>
      <c r="B65" s="24" t="inlineStr">
        <is>
          <t>2026-08-21T01:26:35.986424Z</t>
        </is>
      </c>
      <c r="C65" s="24" t="inlineStr">
        <is>
          <t>2026-08-21T02:00Z</t>
        </is>
      </c>
      <c r="D65" s="24" t="inlineStr">
        <is>
          <t>401857160</t>
        </is>
      </c>
      <c r="E65" s="24" t="inlineStr">
        <is>
          <t>WNBA</t>
        </is>
      </c>
      <c r="F65" s="24" t="inlineStr">
        <is>
          <t>Atlanta Dream</t>
        </is>
      </c>
      <c r="G65" s="24" t="inlineStr">
        <is>
          <t>Los Angeles Sparks</t>
        </is>
      </c>
      <c r="H65" s="24" t="inlineStr">
        <is>
          <t>spread</t>
        </is>
      </c>
      <c r="I65" s="24" t="inlineStr">
        <is>
          <t>home</t>
        </is>
      </c>
      <c r="J65" s="25" t="n">
        <v>8.5</v>
      </c>
      <c r="K65" s="24" t="inlineStr">
        <is>
          <t>polymarket_us</t>
        </is>
      </c>
      <c r="L65" s="26" t="n">
        <v>100</v>
      </c>
      <c r="M65" s="27" t="n">
        <v>2</v>
      </c>
      <c r="N65" s="28" t="n">
        <v>0.5</v>
      </c>
      <c r="O65" s="28" t="n">
        <v>0.724375</v>
      </c>
      <c r="P65" s="28" t="n">
        <v>0.03</v>
      </c>
      <c r="Q65" s="28" t="n">
        <v>0.224375</v>
      </c>
      <c r="R65" s="26" t="n">
        <v>100</v>
      </c>
      <c r="S65" s="29" t="n">
        <v>2</v>
      </c>
      <c r="T65" s="24" t="inlineStr">
        <is>
          <t>wnba-spread-margin-v1</t>
        </is>
      </c>
      <c r="U65" s="24" t="inlineStr">
        <is>
          <t>settled</t>
        </is>
      </c>
      <c r="V65" s="24" t="inlineStr">
        <is>
          <t>loss</t>
        </is>
      </c>
      <c r="W65" s="26" t="n">
        <v>124</v>
      </c>
      <c r="X65" s="26" t="n">
        <v>88</v>
      </c>
      <c r="Y65" s="25" t="n"/>
      <c r="Z65" s="26" t="n"/>
      <c r="AA65" s="28" t="n"/>
      <c r="AB65" s="28" t="n"/>
      <c r="AC65" s="30" t="n">
        <v>-2</v>
      </c>
      <c r="AD65" s="24" t="inlineStr">
        <is>
          <t>2026-08-21T04:28:37.893101Z</t>
        </is>
      </c>
      <c r="AE65" s="31" t="inlineStr">
        <is>
          <t>Projected margin -2.2 (home), sd 10.5. Executable ask 0.5000 (asc-wnba-atl-la-2026-08-20-neg-8pt5).</t>
        </is>
      </c>
      <c r="AF65" s="31" t="inlineStr">
        <is>
          <t>Research-baseline margin-normal spread model; not yet locked-holdout qualified.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4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wnba-atl</t>
        </is>
      </c>
      <c r="AQ65" s="24" t="inlineStr">
        <is>
          <t>Atlanta Dream</t>
        </is>
      </c>
      <c r="AR65" s="24" t="inlineStr">
        <is>
          <t>Atlanta Dream</t>
        </is>
      </c>
      <c r="AS65" s="24" t="inlineStr">
        <is>
          <t>wnba-las</t>
        </is>
      </c>
      <c r="AT65" s="24" t="inlineStr">
        <is>
          <t>Los Angeles Sparks</t>
        </is>
      </c>
      <c r="AU65" s="24" t="inlineStr">
        <is>
          <t>Los Angeles Sparks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23ba88bcc86a710d76233b349116f2eefe021a993d2d3b9102922e567a027b4c</t>
        </is>
      </c>
      <c r="BB65" s="24" t="inlineStr">
        <is>
          <t>margin_normal</t>
        </is>
      </c>
      <c r="BC65" s="24" t="inlineStr">
        <is>
          <t>wnba-spread-margin-v1</t>
        </is>
      </c>
      <c r="BD65" s="24" t="inlineStr">
        <is>
          <t>23ba88bcc86a710d76233b349116f2eefe021a993d2d3b9102922e567a027b4c</t>
        </is>
      </c>
      <c r="BE65" s="24" t="inlineStr">
        <is>
          <t>wnba-spread-margin-v1</t>
        </is>
      </c>
      <c r="BF65" s="24" t="inlineStr">
        <is>
          <t>1</t>
        </is>
      </c>
      <c r="BG65" s="24" t="inlineStr">
        <is>
          <t>23ba88bcc86a710d76233b349116f2eefe021a993d2d3b9102922e567a027b4c</t>
        </is>
      </c>
      <c r="BH65" s="24" t="inlineStr">
        <is>
          <t>2026-08-21T01:26:35.449630+00:00</t>
        </is>
      </c>
      <c r="BI65" s="24" t="inlineStr">
        <is>
          <t>["same_event","same_team_same_day","same_league_same_day"]</t>
        </is>
      </c>
      <c r="BJ65" s="25" t="n">
        <v>8.5</v>
      </c>
      <c r="BK65" s="26" t="n">
        <v>100</v>
      </c>
      <c r="BL65" s="27" t="n">
        <v>2</v>
      </c>
      <c r="BM65" s="28" t="n">
        <v>0.5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853be35194bb4914</t>
        </is>
      </c>
      <c r="B66" s="24" t="inlineStr">
        <is>
          <t>2026-08-21T21:55:28.741229Z</t>
        </is>
      </c>
      <c r="C66" s="24" t="inlineStr">
        <is>
          <t>2026-08-21T19:30:00-0400</t>
        </is>
      </c>
      <c r="D66" s="24" t="inlineStr">
        <is>
          <t>401857161</t>
        </is>
      </c>
      <c r="E66" s="24" t="inlineStr">
        <is>
          <t>WNBA</t>
        </is>
      </c>
      <c r="F66" s="24" t="inlineStr">
        <is>
          <t>Minnesota Lynx</t>
        </is>
      </c>
      <c r="G66" s="24" t="inlineStr">
        <is>
          <t>Washington Mystics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-122</v>
      </c>
      <c r="M66" s="27" t="n">
        <v>1.819672</v>
      </c>
      <c r="N66" s="28" t="n">
        <v>0.54955</v>
      </c>
      <c r="O66" s="28" t="n">
        <v>0.657014</v>
      </c>
      <c r="P66" s="28" t="n"/>
      <c r="Q66" s="28" t="n">
        <v>0.107464</v>
      </c>
      <c r="R66" s="26" t="n">
        <v>76</v>
      </c>
      <c r="S66" s="29" t="n">
        <v>1.75</v>
      </c>
      <c r="T66" s="24" t="inlineStr">
        <is>
          <t>wnba-elo-trend-lr-v4</t>
        </is>
      </c>
      <c r="U66" s="24" t="inlineStr">
        <is>
          <t>settled</t>
        </is>
      </c>
      <c r="V66" s="24" t="inlineStr">
        <is>
          <t>win</t>
        </is>
      </c>
      <c r="W66" s="26" t="n">
        <v>94</v>
      </c>
      <c r="X66" s="26" t="n">
        <v>84</v>
      </c>
      <c r="Y66" s="25" t="n"/>
      <c r="Z66" s="26" t="n"/>
      <c r="AA66" s="28" t="n"/>
      <c r="AB66" s="28" t="n"/>
      <c r="AC66" s="30" t="n">
        <v>1.4344</v>
      </c>
      <c r="AD66" s="24" t="inlineStr">
        <is>
          <t>2026-08-22T03:43:29.919703Z</t>
        </is>
      </c>
      <c r="AE66" s="31" t="inlineStr">
        <is>
          <t>Learned LR call at threshold 0.5001; executable ask 0.5500 (aec-wnba-min-wsh-2026-08-21); model edge vs ask +0.1070. NOTE: NO_CALL_AVAILABILITY_SOURCE_CONFLICT unavailable for this game — defaulted to neutral, other features used normally.</t>
        </is>
      </c>
      <c r="AF66" s="31" t="inlineStr">
        <is>
          <t>Learned model; shadow-qualified via operator override.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4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wnba-min</t>
        </is>
      </c>
      <c r="AQ66" s="24" t="inlineStr">
        <is>
          <t>Minnesota Lynx</t>
        </is>
      </c>
      <c r="AR66" s="24" t="inlineStr">
        <is>
          <t>Minnesota Lynx</t>
        </is>
      </c>
      <c r="AS66" s="24" t="inlineStr">
        <is>
          <t>wnba-was</t>
        </is>
      </c>
      <c r="AT66" s="24" t="inlineStr">
        <is>
          <t>Washington Mystics</t>
        </is>
      </c>
      <c r="AU66" s="24" t="inlineStr">
        <is>
          <t>Washington Mystics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7afd5274214b58b7efd7f7febc7be3ab33b92351cda5cc6403c0a39faea0cc8c</t>
        </is>
      </c>
      <c r="BB66" s="24" t="inlineStr">
        <is>
          <t>learned_lr</t>
        </is>
      </c>
      <c r="BC66" s="24" t="inlineStr">
        <is>
          <t>wnba-elo-trend-lr-v4</t>
        </is>
      </c>
      <c r="BD66" s="24" t="inlineStr">
        <is>
          <t>7afd5274214b58b7efd7f7febc7be3ab33b92351cda5cc6403c0a39faea0cc8c</t>
        </is>
      </c>
      <c r="BE66" s="24" t="inlineStr">
        <is>
          <t>201cf98eba53ef7e</t>
        </is>
      </c>
      <c r="BF66" s="24" t="inlineStr">
        <is>
          <t>1</t>
        </is>
      </c>
      <c r="BG66" s="24" t="inlineStr">
        <is>
          <t>wnba-elo-trend-lr-v4</t>
        </is>
      </c>
      <c r="BH66" s="24" t="inlineStr">
        <is>
          <t>2026-08-21T21:54:44.049385Z</t>
        </is>
      </c>
      <c r="BI66" s="24" t="inlineStr">
        <is>
          <t>["same_event","same_team_same_day","same_league_same_day"]</t>
        </is>
      </c>
      <c r="BJ66" s="25" t="n"/>
      <c r="BK66" s="26" t="n">
        <v>-122</v>
      </c>
      <c r="BL66" s="27" t="n">
        <v>1.819672</v>
      </c>
      <c r="BM66" s="28" t="n">
        <v>0.54955</v>
      </c>
      <c r="BN66" s="28" t="n">
        <v>0.544554</v>
      </c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inlineStr">
        <is>
          <t>0.2972205104</t>
        </is>
      </c>
      <c r="CD66" s="24" t="inlineStr">
        <is>
          <t>0.237952</t>
        </is>
      </c>
      <c r="CE66" s="24" t="n"/>
      <c r="CF66" s="24" t="n"/>
      <c r="CG66" s="24" t="n"/>
      <c r="CH66" s="24" t="n"/>
      <c r="CI66" s="24" t="inlineStr">
        <is>
          <t>NO_CALL_AVAILABILITY_SOURCE_CONFLICT</t>
        </is>
      </c>
      <c r="CJ66" s="24" t="inlineStr">
        <is>
          <t>2.804786</t>
        </is>
      </c>
      <c r="CK66" s="24" t="n"/>
      <c r="CL66" s="24" t="n"/>
      <c r="CM66" s="24" t="n"/>
      <c r="CN66" s="24" t="n"/>
      <c r="CO66" s="24" t="n"/>
      <c r="CP66" s="24" t="n"/>
      <c r="CQ66" s="24" t="n"/>
      <c r="CR66" s="24" t="inlineStr">
        <is>
          <t>0.657014</t>
        </is>
      </c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0.54955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401cc33e43804eb4</t>
        </is>
      </c>
      <c r="B67" s="24" t="inlineStr">
        <is>
          <t>2026-08-21T21:55:28.741229Z</t>
        </is>
      </c>
      <c r="C67" s="24" t="inlineStr">
        <is>
          <t>2026-08-21T19:30:00-0400</t>
        </is>
      </c>
      <c r="D67" s="24" t="inlineStr">
        <is>
          <t>401857162</t>
        </is>
      </c>
      <c r="E67" s="24" t="inlineStr">
        <is>
          <t>WNBA</t>
        </is>
      </c>
      <c r="F67" s="24" t="inlineStr">
        <is>
          <t>Golden State Valkyries</t>
        </is>
      </c>
      <c r="G67" s="24" t="inlineStr">
        <is>
          <t>Chicago Sky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-257</v>
      </c>
      <c r="M67" s="27" t="n">
        <v>1.389105</v>
      </c>
      <c r="N67" s="28" t="n">
        <v>0.719888</v>
      </c>
      <c r="O67" s="28" t="n">
        <v>0.696928</v>
      </c>
      <c r="P67" s="28" t="n"/>
      <c r="Q67" s="28" t="n">
        <v>-0.02296</v>
      </c>
      <c r="R67" s="26" t="n">
        <v>12</v>
      </c>
      <c r="S67" s="29" t="n">
        <v>2</v>
      </c>
      <c r="T67" s="24" t="inlineStr">
        <is>
          <t>wnba-elo-trend-lr-v4</t>
        </is>
      </c>
      <c r="U67" s="24" t="inlineStr">
        <is>
          <t>settled</t>
        </is>
      </c>
      <c r="V67" s="24" t="inlineStr">
        <is>
          <t>loss</t>
        </is>
      </c>
      <c r="W67" s="26" t="n">
        <v>70</v>
      </c>
      <c r="X67" s="26" t="n">
        <v>73</v>
      </c>
      <c r="Y67" s="25" t="n"/>
      <c r="Z67" s="26" t="n"/>
      <c r="AA67" s="28" t="n"/>
      <c r="AB67" s="28" t="n"/>
      <c r="AC67" s="30" t="n">
        <v>-2</v>
      </c>
      <c r="AD67" s="24" t="inlineStr">
        <is>
          <t>2026-08-22T03:43:30.690628Z</t>
        </is>
      </c>
      <c r="AE67" s="31" t="inlineStr">
        <is>
          <t>Learned LR call at threshold 0.5001; executable ask 0.7200 (aec-wnba-gsv-chi-2026-08-21); model edge vs ask -0.0231.</t>
        </is>
      </c>
      <c r="AF67" s="31" t="inlineStr">
        <is>
          <t>Learned model; shadow-qualified via operator override.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4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wnba-gsv</t>
        </is>
      </c>
      <c r="AQ67" s="24" t="inlineStr">
        <is>
          <t>Golden State Valkyries</t>
        </is>
      </c>
      <c r="AR67" s="24" t="inlineStr">
        <is>
          <t>Golden State Valkyries</t>
        </is>
      </c>
      <c r="AS67" s="24" t="inlineStr">
        <is>
          <t>wnba-chi</t>
        </is>
      </c>
      <c r="AT67" s="24" t="inlineStr">
        <is>
          <t>Chicago Sky</t>
        </is>
      </c>
      <c r="AU67" s="24" t="inlineStr">
        <is>
          <t>Chicago Sky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7afd5274214b58b7efd7f7febc7be3ab33b92351cda5cc6403c0a39faea0cc8c</t>
        </is>
      </c>
      <c r="BB67" s="24" t="inlineStr">
        <is>
          <t>learned_lr</t>
        </is>
      </c>
      <c r="BC67" s="24" t="inlineStr">
        <is>
          <t>wnba-elo-trend-lr-v4</t>
        </is>
      </c>
      <c r="BD67" s="24" t="inlineStr">
        <is>
          <t>7afd5274214b58b7efd7f7febc7be3ab33b92351cda5cc6403c0a39faea0cc8c</t>
        </is>
      </c>
      <c r="BE67" s="24" t="inlineStr">
        <is>
          <t>fe4a34ecc1831120</t>
        </is>
      </c>
      <c r="BF67" s="24" t="inlineStr">
        <is>
          <t>1</t>
        </is>
      </c>
      <c r="BG67" s="24" t="inlineStr">
        <is>
          <t>wnba-elo-trend-lr-v4</t>
        </is>
      </c>
      <c r="BH67" s="24" t="inlineStr">
        <is>
          <t>2026-08-21T21:54:44.111360Z</t>
        </is>
      </c>
      <c r="BI67" s="24" t="inlineStr">
        <is>
          <t>["same_event","same_team_same_day","same_league_same_day"]</t>
        </is>
      </c>
      <c r="BJ67" s="25" t="n"/>
      <c r="BK67" s="26" t="n">
        <v>-257</v>
      </c>
      <c r="BL67" s="27" t="n">
        <v>1.389105</v>
      </c>
      <c r="BM67" s="28" t="n">
        <v>0.719888</v>
      </c>
      <c r="BN67" s="28" t="n">
        <v>0.712871</v>
      </c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inlineStr">
        <is>
          <t>0.2451224054</t>
        </is>
      </c>
      <c r="CD67" s="24" t="inlineStr">
        <is>
          <t>4.946054</t>
        </is>
      </c>
      <c r="CE67" s="24" t="n"/>
      <c r="CF67" s="24" t="n"/>
      <c r="CG67" s="24" t="n"/>
      <c r="CH67" s="24" t="n"/>
      <c r="CI67" s="24" t="n"/>
      <c r="CJ67" s="24" t="inlineStr">
        <is>
          <t>-1.417255</t>
        </is>
      </c>
      <c r="CK67" s="24" t="n"/>
      <c r="CL67" s="24" t="n"/>
      <c r="CM67" s="24" t="n"/>
      <c r="CN67" s="24" t="n"/>
      <c r="CO67" s="24" t="n"/>
      <c r="CP67" s="24" t="n"/>
      <c r="CQ67" s="24" t="n"/>
      <c r="CR67" s="24" t="inlineStr">
        <is>
          <t>0.696928</t>
        </is>
      </c>
      <c r="CS67" s="24" t="inlineStr">
        <is>
          <t>False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0.719888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c51b1ffd274b4581</t>
        </is>
      </c>
      <c r="B68" s="24" t="inlineStr">
        <is>
          <t>2026-08-21T21:56:17.253155Z</t>
        </is>
      </c>
      <c r="C68" s="24" t="inlineStr">
        <is>
          <t>2026-08-21T23:30Z</t>
        </is>
      </c>
      <c r="D68" s="24" t="inlineStr">
        <is>
          <t>401857161</t>
        </is>
      </c>
      <c r="E68" s="24" t="inlineStr">
        <is>
          <t>WNBA</t>
        </is>
      </c>
      <c r="F68" s="24" t="inlineStr">
        <is>
          <t>Minnesota Lynx</t>
        </is>
      </c>
      <c r="G68" s="24" t="inlineStr">
        <is>
          <t>Washington Mystics</t>
        </is>
      </c>
      <c r="H68" s="24" t="inlineStr">
        <is>
          <t>spread</t>
        </is>
      </c>
      <c r="I68" s="24" t="inlineStr">
        <is>
          <t>home</t>
        </is>
      </c>
      <c r="J68" s="25" t="n">
        <v>4.5</v>
      </c>
      <c r="K68" s="24" t="inlineStr">
        <is>
          <t>polymarket_us</t>
        </is>
      </c>
      <c r="L68" s="26" t="n">
        <v>-122</v>
      </c>
      <c r="M68" s="27" t="n">
        <v>1.819672</v>
      </c>
      <c r="N68" s="28" t="n">
        <v>0.54955</v>
      </c>
      <c r="O68" s="28" t="n">
        <v>0.638218</v>
      </c>
      <c r="P68" s="28" t="n">
        <v>0.03</v>
      </c>
      <c r="Q68" s="28" t="n">
        <v>0.088668</v>
      </c>
      <c r="R68" s="26" t="n">
        <v>76</v>
      </c>
      <c r="S68" s="29" t="n">
        <v>1.75</v>
      </c>
      <c r="T68" s="24" t="inlineStr">
        <is>
          <t>wnba-spread-margin-v1</t>
        </is>
      </c>
      <c r="U68" s="24" t="inlineStr">
        <is>
          <t>settled</t>
        </is>
      </c>
      <c r="V68" s="24" t="inlineStr">
        <is>
          <t>loss</t>
        </is>
      </c>
      <c r="W68" s="26" t="n">
        <v>94</v>
      </c>
      <c r="X68" s="26" t="n">
        <v>84</v>
      </c>
      <c r="Y68" s="25" t="n"/>
      <c r="Z68" s="26" t="n"/>
      <c r="AA68" s="28" t="n"/>
      <c r="AB68" s="28" t="n"/>
      <c r="AC68" s="30" t="n">
        <v>-1.75</v>
      </c>
      <c r="AD68" s="24" t="inlineStr">
        <is>
          <t>2026-08-22T03:44:02.591639Z</t>
        </is>
      </c>
      <c r="AE68" s="31" t="inlineStr">
        <is>
          <t>Projected margin -0.8 (home), sd 10.5. Executable ask 0.5500 (asc-wnba-min-wsh-2026-08-21-neg-4pt5).</t>
        </is>
      </c>
      <c r="AF68" s="31" t="inlineStr">
        <is>
          <t>Research-baseline margin-normal spread model; not yet locked-holdout qualified.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4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wnba-min</t>
        </is>
      </c>
      <c r="AQ68" s="24" t="inlineStr">
        <is>
          <t>Minnesota Lynx</t>
        </is>
      </c>
      <c r="AR68" s="24" t="inlineStr">
        <is>
          <t>Minnesota Lynx</t>
        </is>
      </c>
      <c r="AS68" s="24" t="inlineStr">
        <is>
          <t>wnba-was</t>
        </is>
      </c>
      <c r="AT68" s="24" t="inlineStr">
        <is>
          <t>Washington Mystics</t>
        </is>
      </c>
      <c r="AU68" s="24" t="inlineStr">
        <is>
          <t>Washington Mystics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23ba88bcc86a710d76233b349116f2eefe021a993d2d3b9102922e567a027b4c</t>
        </is>
      </c>
      <c r="BB68" s="24" t="inlineStr">
        <is>
          <t>margin_normal</t>
        </is>
      </c>
      <c r="BC68" s="24" t="inlineStr">
        <is>
          <t>wnba-spread-margin-v1</t>
        </is>
      </c>
      <c r="BD68" s="24" t="inlineStr">
        <is>
          <t>23ba88bcc86a710d76233b349116f2eefe021a993d2d3b9102922e567a027b4c</t>
        </is>
      </c>
      <c r="BE68" s="24" t="inlineStr">
        <is>
          <t>wnba-spread-margin-v1</t>
        </is>
      </c>
      <c r="BF68" s="24" t="inlineStr">
        <is>
          <t>1</t>
        </is>
      </c>
      <c r="BG68" s="24" t="inlineStr">
        <is>
          <t>23ba88bcc86a710d76233b349116f2eefe021a993d2d3b9102922e567a027b4c</t>
        </is>
      </c>
      <c r="BH68" s="24" t="inlineStr">
        <is>
          <t>2026-08-21T21:56:15.576036+00:00</t>
        </is>
      </c>
      <c r="BI68" s="24" t="inlineStr">
        <is>
          <t>["same_event","same_team_same_day","same_league_same_day"]</t>
        </is>
      </c>
      <c r="BJ68" s="25" t="n">
        <v>4.5</v>
      </c>
      <c r="BK68" s="26" t="n">
        <v>-122</v>
      </c>
      <c r="BL68" s="27" t="n">
        <v>1.819672</v>
      </c>
      <c r="BM68" s="28" t="n">
        <v>0.54955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0.54955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c4a1a90d425645b6</t>
        </is>
      </c>
      <c r="B69" s="24" t="inlineStr">
        <is>
          <t>2026-08-21T21:56:17.253155Z</t>
        </is>
      </c>
      <c r="C69" s="24" t="inlineStr">
        <is>
          <t>2026-08-21T23:30Z</t>
        </is>
      </c>
      <c r="D69" s="24" t="inlineStr">
        <is>
          <t>401857162</t>
        </is>
      </c>
      <c r="E69" s="24" t="inlineStr">
        <is>
          <t>WNBA</t>
        </is>
      </c>
      <c r="F69" s="24" t="inlineStr">
        <is>
          <t>Golden State Valkyries</t>
        </is>
      </c>
      <c r="G69" s="24" t="inlineStr">
        <is>
          <t>Chicago Sky</t>
        </is>
      </c>
      <c r="H69" s="24" t="inlineStr">
        <is>
          <t>spread</t>
        </is>
      </c>
      <c r="I69" s="24" t="inlineStr">
        <is>
          <t>home</t>
        </is>
      </c>
      <c r="J69" s="25" t="n">
        <v>10.5</v>
      </c>
      <c r="K69" s="24" t="inlineStr">
        <is>
          <t>polymarket_us</t>
        </is>
      </c>
      <c r="L69" s="26" t="n">
        <v>-257</v>
      </c>
      <c r="M69" s="27" t="n">
        <v>1.389105</v>
      </c>
      <c r="N69" s="28" t="n">
        <v>0.719888</v>
      </c>
      <c r="O69" s="28" t="n">
        <v>0.815658</v>
      </c>
      <c r="P69" s="28" t="n">
        <v>0.03</v>
      </c>
      <c r="Q69" s="28" t="n">
        <v>0.09576999999999999</v>
      </c>
      <c r="R69" s="26" t="n">
        <v>80</v>
      </c>
      <c r="S69" s="29" t="n">
        <v>2</v>
      </c>
      <c r="T69" s="24" t="inlineStr">
        <is>
          <t>wnba-spread-margin-v1</t>
        </is>
      </c>
      <c r="U69" s="24" t="inlineStr">
        <is>
          <t>settled</t>
        </is>
      </c>
      <c r="V69" s="24" t="inlineStr">
        <is>
          <t>win</t>
        </is>
      </c>
      <c r="W69" s="26" t="n">
        <v>70</v>
      </c>
      <c r="X69" s="26" t="n">
        <v>73</v>
      </c>
      <c r="Y69" s="25" t="n"/>
      <c r="Z69" s="26" t="n"/>
      <c r="AA69" s="28" t="n"/>
      <c r="AB69" s="28" t="n"/>
      <c r="AC69" s="30" t="n">
        <v>0.7782</v>
      </c>
      <c r="AD69" s="24" t="inlineStr">
        <is>
          <t>2026-08-22T03:44:03.508738Z</t>
        </is>
      </c>
      <c r="AE69" s="31" t="inlineStr">
        <is>
          <t>Projected margin -1.1 (home), sd 10.5. Executable ask 0.7200 (asc-wnba-gsv-chi-2026-08-21-neg-10pt5).</t>
        </is>
      </c>
      <c r="AF69" s="31" t="inlineStr">
        <is>
          <t>Research-baseline margin-normal spread model;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4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wnba-gsv</t>
        </is>
      </c>
      <c r="AQ69" s="24" t="inlineStr">
        <is>
          <t>Golden State Valkyries</t>
        </is>
      </c>
      <c r="AR69" s="24" t="inlineStr">
        <is>
          <t>Golden State Valkyries</t>
        </is>
      </c>
      <c r="AS69" s="24" t="inlineStr">
        <is>
          <t>wnba-chi</t>
        </is>
      </c>
      <c r="AT69" s="24" t="inlineStr">
        <is>
          <t>Chicago Sky</t>
        </is>
      </c>
      <c r="AU69" s="24" t="inlineStr">
        <is>
          <t>Chicago Sky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23ba88bcc86a710d76233b349116f2eefe021a993d2d3b9102922e567a027b4c</t>
        </is>
      </c>
      <c r="BB69" s="24" t="inlineStr">
        <is>
          <t>margin_normal</t>
        </is>
      </c>
      <c r="BC69" s="24" t="inlineStr">
        <is>
          <t>wnba-spread-margin-v1</t>
        </is>
      </c>
      <c r="BD69" s="24" t="inlineStr">
        <is>
          <t>23ba88bcc86a710d76233b349116f2eefe021a993d2d3b9102922e567a027b4c</t>
        </is>
      </c>
      <c r="BE69" s="24" t="inlineStr">
        <is>
          <t>wnba-spread-margin-v1</t>
        </is>
      </c>
      <c r="BF69" s="24" t="inlineStr">
        <is>
          <t>1</t>
        </is>
      </c>
      <c r="BG69" s="24" t="inlineStr">
        <is>
          <t>23ba88bcc86a710d76233b349116f2eefe021a993d2d3b9102922e567a027b4c</t>
        </is>
      </c>
      <c r="BH69" s="24" t="inlineStr">
        <is>
          <t>2026-08-21T21:56:15.576036+00:00</t>
        </is>
      </c>
      <c r="BI69" s="24" t="inlineStr">
        <is>
          <t>["same_event","same_team_same_day","same_league_same_day"]</t>
        </is>
      </c>
      <c r="BJ69" s="25" t="n">
        <v>10.5</v>
      </c>
      <c r="BK69" s="26" t="n">
        <v>-257</v>
      </c>
      <c r="BL69" s="27" t="n">
        <v>1.389105</v>
      </c>
      <c r="BM69" s="28" t="n">
        <v>0.719888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0.719888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e68bb4ae74284655</t>
        </is>
      </c>
      <c r="B70" s="24" t="inlineStr">
        <is>
          <t>2026-08-22T01:01:18.153074Z</t>
        </is>
      </c>
      <c r="C70" s="24" t="inlineStr">
        <is>
          <t>2026-08-21T22:00:00-0400</t>
        </is>
      </c>
      <c r="D70" s="24" t="inlineStr">
        <is>
          <t>401857163</t>
        </is>
      </c>
      <c r="E70" s="24" t="inlineStr">
        <is>
          <t>WNBA</t>
        </is>
      </c>
      <c r="F70" s="24" t="inlineStr">
        <is>
          <t>Portland Fire</t>
        </is>
      </c>
      <c r="G70" s="24" t="inlineStr">
        <is>
          <t>Toronto Tempo</t>
        </is>
      </c>
      <c r="H70" s="24" t="inlineStr">
        <is>
          <t>moneyline</t>
        </is>
      </c>
      <c r="I70" s="24" t="inlineStr">
        <is>
          <t>away</t>
        </is>
      </c>
      <c r="J70" s="25" t="n"/>
      <c r="K70" s="24" t="inlineStr">
        <is>
          <t>polymarket_us</t>
        </is>
      </c>
      <c r="L70" s="26" t="n">
        <v>-133</v>
      </c>
      <c r="M70" s="27" t="n">
        <v>1.75188</v>
      </c>
      <c r="N70" s="28" t="n">
        <v>0.570815</v>
      </c>
      <c r="O70" s="28" t="n">
        <v>0.592467</v>
      </c>
      <c r="P70" s="28" t="n"/>
      <c r="Q70" s="28" t="n">
        <v>0.021652</v>
      </c>
      <c r="R70" s="26" t="n">
        <v>34</v>
      </c>
      <c r="S70" s="29" t="n">
        <v>1.25</v>
      </c>
      <c r="T70" s="24" t="inlineStr">
        <is>
          <t>wnba-elo-trend-lr-v4</t>
        </is>
      </c>
      <c r="U70" s="24" t="inlineStr">
        <is>
          <t>settled</t>
        </is>
      </c>
      <c r="V70" s="24" t="inlineStr">
        <is>
          <t>loss</t>
        </is>
      </c>
      <c r="W70" s="26" t="n">
        <v>79</v>
      </c>
      <c r="X70" s="26" t="n">
        <v>82</v>
      </c>
      <c r="Y70" s="25" t="n"/>
      <c r="Z70" s="26" t="n"/>
      <c r="AA70" s="28" t="n"/>
      <c r="AB70" s="28" t="n"/>
      <c r="AC70" s="30" t="n">
        <v>-1.25</v>
      </c>
      <c r="AD70" s="24" t="inlineStr">
        <is>
          <t>2026-08-22T04:18:11.700109Z</t>
        </is>
      </c>
      <c r="AE70" s="31" t="inlineStr">
        <is>
          <t>Learned LR call at threshold 0.5001; executable ask 0.5700 (aec-wnba-por-tor-2026-08-21); model edge vs ask +0.0225.</t>
        </is>
      </c>
      <c r="AF70" s="31" t="inlineStr">
        <is>
          <t>Learned model; shadow-qualified via operator override.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wnba-por</t>
        </is>
      </c>
      <c r="AQ70" s="24" t="inlineStr">
        <is>
          <t>Portland Fire</t>
        </is>
      </c>
      <c r="AR70" s="24" t="inlineStr">
        <is>
          <t>Portland Fire</t>
        </is>
      </c>
      <c r="AS70" s="24" t="inlineStr">
        <is>
          <t>wnba-tor</t>
        </is>
      </c>
      <c r="AT70" s="24" t="inlineStr">
        <is>
          <t>Toronto Tempo</t>
        </is>
      </c>
      <c r="AU70" s="24" t="inlineStr">
        <is>
          <t>Toronto Tempo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7afd5274214b58b7efd7f7febc7be3ab33b92351cda5cc6403c0a39faea0cc8c</t>
        </is>
      </c>
      <c r="BB70" s="24" t="inlineStr">
        <is>
          <t>learned_lr</t>
        </is>
      </c>
      <c r="BC70" s="24" t="inlineStr">
        <is>
          <t>wnba-elo-trend-lr-v4</t>
        </is>
      </c>
      <c r="BD70" s="24" t="inlineStr">
        <is>
          <t>7afd5274214b58b7efd7f7febc7be3ab33b92351cda5cc6403c0a39faea0cc8c</t>
        </is>
      </c>
      <c r="BE70" s="24" t="inlineStr">
        <is>
          <t>f85a7d351f938b37</t>
        </is>
      </c>
      <c r="BF70" s="24" t="inlineStr">
        <is>
          <t>1</t>
        </is>
      </c>
      <c r="BG70" s="24" t="inlineStr">
        <is>
          <t>wnba-elo-trend-lr-v4</t>
        </is>
      </c>
      <c r="BH70" s="24" t="inlineStr">
        <is>
          <t>2026-08-22T01:01:06.678572Z</t>
        </is>
      </c>
      <c r="BI70" s="24" t="inlineStr">
        <is>
          <t>["same_event","same_team_same_day","same_league_same_day"]</t>
        </is>
      </c>
      <c r="BJ70" s="25" t="n"/>
      <c r="BK70" s="26" t="n">
        <v>-133</v>
      </c>
      <c r="BL70" s="27" t="n">
        <v>1.75188</v>
      </c>
      <c r="BM70" s="28" t="n">
        <v>0.570815</v>
      </c>
      <c r="BN70" s="28" t="n">
        <v>0.564356</v>
      </c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inlineStr">
        <is>
          <t>0.3738418398</t>
        </is>
      </c>
      <c r="CD70" s="24" t="inlineStr">
        <is>
          <t>-2.194952</t>
        </is>
      </c>
      <c r="CE70" s="24" t="n"/>
      <c r="CF70" s="24" t="n"/>
      <c r="CG70" s="24" t="n"/>
      <c r="CH70" s="24" t="n"/>
      <c r="CI70" s="24" t="n"/>
      <c r="CJ70" s="24" t="inlineStr">
        <is>
          <t>-3.747269</t>
        </is>
      </c>
      <c r="CK70" s="24" t="n"/>
      <c r="CL70" s="24" t="n"/>
      <c r="CM70" s="24" t="n"/>
      <c r="CN70" s="24" t="n"/>
      <c r="CO70" s="24" t="n"/>
      <c r="CP70" s="24" t="n"/>
      <c r="CQ70" s="24" t="n"/>
      <c r="CR70" s="24" t="inlineStr">
        <is>
          <t>0.592467</t>
        </is>
      </c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0.570815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b97a4ce943fe43c8</t>
        </is>
      </c>
      <c r="B71" s="24" t="inlineStr">
        <is>
          <t>2026-08-22T01:01:38.250555Z</t>
        </is>
      </c>
      <c r="C71" s="24" t="inlineStr">
        <is>
          <t>2026-08-22T02:00Z</t>
        </is>
      </c>
      <c r="D71" s="24" t="inlineStr">
        <is>
          <t>401857163</t>
        </is>
      </c>
      <c r="E71" s="24" t="inlineStr">
        <is>
          <t>WNBA</t>
        </is>
      </c>
      <c r="F71" s="24" t="inlineStr">
        <is>
          <t>Portland Fire</t>
        </is>
      </c>
      <c r="G71" s="24" t="inlineStr">
        <is>
          <t>Toronto Tempo</t>
        </is>
      </c>
      <c r="H71" s="24" t="inlineStr">
        <is>
          <t>spread</t>
        </is>
      </c>
      <c r="I71" s="24" t="inlineStr">
        <is>
          <t>home</t>
        </is>
      </c>
      <c r="J71" s="25" t="n">
        <v>7.5</v>
      </c>
      <c r="K71" s="24" t="inlineStr">
        <is>
          <t>polymarket_us</t>
        </is>
      </c>
      <c r="L71" s="26" t="n">
        <v>-614</v>
      </c>
      <c r="M71" s="27" t="n">
        <v>1.162866</v>
      </c>
      <c r="N71" s="28" t="n">
        <v>0.859944</v>
      </c>
      <c r="O71" s="28" t="n">
        <v>0.747548</v>
      </c>
      <c r="P71" s="28" t="n">
        <v>0.03</v>
      </c>
      <c r="Q71" s="28" t="n">
        <v>-0.112396</v>
      </c>
      <c r="R71" s="26" t="n">
        <v>0</v>
      </c>
      <c r="S71" s="29" t="n">
        <v>2</v>
      </c>
      <c r="T71" s="24" t="inlineStr">
        <is>
          <t>wnba-spread-margin-v1</t>
        </is>
      </c>
      <c r="U71" s="24" t="inlineStr">
        <is>
          <t>settled</t>
        </is>
      </c>
      <c r="V71" s="24" t="inlineStr">
        <is>
          <t>win</t>
        </is>
      </c>
      <c r="W71" s="26" t="n">
        <v>79</v>
      </c>
      <c r="X71" s="26" t="n">
        <v>82</v>
      </c>
      <c r="Y71" s="25" t="n"/>
      <c r="Z71" s="26" t="n"/>
      <c r="AA71" s="28" t="n"/>
      <c r="AB71" s="28" t="n"/>
      <c r="AC71" s="30" t="n">
        <v>0.3257</v>
      </c>
      <c r="AD71" s="24" t="inlineStr">
        <is>
          <t>2026-08-22T04:18:13.534278Z</t>
        </is>
      </c>
      <c r="AE71" s="31" t="inlineStr">
        <is>
          <t>Projected margin -0.5 (home), sd 10.5. Executable ask 0.8600 (asc-wnba-por-tor-2026-08-21-neg-7pt5).</t>
        </is>
      </c>
      <c r="AF71" s="31" t="inlineStr">
        <is>
          <t>Research-baseline margin-normal spread model;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wnba-por</t>
        </is>
      </c>
      <c r="AQ71" s="24" t="inlineStr">
        <is>
          <t>Portland Fire</t>
        </is>
      </c>
      <c r="AR71" s="24" t="inlineStr">
        <is>
          <t>Portland Fire</t>
        </is>
      </c>
      <c r="AS71" s="24" t="inlineStr">
        <is>
          <t>wnba-tor</t>
        </is>
      </c>
      <c r="AT71" s="24" t="inlineStr">
        <is>
          <t>Toronto Tempo</t>
        </is>
      </c>
      <c r="AU71" s="24" t="inlineStr">
        <is>
          <t>Toronto Tempo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23ba88bcc86a710d76233b349116f2eefe021a993d2d3b9102922e567a027b4c</t>
        </is>
      </c>
      <c r="BB71" s="24" t="inlineStr">
        <is>
          <t>margin_normal</t>
        </is>
      </c>
      <c r="BC71" s="24" t="inlineStr">
        <is>
          <t>wnba-spread-margin-v1</t>
        </is>
      </c>
      <c r="BD71" s="24" t="inlineStr">
        <is>
          <t>23ba88bcc86a710d76233b349116f2eefe021a993d2d3b9102922e567a027b4c</t>
        </is>
      </c>
      <c r="BE71" s="24" t="inlineStr">
        <is>
          <t>wnba-spread-margin-v1</t>
        </is>
      </c>
      <c r="BF71" s="24" t="inlineStr">
        <is>
          <t>1</t>
        </is>
      </c>
      <c r="BG71" s="24" t="inlineStr">
        <is>
          <t>23ba88bcc86a710d76233b349116f2eefe021a993d2d3b9102922e567a027b4c</t>
        </is>
      </c>
      <c r="BH71" s="24" t="inlineStr">
        <is>
          <t>2026-08-22T01:01:37.579560+00:00</t>
        </is>
      </c>
      <c r="BI71" s="24" t="inlineStr">
        <is>
          <t>["same_event","same_team_same_day","same_league_same_day"]</t>
        </is>
      </c>
      <c r="BJ71" s="25" t="n">
        <v>7.5</v>
      </c>
      <c r="BK71" s="26" t="n">
        <v>-614</v>
      </c>
      <c r="BL71" s="27" t="n">
        <v>1.162866</v>
      </c>
      <c r="BM71" s="28" t="n">
        <v>0.859944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False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0.859944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eb1e69f191294fd6</t>
        </is>
      </c>
      <c r="B72" s="24" t="inlineStr">
        <is>
          <t>2026-08-22T22:59:50.574484Z</t>
        </is>
      </c>
      <c r="C72" s="24" t="inlineStr">
        <is>
          <t>2026-08-22T19:00:00-0400</t>
        </is>
      </c>
      <c r="D72" s="24" t="inlineStr">
        <is>
          <t>401857164</t>
        </is>
      </c>
      <c r="E72" s="24" t="inlineStr">
        <is>
          <t>WNBA</t>
        </is>
      </c>
      <c r="F72" s="24" t="inlineStr">
        <is>
          <t>Indiana Fever</t>
        </is>
      </c>
      <c r="G72" s="24" t="inlineStr">
        <is>
          <t>New York Liberty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113</v>
      </c>
      <c r="M72" s="27" t="n">
        <v>2.13</v>
      </c>
      <c r="N72" s="28" t="n">
        <v>0.469484</v>
      </c>
      <c r="O72" s="28" t="n">
        <v>0.53355</v>
      </c>
      <c r="P72" s="28" t="n"/>
      <c r="Q72" s="28" t="n">
        <v>0.064066</v>
      </c>
      <c r="R72" s="26" t="n">
        <v>54</v>
      </c>
      <c r="S72" s="29" t="n">
        <v>1</v>
      </c>
      <c r="T72" s="24" t="inlineStr">
        <is>
          <t>wnba-elo-trend-lr-v4</t>
        </is>
      </c>
      <c r="U72" s="24" t="inlineStr">
        <is>
          <t>settled</t>
        </is>
      </c>
      <c r="V72" s="24" t="inlineStr">
        <is>
          <t>loss</t>
        </is>
      </c>
      <c r="W72" s="26" t="n">
        <v>102</v>
      </c>
      <c r="X72" s="26" t="n">
        <v>109</v>
      </c>
      <c r="Y72" s="25" t="n"/>
      <c r="Z72" s="26" t="n"/>
      <c r="AA72" s="28" t="n"/>
      <c r="AB72" s="28" t="n"/>
      <c r="AC72" s="30" t="n">
        <v>-1</v>
      </c>
      <c r="AD72" s="24" t="inlineStr">
        <is>
          <t>2026-08-23T04:15:00.353682Z</t>
        </is>
      </c>
      <c r="AE72" s="31" t="inlineStr">
        <is>
          <t>Learned LR call at threshold 0.5001; executable ask 0.4700 (aec-wnba-ind-ny-2026-08-22); model edge vs ask +0.0635. NOTE: NO_CALL_AVAILABILITY_SOURCE_CONFLICT unavailable for this game — defaulted to neutral, other features used normally.</t>
        </is>
      </c>
      <c r="AF72" s="31" t="inlineStr">
        <is>
          <t>Learned model; shadow-qualified via operator override.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4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wnba-ind</t>
        </is>
      </c>
      <c r="AQ72" s="24" t="inlineStr">
        <is>
          <t>Indiana Fever</t>
        </is>
      </c>
      <c r="AR72" s="24" t="inlineStr">
        <is>
          <t>Indiana Fever</t>
        </is>
      </c>
      <c r="AS72" s="24" t="inlineStr">
        <is>
          <t>wnba-nyl</t>
        </is>
      </c>
      <c r="AT72" s="24" t="inlineStr">
        <is>
          <t>New York Liberty</t>
        </is>
      </c>
      <c r="AU72" s="24" t="inlineStr">
        <is>
          <t>New York Liberty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7afd5274214b58b7efd7f7febc7be3ab33b92351cda5cc6403c0a39faea0cc8c</t>
        </is>
      </c>
      <c r="BB72" s="24" t="inlineStr">
        <is>
          <t>learned_lr</t>
        </is>
      </c>
      <c r="BC72" s="24" t="inlineStr">
        <is>
          <t>wnba-elo-trend-lr-v4</t>
        </is>
      </c>
      <c r="BD72" s="24" t="inlineStr">
        <is>
          <t>7afd5274214b58b7efd7f7febc7be3ab33b92351cda5cc6403c0a39faea0cc8c</t>
        </is>
      </c>
      <c r="BE72" s="24" t="inlineStr">
        <is>
          <t>11bbdc237ba61941</t>
        </is>
      </c>
      <c r="BF72" s="24" t="inlineStr">
        <is>
          <t>1</t>
        </is>
      </c>
      <c r="BG72" s="24" t="inlineStr">
        <is>
          <t>wnba-elo-trend-lr-v4</t>
        </is>
      </c>
      <c r="BH72" s="24" t="inlineStr">
        <is>
          <t>2026-08-22T22:58:24.408016Z</t>
        </is>
      </c>
      <c r="BI72" s="24" t="inlineStr">
        <is>
          <t>["same_event","same_team_same_day","same_league_same_day"]</t>
        </is>
      </c>
      <c r="BJ72" s="25" t="n"/>
      <c r="BK72" s="26" t="n">
        <v>113</v>
      </c>
      <c r="BL72" s="27" t="n">
        <v>2.13</v>
      </c>
      <c r="BM72" s="28" t="n">
        <v>0.469484</v>
      </c>
      <c r="BN72" s="28" t="n">
        <v>0.465347</v>
      </c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inlineStr">
        <is>
          <t>0.4598593128</t>
        </is>
      </c>
      <c r="CD72" s="24" t="inlineStr">
        <is>
          <t>0.928961</t>
        </is>
      </c>
      <c r="CE72" s="24" t="n"/>
      <c r="CF72" s="24" t="n"/>
      <c r="CG72" s="24" t="n"/>
      <c r="CH72" s="24" t="n"/>
      <c r="CI72" s="24" t="inlineStr">
        <is>
          <t>NO_CALL_AVAILABILITY_SOURCE_CONFLICT</t>
        </is>
      </c>
      <c r="CJ72" s="24" t="inlineStr">
        <is>
          <t>-0.774063</t>
        </is>
      </c>
      <c r="CK72" s="24" t="n"/>
      <c r="CL72" s="24" t="n"/>
      <c r="CM72" s="24" t="n"/>
      <c r="CN72" s="24" t="n"/>
      <c r="CO72" s="24" t="n"/>
      <c r="CP72" s="24" t="n"/>
      <c r="CQ72" s="24" t="n"/>
      <c r="CR72" s="24" t="inlineStr">
        <is>
          <t>0.53355</t>
        </is>
      </c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0.469484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3824a59816514a81</t>
        </is>
      </c>
      <c r="B73" s="24" t="inlineStr">
        <is>
          <t>2026-08-22T22:59:50.574484Z</t>
        </is>
      </c>
      <c r="C73" s="24" t="inlineStr">
        <is>
          <t>2026-08-22T21:00:00-0400</t>
        </is>
      </c>
      <c r="D73" s="24" t="inlineStr">
        <is>
          <t>401857165</t>
        </is>
      </c>
      <c r="E73" s="24" t="inlineStr">
        <is>
          <t>WNBA</t>
        </is>
      </c>
      <c r="F73" s="24" t="inlineStr">
        <is>
          <t>Connecticut Sun</t>
        </is>
      </c>
      <c r="G73" s="24" t="inlineStr">
        <is>
          <t>Los Angeles Sparks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-186</v>
      </c>
      <c r="M73" s="27" t="n">
        <v>1.537634</v>
      </c>
      <c r="N73" s="28" t="n">
        <v>0.65035</v>
      </c>
      <c r="O73" s="28" t="n">
        <v>0.586971</v>
      </c>
      <c r="P73" s="28" t="n"/>
      <c r="Q73" s="28" t="n">
        <v>-0.063379</v>
      </c>
      <c r="R73" s="26" t="n">
        <v>0</v>
      </c>
      <c r="S73" s="29" t="n">
        <v>1</v>
      </c>
      <c r="T73" s="24" t="inlineStr">
        <is>
          <t>wnba-elo-trend-lr-v4</t>
        </is>
      </c>
      <c r="U73" s="24" t="inlineStr">
        <is>
          <t>settled</t>
        </is>
      </c>
      <c r="V73" s="24" t="inlineStr">
        <is>
          <t>win</t>
        </is>
      </c>
      <c r="W73" s="26" t="n">
        <v>68</v>
      </c>
      <c r="X73" s="26" t="n">
        <v>77</v>
      </c>
      <c r="Y73" s="25" t="n"/>
      <c r="Z73" s="26" t="n"/>
      <c r="AA73" s="28" t="n"/>
      <c r="AB73" s="28" t="n"/>
      <c r="AC73" s="30" t="n">
        <v>0.5376</v>
      </c>
      <c r="AD73" s="24" t="inlineStr">
        <is>
          <t>2026-08-23T04:15:01.902006Z</t>
        </is>
      </c>
      <c r="AE73" s="31" t="inlineStr">
        <is>
          <t>Learned LR call at threshold 0.5001; executable ask 0.6500 (aec-wnba-conn-la-2026-08-22); model edge vs ask -0.0630. NOTE: NO_CALL_AVAILABILITY_SOURCE_CONFLICT unavailable for this game — defaulted to neutral, other features used normally.</t>
        </is>
      </c>
      <c r="AF73" s="31" t="inlineStr">
        <is>
          <t>Learned model; shadow-qualified via operator override.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4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wnba-con</t>
        </is>
      </c>
      <c r="AQ73" s="24" t="inlineStr">
        <is>
          <t>Connecticut Sun</t>
        </is>
      </c>
      <c r="AR73" s="24" t="inlineStr">
        <is>
          <t>Connecticut Sun</t>
        </is>
      </c>
      <c r="AS73" s="24" t="inlineStr">
        <is>
          <t>wnba-las</t>
        </is>
      </c>
      <c r="AT73" s="24" t="inlineStr">
        <is>
          <t>Los Angeles Sparks</t>
        </is>
      </c>
      <c r="AU73" s="24" t="inlineStr">
        <is>
          <t>Los Angeles Sparks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7afd5274214b58b7efd7f7febc7be3ab33b92351cda5cc6403c0a39faea0cc8c</t>
        </is>
      </c>
      <c r="BB73" s="24" t="inlineStr">
        <is>
          <t>learned_lr</t>
        </is>
      </c>
      <c r="BC73" s="24" t="inlineStr">
        <is>
          <t>wnba-elo-trend-lr-v4</t>
        </is>
      </c>
      <c r="BD73" s="24" t="inlineStr">
        <is>
          <t>7afd5274214b58b7efd7f7febc7be3ab33b92351cda5cc6403c0a39faea0cc8c</t>
        </is>
      </c>
      <c r="BE73" s="24" t="inlineStr">
        <is>
          <t>2880b44ed149c8bf</t>
        </is>
      </c>
      <c r="BF73" s="24" t="inlineStr">
        <is>
          <t>1</t>
        </is>
      </c>
      <c r="BG73" s="24" t="inlineStr">
        <is>
          <t>wnba-elo-trend-lr-v4</t>
        </is>
      </c>
      <c r="BH73" s="24" t="inlineStr">
        <is>
          <t>2026-08-22T22:58:24.504712Z</t>
        </is>
      </c>
      <c r="BI73" s="24" t="inlineStr">
        <is>
          <t>["same_event","same_team_same_day","same_league_same_day"]</t>
        </is>
      </c>
      <c r="BJ73" s="25" t="n"/>
      <c r="BK73" s="26" t="n">
        <v>-186</v>
      </c>
      <c r="BL73" s="27" t="n">
        <v>1.537634</v>
      </c>
      <c r="BM73" s="28" t="n">
        <v>0.65035</v>
      </c>
      <c r="BN73" s="28" t="n">
        <v>0.643564</v>
      </c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inlineStr">
        <is>
          <t>0.609720874</t>
        </is>
      </c>
      <c r="CD73" s="24" t="inlineStr">
        <is>
          <t>-0.521245</t>
        </is>
      </c>
      <c r="CE73" s="24" t="n"/>
      <c r="CF73" s="24" t="n"/>
      <c r="CG73" s="24" t="n"/>
      <c r="CH73" s="24" t="n"/>
      <c r="CI73" s="24" t="inlineStr">
        <is>
          <t>NO_CALL_AVAILABILITY_SOURCE_CONFLICT</t>
        </is>
      </c>
      <c r="CJ73" s="24" t="inlineStr">
        <is>
          <t>-2.933716</t>
        </is>
      </c>
      <c r="CK73" s="24" t="n"/>
      <c r="CL73" s="24" t="n"/>
      <c r="CM73" s="24" t="n"/>
      <c r="CN73" s="24" t="n"/>
      <c r="CO73" s="24" t="n"/>
      <c r="CP73" s="24" t="n"/>
      <c r="CQ73" s="24" t="n"/>
      <c r="CR73" s="24" t="inlineStr">
        <is>
          <t>0.586971</t>
        </is>
      </c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0.65035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ff17d9b5384b48ad</t>
        </is>
      </c>
      <c r="B74" s="24" t="inlineStr">
        <is>
          <t>2026-08-22T22:59:50.574484Z</t>
        </is>
      </c>
      <c r="C74" s="24" t="inlineStr">
        <is>
          <t>2026-08-22T22:00:00-0400</t>
        </is>
      </c>
      <c r="D74" s="24" t="inlineStr">
        <is>
          <t>401857166</t>
        </is>
      </c>
      <c r="E74" s="24" t="inlineStr">
        <is>
          <t>WNBA</t>
        </is>
      </c>
      <c r="F74" s="24" t="inlineStr">
        <is>
          <t>Atlanta Dream</t>
        </is>
      </c>
      <c r="G74" s="24" t="inlineStr">
        <is>
          <t>Phoenix Mercury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-300</v>
      </c>
      <c r="M74" s="27" t="n">
        <v>1.333333</v>
      </c>
      <c r="N74" s="28" t="n">
        <v>0.75</v>
      </c>
      <c r="O74" s="28" t="n">
        <v>0.631122</v>
      </c>
      <c r="P74" s="28" t="n"/>
      <c r="Q74" s="28" t="n">
        <v>-0.118878</v>
      </c>
      <c r="R74" s="26" t="n">
        <v>0</v>
      </c>
      <c r="S74" s="29" t="n">
        <v>1</v>
      </c>
      <c r="T74" s="24" t="inlineStr">
        <is>
          <t>wnba-elo-trend-lr-v4</t>
        </is>
      </c>
      <c r="U74" s="24" t="inlineStr">
        <is>
          <t>settled</t>
        </is>
      </c>
      <c r="V74" s="24" t="inlineStr">
        <is>
          <t>win</t>
        </is>
      </c>
      <c r="W74" s="26" t="n">
        <v>99</v>
      </c>
      <c r="X74" s="26" t="n">
        <v>89</v>
      </c>
      <c r="Y74" s="25" t="n"/>
      <c r="Z74" s="26" t="n"/>
      <c r="AA74" s="28" t="n"/>
      <c r="AB74" s="28" t="n"/>
      <c r="AC74" s="30" t="n">
        <v>0.3333</v>
      </c>
      <c r="AD74" s="24" t="inlineStr">
        <is>
          <t>2026-08-23T04:15:03.287737Z</t>
        </is>
      </c>
      <c r="AE74" s="31" t="inlineStr">
        <is>
          <t>Learned LR call at threshold 0.5001; executable ask 0.7500 (aec-wnba-atl-phx-2026-08-22); model edge vs ask -0.1189. NOTE: NO_CALL_AVAILABILITY_SOURCE_CONFLICT unavailable for this game — defaulted to neutral, other features used normally.</t>
        </is>
      </c>
      <c r="AF74" s="31" t="inlineStr">
        <is>
          <t>Learned model; shadow-qualified via operator override.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4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wnba-atl</t>
        </is>
      </c>
      <c r="AQ74" s="24" t="inlineStr">
        <is>
          <t>Atlanta Dream</t>
        </is>
      </c>
      <c r="AR74" s="24" t="inlineStr">
        <is>
          <t>Atlanta Dream</t>
        </is>
      </c>
      <c r="AS74" s="24" t="inlineStr">
        <is>
          <t>wnba-phx</t>
        </is>
      </c>
      <c r="AT74" s="24" t="inlineStr">
        <is>
          <t>Phoenix Mercury</t>
        </is>
      </c>
      <c r="AU74" s="24" t="inlineStr">
        <is>
          <t>Phoenix Mercury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7afd5274214b58b7efd7f7febc7be3ab33b92351cda5cc6403c0a39faea0cc8c</t>
        </is>
      </c>
      <c r="BB74" s="24" t="inlineStr">
        <is>
          <t>learned_lr</t>
        </is>
      </c>
      <c r="BC74" s="24" t="inlineStr">
        <is>
          <t>wnba-elo-trend-lr-v4</t>
        </is>
      </c>
      <c r="BD74" s="24" t="inlineStr">
        <is>
          <t>7afd5274214b58b7efd7f7febc7be3ab33b92351cda5cc6403c0a39faea0cc8c</t>
        </is>
      </c>
      <c r="BE74" s="24" t="inlineStr">
        <is>
          <t>c3ad0a4957183e63</t>
        </is>
      </c>
      <c r="BF74" s="24" t="inlineStr">
        <is>
          <t>1</t>
        </is>
      </c>
      <c r="BG74" s="24" t="inlineStr">
        <is>
          <t>wnba-elo-trend-lr-v4</t>
        </is>
      </c>
      <c r="BH74" s="24" t="inlineStr">
        <is>
          <t>2026-08-22T22:58:24.568782Z</t>
        </is>
      </c>
      <c r="BI74" s="24" t="inlineStr">
        <is>
          <t>["same_event","same_team_same_day","same_league_same_day"]</t>
        </is>
      </c>
      <c r="BJ74" s="25" t="n"/>
      <c r="BK74" s="26" t="n">
        <v>-300</v>
      </c>
      <c r="BL74" s="27" t="n">
        <v>1.333333</v>
      </c>
      <c r="BM74" s="28" t="n">
        <v>0.75</v>
      </c>
      <c r="BN74" s="28" t="n">
        <v>0.742574</v>
      </c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inlineStr">
        <is>
          <t>0.3078768759</t>
        </is>
      </c>
      <c r="CD74" s="24" t="inlineStr">
        <is>
          <t>-9.692272</t>
        </is>
      </c>
      <c r="CE74" s="24" t="n"/>
      <c r="CF74" s="24" t="n"/>
      <c r="CG74" s="24" t="n"/>
      <c r="CH74" s="24" t="n"/>
      <c r="CI74" s="24" t="inlineStr">
        <is>
          <t>NO_CALL_AVAILABILITY_SOURCE_CONFLICT</t>
        </is>
      </c>
      <c r="CJ74" s="24" t="inlineStr">
        <is>
          <t>-1.449476</t>
        </is>
      </c>
      <c r="CK74" s="24" t="n"/>
      <c r="CL74" s="24" t="n"/>
      <c r="CM74" s="24" t="n"/>
      <c r="CN74" s="24" t="n"/>
      <c r="CO74" s="24" t="n"/>
      <c r="CP74" s="24" t="n"/>
      <c r="CQ74" s="24" t="n"/>
      <c r="CR74" s="24" t="inlineStr">
        <is>
          <t>0.631122</t>
        </is>
      </c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0.75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04a4da046e674fb1</t>
        </is>
      </c>
      <c r="B75" s="24" t="inlineStr">
        <is>
          <t>2026-08-22T23:00:55.527126Z</t>
        </is>
      </c>
      <c r="C75" s="24" t="inlineStr">
        <is>
          <t>2026-08-23T01:00Z</t>
        </is>
      </c>
      <c r="D75" s="24" t="inlineStr">
        <is>
          <t>401857165</t>
        </is>
      </c>
      <c r="E75" s="24" t="inlineStr">
        <is>
          <t>WNBA</t>
        </is>
      </c>
      <c r="F75" s="24" t="inlineStr">
        <is>
          <t>Connecticut Sun</t>
        </is>
      </c>
      <c r="G75" s="24" t="inlineStr">
        <is>
          <t>Los Angeles Sparks</t>
        </is>
      </c>
      <c r="H75" s="24" t="inlineStr">
        <is>
          <t>spread</t>
        </is>
      </c>
      <c r="I75" s="24" t="inlineStr">
        <is>
          <t>away</t>
        </is>
      </c>
      <c r="J75" s="25" t="n">
        <v>4.5</v>
      </c>
      <c r="K75" s="24" t="inlineStr">
        <is>
          <t>polymarket_us</t>
        </is>
      </c>
      <c r="L75" s="26" t="n">
        <v>104</v>
      </c>
      <c r="M75" s="27" t="n">
        <v>2.04</v>
      </c>
      <c r="N75" s="28" t="n">
        <v>0.490196</v>
      </c>
      <c r="O75" s="28" t="n">
        <v>0.583386</v>
      </c>
      <c r="P75" s="28" t="n">
        <v>0.03</v>
      </c>
      <c r="Q75" s="28" t="n">
        <v>0.09319</v>
      </c>
      <c r="R75" s="26" t="n">
        <v>79</v>
      </c>
      <c r="S75" s="29" t="n">
        <v>1.5</v>
      </c>
      <c r="T75" s="24" t="inlineStr">
        <is>
          <t>wnba-spread-margin-v1</t>
        </is>
      </c>
      <c r="U75" s="24" t="inlineStr">
        <is>
          <t>settled</t>
        </is>
      </c>
      <c r="V75" s="24" t="inlineStr">
        <is>
          <t>loss</t>
        </is>
      </c>
      <c r="W75" s="26" t="n">
        <v>68</v>
      </c>
      <c r="X75" s="26" t="n">
        <v>77</v>
      </c>
      <c r="Y75" s="25" t="n"/>
      <c r="Z75" s="26" t="n"/>
      <c r="AA75" s="28" t="n"/>
      <c r="AB75" s="28" t="n"/>
      <c r="AC75" s="30" t="n">
        <v>-1.5</v>
      </c>
      <c r="AD75" s="24" t="inlineStr">
        <is>
          <t>2026-08-23T04:16:04.633910Z</t>
        </is>
      </c>
      <c r="AE75" s="31" t="inlineStr">
        <is>
          <t>Projected margin +2.3 (home), sd 10.5. Executable ask 0.4900 (asc-wnba-conn-la-2026-08-22-pos-4pt5).</t>
        </is>
      </c>
      <c r="AF75" s="31" t="inlineStr">
        <is>
          <t>Research-baseline margin-normal spread model; not yet locked-holdout qualified.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wnba-con</t>
        </is>
      </c>
      <c r="AQ75" s="24" t="inlineStr">
        <is>
          <t>Connecticut Sun</t>
        </is>
      </c>
      <c r="AR75" s="24" t="inlineStr">
        <is>
          <t>Connecticut Sun</t>
        </is>
      </c>
      <c r="AS75" s="24" t="inlineStr">
        <is>
          <t>wnba-las</t>
        </is>
      </c>
      <c r="AT75" s="24" t="inlineStr">
        <is>
          <t>Los Angeles Sparks</t>
        </is>
      </c>
      <c r="AU75" s="24" t="inlineStr">
        <is>
          <t>Los Angeles Sparks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23ba88bcc86a710d76233b349116f2eefe021a993d2d3b9102922e567a027b4c</t>
        </is>
      </c>
      <c r="BB75" s="24" t="inlineStr">
        <is>
          <t>margin_normal</t>
        </is>
      </c>
      <c r="BC75" s="24" t="inlineStr">
        <is>
          <t>wnba-spread-margin-v1</t>
        </is>
      </c>
      <c r="BD75" s="24" t="inlineStr">
        <is>
          <t>23ba88bcc86a710d76233b349116f2eefe021a993d2d3b9102922e567a027b4c</t>
        </is>
      </c>
      <c r="BE75" s="24" t="inlineStr">
        <is>
          <t>wnba-spread-margin-v1</t>
        </is>
      </c>
      <c r="BF75" s="24" t="inlineStr">
        <is>
          <t>1</t>
        </is>
      </c>
      <c r="BG75" s="24" t="inlineStr">
        <is>
          <t>23ba88bcc86a710d76233b349116f2eefe021a993d2d3b9102922e567a027b4c</t>
        </is>
      </c>
      <c r="BH75" s="24" t="inlineStr">
        <is>
          <t>2026-08-22T23:00:54.391007+00:00</t>
        </is>
      </c>
      <c r="BI75" s="24" t="inlineStr">
        <is>
          <t>["same_event","same_team_same_day","same_league_same_day"]</t>
        </is>
      </c>
      <c r="BJ75" s="25" t="n">
        <v>4.5</v>
      </c>
      <c r="BK75" s="26" t="n">
        <v>104</v>
      </c>
      <c r="BL75" s="27" t="n">
        <v>2.04</v>
      </c>
      <c r="BM75" s="28" t="n">
        <v>0.490196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0.490196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54fb3c01216a44e1</t>
        </is>
      </c>
      <c r="B76" s="24" t="inlineStr">
        <is>
          <t>2026-08-22T23:00:55.527126Z</t>
        </is>
      </c>
      <c r="C76" s="24" t="inlineStr">
        <is>
          <t>2026-08-23T02:00Z</t>
        </is>
      </c>
      <c r="D76" s="24" t="inlineStr">
        <is>
          <t>401857166</t>
        </is>
      </c>
      <c r="E76" s="24" t="inlineStr">
        <is>
          <t>WNBA</t>
        </is>
      </c>
      <c r="F76" s="24" t="inlineStr">
        <is>
          <t>Atlanta Dream</t>
        </is>
      </c>
      <c r="G76" s="24" t="inlineStr">
        <is>
          <t>Phoenix Mercury</t>
        </is>
      </c>
      <c r="H76" s="24" t="inlineStr">
        <is>
          <t>spread</t>
        </is>
      </c>
      <c r="I76" s="24" t="inlineStr">
        <is>
          <t>home</t>
        </is>
      </c>
      <c r="J76" s="25" t="n">
        <v>6.5</v>
      </c>
      <c r="K76" s="24" t="inlineStr">
        <is>
          <t>polymarket_us</t>
        </is>
      </c>
      <c r="L76" s="26" t="n">
        <v>108</v>
      </c>
      <c r="M76" s="27" t="n">
        <v>2.08</v>
      </c>
      <c r="N76" s="28" t="n">
        <v>0.480769</v>
      </c>
      <c r="O76" s="28" t="n">
        <v>0.641585</v>
      </c>
      <c r="P76" s="28" t="n">
        <v>0.03</v>
      </c>
      <c r="Q76" s="28" t="n">
        <v>0.160816</v>
      </c>
      <c r="R76" s="26" t="n">
        <v>100</v>
      </c>
      <c r="S76" s="29" t="n">
        <v>1.75</v>
      </c>
      <c r="T76" s="24" t="inlineStr">
        <is>
          <t>wnba-spread-margin-v1</t>
        </is>
      </c>
      <c r="U76" s="24" t="inlineStr">
        <is>
          <t>settled</t>
        </is>
      </c>
      <c r="V76" s="24" t="inlineStr">
        <is>
          <t>loss</t>
        </is>
      </c>
      <c r="W76" s="26" t="n">
        <v>99</v>
      </c>
      <c r="X76" s="26" t="n">
        <v>89</v>
      </c>
      <c r="Y76" s="25" t="n"/>
      <c r="Z76" s="26" t="n"/>
      <c r="AA76" s="28" t="n"/>
      <c r="AB76" s="28" t="n"/>
      <c r="AC76" s="30" t="n">
        <v>-1.75</v>
      </c>
      <c r="AD76" s="24" t="inlineStr">
        <is>
          <t>2026-08-23T04:16:05.904822Z</t>
        </is>
      </c>
      <c r="AE76" s="31" t="inlineStr">
        <is>
          <t>Projected margin -2.7 (home), sd 10.5. Executable ask 0.4800 (asc-wnba-atl-phx-2026-08-22-neg-6pt5).</t>
        </is>
      </c>
      <c r="AF76" s="31" t="inlineStr">
        <is>
          <t>Research-baseline margin-normal spread model; not yet locked-holdout qualified.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4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wnba-atl</t>
        </is>
      </c>
      <c r="AQ76" s="24" t="inlineStr">
        <is>
          <t>Atlanta Dream</t>
        </is>
      </c>
      <c r="AR76" s="24" t="inlineStr">
        <is>
          <t>Atlanta Dream</t>
        </is>
      </c>
      <c r="AS76" s="24" t="inlineStr">
        <is>
          <t>wnba-phx</t>
        </is>
      </c>
      <c r="AT76" s="24" t="inlineStr">
        <is>
          <t>Phoenix Mercury</t>
        </is>
      </c>
      <c r="AU76" s="24" t="inlineStr">
        <is>
          <t>Phoenix Mercury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23ba88bcc86a710d76233b349116f2eefe021a993d2d3b9102922e567a027b4c</t>
        </is>
      </c>
      <c r="BB76" s="24" t="inlineStr">
        <is>
          <t>margin_normal</t>
        </is>
      </c>
      <c r="BC76" s="24" t="inlineStr">
        <is>
          <t>wnba-spread-margin-v1</t>
        </is>
      </c>
      <c r="BD76" s="24" t="inlineStr">
        <is>
          <t>23ba88bcc86a710d76233b349116f2eefe021a993d2d3b9102922e567a027b4c</t>
        </is>
      </c>
      <c r="BE76" s="24" t="inlineStr">
        <is>
          <t>wnba-spread-margin-v1</t>
        </is>
      </c>
      <c r="BF76" s="24" t="inlineStr">
        <is>
          <t>1</t>
        </is>
      </c>
      <c r="BG76" s="24" t="inlineStr">
        <is>
          <t>23ba88bcc86a710d76233b349116f2eefe021a993d2d3b9102922e567a027b4c</t>
        </is>
      </c>
      <c r="BH76" s="24" t="inlineStr">
        <is>
          <t>2026-08-22T23:00:54.391007+00:00</t>
        </is>
      </c>
      <c r="BI76" s="24" t="inlineStr">
        <is>
          <t>["same_event","same_team_same_day","same_league_same_day"]</t>
        </is>
      </c>
      <c r="BJ76" s="25" t="n">
        <v>6.5</v>
      </c>
      <c r="BK76" s="26" t="n">
        <v>108</v>
      </c>
      <c r="BL76" s="27" t="n">
        <v>2.08</v>
      </c>
      <c r="BM76" s="28" t="n">
        <v>0.480769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0.480769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b0b7f7767767402c</t>
        </is>
      </c>
      <c r="B77" s="24" t="inlineStr">
        <is>
          <t>2026-08-23T16:10:33.147801Z</t>
        </is>
      </c>
      <c r="C77" s="24" t="inlineStr">
        <is>
          <t>2026-08-23T23:00Z</t>
        </is>
      </c>
      <c r="D77" s="24" t="inlineStr">
        <is>
          <t>401857168</t>
        </is>
      </c>
      <c r="E77" s="24" t="inlineStr">
        <is>
          <t>WNBA</t>
        </is>
      </c>
      <c r="F77" s="24" t="inlineStr">
        <is>
          <t>Indiana Fever</t>
        </is>
      </c>
      <c r="G77" s="24" t="inlineStr">
        <is>
          <t>Chicago Sky</t>
        </is>
      </c>
      <c r="H77" s="24" t="inlineStr">
        <is>
          <t>spread</t>
        </is>
      </c>
      <c r="I77" s="24" t="inlineStr">
        <is>
          <t>home</t>
        </is>
      </c>
      <c r="J77" s="25" t="n">
        <v>5.5</v>
      </c>
      <c r="K77" s="24" t="inlineStr">
        <is>
          <t>polymarket_us</t>
        </is>
      </c>
      <c r="L77" s="26" t="n">
        <v>-186</v>
      </c>
      <c r="M77" s="27" t="n">
        <v>1.537634</v>
      </c>
      <c r="N77" s="28" t="n">
        <v>0.65035</v>
      </c>
      <c r="O77" s="28" t="n">
        <v>0.678471</v>
      </c>
      <c r="P77" s="28" t="n">
        <v>0.03</v>
      </c>
      <c r="Q77" s="28" t="n">
        <v>0.028121</v>
      </c>
      <c r="R77" s="26" t="n">
        <v>46</v>
      </c>
      <c r="S77" s="29" t="n">
        <v>1</v>
      </c>
      <c r="T77" s="24" t="inlineStr">
        <is>
          <t>wnba-spread-margin-v1</t>
        </is>
      </c>
      <c r="U77" s="24" t="inlineStr">
        <is>
          <t>settled</t>
        </is>
      </c>
      <c r="V77" s="24" t="inlineStr">
        <is>
          <t>loss</t>
        </is>
      </c>
      <c r="W77" s="26" t="n">
        <v>113</v>
      </c>
      <c r="X77" s="26" t="n">
        <v>90</v>
      </c>
      <c r="Y77" s="25" t="n"/>
      <c r="Z77" s="26" t="n"/>
      <c r="AA77" s="28" t="n"/>
      <c r="AB77" s="28" t="n"/>
      <c r="AC77" s="30" t="n">
        <v>-1</v>
      </c>
      <c r="AD77" s="24" t="inlineStr">
        <is>
          <t>2026-08-24T04:41:44.620416Z</t>
        </is>
      </c>
      <c r="AE77" s="31" t="inlineStr">
        <is>
          <t>Projected margin -0.6 (home), sd 10.5. Executable ask 0.6500 (asc-wnba-ind-chi-2026-08-23-neg-5pt5).</t>
        </is>
      </c>
      <c r="AF77" s="31" t="inlineStr">
        <is>
          <t>Research-baseline margin-normal spread model; not yet locked-holdout qualified.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4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wnba-ind</t>
        </is>
      </c>
      <c r="AQ77" s="24" t="inlineStr">
        <is>
          <t>Indiana Fever</t>
        </is>
      </c>
      <c r="AR77" s="24" t="inlineStr">
        <is>
          <t>Indiana Fever</t>
        </is>
      </c>
      <c r="AS77" s="24" t="inlineStr">
        <is>
          <t>wnba-chi</t>
        </is>
      </c>
      <c r="AT77" s="24" t="inlineStr">
        <is>
          <t>Chicago Sky</t>
        </is>
      </c>
      <c r="AU77" s="24" t="inlineStr">
        <is>
          <t>Chicago Sky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23ba88bcc86a710d76233b349116f2eefe021a993d2d3b9102922e567a027b4c</t>
        </is>
      </c>
      <c r="BB77" s="24" t="inlineStr">
        <is>
          <t>margin_normal</t>
        </is>
      </c>
      <c r="BC77" s="24" t="inlineStr">
        <is>
          <t>wnba-spread-margin-v1</t>
        </is>
      </c>
      <c r="BD77" s="24" t="inlineStr">
        <is>
          <t>23ba88bcc86a710d76233b349116f2eefe021a993d2d3b9102922e567a027b4c</t>
        </is>
      </c>
      <c r="BE77" s="24" t="inlineStr">
        <is>
          <t>wnba-spread-margin-v1</t>
        </is>
      </c>
      <c r="BF77" s="24" t="inlineStr">
        <is>
          <t>1</t>
        </is>
      </c>
      <c r="BG77" s="24" t="inlineStr">
        <is>
          <t>23ba88bcc86a710d76233b349116f2eefe021a993d2d3b9102922e567a027b4c</t>
        </is>
      </c>
      <c r="BH77" s="24" t="inlineStr">
        <is>
          <t>2026-08-23T16:10:24.975062+00:00</t>
        </is>
      </c>
      <c r="BI77" s="24" t="inlineStr">
        <is>
          <t>["same_event","same_team_same_day","same_league_same_day"]</t>
        </is>
      </c>
      <c r="BJ77" s="25" t="n">
        <v>5.5</v>
      </c>
      <c r="BK77" s="26" t="n">
        <v>-186</v>
      </c>
      <c r="BL77" s="27" t="n">
        <v>1.537634</v>
      </c>
      <c r="BM77" s="28" t="n">
        <v>0.65035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0.65035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7664a3af895c4411</t>
        </is>
      </c>
      <c r="B78" s="24" t="inlineStr">
        <is>
          <t>2026-08-23T16:10:33.147801Z</t>
        </is>
      </c>
      <c r="C78" s="24" t="inlineStr">
        <is>
          <t>2026-08-23T23:00Z</t>
        </is>
      </c>
      <c r="D78" s="24" t="inlineStr">
        <is>
          <t>401857170</t>
        </is>
      </c>
      <c r="E78" s="24" t="inlineStr">
        <is>
          <t>WNBA</t>
        </is>
      </c>
      <c r="F78" s="24" t="inlineStr">
        <is>
          <t>Las Vegas Aces</t>
        </is>
      </c>
      <c r="G78" s="24" t="inlineStr">
        <is>
          <t>Toronto Tempo</t>
        </is>
      </c>
      <c r="H78" s="24" t="inlineStr">
        <is>
          <t>spread</t>
        </is>
      </c>
      <c r="I78" s="24" t="inlineStr">
        <is>
          <t>home</t>
        </is>
      </c>
      <c r="J78" s="25" t="n">
        <v>13.5</v>
      </c>
      <c r="K78" s="24" t="inlineStr">
        <is>
          <t>polymarket_us</t>
        </is>
      </c>
      <c r="L78" s="26" t="n">
        <v>104</v>
      </c>
      <c r="M78" s="27" t="n">
        <v>2.04</v>
      </c>
      <c r="N78" s="28" t="n">
        <v>0.490196</v>
      </c>
      <c r="O78" s="28" t="n">
        <v>0.850931</v>
      </c>
      <c r="P78" s="28" t="n">
        <v>0.03</v>
      </c>
      <c r="Q78" s="28" t="n">
        <v>0.360735</v>
      </c>
      <c r="R78" s="26" t="n">
        <v>100</v>
      </c>
      <c r="S78" s="29" t="n">
        <v>2</v>
      </c>
      <c r="T78" s="24" t="inlineStr">
        <is>
          <t>wnba-spread-margin-v1</t>
        </is>
      </c>
      <c r="U78" s="24" t="inlineStr">
        <is>
          <t>settled</t>
        </is>
      </c>
      <c r="V78" s="24" t="inlineStr">
        <is>
          <t>win</t>
        </is>
      </c>
      <c r="W78" s="26" t="n">
        <v>88</v>
      </c>
      <c r="X78" s="26" t="n">
        <v>78</v>
      </c>
      <c r="Y78" s="25" t="n"/>
      <c r="Z78" s="26" t="n"/>
      <c r="AA78" s="28" t="n"/>
      <c r="AB78" s="28" t="n"/>
      <c r="AC78" s="30" t="n">
        <v>2.08</v>
      </c>
      <c r="AD78" s="24" t="inlineStr">
        <is>
          <t>2026-08-24T04:41:45.685112Z</t>
        </is>
      </c>
      <c r="AE78" s="31" t="inlineStr">
        <is>
          <t>Projected margin -2.6 (home), sd 10.5. Executable ask 0.4900 (asc-wnba-lv-tor-2026-08-23-neg-13pt5).</t>
        </is>
      </c>
      <c r="AF78" s="31" t="inlineStr">
        <is>
          <t>Research-baseline margin-normal spread model;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4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wnba-lva</t>
        </is>
      </c>
      <c r="AQ78" s="24" t="inlineStr">
        <is>
          <t>Las Vegas Aces</t>
        </is>
      </c>
      <c r="AR78" s="24" t="inlineStr">
        <is>
          <t>Las Vegas Aces</t>
        </is>
      </c>
      <c r="AS78" s="24" t="inlineStr">
        <is>
          <t>wnba-tor</t>
        </is>
      </c>
      <c r="AT78" s="24" t="inlineStr">
        <is>
          <t>Toronto Tempo</t>
        </is>
      </c>
      <c r="AU78" s="24" t="inlineStr">
        <is>
          <t>Toronto Tempo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23ba88bcc86a710d76233b349116f2eefe021a993d2d3b9102922e567a027b4c</t>
        </is>
      </c>
      <c r="BB78" s="24" t="inlineStr">
        <is>
          <t>margin_normal</t>
        </is>
      </c>
      <c r="BC78" s="24" t="inlineStr">
        <is>
          <t>wnba-spread-margin-v1</t>
        </is>
      </c>
      <c r="BD78" s="24" t="inlineStr">
        <is>
          <t>23ba88bcc86a710d76233b349116f2eefe021a993d2d3b9102922e567a027b4c</t>
        </is>
      </c>
      <c r="BE78" s="24" t="inlineStr">
        <is>
          <t>wnba-spread-margin-v1</t>
        </is>
      </c>
      <c r="BF78" s="24" t="inlineStr">
        <is>
          <t>1</t>
        </is>
      </c>
      <c r="BG78" s="24" t="inlineStr">
        <is>
          <t>23ba88bcc86a710d76233b349116f2eefe021a993d2d3b9102922e567a027b4c</t>
        </is>
      </c>
      <c r="BH78" s="24" t="inlineStr">
        <is>
          <t>2026-08-23T16:10:24.975062+00:00</t>
        </is>
      </c>
      <c r="BI78" s="24" t="inlineStr">
        <is>
          <t>["same_event","same_team_same_day","same_league_same_day"]</t>
        </is>
      </c>
      <c r="BJ78" s="25" t="n">
        <v>13.5</v>
      </c>
      <c r="BK78" s="26" t="n">
        <v>104</v>
      </c>
      <c r="BL78" s="27" t="n">
        <v>2.04</v>
      </c>
      <c r="BM78" s="28" t="n">
        <v>0.490196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0.490196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020bbd9403524385</t>
        </is>
      </c>
      <c r="B79" s="24" t="inlineStr">
        <is>
          <t>2026-08-23T19:19:27.784170Z</t>
        </is>
      </c>
      <c r="C79" s="24" t="inlineStr">
        <is>
          <t>2026-08-23T16:00:00-0400</t>
        </is>
      </c>
      <c r="D79" s="24" t="inlineStr">
        <is>
          <t>401857167</t>
        </is>
      </c>
      <c r="E79" s="24" t="inlineStr">
        <is>
          <t>WNBA</t>
        </is>
      </c>
      <c r="F79" s="24" t="inlineStr">
        <is>
          <t>Seattle Storm</t>
        </is>
      </c>
      <c r="G79" s="24" t="inlineStr">
        <is>
          <t>Dallas Wings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-355</v>
      </c>
      <c r="M79" s="27" t="n">
        <v>1.28169</v>
      </c>
      <c r="N79" s="28" t="n">
        <v>0.78022</v>
      </c>
      <c r="O79" s="28" t="n">
        <v>0.749874</v>
      </c>
      <c r="P79" s="28" t="n"/>
      <c r="Q79" s="28" t="n">
        <v>-0.030346</v>
      </c>
      <c r="R79" s="26" t="n">
        <v>9</v>
      </c>
      <c r="S79" s="29" t="n">
        <v>1</v>
      </c>
      <c r="T79" s="24" t="inlineStr">
        <is>
          <t>wnba-elo-trend-lr-v4</t>
        </is>
      </c>
      <c r="U79" s="24" t="inlineStr">
        <is>
          <t>settled</t>
        </is>
      </c>
      <c r="V79" s="24" t="inlineStr">
        <is>
          <t>win</t>
        </is>
      </c>
      <c r="W79" s="26" t="n">
        <v>70</v>
      </c>
      <c r="X79" s="26" t="n">
        <v>92</v>
      </c>
      <c r="Y79" s="25" t="n"/>
      <c r="Z79" s="26" t="n"/>
      <c r="AA79" s="28" t="n"/>
      <c r="AB79" s="28" t="n"/>
      <c r="AC79" s="30" t="n">
        <v>0.2817</v>
      </c>
      <c r="AD79" s="24" t="inlineStr">
        <is>
          <t>2026-08-23T22:26:30.028706Z</t>
        </is>
      </c>
      <c r="AE79" s="31" t="inlineStr">
        <is>
          <t>Learned LR call at threshold 0.5001; executable ask 0.7800 (aec-wnba-sea-dal-2026-08-23); model edge vs ask -0.0301.</t>
        </is>
      </c>
      <c r="AF79" s="31" t="inlineStr">
        <is>
          <t>Learned model; shadow-qualified via operator override.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4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wnba-sea</t>
        </is>
      </c>
      <c r="AQ79" s="24" t="inlineStr">
        <is>
          <t>Seattle Storm</t>
        </is>
      </c>
      <c r="AR79" s="24" t="inlineStr">
        <is>
          <t>Seattle Storm</t>
        </is>
      </c>
      <c r="AS79" s="24" t="inlineStr">
        <is>
          <t>wnba-dal</t>
        </is>
      </c>
      <c r="AT79" s="24" t="inlineStr">
        <is>
          <t>Dallas Wings</t>
        </is>
      </c>
      <c r="AU79" s="24" t="inlineStr">
        <is>
          <t>Dallas Wings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7afd5274214b58b7efd7f7febc7be3ab33b92351cda5cc6403c0a39faea0cc8c</t>
        </is>
      </c>
      <c r="BB79" s="24" t="inlineStr">
        <is>
          <t>learned_lr</t>
        </is>
      </c>
      <c r="BC79" s="24" t="inlineStr">
        <is>
          <t>wnba-elo-trend-lr-v4</t>
        </is>
      </c>
      <c r="BD79" s="24" t="inlineStr">
        <is>
          <t>7afd5274214b58b7efd7f7febc7be3ab33b92351cda5cc6403c0a39faea0cc8c</t>
        </is>
      </c>
      <c r="BE79" s="24" t="inlineStr">
        <is>
          <t>2d0440f459ab7e13</t>
        </is>
      </c>
      <c r="BF79" s="24" t="inlineStr">
        <is>
          <t>1</t>
        </is>
      </c>
      <c r="BG79" s="24" t="inlineStr">
        <is>
          <t>wnba-elo-trend-lr-v4</t>
        </is>
      </c>
      <c r="BH79" s="24" t="inlineStr">
        <is>
          <t>2026-08-23T19:16:36.474883Z</t>
        </is>
      </c>
      <c r="BI79" s="24" t="inlineStr">
        <is>
          <t>["same_event","same_team_same_day","same_league_same_day"]</t>
        </is>
      </c>
      <c r="BJ79" s="25" t="n"/>
      <c r="BK79" s="26" t="n">
        <v>-355</v>
      </c>
      <c r="BL79" s="27" t="n">
        <v>1.28169</v>
      </c>
      <c r="BM79" s="28" t="n">
        <v>0.78022</v>
      </c>
      <c r="BN79" s="28" t="n">
        <v>0.772277</v>
      </c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inlineStr">
        <is>
          <t>0.849652277</t>
        </is>
      </c>
      <c r="CD79" s="24" t="inlineStr">
        <is>
          <t>-2.672208</t>
        </is>
      </c>
      <c r="CE79" s="24" t="n"/>
      <c r="CF79" s="24" t="n"/>
      <c r="CG79" s="24" t="n"/>
      <c r="CH79" s="24" t="n"/>
      <c r="CI79" s="24" t="n"/>
      <c r="CJ79" s="24" t="inlineStr">
        <is>
          <t>3.901084</t>
        </is>
      </c>
      <c r="CK79" s="24" t="n"/>
      <c r="CL79" s="24" t="n"/>
      <c r="CM79" s="24" t="n"/>
      <c r="CN79" s="24" t="n"/>
      <c r="CO79" s="24" t="n"/>
      <c r="CP79" s="24" t="n"/>
      <c r="CQ79" s="24" t="n"/>
      <c r="CR79" s="24" t="inlineStr">
        <is>
          <t>0.749874</t>
        </is>
      </c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0.78022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12514feabfba495a</t>
        </is>
      </c>
      <c r="B80" s="24" t="inlineStr">
        <is>
          <t>2026-08-23T19:19:47.880597Z</t>
        </is>
      </c>
      <c r="C80" s="24" t="inlineStr">
        <is>
          <t>2026-08-23T20:00Z</t>
        </is>
      </c>
      <c r="D80" s="24" t="inlineStr">
        <is>
          <t>401857167</t>
        </is>
      </c>
      <c r="E80" s="24" t="inlineStr">
        <is>
          <t>WNBA</t>
        </is>
      </c>
      <c r="F80" s="24" t="inlineStr">
        <is>
          <t>Seattle Storm</t>
        </is>
      </c>
      <c r="G80" s="24" t="inlineStr">
        <is>
          <t>Dallas Wings</t>
        </is>
      </c>
      <c r="H80" s="24" t="inlineStr">
        <is>
          <t>spread</t>
        </is>
      </c>
      <c r="I80" s="24" t="inlineStr">
        <is>
          <t>away</t>
        </is>
      </c>
      <c r="J80" s="25" t="n">
        <v>8.5</v>
      </c>
      <c r="K80" s="24" t="inlineStr">
        <is>
          <t>polymarket_us</t>
        </is>
      </c>
      <c r="L80" s="26" t="n">
        <v>100</v>
      </c>
      <c r="M80" s="27" t="n">
        <v>2</v>
      </c>
      <c r="N80" s="28" t="n">
        <v>0.5</v>
      </c>
      <c r="O80" s="28" t="n">
        <v>0.66484</v>
      </c>
      <c r="P80" s="28" t="n">
        <v>0.03</v>
      </c>
      <c r="Q80" s="28" t="n">
        <v>0.16484</v>
      </c>
      <c r="R80" s="26" t="n">
        <v>100</v>
      </c>
      <c r="S80" s="29" t="n">
        <v>2</v>
      </c>
      <c r="T80" s="24" t="inlineStr">
        <is>
          <t>wnba-spread-margin-v1</t>
        </is>
      </c>
      <c r="U80" s="24" t="inlineStr">
        <is>
          <t>settled</t>
        </is>
      </c>
      <c r="V80" s="24" t="inlineStr">
        <is>
          <t>loss</t>
        </is>
      </c>
      <c r="W80" s="26" t="n">
        <v>70</v>
      </c>
      <c r="X80" s="26" t="n">
        <v>92</v>
      </c>
      <c r="Y80" s="25" t="n"/>
      <c r="Z80" s="26" t="n"/>
      <c r="AA80" s="28" t="n"/>
      <c r="AB80" s="28" t="n"/>
      <c r="AC80" s="30" t="n">
        <v>-2</v>
      </c>
      <c r="AD80" s="24" t="inlineStr">
        <is>
          <t>2026-08-23T22:26:30.838739Z</t>
        </is>
      </c>
      <c r="AE80" s="31" t="inlineStr">
        <is>
          <t>Projected margin +4.0 (home), sd 10.5. Executable ask 0.5000 (asc-wnba-sea-dal-2026-08-23-pos-8pt5).</t>
        </is>
      </c>
      <c r="AF80" s="31" t="inlineStr">
        <is>
          <t>Research-baseline margin-normal spread model;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4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wnba-sea</t>
        </is>
      </c>
      <c r="AQ80" s="24" t="inlineStr">
        <is>
          <t>Seattle Storm</t>
        </is>
      </c>
      <c r="AR80" s="24" t="inlineStr">
        <is>
          <t>Seattle Storm</t>
        </is>
      </c>
      <c r="AS80" s="24" t="inlineStr">
        <is>
          <t>wnba-dal</t>
        </is>
      </c>
      <c r="AT80" s="24" t="inlineStr">
        <is>
          <t>Dallas Wings</t>
        </is>
      </c>
      <c r="AU80" s="24" t="inlineStr">
        <is>
          <t>Dallas Wings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23ba88bcc86a710d76233b349116f2eefe021a993d2d3b9102922e567a027b4c</t>
        </is>
      </c>
      <c r="BB80" s="24" t="inlineStr">
        <is>
          <t>margin_normal</t>
        </is>
      </c>
      <c r="BC80" s="24" t="inlineStr">
        <is>
          <t>wnba-spread-margin-v1</t>
        </is>
      </c>
      <c r="BD80" s="24" t="inlineStr">
        <is>
          <t>23ba88bcc86a710d76233b349116f2eefe021a993d2d3b9102922e567a027b4c</t>
        </is>
      </c>
      <c r="BE80" s="24" t="inlineStr">
        <is>
          <t>wnba-spread-margin-v1</t>
        </is>
      </c>
      <c r="BF80" s="24" t="inlineStr">
        <is>
          <t>1</t>
        </is>
      </c>
      <c r="BG80" s="24" t="inlineStr">
        <is>
          <t>23ba88bcc86a710d76233b349116f2eefe021a993d2d3b9102922e567a027b4c</t>
        </is>
      </c>
      <c r="BH80" s="24" t="inlineStr">
        <is>
          <t>2026-08-23T19:19:47.643357+00:00</t>
        </is>
      </c>
      <c r="BI80" s="24" t="inlineStr">
        <is>
          <t>["same_event","same_team_same_day","same_league_same_day"]</t>
        </is>
      </c>
      <c r="BJ80" s="25" t="n">
        <v>8.5</v>
      </c>
      <c r="BK80" s="26" t="n">
        <v>100</v>
      </c>
      <c r="BL80" s="27" t="n">
        <v>2</v>
      </c>
      <c r="BM80" s="28" t="n">
        <v>0.5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90e7987ad9fd4928</t>
        </is>
      </c>
      <c r="B81" s="24" t="inlineStr">
        <is>
          <t>2026-08-23T19:19:47.881145Z</t>
        </is>
      </c>
      <c r="C81" s="24" t="inlineStr">
        <is>
          <t>2026-08-23T20:00Z</t>
        </is>
      </c>
      <c r="D81" s="24" t="inlineStr">
        <is>
          <t>401857167</t>
        </is>
      </c>
      <c r="E81" s="24" t="inlineStr">
        <is>
          <t>WNBA</t>
        </is>
      </c>
      <c r="F81" s="24" t="inlineStr">
        <is>
          <t>Seattle Storm</t>
        </is>
      </c>
      <c r="G81" s="24" t="inlineStr">
        <is>
          <t>Dallas Wings</t>
        </is>
      </c>
      <c r="H81" s="24" t="inlineStr">
        <is>
          <t>total</t>
        </is>
      </c>
      <c r="I81" s="24" t="inlineStr">
        <is>
          <t>under</t>
        </is>
      </c>
      <c r="J81" s="25" t="n">
        <v>174.5</v>
      </c>
      <c r="K81" s="24" t="inlineStr">
        <is>
          <t>polymarket_us</t>
        </is>
      </c>
      <c r="L81" s="26" t="n">
        <v>-122</v>
      </c>
      <c r="M81" s="27" t="n">
        <v>1.819672</v>
      </c>
      <c r="N81" s="28" t="n">
        <v>0.54955</v>
      </c>
      <c r="O81" s="28" t="n">
        <v>0.515883</v>
      </c>
      <c r="P81" s="28" t="n">
        <v>0.03</v>
      </c>
      <c r="Q81" s="28" t="n">
        <v>-0.033667</v>
      </c>
      <c r="R81" s="26" t="n">
        <v>15</v>
      </c>
      <c r="S81" s="29" t="n">
        <v>1</v>
      </c>
      <c r="T81" s="24" t="inlineStr">
        <is>
          <t>wnba-total-margin-v1</t>
        </is>
      </c>
      <c r="U81" s="24" t="inlineStr">
        <is>
          <t>settled</t>
        </is>
      </c>
      <c r="V81" s="24" t="inlineStr">
        <is>
          <t>win</t>
        </is>
      </c>
      <c r="W81" s="26" t="n">
        <v>70</v>
      </c>
      <c r="X81" s="26" t="n">
        <v>92</v>
      </c>
      <c r="Y81" s="25" t="n"/>
      <c r="Z81" s="26" t="n"/>
      <c r="AA81" s="28" t="n"/>
      <c r="AB81" s="28" t="n"/>
      <c r="AC81" s="30" t="n">
        <v>0.8197</v>
      </c>
      <c r="AD81" s="24" t="inlineStr">
        <is>
          <t>2026-08-23T22:26:31.577359Z</t>
        </is>
      </c>
      <c r="AE81" s="31" t="inlineStr">
        <is>
          <t>Projected total 173.9, sd 15.0. Executable ask 0.5500 (tsc-wnba-sea-dal-2026-08-23-174pt5).</t>
        </is>
      </c>
      <c r="AF81" s="31" t="inlineStr">
        <is>
          <t>Research-baseline total model; not yet locked-holdout qualified.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wnba-sea</t>
        </is>
      </c>
      <c r="AQ81" s="24" t="inlineStr">
        <is>
          <t>Seattle Storm</t>
        </is>
      </c>
      <c r="AR81" s="24" t="inlineStr">
        <is>
          <t>Seattle Storm</t>
        </is>
      </c>
      <c r="AS81" s="24" t="inlineStr">
        <is>
          <t>wnba-dal</t>
        </is>
      </c>
      <c r="AT81" s="24" t="inlineStr">
        <is>
          <t>Dallas Wings</t>
        </is>
      </c>
      <c r="AU81" s="24" t="inlineStr">
        <is>
          <t>Dallas Wings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0dddbff34b848f65453428d052b256f6b23f7092d10c953a1de3b3e4606da517</t>
        </is>
      </c>
      <c r="BB81" s="24" t="inlineStr">
        <is>
          <t>total_normal</t>
        </is>
      </c>
      <c r="BC81" s="24" t="inlineStr">
        <is>
          <t>wnba-total-margin-v1</t>
        </is>
      </c>
      <c r="BD81" s="24" t="inlineStr">
        <is>
          <t>0dddbff34b848f65453428d052b256f6b23f7092d10c953a1de3b3e4606da517</t>
        </is>
      </c>
      <c r="BE81" s="24" t="inlineStr">
        <is>
          <t>wnba-total-margin-v1</t>
        </is>
      </c>
      <c r="BF81" s="24" t="inlineStr">
        <is>
          <t>1</t>
        </is>
      </c>
      <c r="BG81" s="24" t="inlineStr">
        <is>
          <t>0dddbff34b848f65453428d052b256f6b23f7092d10c953a1de3b3e4606da517</t>
        </is>
      </c>
      <c r="BH81" s="24" t="inlineStr">
        <is>
          <t>2026-08-23T19:19:47.646304+00:00</t>
        </is>
      </c>
      <c r="BI81" s="24" t="inlineStr">
        <is>
          <t>["same_event","same_team_same_day","same_league_same_day"]</t>
        </is>
      </c>
      <c r="BJ81" s="25" t="n">
        <v>174.5</v>
      </c>
      <c r="BK81" s="26" t="n">
        <v>-122</v>
      </c>
      <c r="BL81" s="27" t="n">
        <v>1.819672</v>
      </c>
      <c r="BM81" s="28" t="n">
        <v>0.54955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0.54955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f8bf703592cf4da5</t>
        </is>
      </c>
      <c r="B82" s="24" t="inlineStr">
        <is>
          <t>2026-08-23T22:31:03.713831Z</t>
        </is>
      </c>
      <c r="C82" s="24" t="inlineStr">
        <is>
          <t>2026-08-23T19:00:00-0400</t>
        </is>
      </c>
      <c r="D82" s="24" t="inlineStr">
        <is>
          <t>401857168</t>
        </is>
      </c>
      <c r="E82" s="24" t="inlineStr">
        <is>
          <t>WNBA</t>
        </is>
      </c>
      <c r="F82" s="24" t="inlineStr">
        <is>
          <t>Indiana Fever</t>
        </is>
      </c>
      <c r="G82" s="24" t="inlineStr">
        <is>
          <t>Chicago Sky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-127</v>
      </c>
      <c r="M82" s="27" t="n">
        <v>1.787402</v>
      </c>
      <c r="N82" s="28" t="n">
        <v>0.5594710000000001</v>
      </c>
      <c r="O82" s="28" t="n">
        <v>0.547062</v>
      </c>
      <c r="P82" s="28" t="n"/>
      <c r="Q82" s="28" t="n">
        <v>-0.012409</v>
      </c>
      <c r="R82" s="26" t="n">
        <v>16</v>
      </c>
      <c r="S82" s="29" t="n">
        <v>1</v>
      </c>
      <c r="T82" s="24" t="inlineStr">
        <is>
          <t>wnba-elo-trend-lr-v4</t>
        </is>
      </c>
      <c r="U82" s="24" t="inlineStr">
        <is>
          <t>settled</t>
        </is>
      </c>
      <c r="V82" s="24" t="inlineStr">
        <is>
          <t>win</t>
        </is>
      </c>
      <c r="W82" s="26" t="n">
        <v>113</v>
      </c>
      <c r="X82" s="26" t="n">
        <v>90</v>
      </c>
      <c r="Y82" s="25" t="n"/>
      <c r="Z82" s="26" t="n"/>
      <c r="AA82" s="28" t="n"/>
      <c r="AB82" s="28" t="n"/>
      <c r="AC82" s="30" t="n">
        <v>0.7874</v>
      </c>
      <c r="AD82" s="24" t="inlineStr">
        <is>
          <t>2026-08-24T01:29:49.480752Z</t>
        </is>
      </c>
      <c r="AE82" s="31" t="inlineStr">
        <is>
          <t>Learned LR call at threshold 0.5001; executable ask 0.5600 (aec-wnba-ind-chi-2026-08-23); model edge vs ask -0.0129.</t>
        </is>
      </c>
      <c r="AF82" s="31" t="inlineStr">
        <is>
          <t>Learned model; shadow-qualified via operator override.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4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wnba-ind</t>
        </is>
      </c>
      <c r="AQ82" s="24" t="inlineStr">
        <is>
          <t>Indiana Fever</t>
        </is>
      </c>
      <c r="AR82" s="24" t="inlineStr">
        <is>
          <t>Indiana Fever</t>
        </is>
      </c>
      <c r="AS82" s="24" t="inlineStr">
        <is>
          <t>wnba-chi</t>
        </is>
      </c>
      <c r="AT82" s="24" t="inlineStr">
        <is>
          <t>Chicago Sky</t>
        </is>
      </c>
      <c r="AU82" s="24" t="inlineStr">
        <is>
          <t>Chicago Sky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7afd5274214b58b7efd7f7febc7be3ab33b92351cda5cc6403c0a39faea0cc8c</t>
        </is>
      </c>
      <c r="BB82" s="24" t="inlineStr">
        <is>
          <t>learned_lr</t>
        </is>
      </c>
      <c r="BC82" s="24" t="inlineStr">
        <is>
          <t>wnba-elo-trend-lr-v4</t>
        </is>
      </c>
      <c r="BD82" s="24" t="inlineStr">
        <is>
          <t>7afd5274214b58b7efd7f7febc7be3ab33b92351cda5cc6403c0a39faea0cc8c</t>
        </is>
      </c>
      <c r="BE82" s="24" t="inlineStr">
        <is>
          <t>85c4543a24cca6ac</t>
        </is>
      </c>
      <c r="BF82" s="24" t="inlineStr">
        <is>
          <t>1</t>
        </is>
      </c>
      <c r="BG82" s="24" t="inlineStr">
        <is>
          <t>wnba-elo-trend-lr-v4</t>
        </is>
      </c>
      <c r="BH82" s="24" t="inlineStr">
        <is>
          <t>2026-08-23T22:30:32.180613Z</t>
        </is>
      </c>
      <c r="BI82" s="24" t="inlineStr">
        <is>
          <t>["same_event","same_team_same_day","same_league_same_day"]</t>
        </is>
      </c>
      <c r="BJ82" s="25" t="n"/>
      <c r="BK82" s="26" t="n">
        <v>-127</v>
      </c>
      <c r="BL82" s="27" t="n">
        <v>1.787402</v>
      </c>
      <c r="BM82" s="28" t="n">
        <v>0.5594710000000001</v>
      </c>
      <c r="BN82" s="28" t="n">
        <v>0.554455</v>
      </c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inlineStr">
        <is>
          <t>0.3299642788</t>
        </is>
      </c>
      <c r="CD82" s="24" t="inlineStr">
        <is>
          <t>-0.513511</t>
        </is>
      </c>
      <c r="CE82" s="24" t="n"/>
      <c r="CF82" s="24" t="n"/>
      <c r="CG82" s="24" t="n"/>
      <c r="CH82" s="24" t="n"/>
      <c r="CI82" s="24" t="n"/>
      <c r="CJ82" s="24" t="inlineStr">
        <is>
          <t>6.688581</t>
        </is>
      </c>
      <c r="CK82" s="24" t="n"/>
      <c r="CL82" s="24" t="n"/>
      <c r="CM82" s="24" t="n"/>
      <c r="CN82" s="24" t="n"/>
      <c r="CO82" s="24" t="n"/>
      <c r="CP82" s="24" t="n"/>
      <c r="CQ82" s="24" t="n"/>
      <c r="CR82" s="24" t="inlineStr">
        <is>
          <t>0.547062</t>
        </is>
      </c>
      <c r="CS82" s="24" t="inlineStr">
        <is>
          <t>False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0.559471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b0cb8b29cdac4321</t>
        </is>
      </c>
      <c r="B83" s="24" t="inlineStr">
        <is>
          <t>2026-08-23T22:31:03.713831Z</t>
        </is>
      </c>
      <c r="C83" s="24" t="inlineStr">
        <is>
          <t>2026-08-23T19:00:00-0400</t>
        </is>
      </c>
      <c r="D83" s="24" t="inlineStr">
        <is>
          <t>401857169</t>
        </is>
      </c>
      <c r="E83" s="24" t="inlineStr">
        <is>
          <t>WNBA</t>
        </is>
      </c>
      <c r="F83" s="24" t="inlineStr">
        <is>
          <t>Washington Mystics</t>
        </is>
      </c>
      <c r="G83" s="24" t="inlineStr">
        <is>
          <t>Portland Fire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-178</v>
      </c>
      <c r="M83" s="27" t="n">
        <v>1.561798</v>
      </c>
      <c r="N83" s="28" t="n">
        <v>0.640288</v>
      </c>
      <c r="O83" s="28" t="n">
        <v>0.571612</v>
      </c>
      <c r="P83" s="28" t="n"/>
      <c r="Q83" s="28" t="n">
        <v>-0.068676</v>
      </c>
      <c r="R83" s="26" t="n">
        <v>0</v>
      </c>
      <c r="S83" s="29" t="n">
        <v>1</v>
      </c>
      <c r="T83" s="24" t="inlineStr">
        <is>
          <t>wnba-elo-trend-lr-v4</t>
        </is>
      </c>
      <c r="U83" s="24" t="inlineStr">
        <is>
          <t>settled</t>
        </is>
      </c>
      <c r="V83" s="24" t="inlineStr">
        <is>
          <t>win</t>
        </is>
      </c>
      <c r="W83" s="26" t="n">
        <v>105</v>
      </c>
      <c r="X83" s="26" t="n">
        <v>100</v>
      </c>
      <c r="Y83" s="25" t="n"/>
      <c r="Z83" s="26" t="n"/>
      <c r="AA83" s="28" t="n"/>
      <c r="AB83" s="28" t="n"/>
      <c r="AC83" s="30" t="n">
        <v>0.5618</v>
      </c>
      <c r="AD83" s="24" t="inlineStr">
        <is>
          <t>2026-08-24T01:29:50.299941Z</t>
        </is>
      </c>
      <c r="AE83" s="31" t="inlineStr">
        <is>
          <t>Learned LR call at threshold 0.5001; executable ask 0.6400 (aec-wnba-wsh-por-2026-08-23); model edge vs ask -0.0684.</t>
        </is>
      </c>
      <c r="AF83" s="31" t="inlineStr">
        <is>
          <t>Learned model; shadow-qualified via operator override.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wnba-was</t>
        </is>
      </c>
      <c r="AQ83" s="24" t="inlineStr">
        <is>
          <t>Washington Mystics</t>
        </is>
      </c>
      <c r="AR83" s="24" t="inlineStr">
        <is>
          <t>Washington Mystics</t>
        </is>
      </c>
      <c r="AS83" s="24" t="inlineStr">
        <is>
          <t>wnba-por</t>
        </is>
      </c>
      <c r="AT83" s="24" t="inlineStr">
        <is>
          <t>Portland Fire</t>
        </is>
      </c>
      <c r="AU83" s="24" t="inlineStr">
        <is>
          <t>Portland Fire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7afd5274214b58b7efd7f7febc7be3ab33b92351cda5cc6403c0a39faea0cc8c</t>
        </is>
      </c>
      <c r="BB83" s="24" t="inlineStr">
        <is>
          <t>learned_lr</t>
        </is>
      </c>
      <c r="BC83" s="24" t="inlineStr">
        <is>
          <t>wnba-elo-trend-lr-v4</t>
        </is>
      </c>
      <c r="BD83" s="24" t="inlineStr">
        <is>
          <t>7afd5274214b58b7efd7f7febc7be3ab33b92351cda5cc6403c0a39faea0cc8c</t>
        </is>
      </c>
      <c r="BE83" s="24" t="inlineStr">
        <is>
          <t>0b166a19c6470fab</t>
        </is>
      </c>
      <c r="BF83" s="24" t="inlineStr">
        <is>
          <t>1</t>
        </is>
      </c>
      <c r="BG83" s="24" t="inlineStr">
        <is>
          <t>wnba-elo-trend-lr-v4</t>
        </is>
      </c>
      <c r="BH83" s="24" t="inlineStr">
        <is>
          <t>2026-08-23T22:30:32.251851Z</t>
        </is>
      </c>
      <c r="BI83" s="24" t="inlineStr">
        <is>
          <t>["same_event","same_team_same_day","same_league_same_day"]</t>
        </is>
      </c>
      <c r="BJ83" s="25" t="n"/>
      <c r="BK83" s="26" t="n">
        <v>-178</v>
      </c>
      <c r="BL83" s="27" t="n">
        <v>1.561798</v>
      </c>
      <c r="BM83" s="28" t="n">
        <v>0.640288</v>
      </c>
      <c r="BN83" s="28" t="n">
        <v>0.633663</v>
      </c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inlineStr">
        <is>
          <t>0.4045568359</t>
        </is>
      </c>
      <c r="CD83" s="24" t="inlineStr">
        <is>
          <t>-3.32396</t>
        </is>
      </c>
      <c r="CE83" s="24" t="n"/>
      <c r="CF83" s="24" t="n"/>
      <c r="CG83" s="24" t="n"/>
      <c r="CH83" s="24" t="n"/>
      <c r="CI83" s="24" t="n"/>
      <c r="CJ83" s="24" t="inlineStr">
        <is>
          <t>2.432873</t>
        </is>
      </c>
      <c r="CK83" s="24" t="n"/>
      <c r="CL83" s="24" t="n"/>
      <c r="CM83" s="24" t="n"/>
      <c r="CN83" s="24" t="n"/>
      <c r="CO83" s="24" t="n"/>
      <c r="CP83" s="24" t="n"/>
      <c r="CQ83" s="24" t="n"/>
      <c r="CR83" s="24" t="inlineStr">
        <is>
          <t>0.571612</t>
        </is>
      </c>
      <c r="CS83" s="24" t="inlineStr">
        <is>
          <t>False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0.640288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fe7a7e221d874036</t>
        </is>
      </c>
      <c r="B84" s="24" t="inlineStr">
        <is>
          <t>2026-08-23T22:31:03.713831Z</t>
        </is>
      </c>
      <c r="C84" s="24" t="inlineStr">
        <is>
          <t>2026-08-23T19:00:00-0400</t>
        </is>
      </c>
      <c r="D84" s="24" t="inlineStr">
        <is>
          <t>401857170</t>
        </is>
      </c>
      <c r="E84" s="24" t="inlineStr">
        <is>
          <t>WNBA</t>
        </is>
      </c>
      <c r="F84" s="24" t="inlineStr">
        <is>
          <t>Las Vegas Aces</t>
        </is>
      </c>
      <c r="G84" s="24" t="inlineStr">
        <is>
          <t>Toronto Tempo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-669</v>
      </c>
      <c r="M84" s="27" t="n">
        <v>1.149477</v>
      </c>
      <c r="N84" s="28" t="n">
        <v>0.869961</v>
      </c>
      <c r="O84" s="28" t="n">
        <v>0.703332</v>
      </c>
      <c r="P84" s="28" t="n"/>
      <c r="Q84" s="28" t="n">
        <v>-0.166629</v>
      </c>
      <c r="R84" s="26" t="n">
        <v>0</v>
      </c>
      <c r="S84" s="29" t="n">
        <v>1</v>
      </c>
      <c r="T84" s="24" t="inlineStr">
        <is>
          <t>wnba-elo-trend-lr-v4</t>
        </is>
      </c>
      <c r="U84" s="24" t="inlineStr">
        <is>
          <t>settled</t>
        </is>
      </c>
      <c r="V84" s="24" t="inlineStr">
        <is>
          <t>win</t>
        </is>
      </c>
      <c r="W84" s="26" t="n">
        <v>88</v>
      </c>
      <c r="X84" s="26" t="n">
        <v>78</v>
      </c>
      <c r="Y84" s="25" t="n"/>
      <c r="Z84" s="26" t="n"/>
      <c r="AA84" s="28" t="n"/>
      <c r="AB84" s="28" t="n"/>
      <c r="AC84" s="30" t="n">
        <v>0.1495</v>
      </c>
      <c r="AD84" s="24" t="inlineStr">
        <is>
          <t>2026-08-24T01:29:51.116652Z</t>
        </is>
      </c>
      <c r="AE84" s="31" t="inlineStr">
        <is>
          <t>Learned LR call at threshold 0.5001; executable ask 0.8700 (aec-wnba-lv-tor-2026-08-23); model edge vs ask -0.1667.</t>
        </is>
      </c>
      <c r="AF84" s="31" t="inlineStr">
        <is>
          <t>Learned model; shadow-qualified via operator override.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wnba-lva</t>
        </is>
      </c>
      <c r="AQ84" s="24" t="inlineStr">
        <is>
          <t>Las Vegas Aces</t>
        </is>
      </c>
      <c r="AR84" s="24" t="inlineStr">
        <is>
          <t>Las Vegas Aces</t>
        </is>
      </c>
      <c r="AS84" s="24" t="inlineStr">
        <is>
          <t>wnba-tor</t>
        </is>
      </c>
      <c r="AT84" s="24" t="inlineStr">
        <is>
          <t>Toronto Tempo</t>
        </is>
      </c>
      <c r="AU84" s="24" t="inlineStr">
        <is>
          <t>Toronto Tempo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7afd5274214b58b7efd7f7febc7be3ab33b92351cda5cc6403c0a39faea0cc8c</t>
        </is>
      </c>
      <c r="BB84" s="24" t="inlineStr">
        <is>
          <t>learned_lr</t>
        </is>
      </c>
      <c r="BC84" s="24" t="inlineStr">
        <is>
          <t>wnba-elo-trend-lr-v4</t>
        </is>
      </c>
      <c r="BD84" s="24" t="inlineStr">
        <is>
          <t>7afd5274214b58b7efd7f7febc7be3ab33b92351cda5cc6403c0a39faea0cc8c</t>
        </is>
      </c>
      <c r="BE84" s="24" t="inlineStr">
        <is>
          <t>16170e8ac56d6c4b</t>
        </is>
      </c>
      <c r="BF84" s="24" t="inlineStr">
        <is>
          <t>1</t>
        </is>
      </c>
      <c r="BG84" s="24" t="inlineStr">
        <is>
          <t>wnba-elo-trend-lr-v4</t>
        </is>
      </c>
      <c r="BH84" s="24" t="inlineStr">
        <is>
          <t>2026-08-23T22:30:32.309227Z</t>
        </is>
      </c>
      <c r="BI84" s="24" t="inlineStr">
        <is>
          <t>["same_event","same_team_same_day","same_league_same_day"]</t>
        </is>
      </c>
      <c r="BJ84" s="25" t="n"/>
      <c r="BK84" s="26" t="n">
        <v>-669</v>
      </c>
      <c r="BL84" s="27" t="n">
        <v>1.149477</v>
      </c>
      <c r="BM84" s="28" t="n">
        <v>0.869961</v>
      </c>
      <c r="BN84" s="28" t="n">
        <v>0.861386</v>
      </c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inlineStr">
        <is>
          <t>0.2210165619</t>
        </is>
      </c>
      <c r="CD84" s="24" t="inlineStr">
        <is>
          <t>-3.865296</t>
        </is>
      </c>
      <c r="CE84" s="24" t="n"/>
      <c r="CF84" s="24" t="n"/>
      <c r="CG84" s="24" t="n"/>
      <c r="CH84" s="24" t="n"/>
      <c r="CI84" s="24" t="n"/>
      <c r="CJ84" s="24" t="inlineStr">
        <is>
          <t>3.509772</t>
        </is>
      </c>
      <c r="CK84" s="24" t="n"/>
      <c r="CL84" s="24" t="n"/>
      <c r="CM84" s="24" t="n"/>
      <c r="CN84" s="24" t="n"/>
      <c r="CO84" s="24" t="n"/>
      <c r="CP84" s="24" t="n"/>
      <c r="CQ84" s="24" t="n"/>
      <c r="CR84" s="24" t="inlineStr">
        <is>
          <t>0.703332</t>
        </is>
      </c>
      <c r="CS84" s="24" t="inlineStr">
        <is>
          <t>False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0.869961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cfdd93839eee44da</t>
        </is>
      </c>
      <c r="B85" s="24" t="inlineStr">
        <is>
          <t>2026-08-23T22:31:14.062097Z</t>
        </is>
      </c>
      <c r="C85" s="24" t="inlineStr">
        <is>
          <t>2026-08-23T23:00Z</t>
        </is>
      </c>
      <c r="D85" s="24" t="inlineStr">
        <is>
          <t>401857168</t>
        </is>
      </c>
      <c r="E85" s="24" t="inlineStr">
        <is>
          <t>WNBA</t>
        </is>
      </c>
      <c r="F85" s="24" t="inlineStr">
        <is>
          <t>Indiana Fever</t>
        </is>
      </c>
      <c r="G85" s="24" t="inlineStr">
        <is>
          <t>Chicago Sky</t>
        </is>
      </c>
      <c r="H85" s="24" t="inlineStr">
        <is>
          <t>total</t>
        </is>
      </c>
      <c r="I85" s="24" t="inlineStr">
        <is>
          <t>under</t>
        </is>
      </c>
      <c r="J85" s="25" t="n">
        <v>187.5</v>
      </c>
      <c r="K85" s="24" t="inlineStr">
        <is>
          <t>polymarket_us</t>
        </is>
      </c>
      <c r="L85" s="26" t="n">
        <v>-104</v>
      </c>
      <c r="M85" s="27" t="n">
        <v>1.961538</v>
      </c>
      <c r="N85" s="28" t="n">
        <v>0.509804</v>
      </c>
      <c r="O85" s="28" t="n">
        <v>0.6944939999999999</v>
      </c>
      <c r="P85" s="28" t="n">
        <v>0.03</v>
      </c>
      <c r="Q85" s="28" t="n">
        <v>0.18469</v>
      </c>
      <c r="R85" s="26" t="n">
        <v>100</v>
      </c>
      <c r="S85" s="29" t="n">
        <v>2</v>
      </c>
      <c r="T85" s="24" t="inlineStr">
        <is>
          <t>wnba-total-margin-v1</t>
        </is>
      </c>
      <c r="U85" s="24" t="inlineStr">
        <is>
          <t>settled</t>
        </is>
      </c>
      <c r="V85" s="24" t="inlineStr">
        <is>
          <t>loss</t>
        </is>
      </c>
      <c r="W85" s="26" t="n">
        <v>113</v>
      </c>
      <c r="X85" s="26" t="n">
        <v>90</v>
      </c>
      <c r="Y85" s="25" t="n"/>
      <c r="Z85" s="26" t="n"/>
      <c r="AA85" s="28" t="n"/>
      <c r="AB85" s="28" t="n"/>
      <c r="AC85" s="30" t="n">
        <v>-2</v>
      </c>
      <c r="AD85" s="24" t="inlineStr">
        <is>
          <t>2026-08-24T01:29:51.971254Z</t>
        </is>
      </c>
      <c r="AE85" s="31" t="inlineStr">
        <is>
          <t>Projected total 179.9, sd 15.0. Executable ask 0.5100 (tsc-wnba-ind-chi-2026-08-23-187pt5).</t>
        </is>
      </c>
      <c r="AF85" s="31" t="inlineStr">
        <is>
          <t>Research-baseline total model; not yet locked-holdout qualified.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4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wnba-ind</t>
        </is>
      </c>
      <c r="AQ85" s="24" t="inlineStr">
        <is>
          <t>Indiana Fever</t>
        </is>
      </c>
      <c r="AR85" s="24" t="inlineStr">
        <is>
          <t>Indiana Fever</t>
        </is>
      </c>
      <c r="AS85" s="24" t="inlineStr">
        <is>
          <t>wnba-chi</t>
        </is>
      </c>
      <c r="AT85" s="24" t="inlineStr">
        <is>
          <t>Chicago Sky</t>
        </is>
      </c>
      <c r="AU85" s="24" t="inlineStr">
        <is>
          <t>Chicago Sky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0dddbff34b848f65453428d052b256f6b23f7092d10c953a1de3b3e4606da517</t>
        </is>
      </c>
      <c r="BB85" s="24" t="inlineStr">
        <is>
          <t>total_normal</t>
        </is>
      </c>
      <c r="BC85" s="24" t="inlineStr">
        <is>
          <t>wnba-total-margin-v1</t>
        </is>
      </c>
      <c r="BD85" s="24" t="inlineStr">
        <is>
          <t>0dddbff34b848f65453428d052b256f6b23f7092d10c953a1de3b3e4606da517</t>
        </is>
      </c>
      <c r="BE85" s="24" t="inlineStr">
        <is>
          <t>wnba-total-margin-v1</t>
        </is>
      </c>
      <c r="BF85" s="24" t="inlineStr">
        <is>
          <t>1</t>
        </is>
      </c>
      <c r="BG85" s="24" t="inlineStr">
        <is>
          <t>0dddbff34b848f65453428d052b256f6b23f7092d10c953a1de3b3e4606da517</t>
        </is>
      </c>
      <c r="BH85" s="24" t="inlineStr">
        <is>
          <t>2026-08-23T22:31:13.902481+00:00</t>
        </is>
      </c>
      <c r="BI85" s="24" t="inlineStr">
        <is>
          <t>["same_event","same_team_same_day","same_league_same_day"]</t>
        </is>
      </c>
      <c r="BJ85" s="25" t="n">
        <v>187.5</v>
      </c>
      <c r="BK85" s="26" t="n">
        <v>-104</v>
      </c>
      <c r="BL85" s="27" t="n">
        <v>1.961538</v>
      </c>
      <c r="BM85" s="28" t="n">
        <v>0.509804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0.509804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1dba6c9bb67c4681</t>
        </is>
      </c>
      <c r="B86" s="24" t="inlineStr">
        <is>
          <t>2026-08-23T22:31:14.062097Z</t>
        </is>
      </c>
      <c r="C86" s="24" t="inlineStr">
        <is>
          <t>2026-08-23T23:00Z</t>
        </is>
      </c>
      <c r="D86" s="24" t="inlineStr">
        <is>
          <t>401857169</t>
        </is>
      </c>
      <c r="E86" s="24" t="inlineStr">
        <is>
          <t>WNBA</t>
        </is>
      </c>
      <c r="F86" s="24" t="inlineStr">
        <is>
          <t>Washington Mystics</t>
        </is>
      </c>
      <c r="G86" s="24" t="inlineStr">
        <is>
          <t>Portland Fire</t>
        </is>
      </c>
      <c r="H86" s="24" t="inlineStr">
        <is>
          <t>total</t>
        </is>
      </c>
      <c r="I86" s="24" t="inlineStr">
        <is>
          <t>over</t>
        </is>
      </c>
      <c r="J86" s="25" t="n">
        <v>165.5</v>
      </c>
      <c r="K86" s="24" t="inlineStr">
        <is>
          <t>polymarket_us</t>
        </is>
      </c>
      <c r="L86" s="26" t="n">
        <v>100</v>
      </c>
      <c r="M86" s="27" t="n">
        <v>2</v>
      </c>
      <c r="N86" s="28" t="n">
        <v>0.5</v>
      </c>
      <c r="O86" s="28" t="n">
        <v>0.578237</v>
      </c>
      <c r="P86" s="28" t="n">
        <v>0.03</v>
      </c>
      <c r="Q86" s="28" t="n">
        <v>0.078237</v>
      </c>
      <c r="R86" s="26" t="n">
        <v>71</v>
      </c>
      <c r="S86" s="29" t="n">
        <v>1.25</v>
      </c>
      <c r="T86" s="24" t="inlineStr">
        <is>
          <t>wnba-total-margin-v1</t>
        </is>
      </c>
      <c r="U86" s="24" t="inlineStr">
        <is>
          <t>settled</t>
        </is>
      </c>
      <c r="V86" s="24" t="inlineStr">
        <is>
          <t>win</t>
        </is>
      </c>
      <c r="W86" s="26" t="n">
        <v>105</v>
      </c>
      <c r="X86" s="26" t="n">
        <v>100</v>
      </c>
      <c r="Y86" s="25" t="n"/>
      <c r="Z86" s="26" t="n"/>
      <c r="AA86" s="28" t="n"/>
      <c r="AB86" s="28" t="n"/>
      <c r="AC86" s="30" t="n">
        <v>1.25</v>
      </c>
      <c r="AD86" s="24" t="inlineStr">
        <is>
          <t>2026-08-24T01:29:52.680884Z</t>
        </is>
      </c>
      <c r="AE86" s="31" t="inlineStr">
        <is>
          <t>Projected total 168.5, sd 15.0. Executable ask 0.5000 (tsc-wnba-wsh-por-2026-08-23-165pt5).</t>
        </is>
      </c>
      <c r="AF86" s="31" t="inlineStr">
        <is>
          <t>Research-baseline total model; not yet locked-holdout qualified.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4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wnba-was</t>
        </is>
      </c>
      <c r="AQ86" s="24" t="inlineStr">
        <is>
          <t>Washington Mystics</t>
        </is>
      </c>
      <c r="AR86" s="24" t="inlineStr">
        <is>
          <t>Washington Mystics</t>
        </is>
      </c>
      <c r="AS86" s="24" t="inlineStr">
        <is>
          <t>wnba-por</t>
        </is>
      </c>
      <c r="AT86" s="24" t="inlineStr">
        <is>
          <t>Portland Fire</t>
        </is>
      </c>
      <c r="AU86" s="24" t="inlineStr">
        <is>
          <t>Portland Fire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0dddbff34b848f65453428d052b256f6b23f7092d10c953a1de3b3e4606da517</t>
        </is>
      </c>
      <c r="BB86" s="24" t="inlineStr">
        <is>
          <t>total_normal</t>
        </is>
      </c>
      <c r="BC86" s="24" t="inlineStr">
        <is>
          <t>wnba-total-margin-v1</t>
        </is>
      </c>
      <c r="BD86" s="24" t="inlineStr">
        <is>
          <t>0dddbff34b848f65453428d052b256f6b23f7092d10c953a1de3b3e4606da517</t>
        </is>
      </c>
      <c r="BE86" s="24" t="inlineStr">
        <is>
          <t>wnba-total-margin-v1</t>
        </is>
      </c>
      <c r="BF86" s="24" t="inlineStr">
        <is>
          <t>1</t>
        </is>
      </c>
      <c r="BG86" s="24" t="inlineStr">
        <is>
          <t>0dddbff34b848f65453428d052b256f6b23f7092d10c953a1de3b3e4606da517</t>
        </is>
      </c>
      <c r="BH86" s="24" t="inlineStr">
        <is>
          <t>2026-08-23T22:31:13.902481+00:00</t>
        </is>
      </c>
      <c r="BI86" s="24" t="inlineStr">
        <is>
          <t>["same_event","same_team_same_day","same_league_same_day"]</t>
        </is>
      </c>
      <c r="BJ86" s="25" t="n">
        <v>165.5</v>
      </c>
      <c r="BK86" s="26" t="n">
        <v>100</v>
      </c>
      <c r="BL86" s="27" t="n">
        <v>2</v>
      </c>
      <c r="BM86" s="28" t="n">
        <v>0.5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0.5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8ba5f2fbddf84478</t>
        </is>
      </c>
      <c r="B87" s="24" t="inlineStr">
        <is>
          <t>2026-08-23T22:31:14.062097Z</t>
        </is>
      </c>
      <c r="C87" s="24" t="inlineStr">
        <is>
          <t>2026-08-23T23:00Z</t>
        </is>
      </c>
      <c r="D87" s="24" t="inlineStr">
        <is>
          <t>401857170</t>
        </is>
      </c>
      <c r="E87" s="24" t="inlineStr">
        <is>
          <t>WNBA</t>
        </is>
      </c>
      <c r="F87" s="24" t="inlineStr">
        <is>
          <t>Las Vegas Aces</t>
        </is>
      </c>
      <c r="G87" s="24" t="inlineStr">
        <is>
          <t>Toronto Tempo</t>
        </is>
      </c>
      <c r="H87" s="24" t="inlineStr">
        <is>
          <t>total</t>
        </is>
      </c>
      <c r="I87" s="24" t="inlineStr">
        <is>
          <t>under</t>
        </is>
      </c>
      <c r="J87" s="25" t="n">
        <v>179.5</v>
      </c>
      <c r="K87" s="24" t="inlineStr">
        <is>
          <t>polymarket_us</t>
        </is>
      </c>
      <c r="L87" s="26" t="n">
        <v>100</v>
      </c>
      <c r="M87" s="27" t="n">
        <v>2</v>
      </c>
      <c r="N87" s="28" t="n">
        <v>0.5</v>
      </c>
      <c r="O87" s="28" t="n">
        <v>0.560634</v>
      </c>
      <c r="P87" s="28" t="n">
        <v>0.03</v>
      </c>
      <c r="Q87" s="28" t="n">
        <v>0.060634</v>
      </c>
      <c r="R87" s="26" t="n">
        <v>62</v>
      </c>
      <c r="S87" s="29" t="n">
        <v>1.25</v>
      </c>
      <c r="T87" s="24" t="inlineStr">
        <is>
          <t>wnba-total-margin-v1</t>
        </is>
      </c>
      <c r="U87" s="24" t="inlineStr">
        <is>
          <t>settled</t>
        </is>
      </c>
      <c r="V87" s="24" t="inlineStr">
        <is>
          <t>win</t>
        </is>
      </c>
      <c r="W87" s="26" t="n">
        <v>88</v>
      </c>
      <c r="X87" s="26" t="n">
        <v>78</v>
      </c>
      <c r="Y87" s="25" t="n"/>
      <c r="Z87" s="26" t="n"/>
      <c r="AA87" s="28" t="n"/>
      <c r="AB87" s="28" t="n"/>
      <c r="AC87" s="30" t="n">
        <v>1.25</v>
      </c>
      <c r="AD87" s="24" t="inlineStr">
        <is>
          <t>2026-08-24T01:29:53.404902Z</t>
        </is>
      </c>
      <c r="AE87" s="31" t="inlineStr">
        <is>
          <t>Projected total 177.2, sd 15.0. Executable ask 0.5000 (tsc-wnba-lv-tor-2026-08-23-179pt5).</t>
        </is>
      </c>
      <c r="AF87" s="31" t="inlineStr">
        <is>
          <t>Research-baseline total model; not yet locked-holdout qualified.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wnba-lva</t>
        </is>
      </c>
      <c r="AQ87" s="24" t="inlineStr">
        <is>
          <t>Las Vegas Aces</t>
        </is>
      </c>
      <c r="AR87" s="24" t="inlineStr">
        <is>
          <t>Las Vegas Aces</t>
        </is>
      </c>
      <c r="AS87" s="24" t="inlineStr">
        <is>
          <t>wnba-tor</t>
        </is>
      </c>
      <c r="AT87" s="24" t="inlineStr">
        <is>
          <t>Toronto Tempo</t>
        </is>
      </c>
      <c r="AU87" s="24" t="inlineStr">
        <is>
          <t>Toronto Tempo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research</t>
        </is>
      </c>
      <c r="BA87" s="24" t="inlineStr">
        <is>
          <t>0dddbff34b848f65453428d052b256f6b23f7092d10c953a1de3b3e4606da517</t>
        </is>
      </c>
      <c r="BB87" s="24" t="inlineStr">
        <is>
          <t>total_normal</t>
        </is>
      </c>
      <c r="BC87" s="24" t="inlineStr">
        <is>
          <t>wnba-total-margin-v1</t>
        </is>
      </c>
      <c r="BD87" s="24" t="inlineStr">
        <is>
          <t>0dddbff34b848f65453428d052b256f6b23f7092d10c953a1de3b3e4606da517</t>
        </is>
      </c>
      <c r="BE87" s="24" t="inlineStr">
        <is>
          <t>wnba-total-margin-v1</t>
        </is>
      </c>
      <c r="BF87" s="24" t="inlineStr">
        <is>
          <t>1</t>
        </is>
      </c>
      <c r="BG87" s="24" t="inlineStr">
        <is>
          <t>0dddbff34b848f65453428d052b256f6b23f7092d10c953a1de3b3e4606da517</t>
        </is>
      </c>
      <c r="BH87" s="24" t="inlineStr">
        <is>
          <t>2026-08-23T22:31:13.902481+00:00</t>
        </is>
      </c>
      <c r="BI87" s="24" t="inlineStr">
        <is>
          <t>["same_event","same_team_same_day","same_league_same_day"]</t>
        </is>
      </c>
      <c r="BJ87" s="25" t="n">
        <v>179.5</v>
      </c>
      <c r="BK87" s="26" t="n">
        <v>100</v>
      </c>
      <c r="BL87" s="27" t="n">
        <v>2</v>
      </c>
      <c r="BM87" s="28" t="n">
        <v>0.5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dcc0a105b8954a12</t>
        </is>
      </c>
      <c r="B88" s="24" t="inlineStr">
        <is>
          <t>2026-08-23T22:31:14.067624Z</t>
        </is>
      </c>
      <c r="C88" s="24" t="inlineStr">
        <is>
          <t>2026-08-23T23:00Z</t>
        </is>
      </c>
      <c r="D88" s="24" t="inlineStr">
        <is>
          <t>401857168</t>
        </is>
      </c>
      <c r="E88" s="24" t="inlineStr">
        <is>
          <t>WNBA</t>
        </is>
      </c>
      <c r="F88" s="24" t="inlineStr">
        <is>
          <t>Indiana Fever</t>
        </is>
      </c>
      <c r="G88" s="24" t="inlineStr">
        <is>
          <t>Chicago Sky</t>
        </is>
      </c>
      <c r="H88" s="24" t="inlineStr">
        <is>
          <t>spread</t>
        </is>
      </c>
      <c r="I88" s="24" t="inlineStr">
        <is>
          <t>home</t>
        </is>
      </c>
      <c r="J88" s="25" t="n">
        <v>2.5</v>
      </c>
      <c r="K88" s="24" t="inlineStr">
        <is>
          <t>polymarket_us</t>
        </is>
      </c>
      <c r="L88" s="26" t="n">
        <v>-113</v>
      </c>
      <c r="M88" s="27" t="n">
        <v>1.884956</v>
      </c>
      <c r="N88" s="28" t="n">
        <v>0.530516</v>
      </c>
      <c r="O88" s="28" t="n">
        <v>0.570526</v>
      </c>
      <c r="P88" s="28" t="n">
        <v>0.03</v>
      </c>
      <c r="Q88" s="28" t="n">
        <v>0.04001</v>
      </c>
      <c r="R88" s="26" t="n">
        <v>52</v>
      </c>
      <c r="S88" s="29" t="n">
        <v>1</v>
      </c>
      <c r="T88" s="24" t="inlineStr">
        <is>
          <t>wnba-spread-margin-v1</t>
        </is>
      </c>
      <c r="U88" s="24" t="inlineStr">
        <is>
          <t>settled</t>
        </is>
      </c>
      <c r="V88" s="24" t="inlineStr">
        <is>
          <t>loss</t>
        </is>
      </c>
      <c r="W88" s="26" t="n">
        <v>113</v>
      </c>
      <c r="X88" s="26" t="n">
        <v>90</v>
      </c>
      <c r="Y88" s="25" t="n"/>
      <c r="Z88" s="26" t="n"/>
      <c r="AA88" s="28" t="n"/>
      <c r="AB88" s="28" t="n"/>
      <c r="AC88" s="30" t="n">
        <v>-1</v>
      </c>
      <c r="AD88" s="24" t="inlineStr">
        <is>
          <t>2026-08-24T01:29:54.134341Z</t>
        </is>
      </c>
      <c r="AE88" s="31" t="inlineStr">
        <is>
          <t>Projected margin -0.6 (home), sd 10.5. Executable ask 0.5300 (asc-wnba-ind-chi-2026-08-23-neg-2pt5).</t>
        </is>
      </c>
      <c r="AF88" s="31" t="inlineStr">
        <is>
          <t>Research-baseline margin-normal spread model; not yet locked-holdout qualified.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wnba-ind</t>
        </is>
      </c>
      <c r="AQ88" s="24" t="inlineStr">
        <is>
          <t>Indiana Fever</t>
        </is>
      </c>
      <c r="AR88" s="24" t="inlineStr">
        <is>
          <t>Indiana Fever</t>
        </is>
      </c>
      <c r="AS88" s="24" t="inlineStr">
        <is>
          <t>wnba-chi</t>
        </is>
      </c>
      <c r="AT88" s="24" t="inlineStr">
        <is>
          <t>Chicago Sky</t>
        </is>
      </c>
      <c r="AU88" s="24" t="inlineStr">
        <is>
          <t>Chicago Sky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23ba88bcc86a710d76233b349116f2eefe021a993d2d3b9102922e567a027b4c</t>
        </is>
      </c>
      <c r="BB88" s="24" t="inlineStr">
        <is>
          <t>margin_normal</t>
        </is>
      </c>
      <c r="BC88" s="24" t="inlineStr">
        <is>
          <t>wnba-spread-margin-v1</t>
        </is>
      </c>
      <c r="BD88" s="24" t="inlineStr">
        <is>
          <t>23ba88bcc86a710d76233b349116f2eefe021a993d2d3b9102922e567a027b4c</t>
        </is>
      </c>
      <c r="BE88" s="24" t="inlineStr">
        <is>
          <t>wnba-spread-margin-v1</t>
        </is>
      </c>
      <c r="BF88" s="24" t="inlineStr">
        <is>
          <t>1</t>
        </is>
      </c>
      <c r="BG88" s="24" t="inlineStr">
        <is>
          <t>23ba88bcc86a710d76233b349116f2eefe021a993d2d3b9102922e567a027b4c</t>
        </is>
      </c>
      <c r="BH88" s="24" t="inlineStr">
        <is>
          <t>2026-08-23T22:31:13.901652+00:00</t>
        </is>
      </c>
      <c r="BI88" s="24" t="inlineStr">
        <is>
          <t>["same_event","same_team_same_day","same_league_same_day"]</t>
        </is>
      </c>
      <c r="BJ88" s="25" t="n">
        <v>2.5</v>
      </c>
      <c r="BK88" s="26" t="n">
        <v>-113</v>
      </c>
      <c r="BL88" s="27" t="n">
        <v>1.884956</v>
      </c>
      <c r="BM88" s="28" t="n">
        <v>0.530516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0.530516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7730a6188a62412e</t>
        </is>
      </c>
      <c r="B89" s="24" t="inlineStr">
        <is>
          <t>2026-08-23T22:31:14.067624Z</t>
        </is>
      </c>
      <c r="C89" s="24" t="inlineStr">
        <is>
          <t>2026-08-23T23:00Z</t>
        </is>
      </c>
      <c r="D89" s="24" t="inlineStr">
        <is>
          <t>401857169</t>
        </is>
      </c>
      <c r="E89" s="24" t="inlineStr">
        <is>
          <t>WNBA</t>
        </is>
      </c>
      <c r="F89" s="24" t="inlineStr">
        <is>
          <t>Washington Mystics</t>
        </is>
      </c>
      <c r="G89" s="24" t="inlineStr">
        <is>
          <t>Portland Fire</t>
        </is>
      </c>
      <c r="H89" s="24" t="inlineStr">
        <is>
          <t>spread</t>
        </is>
      </c>
      <c r="I89" s="24" t="inlineStr">
        <is>
          <t>home</t>
        </is>
      </c>
      <c r="J89" s="25" t="n">
        <v>5.5</v>
      </c>
      <c r="K89" s="24" t="inlineStr">
        <is>
          <t>polymarket_us</t>
        </is>
      </c>
      <c r="L89" s="26" t="n">
        <v>-108</v>
      </c>
      <c r="M89" s="27" t="n">
        <v>1.925926</v>
      </c>
      <c r="N89" s="28" t="n">
        <v>0.519231</v>
      </c>
      <c r="O89" s="28" t="n">
        <v>0.722981</v>
      </c>
      <c r="P89" s="28" t="n">
        <v>0.03</v>
      </c>
      <c r="Q89" s="28" t="n">
        <v>0.20375</v>
      </c>
      <c r="R89" s="26" t="n">
        <v>100</v>
      </c>
      <c r="S89" s="29" t="n">
        <v>2</v>
      </c>
      <c r="T89" s="24" t="inlineStr">
        <is>
          <t>wnba-spread-margin-v1</t>
        </is>
      </c>
      <c r="U89" s="24" t="inlineStr">
        <is>
          <t>settled</t>
        </is>
      </c>
      <c r="V89" s="24" t="inlineStr">
        <is>
          <t>win</t>
        </is>
      </c>
      <c r="W89" s="26" t="n">
        <v>105</v>
      </c>
      <c r="X89" s="26" t="n">
        <v>100</v>
      </c>
      <c r="Y89" s="25" t="n"/>
      <c r="Z89" s="26" t="n"/>
      <c r="AA89" s="28" t="n"/>
      <c r="AB89" s="28" t="n"/>
      <c r="AC89" s="30" t="n">
        <v>1.8519</v>
      </c>
      <c r="AD89" s="24" t="inlineStr">
        <is>
          <t>2026-08-24T01:29:54.969526Z</t>
        </is>
      </c>
      <c r="AE89" s="31" t="inlineStr">
        <is>
          <t>Projected margin +0.7 (home), sd 10.5. Executable ask 0.5200 (asc-wnba-wsh-por-2026-08-23-neg-5pt5).</t>
        </is>
      </c>
      <c r="AF89" s="31" t="inlineStr">
        <is>
          <t>Research-baseline margin-normal spread model; not yet locked-holdout qualified.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wnba-was</t>
        </is>
      </c>
      <c r="AQ89" s="24" t="inlineStr">
        <is>
          <t>Washington Mystics</t>
        </is>
      </c>
      <c r="AR89" s="24" t="inlineStr">
        <is>
          <t>Washington Mystics</t>
        </is>
      </c>
      <c r="AS89" s="24" t="inlineStr">
        <is>
          <t>wnba-por</t>
        </is>
      </c>
      <c r="AT89" s="24" t="inlineStr">
        <is>
          <t>Portland Fire</t>
        </is>
      </c>
      <c r="AU89" s="24" t="inlineStr">
        <is>
          <t>Portland Fire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23ba88bcc86a710d76233b349116f2eefe021a993d2d3b9102922e567a027b4c</t>
        </is>
      </c>
      <c r="BB89" s="24" t="inlineStr">
        <is>
          <t>margin_normal</t>
        </is>
      </c>
      <c r="BC89" s="24" t="inlineStr">
        <is>
          <t>wnba-spread-margin-v1</t>
        </is>
      </c>
      <c r="BD89" s="24" t="inlineStr">
        <is>
          <t>23ba88bcc86a710d76233b349116f2eefe021a993d2d3b9102922e567a027b4c</t>
        </is>
      </c>
      <c r="BE89" s="24" t="inlineStr">
        <is>
          <t>wnba-spread-margin-v1</t>
        </is>
      </c>
      <c r="BF89" s="24" t="inlineStr">
        <is>
          <t>1</t>
        </is>
      </c>
      <c r="BG89" s="24" t="inlineStr">
        <is>
          <t>23ba88bcc86a710d76233b349116f2eefe021a993d2d3b9102922e567a027b4c</t>
        </is>
      </c>
      <c r="BH89" s="24" t="inlineStr">
        <is>
          <t>2026-08-23T22:31:13.901652+00:00</t>
        </is>
      </c>
      <c r="BI89" s="24" t="inlineStr">
        <is>
          <t>["same_event","same_team_same_day","same_league_same_day"]</t>
        </is>
      </c>
      <c r="BJ89" s="25" t="n">
        <v>5.5</v>
      </c>
      <c r="BK89" s="26" t="n">
        <v>-108</v>
      </c>
      <c r="BL89" s="27" t="n">
        <v>1.925926</v>
      </c>
      <c r="BM89" s="28" t="n">
        <v>0.519231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0.519231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47d8c4d6f44d4950</t>
        </is>
      </c>
      <c r="B90" s="24" t="inlineStr">
        <is>
          <t>2026-08-23T22:31:14.067624Z</t>
        </is>
      </c>
      <c r="C90" s="24" t="inlineStr">
        <is>
          <t>2026-08-23T23:00Z</t>
        </is>
      </c>
      <c r="D90" s="24" t="inlineStr">
        <is>
          <t>401857170</t>
        </is>
      </c>
      <c r="E90" s="24" t="inlineStr">
        <is>
          <t>WNBA</t>
        </is>
      </c>
      <c r="F90" s="24" t="inlineStr">
        <is>
          <t>Las Vegas Aces</t>
        </is>
      </c>
      <c r="G90" s="24" t="inlineStr">
        <is>
          <t>Toronto Tempo</t>
        </is>
      </c>
      <c r="H90" s="24" t="inlineStr">
        <is>
          <t>spread</t>
        </is>
      </c>
      <c r="I90" s="24" t="inlineStr">
        <is>
          <t>home</t>
        </is>
      </c>
      <c r="J90" s="25" t="n">
        <v>10.5</v>
      </c>
      <c r="K90" s="24" t="inlineStr">
        <is>
          <t>polymarket_us</t>
        </is>
      </c>
      <c r="L90" s="26" t="n">
        <v>-104</v>
      </c>
      <c r="M90" s="27" t="n">
        <v>1.961538</v>
      </c>
      <c r="N90" s="28" t="n">
        <v>0.509804</v>
      </c>
      <c r="O90" s="28" t="n">
        <v>0.774792</v>
      </c>
      <c r="P90" s="28" t="n">
        <v>0.03</v>
      </c>
      <c r="Q90" s="28" t="n">
        <v>0.264988</v>
      </c>
      <c r="R90" s="26" t="n">
        <v>100</v>
      </c>
      <c r="S90" s="29" t="n">
        <v>2</v>
      </c>
      <c r="T90" s="24" t="inlineStr">
        <is>
          <t>wnba-spread-margin-v1</t>
        </is>
      </c>
      <c r="U90" s="24" t="inlineStr">
        <is>
          <t>settled</t>
        </is>
      </c>
      <c r="V90" s="24" t="inlineStr">
        <is>
          <t>win</t>
        </is>
      </c>
      <c r="W90" s="26" t="n">
        <v>88</v>
      </c>
      <c r="X90" s="26" t="n">
        <v>78</v>
      </c>
      <c r="Y90" s="25" t="n"/>
      <c r="Z90" s="26" t="n"/>
      <c r="AA90" s="28" t="n"/>
      <c r="AB90" s="28" t="n"/>
      <c r="AC90" s="30" t="n">
        <v>1.9231</v>
      </c>
      <c r="AD90" s="24" t="inlineStr">
        <is>
          <t>2026-08-24T01:29:55.759562Z</t>
        </is>
      </c>
      <c r="AE90" s="31" t="inlineStr">
        <is>
          <t>Projected margin -2.6 (home), sd 10.5. Executable ask 0.5100 (asc-wnba-lv-tor-2026-08-23-neg-10pt5).</t>
        </is>
      </c>
      <c r="AF90" s="31" t="inlineStr">
        <is>
          <t>Research-baseline margin-normal spread model; not yet locked-holdout qualified.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wnba-lva</t>
        </is>
      </c>
      <c r="AQ90" s="24" t="inlineStr">
        <is>
          <t>Las Vegas Aces</t>
        </is>
      </c>
      <c r="AR90" s="24" t="inlineStr">
        <is>
          <t>Las Vegas Aces</t>
        </is>
      </c>
      <c r="AS90" s="24" t="inlineStr">
        <is>
          <t>wnba-tor</t>
        </is>
      </c>
      <c r="AT90" s="24" t="inlineStr">
        <is>
          <t>Toronto Tempo</t>
        </is>
      </c>
      <c r="AU90" s="24" t="inlineStr">
        <is>
          <t>Toronto Tempo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23ba88bcc86a710d76233b349116f2eefe021a993d2d3b9102922e567a027b4c</t>
        </is>
      </c>
      <c r="BB90" s="24" t="inlineStr">
        <is>
          <t>margin_normal</t>
        </is>
      </c>
      <c r="BC90" s="24" t="inlineStr">
        <is>
          <t>wnba-spread-margin-v1</t>
        </is>
      </c>
      <c r="BD90" s="24" t="inlineStr">
        <is>
          <t>23ba88bcc86a710d76233b349116f2eefe021a993d2d3b9102922e567a027b4c</t>
        </is>
      </c>
      <c r="BE90" s="24" t="inlineStr">
        <is>
          <t>wnba-spread-margin-v1</t>
        </is>
      </c>
      <c r="BF90" s="24" t="inlineStr">
        <is>
          <t>1</t>
        </is>
      </c>
      <c r="BG90" s="24" t="inlineStr">
        <is>
          <t>23ba88bcc86a710d76233b349116f2eefe021a993d2d3b9102922e567a027b4c</t>
        </is>
      </c>
      <c r="BH90" s="24" t="inlineStr">
        <is>
          <t>2026-08-23T22:31:13.901652+00:00</t>
        </is>
      </c>
      <c r="BI90" s="24" t="inlineStr">
        <is>
          <t>["same_event","same_team_same_day","same_league_same_day"]</t>
        </is>
      </c>
      <c r="BJ90" s="25" t="n">
        <v>10.5</v>
      </c>
      <c r="BK90" s="26" t="n">
        <v>-104</v>
      </c>
      <c r="BL90" s="27" t="n">
        <v>1.961538</v>
      </c>
      <c r="BM90" s="28" t="n">
        <v>0.509804</v>
      </c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0.509804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479f2ad47f05473b</t>
        </is>
      </c>
      <c r="B91" s="24" t="inlineStr">
        <is>
          <t>2026-08-24T21:14:50.400560Z</t>
        </is>
      </c>
      <c r="C91" s="24" t="inlineStr">
        <is>
          <t>2026-08-24T20:00:00-0400</t>
        </is>
      </c>
      <c r="D91" s="24" t="inlineStr">
        <is>
          <t>401857171</t>
        </is>
      </c>
      <c r="E91" s="24" t="inlineStr">
        <is>
          <t>WNBA</t>
        </is>
      </c>
      <c r="F91" s="24" t="inlineStr">
        <is>
          <t>Golden State Valkyries</t>
        </is>
      </c>
      <c r="G91" s="24" t="inlineStr">
        <is>
          <t>Minnesota Lynx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-213</v>
      </c>
      <c r="M91" s="27" t="n">
        <v>1.469484</v>
      </c>
      <c r="N91" s="28" t="n">
        <v>0.680511</v>
      </c>
      <c r="O91" s="28" t="n">
        <v>0.552593</v>
      </c>
      <c r="P91" s="28" t="n"/>
      <c r="Q91" s="28" t="n">
        <v>-0.127918</v>
      </c>
      <c r="R91" s="26" t="n">
        <v>0</v>
      </c>
      <c r="S91" s="29" t="n">
        <v>1</v>
      </c>
      <c r="T91" s="24" t="inlineStr">
        <is>
          <t>wnba-elo-trend-lr-v4</t>
        </is>
      </c>
      <c r="U91" s="24" t="inlineStr">
        <is>
          <t>settled</t>
        </is>
      </c>
      <c r="V91" s="24" t="inlineStr">
        <is>
          <t>loss</t>
        </is>
      </c>
      <c r="W91" s="26" t="n">
        <v>80</v>
      </c>
      <c r="X91" s="26" t="n">
        <v>66</v>
      </c>
      <c r="Y91" s="25" t="n"/>
      <c r="Z91" s="26" t="n"/>
      <c r="AA91" s="28" t="n"/>
      <c r="AB91" s="28" t="n"/>
      <c r="AC91" s="30" t="n">
        <v>-1</v>
      </c>
      <c r="AD91" s="24" t="inlineStr">
        <is>
          <t>2026-08-25T03:24:49.085951Z</t>
        </is>
      </c>
      <c r="AE91" s="31" t="inlineStr">
        <is>
          <t>Learned LR call at threshold 0.5001; executable ask 0.6800 (aec-wnba-gsv-min-2026-08-24); model edge vs ask -0.1274.</t>
        </is>
      </c>
      <c r="AF91" s="31" t="inlineStr">
        <is>
          <t>Learned model; shadow-qualified via operator override.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4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wnba-gsv</t>
        </is>
      </c>
      <c r="AQ91" s="24" t="inlineStr">
        <is>
          <t>Golden State Valkyries</t>
        </is>
      </c>
      <c r="AR91" s="24" t="inlineStr">
        <is>
          <t>Golden State Valkyries</t>
        </is>
      </c>
      <c r="AS91" s="24" t="inlineStr">
        <is>
          <t>wnba-min</t>
        </is>
      </c>
      <c r="AT91" s="24" t="inlineStr">
        <is>
          <t>Minnesota Lynx</t>
        </is>
      </c>
      <c r="AU91" s="24" t="inlineStr">
        <is>
          <t>Minnesota Lynx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7afd5274214b58b7efd7f7febc7be3ab33b92351cda5cc6403c0a39faea0cc8c</t>
        </is>
      </c>
      <c r="BB91" s="24" t="inlineStr">
        <is>
          <t>learned_lr</t>
        </is>
      </c>
      <c r="BC91" s="24" t="inlineStr">
        <is>
          <t>wnba-elo-trend-lr-v4</t>
        </is>
      </c>
      <c r="BD91" s="24" t="inlineStr">
        <is>
          <t>7afd5274214b58b7efd7f7febc7be3ab33b92351cda5cc6403c0a39faea0cc8c</t>
        </is>
      </c>
      <c r="BE91" s="24" t="inlineStr">
        <is>
          <t>f87e85d6e862d375</t>
        </is>
      </c>
      <c r="BF91" s="24" t="inlineStr">
        <is>
          <t>1</t>
        </is>
      </c>
      <c r="BG91" s="24" t="inlineStr">
        <is>
          <t>wnba-elo-trend-lr-v4</t>
        </is>
      </c>
      <c r="BH91" s="24" t="inlineStr">
        <is>
          <t>2026-08-24T21:14:33.320479Z</t>
        </is>
      </c>
      <c r="BI91" s="24" t="inlineStr">
        <is>
          <t>["same_event","same_team_same_day","same_league_same_day"]</t>
        </is>
      </c>
      <c r="BJ91" s="25" t="n"/>
      <c r="BK91" s="26" t="n">
        <v>-213</v>
      </c>
      <c r="BL91" s="27" t="n">
        <v>1.469484</v>
      </c>
      <c r="BM91" s="28" t="n">
        <v>0.680511</v>
      </c>
      <c r="BN91" s="28" t="n">
        <v>0.6732669999999999</v>
      </c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inlineStr">
        <is>
          <t>0.7354885659</t>
        </is>
      </c>
      <c r="CD91" s="24" t="inlineStr">
        <is>
          <t>4.610664</t>
        </is>
      </c>
      <c r="CE91" s="24" t="n"/>
      <c r="CF91" s="24" t="n"/>
      <c r="CG91" s="24" t="n"/>
      <c r="CH91" s="24" t="n"/>
      <c r="CI91" s="24" t="n"/>
      <c r="CJ91" s="24" t="inlineStr">
        <is>
          <t>-1.789887</t>
        </is>
      </c>
      <c r="CK91" s="24" t="n"/>
      <c r="CL91" s="24" t="n"/>
      <c r="CM91" s="24" t="n"/>
      <c r="CN91" s="24" t="n"/>
      <c r="CO91" s="24" t="n"/>
      <c r="CP91" s="24" t="n"/>
      <c r="CQ91" s="24" t="n"/>
      <c r="CR91" s="24" t="inlineStr">
        <is>
          <t>0.552593</t>
        </is>
      </c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inlineStr">
        <is>
          <t>2026-08-24T21:14:33.320479Z</t>
        </is>
      </c>
      <c r="CZ91" s="24" t="inlineStr">
        <is>
          <t>True</t>
        </is>
      </c>
      <c r="DA91" s="24" t="inlineStr">
        <is>
          <t>polymarket_us</t>
        </is>
      </c>
      <c r="DB91" s="24" t="inlineStr">
        <is>
          <t>decision_time_executable_quote</t>
        </is>
      </c>
      <c r="DC91" s="24" t="inlineStr">
        <is>
          <t>False</t>
        </is>
      </c>
      <c r="DD91" s="24" t="inlineStr">
        <is>
          <t>74c503798a1b38f95ec4621b4e9ad397a9234d862a29cc9dfac5300baece2a6c</t>
        </is>
      </c>
      <c r="DE91" s="24" t="inlineStr">
        <is>
          <t>/Users/vincentc9002/model-prediction/data/odds/wnba/2026-08-24/polymarket_snapshots.jsonl</t>
        </is>
      </c>
      <c r="DF91" s="24" t="inlineStr">
        <is>
          <t>74c503798a1b38f95ec4621b4e9ad397a9234d862a29cc9dfac5300baece2a6c</t>
        </is>
      </c>
      <c r="DG91" s="24" t="n"/>
      <c r="DH91" s="24" t="n"/>
      <c r="DI91" s="24" t="n"/>
      <c r="DJ91" s="24" t="inlineStr">
        <is>
          <t>0.680511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082c30735bf94ee8</t>
        </is>
      </c>
      <c r="B92" s="24" t="inlineStr">
        <is>
          <t>2026-08-25T01:14:28.899398Z</t>
        </is>
      </c>
      <c r="C92" s="24" t="inlineStr">
        <is>
          <t>2026-08-24T22:00:00-0400</t>
        </is>
      </c>
      <c r="D92" s="24" t="inlineStr">
        <is>
          <t>401857172</t>
        </is>
      </c>
      <c r="E92" s="24" t="inlineStr">
        <is>
          <t>WNBA</t>
        </is>
      </c>
      <c r="F92" s="24" t="inlineStr">
        <is>
          <t>Atlanta Dream</t>
        </is>
      </c>
      <c r="G92" s="24" t="inlineStr">
        <is>
          <t>Los Angeles Sparks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-614</v>
      </c>
      <c r="M92" s="27" t="n">
        <v>1.162866</v>
      </c>
      <c r="N92" s="28" t="n">
        <v>0.859944</v>
      </c>
      <c r="O92" s="28" t="n">
        <v>0.671292</v>
      </c>
      <c r="P92" s="28" t="n"/>
      <c r="Q92" s="28" t="n">
        <v>-0.188652</v>
      </c>
      <c r="R92" s="26" t="n">
        <v>0</v>
      </c>
      <c r="S92" s="29" t="n">
        <v>1</v>
      </c>
      <c r="T92" s="24" t="inlineStr">
        <is>
          <t>wnba-elo-trend-lr-v4</t>
        </is>
      </c>
      <c r="U92" s="24" t="inlineStr">
        <is>
          <t>settled</t>
        </is>
      </c>
      <c r="V92" s="24" t="inlineStr">
        <is>
          <t>win</t>
        </is>
      </c>
      <c r="W92" s="26" t="n">
        <v>78</v>
      </c>
      <c r="X92" s="26" t="n">
        <v>71</v>
      </c>
      <c r="Y92" s="25" t="n"/>
      <c r="Z92" s="26" t="n"/>
      <c r="AA92" s="28" t="n"/>
      <c r="AB92" s="28" t="n"/>
      <c r="AC92" s="30" t="n">
        <v>0.1629</v>
      </c>
      <c r="AD92" s="24" t="inlineStr">
        <is>
          <t>2026-08-25T04:31:55.342121Z</t>
        </is>
      </c>
      <c r="AE92" s="31" t="inlineStr">
        <is>
          <t>Learned LR call at threshold 0.5001; executable ask 0.8600 (aec-wnba-atl-la-2026-08-24); model edge vs ask -0.1887.</t>
        </is>
      </c>
      <c r="AF92" s="31" t="inlineStr">
        <is>
          <t>Learned model; shadow-qualified via operator override.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wnba-atl</t>
        </is>
      </c>
      <c r="AQ92" s="24" t="inlineStr">
        <is>
          <t>Atlanta Dream</t>
        </is>
      </c>
      <c r="AR92" s="24" t="inlineStr">
        <is>
          <t>Atlanta Dream</t>
        </is>
      </c>
      <c r="AS92" s="24" t="inlineStr">
        <is>
          <t>wnba-las</t>
        </is>
      </c>
      <c r="AT92" s="24" t="inlineStr">
        <is>
          <t>Los Angeles Sparks</t>
        </is>
      </c>
      <c r="AU92" s="24" t="inlineStr">
        <is>
          <t>Los Angeles Sparks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7afd5274214b58b7efd7f7febc7be3ab33b92351cda5cc6403c0a39faea0cc8c</t>
        </is>
      </c>
      <c r="BB92" s="24" t="inlineStr">
        <is>
          <t>learned_lr</t>
        </is>
      </c>
      <c r="BC92" s="24" t="inlineStr">
        <is>
          <t>wnba-elo-trend-lr-v4</t>
        </is>
      </c>
      <c r="BD92" s="24" t="inlineStr">
        <is>
          <t>7afd5274214b58b7efd7f7febc7be3ab33b92351cda5cc6403c0a39faea0cc8c</t>
        </is>
      </c>
      <c r="BE92" s="24" t="inlineStr">
        <is>
          <t>0701c5de82192b47</t>
        </is>
      </c>
      <c r="BF92" s="24" t="inlineStr">
        <is>
          <t>1</t>
        </is>
      </c>
      <c r="BG92" s="24" t="inlineStr">
        <is>
          <t>wnba-elo-trend-lr-v4</t>
        </is>
      </c>
      <c r="BH92" s="24" t="inlineStr">
        <is>
          <t>2026-08-25T01:14:24.268665Z</t>
        </is>
      </c>
      <c r="BI92" s="24" t="inlineStr">
        <is>
          <t>["same_event","same_team_same_day","same_league_same_day"]</t>
        </is>
      </c>
      <c r="BJ92" s="25" t="n"/>
      <c r="BK92" s="26" t="n">
        <v>-614</v>
      </c>
      <c r="BL92" s="27" t="n">
        <v>1.162866</v>
      </c>
      <c r="BM92" s="28" t="n">
        <v>0.859944</v>
      </c>
      <c r="BN92" s="28" t="n">
        <v>0.851485</v>
      </c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inlineStr">
        <is>
          <t>0.2508422553</t>
        </is>
      </c>
      <c r="CD92" s="24" t="inlineStr">
        <is>
          <t>-11.579795</t>
        </is>
      </c>
      <c r="CE92" s="24" t="n"/>
      <c r="CF92" s="24" t="n"/>
      <c r="CG92" s="24" t="n"/>
      <c r="CH92" s="24" t="n"/>
      <c r="CI92" s="24" t="n"/>
      <c r="CJ92" s="24" t="inlineStr">
        <is>
          <t>2.289537</t>
        </is>
      </c>
      <c r="CK92" s="24" t="n"/>
      <c r="CL92" s="24" t="n"/>
      <c r="CM92" s="24" t="n"/>
      <c r="CN92" s="24" t="n"/>
      <c r="CO92" s="24" t="n"/>
      <c r="CP92" s="24" t="n"/>
      <c r="CQ92" s="24" t="n"/>
      <c r="CR92" s="24" t="inlineStr">
        <is>
          <t>0.671292</t>
        </is>
      </c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inlineStr">
        <is>
          <t>2026-08-25T01:14:24.268665Z</t>
        </is>
      </c>
      <c r="CZ92" s="24" t="inlineStr">
        <is>
          <t>True</t>
        </is>
      </c>
      <c r="DA92" s="24" t="inlineStr">
        <is>
          <t>polymarket_us</t>
        </is>
      </c>
      <c r="DB92" s="24" t="inlineStr">
        <is>
          <t>decision_time_executable_quote</t>
        </is>
      </c>
      <c r="DC92" s="24" t="inlineStr">
        <is>
          <t>False</t>
        </is>
      </c>
      <c r="DD92" s="24" t="inlineStr">
        <is>
          <t>4e1c5e2b540890946d98268e143cd2da4b1139d7b9ea01e4e155922f10081148</t>
        </is>
      </c>
      <c r="DE92" s="24" t="inlineStr">
        <is>
          <t>/Users/vincentc9002/model-prediction/data/odds/wnba/2026-08-24/polymarket_snapshots.jsonl</t>
        </is>
      </c>
      <c r="DF92" s="24" t="inlineStr">
        <is>
          <t>4e1c5e2b540890946d98268e143cd2da4b1139d7b9ea01e4e155922f10081148</t>
        </is>
      </c>
      <c r="DG92" s="24" t="n"/>
      <c r="DH92" s="24" t="n"/>
      <c r="DI92" s="24" t="n"/>
      <c r="DJ92" s="24" t="inlineStr">
        <is>
          <t>0.859944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94cb12d8a0074f80</t>
        </is>
      </c>
      <c r="B93" s="24" t="inlineStr">
        <is>
          <t>2026-08-25T13:30:45.999166Z</t>
        </is>
      </c>
      <c r="C93" s="24" t="inlineStr">
        <is>
          <t>2026-08-25T19:00:00-0400</t>
        </is>
      </c>
      <c r="D93" s="24" t="inlineStr">
        <is>
          <t>401857173</t>
        </is>
      </c>
      <c r="E93" s="24" t="inlineStr">
        <is>
          <t>WNBA</t>
        </is>
      </c>
      <c r="F93" s="24" t="inlineStr">
        <is>
          <t>Chicago Sky</t>
        </is>
      </c>
      <c r="G93" s="24" t="inlineStr">
        <is>
          <t>Connecticut Sun</t>
        </is>
      </c>
      <c r="H93" s="24" t="inlineStr">
        <is>
          <t>moneyline</t>
        </is>
      </c>
      <c r="I93" s="24" t="inlineStr">
        <is>
          <t>away</t>
        </is>
      </c>
      <c r="J93" s="25" t="n"/>
      <c r="K93" s="24" t="inlineStr">
        <is>
          <t>polymarket_us</t>
        </is>
      </c>
      <c r="L93" s="26" t="n">
        <v>-233</v>
      </c>
      <c r="M93" s="27" t="n">
        <v>1.429185</v>
      </c>
      <c r="N93" s="28" t="n">
        <v>0.6997</v>
      </c>
      <c r="O93" s="28" t="n">
        <v>0.555131</v>
      </c>
      <c r="P93" s="28" t="n"/>
      <c r="Q93" s="28" t="n">
        <v>-0.144569</v>
      </c>
      <c r="R93" s="26" t="n">
        <v>0</v>
      </c>
      <c r="S93" s="29" t="n">
        <v>1</v>
      </c>
      <c r="T93" s="24" t="inlineStr">
        <is>
          <t>wnba-elo-trend-lr-v4</t>
        </is>
      </c>
      <c r="U93" s="24" t="inlineStr">
        <is>
          <t>settled</t>
        </is>
      </c>
      <c r="V93" s="24" t="inlineStr">
        <is>
          <t>loss</t>
        </is>
      </c>
      <c r="W93" s="26" t="n">
        <v>81</v>
      </c>
      <c r="X93" s="26" t="n">
        <v>87</v>
      </c>
      <c r="Y93" s="25" t="n"/>
      <c r="Z93" s="26" t="n"/>
      <c r="AA93" s="28" t="n"/>
      <c r="AB93" s="28" t="n"/>
      <c r="AC93" s="30" t="n">
        <v>-1</v>
      </c>
      <c r="AD93" s="24" t="inlineStr">
        <is>
          <t>2026-08-26T12:30:32.218505Z</t>
        </is>
      </c>
      <c r="AE93" s="31" t="inlineStr">
        <is>
          <t>Learned LR call at threshold 0.5001; executable ask 0.7000 (aec-wnba-chi-conn-2026-08-25); model edge vs ask -0.1449. NOTE: NO_CALL_AVAILABILITY_SOURCE_CONFLICT unavailable for this game — defaulted to neutral, other features used normally.</t>
        </is>
      </c>
      <c r="AF93" s="31" t="inlineStr">
        <is>
          <t>Learned model; shadow-qualified via operator override.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wnba-chi</t>
        </is>
      </c>
      <c r="AQ93" s="24" t="inlineStr">
        <is>
          <t>Chicago Sky</t>
        </is>
      </c>
      <c r="AR93" s="24" t="inlineStr">
        <is>
          <t>Chicago Sky</t>
        </is>
      </c>
      <c r="AS93" s="24" t="inlineStr">
        <is>
          <t>wnba-con</t>
        </is>
      </c>
      <c r="AT93" s="24" t="inlineStr">
        <is>
          <t>Connecticut Sun</t>
        </is>
      </c>
      <c r="AU93" s="24" t="inlineStr">
        <is>
          <t>Connecticut Sun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7afd5274214b58b7efd7f7febc7be3ab33b92351cda5cc6403c0a39faea0cc8c</t>
        </is>
      </c>
      <c r="BB93" s="24" t="inlineStr">
        <is>
          <t>learned_lr</t>
        </is>
      </c>
      <c r="BC93" s="24" t="inlineStr">
        <is>
          <t>wnba-elo-trend-lr-v4</t>
        </is>
      </c>
      <c r="BD93" s="24" t="inlineStr">
        <is>
          <t>7afd5274214b58b7efd7f7febc7be3ab33b92351cda5cc6403c0a39faea0cc8c</t>
        </is>
      </c>
      <c r="BE93" s="24" t="inlineStr">
        <is>
          <t>77ae6b1b3c57abb3</t>
        </is>
      </c>
      <c r="BF93" s="24" t="inlineStr">
        <is>
          <t>1</t>
        </is>
      </c>
      <c r="BG93" s="24" t="inlineStr">
        <is>
          <t>wnba-elo-trend-lr-v4</t>
        </is>
      </c>
      <c r="BH93" s="24" t="inlineStr">
        <is>
          <t>2026-08-25T13:29:42.880444Z</t>
        </is>
      </c>
      <c r="BI93" s="24" t="inlineStr">
        <is>
          <t>["same_event","same_team_same_day","same_league_same_day"]</t>
        </is>
      </c>
      <c r="BJ93" s="25" t="n"/>
      <c r="BK93" s="26" t="n">
        <v>-233</v>
      </c>
      <c r="BL93" s="27" t="n">
        <v>1.429185</v>
      </c>
      <c r="BM93" s="28" t="n">
        <v>0.6997</v>
      </c>
      <c r="BN93" s="28" t="n">
        <v>0.693069</v>
      </c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inlineStr">
        <is>
          <t>0.4201328135</t>
        </is>
      </c>
      <c r="CD93" s="24" t="inlineStr">
        <is>
          <t>-5.585101</t>
        </is>
      </c>
      <c r="CE93" s="24" t="n"/>
      <c r="CF93" s="24" t="n"/>
      <c r="CG93" s="24" t="n"/>
      <c r="CH93" s="24" t="n"/>
      <c r="CI93" s="24" t="inlineStr">
        <is>
          <t>NO_CALL_AVAILABILITY_SOURCE_CONFLICT</t>
        </is>
      </c>
      <c r="CJ93" s="24" t="inlineStr">
        <is>
          <t>1.441875</t>
        </is>
      </c>
      <c r="CK93" s="24" t="n"/>
      <c r="CL93" s="24" t="n"/>
      <c r="CM93" s="24" t="n"/>
      <c r="CN93" s="24" t="n"/>
      <c r="CO93" s="24" t="n"/>
      <c r="CP93" s="24" t="n"/>
      <c r="CQ93" s="24" t="n"/>
      <c r="CR93" s="24" t="inlineStr">
        <is>
          <t>0.555131</t>
        </is>
      </c>
      <c r="CS93" s="24" t="inlineStr">
        <is>
          <t>False</t>
        </is>
      </c>
      <c r="CT93" s="24" t="n"/>
      <c r="CU93" s="24" t="n"/>
      <c r="CV93" s="24" t="n"/>
      <c r="CW93" s="24" t="n"/>
      <c r="CX93" s="24" t="n"/>
      <c r="CY93" s="24" t="inlineStr">
        <is>
          <t>2026-08-25T13:29:42.880444Z</t>
        </is>
      </c>
      <c r="CZ93" s="24" t="inlineStr">
        <is>
          <t>True</t>
        </is>
      </c>
      <c r="DA93" s="24" t="inlineStr">
        <is>
          <t>polymarket_us</t>
        </is>
      </c>
      <c r="DB93" s="24" t="inlineStr">
        <is>
          <t>decision_time_executable_quote</t>
        </is>
      </c>
      <c r="DC93" s="24" t="inlineStr">
        <is>
          <t>False</t>
        </is>
      </c>
      <c r="DD93" s="24" t="inlineStr">
        <is>
          <t>4eca9d4753315dcc28148120a8648a0047aa62f89f7d2c455df03e0a51013a1e</t>
        </is>
      </c>
      <c r="DE93" s="24" t="inlineStr">
        <is>
          <t>/Users/vincentc9002/model-prediction/data/odds/wnba/2026-08-25/polymarket_snapshots.jsonl</t>
        </is>
      </c>
      <c r="DF93" s="24" t="inlineStr">
        <is>
          <t>4eca9d4753315dcc28148120a8648a0047aa62f89f7d2c455df03e0a51013a1e</t>
        </is>
      </c>
      <c r="DG93" s="24" t="n"/>
      <c r="DH93" s="24" t="n"/>
      <c r="DI93" s="24" t="n"/>
      <c r="DJ93" s="24" t="inlineStr">
        <is>
          <t>0.6997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6f62fdd4355f46ed</t>
        </is>
      </c>
      <c r="B94" s="24" t="inlineStr">
        <is>
          <t>2026-08-25T13:30:45.999166Z</t>
        </is>
      </c>
      <c r="C94" s="24" t="inlineStr">
        <is>
          <t>2026-08-25T20:00:00-0400</t>
        </is>
      </c>
      <c r="D94" s="24" t="inlineStr">
        <is>
          <t>401857174</t>
        </is>
      </c>
      <c r="E94" s="24" t="inlineStr">
        <is>
          <t>WNBA</t>
        </is>
      </c>
      <c r="F94" s="24" t="inlineStr">
        <is>
          <t>Portland Fire</t>
        </is>
      </c>
      <c r="G94" s="24" t="inlineStr">
        <is>
          <t>Dallas Wings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-355</v>
      </c>
      <c r="M94" s="27" t="n">
        <v>1.28169</v>
      </c>
      <c r="N94" s="28" t="n">
        <v>0.78022</v>
      </c>
      <c r="O94" s="28" t="n">
        <v>0.710132</v>
      </c>
      <c r="P94" s="28" t="n"/>
      <c r="Q94" s="28" t="n">
        <v>-0.070088</v>
      </c>
      <c r="R94" s="26" t="n">
        <v>0</v>
      </c>
      <c r="S94" s="29" t="n">
        <v>1</v>
      </c>
      <c r="T94" s="24" t="inlineStr">
        <is>
          <t>wnba-elo-trend-lr-v4</t>
        </is>
      </c>
      <c r="U94" s="24" t="inlineStr">
        <is>
          <t>settled</t>
        </is>
      </c>
      <c r="V94" s="24" t="inlineStr">
        <is>
          <t>win</t>
        </is>
      </c>
      <c r="W94" s="26" t="n">
        <v>78</v>
      </c>
      <c r="X94" s="26" t="n">
        <v>96</v>
      </c>
      <c r="Y94" s="25" t="n"/>
      <c r="Z94" s="26" t="n"/>
      <c r="AA94" s="28" t="n"/>
      <c r="AB94" s="28" t="n"/>
      <c r="AC94" s="30" t="n">
        <v>0.2817</v>
      </c>
      <c r="AD94" s="24" t="inlineStr">
        <is>
          <t>2026-08-26T12:30:32.828058Z</t>
        </is>
      </c>
      <c r="AE94" s="31" t="inlineStr">
        <is>
          <t>Learned LR call at threshold 0.5001; executable ask 0.7800 (aec-wnba-por-dal-2026-08-25); model edge vs ask -0.0699.</t>
        </is>
      </c>
      <c r="AF94" s="31" t="inlineStr">
        <is>
          <t>Learned model; shadow-qualified via operator override.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wnba-por</t>
        </is>
      </c>
      <c r="AQ94" s="24" t="inlineStr">
        <is>
          <t>Portland Fire</t>
        </is>
      </c>
      <c r="AR94" s="24" t="inlineStr">
        <is>
          <t>Portland Fire</t>
        </is>
      </c>
      <c r="AS94" s="24" t="inlineStr">
        <is>
          <t>wnba-dal</t>
        </is>
      </c>
      <c r="AT94" s="24" t="inlineStr">
        <is>
          <t>Dallas Wings</t>
        </is>
      </c>
      <c r="AU94" s="24" t="inlineStr">
        <is>
          <t>Dallas Wings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7afd5274214b58b7efd7f7febc7be3ab33b92351cda5cc6403c0a39faea0cc8c</t>
        </is>
      </c>
      <c r="BB94" s="24" t="inlineStr">
        <is>
          <t>learned_lr</t>
        </is>
      </c>
      <c r="BC94" s="24" t="inlineStr">
        <is>
          <t>wnba-elo-trend-lr-v4</t>
        </is>
      </c>
      <c r="BD94" s="24" t="inlineStr">
        <is>
          <t>7afd5274214b58b7efd7f7febc7be3ab33b92351cda5cc6403c0a39faea0cc8c</t>
        </is>
      </c>
      <c r="BE94" s="24" t="inlineStr">
        <is>
          <t>04bd57e08a22a48c</t>
        </is>
      </c>
      <c r="BF94" s="24" t="inlineStr">
        <is>
          <t>1</t>
        </is>
      </c>
      <c r="BG94" s="24" t="inlineStr">
        <is>
          <t>wnba-elo-trend-lr-v4</t>
        </is>
      </c>
      <c r="BH94" s="24" t="inlineStr">
        <is>
          <t>2026-08-25T13:29:42.993713Z</t>
        </is>
      </c>
      <c r="BI94" s="24" t="inlineStr">
        <is>
          <t>["same_event","same_team_same_day","same_league_same_day"]</t>
        </is>
      </c>
      <c r="BJ94" s="25" t="n"/>
      <c r="BK94" s="26" t="n">
        <v>-355</v>
      </c>
      <c r="BL94" s="27" t="n">
        <v>1.28169</v>
      </c>
      <c r="BM94" s="28" t="n">
        <v>0.78022</v>
      </c>
      <c r="BN94" s="28" t="n">
        <v>0.772277</v>
      </c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inlineStr">
        <is>
          <t>0.787998779</t>
        </is>
      </c>
      <c r="CD94" s="24" t="inlineStr">
        <is>
          <t>-1.048521</t>
        </is>
      </c>
      <c r="CE94" s="24" t="n"/>
      <c r="CF94" s="24" t="n"/>
      <c r="CG94" s="24" t="n"/>
      <c r="CH94" s="24" t="n"/>
      <c r="CI94" s="24" t="n"/>
      <c r="CJ94" s="24" t="inlineStr">
        <is>
          <t>3.120341</t>
        </is>
      </c>
      <c r="CK94" s="24" t="n"/>
      <c r="CL94" s="24" t="n"/>
      <c r="CM94" s="24" t="n"/>
      <c r="CN94" s="24" t="n"/>
      <c r="CO94" s="24" t="n"/>
      <c r="CP94" s="24" t="n"/>
      <c r="CQ94" s="24" t="n"/>
      <c r="CR94" s="24" t="inlineStr">
        <is>
          <t>0.710132</t>
        </is>
      </c>
      <c r="CS94" s="24" t="inlineStr">
        <is>
          <t>False</t>
        </is>
      </c>
      <c r="CT94" s="24" t="n"/>
      <c r="CU94" s="24" t="n"/>
      <c r="CV94" s="24" t="n"/>
      <c r="CW94" s="24" t="n"/>
      <c r="CX94" s="24" t="n"/>
      <c r="CY94" s="24" t="inlineStr">
        <is>
          <t>2026-08-25T13:29:42.993713Z</t>
        </is>
      </c>
      <c r="CZ94" s="24" t="inlineStr">
        <is>
          <t>True</t>
        </is>
      </c>
      <c r="DA94" s="24" t="inlineStr">
        <is>
          <t>polymarket_us</t>
        </is>
      </c>
      <c r="DB94" s="24" t="inlineStr">
        <is>
          <t>decision_time_executable_quote</t>
        </is>
      </c>
      <c r="DC94" s="24" t="inlineStr">
        <is>
          <t>False</t>
        </is>
      </c>
      <c r="DD94" s="24" t="inlineStr">
        <is>
          <t>f29c04d1f2c2e3dc4b85ef032e45bdbe6aaced182dfd472d2a288729f6556240</t>
        </is>
      </c>
      <c r="DE94" s="24" t="inlineStr">
        <is>
          <t>/Users/vincentc9002/model-prediction/data/odds/wnba/2026-08-25/polymarket_snapshots.jsonl</t>
        </is>
      </c>
      <c r="DF94" s="24" t="inlineStr">
        <is>
          <t>f29c04d1f2c2e3dc4b85ef032e45bdbe6aaced182dfd472d2a288729f6556240</t>
        </is>
      </c>
      <c r="DG94" s="24" t="n"/>
      <c r="DH94" s="24" t="n"/>
      <c r="DI94" s="24" t="n"/>
      <c r="DJ94" s="24" t="inlineStr">
        <is>
          <t>0.78022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7671ed12a35c46b6</t>
        </is>
      </c>
      <c r="B95" s="24" t="inlineStr">
        <is>
          <t>2026-08-25T13:30:45.999166Z</t>
        </is>
      </c>
      <c r="C95" s="24" t="inlineStr">
        <is>
          <t>2026-08-25T22:00:00-0400</t>
        </is>
      </c>
      <c r="D95" s="24" t="inlineStr">
        <is>
          <t>401857175</t>
        </is>
      </c>
      <c r="E95" s="24" t="inlineStr">
        <is>
          <t>WNBA</t>
        </is>
      </c>
      <c r="F95" s="24" t="inlineStr">
        <is>
          <t>Washington Mystics</t>
        </is>
      </c>
      <c r="G95" s="24" t="inlineStr">
        <is>
          <t>Phoenix Mercury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-122</v>
      </c>
      <c r="M95" s="27" t="n">
        <v>1.819672</v>
      </c>
      <c r="N95" s="28" t="n">
        <v>0.54955</v>
      </c>
      <c r="O95" s="28" t="n">
        <v>0.6077939999999999</v>
      </c>
      <c r="P95" s="28" t="n"/>
      <c r="Q95" s="28" t="n">
        <v>0.058244</v>
      </c>
      <c r="R95" s="26" t="n">
        <v>52</v>
      </c>
      <c r="S95" s="29" t="n">
        <v>1</v>
      </c>
      <c r="T95" s="24" t="inlineStr">
        <is>
          <t>wnba-elo-trend-lr-v4</t>
        </is>
      </c>
      <c r="U95" s="24" t="inlineStr">
        <is>
          <t>settled</t>
        </is>
      </c>
      <c r="V95" s="24" t="inlineStr">
        <is>
          <t>win</t>
        </is>
      </c>
      <c r="W95" s="26" t="n">
        <v>94</v>
      </c>
      <c r="X95" s="26" t="n">
        <v>84</v>
      </c>
      <c r="Y95" s="25" t="n"/>
      <c r="Z95" s="26" t="n"/>
      <c r="AA95" s="28" t="n"/>
      <c r="AB95" s="28" t="n"/>
      <c r="AC95" s="30" t="n">
        <v>0.8197</v>
      </c>
      <c r="AD95" s="24" t="inlineStr">
        <is>
          <t>2026-08-26T12:30:33.372273Z</t>
        </is>
      </c>
      <c r="AE95" s="31" t="inlineStr">
        <is>
          <t>Learned LR call at threshold 0.5001; executable ask 0.5500 (aec-wnba-wsh-phx-2026-08-25); model edge vs ask +0.0578. NOTE: NO_CALL_AVAILABILITY_SOURCE_CONFLICT unavailable for this game — defaulted to neutral, other features used normally.</t>
        </is>
      </c>
      <c r="AF95" s="31" t="inlineStr">
        <is>
          <t>Learned model; shadow-qualified via operator override.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wnba-was</t>
        </is>
      </c>
      <c r="AQ95" s="24" t="inlineStr">
        <is>
          <t>Washington Mystics</t>
        </is>
      </c>
      <c r="AR95" s="24" t="inlineStr">
        <is>
          <t>Washington Mystics</t>
        </is>
      </c>
      <c r="AS95" s="24" t="inlineStr">
        <is>
          <t>wnba-phx</t>
        </is>
      </c>
      <c r="AT95" s="24" t="inlineStr">
        <is>
          <t>Phoenix Mercury</t>
        </is>
      </c>
      <c r="AU95" s="24" t="inlineStr">
        <is>
          <t>Phoenix Mercury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7afd5274214b58b7efd7f7febc7be3ab33b92351cda5cc6403c0a39faea0cc8c</t>
        </is>
      </c>
      <c r="BB95" s="24" t="inlineStr">
        <is>
          <t>learned_lr</t>
        </is>
      </c>
      <c r="BC95" s="24" t="inlineStr">
        <is>
          <t>wnba-elo-trend-lr-v4</t>
        </is>
      </c>
      <c r="BD95" s="24" t="inlineStr">
        <is>
          <t>7afd5274214b58b7efd7f7febc7be3ab33b92351cda5cc6403c0a39faea0cc8c</t>
        </is>
      </c>
      <c r="BE95" s="24" t="inlineStr">
        <is>
          <t>cfde5443c2d22fd4</t>
        </is>
      </c>
      <c r="BF95" s="24" t="inlineStr">
        <is>
          <t>1</t>
        </is>
      </c>
      <c r="BG95" s="24" t="inlineStr">
        <is>
          <t>wnba-elo-trend-lr-v4</t>
        </is>
      </c>
      <c r="BH95" s="24" t="inlineStr">
        <is>
          <t>2026-08-25T13:29:43.078408Z</t>
        </is>
      </c>
      <c r="BI95" s="24" t="inlineStr">
        <is>
          <t>["same_event","same_team_same_day","same_league_same_day"]</t>
        </is>
      </c>
      <c r="BJ95" s="25" t="n"/>
      <c r="BK95" s="26" t="n">
        <v>-122</v>
      </c>
      <c r="BL95" s="27" t="n">
        <v>1.819672</v>
      </c>
      <c r="BM95" s="28" t="n">
        <v>0.54955</v>
      </c>
      <c r="BN95" s="28" t="n">
        <v>0.544554</v>
      </c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inlineStr">
        <is>
          <t>0.3506916805</t>
        </is>
      </c>
      <c r="CD95" s="24" t="inlineStr">
        <is>
          <t>-3.812768</t>
        </is>
      </c>
      <c r="CE95" s="24" t="n"/>
      <c r="CF95" s="24" t="n"/>
      <c r="CG95" s="24" t="n"/>
      <c r="CH95" s="24" t="n"/>
      <c r="CI95" s="24" t="inlineStr">
        <is>
          <t>NO_CALL_AVAILABILITY_SOURCE_CONFLICT</t>
        </is>
      </c>
      <c r="CJ95" s="24" t="inlineStr">
        <is>
          <t>-2.983434</t>
        </is>
      </c>
      <c r="CK95" s="24" t="n"/>
      <c r="CL95" s="24" t="n"/>
      <c r="CM95" s="24" t="n"/>
      <c r="CN95" s="24" t="n"/>
      <c r="CO95" s="24" t="n"/>
      <c r="CP95" s="24" t="n"/>
      <c r="CQ95" s="24" t="n"/>
      <c r="CR95" s="24" t="inlineStr">
        <is>
          <t>0.607794</t>
        </is>
      </c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inlineStr">
        <is>
          <t>2026-08-25T13:29:43.078408Z</t>
        </is>
      </c>
      <c r="CZ95" s="24" t="inlineStr">
        <is>
          <t>True</t>
        </is>
      </c>
      <c r="DA95" s="24" t="inlineStr">
        <is>
          <t>polymarket_us</t>
        </is>
      </c>
      <c r="DB95" s="24" t="inlineStr">
        <is>
          <t>decision_time_executable_quote</t>
        </is>
      </c>
      <c r="DC95" s="24" t="inlineStr">
        <is>
          <t>False</t>
        </is>
      </c>
      <c r="DD95" s="24" t="inlineStr">
        <is>
          <t>e12a262cbfb6942ae92200b9d43bdfb889528c6bfe81586d3f779833ff7689ce</t>
        </is>
      </c>
      <c r="DE95" s="24" t="inlineStr">
        <is>
          <t>/Users/vincentc9002/model-prediction/data/odds/wnba/2026-08-25/polymarket_snapshots.jsonl</t>
        </is>
      </c>
      <c r="DF95" s="24" t="inlineStr">
        <is>
          <t>e12a262cbfb6942ae92200b9d43bdfb889528c6bfe81586d3f779833ff7689ce</t>
        </is>
      </c>
      <c r="DG95" s="24" t="n"/>
      <c r="DH95" s="24" t="n"/>
      <c r="DI95" s="24" t="n"/>
      <c r="DJ95" s="24" t="inlineStr">
        <is>
          <t>0.54955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57801a592d364021</t>
        </is>
      </c>
      <c r="B96" s="24" t="inlineStr">
        <is>
          <t>2026-08-25T13:31:47.671398Z</t>
        </is>
      </c>
      <c r="C96" s="24" t="inlineStr">
        <is>
          <t>2026-08-25T23:00Z</t>
        </is>
      </c>
      <c r="D96" s="24" t="inlineStr">
        <is>
          <t>401857173</t>
        </is>
      </c>
      <c r="E96" s="24" t="inlineStr">
        <is>
          <t>WNBA</t>
        </is>
      </c>
      <c r="F96" s="24" t="inlineStr">
        <is>
          <t>Chicago Sky</t>
        </is>
      </c>
      <c r="G96" s="24" t="inlineStr">
        <is>
          <t>Connecticut Sun</t>
        </is>
      </c>
      <c r="H96" s="24" t="inlineStr">
        <is>
          <t>spread</t>
        </is>
      </c>
      <c r="I96" s="24" t="inlineStr">
        <is>
          <t>home</t>
        </is>
      </c>
      <c r="J96" s="25" t="n">
        <v>5.5</v>
      </c>
      <c r="K96" s="24" t="inlineStr">
        <is>
          <t>polymarket_us</t>
        </is>
      </c>
      <c r="L96" s="26" t="n">
        <v>100</v>
      </c>
      <c r="M96" s="27" t="n">
        <v>2</v>
      </c>
      <c r="N96" s="28" t="n">
        <v>0.5</v>
      </c>
      <c r="O96" s="28" t="n">
        <v>0.691258</v>
      </c>
      <c r="P96" s="28" t="n">
        <v>0.03</v>
      </c>
      <c r="Q96" s="28" t="n">
        <v>0.191258</v>
      </c>
      <c r="R96" s="26" t="n">
        <v>100</v>
      </c>
      <c r="S96" s="29" t="n">
        <v>2</v>
      </c>
      <c r="T96" s="24" t="inlineStr">
        <is>
          <t>wnba-spread-margin-v1</t>
        </is>
      </c>
      <c r="U96" s="24" t="inlineStr">
        <is>
          <t>settled</t>
        </is>
      </c>
      <c r="V96" s="24" t="inlineStr">
        <is>
          <t>win</t>
        </is>
      </c>
      <c r="W96" s="26" t="n">
        <v>81</v>
      </c>
      <c r="X96" s="26" t="n">
        <v>87</v>
      </c>
      <c r="Y96" s="25" t="n"/>
      <c r="Z96" s="26" t="n"/>
      <c r="AA96" s="28" t="n"/>
      <c r="AB96" s="28" t="n"/>
      <c r="AC96" s="30" t="n">
        <v>2</v>
      </c>
      <c r="AD96" s="24" t="inlineStr">
        <is>
          <t>2026-08-26T12:31:34.908084Z</t>
        </is>
      </c>
      <c r="AE96" s="31" t="inlineStr">
        <is>
          <t>Projected margin -0.3 (home), sd 10.5. Executable ask 0.5000 (asc-wnba-chi-conn-2026-08-25-neg-5pt5).</t>
        </is>
      </c>
      <c r="AF96" s="31" t="inlineStr">
        <is>
          <t>Research-baseline margin-normal spread model; not yet locked-holdout qualified.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PAPER_CALL_MODEL_UNVALIDATED</t>
        </is>
      </c>
      <c r="AP96" s="24" t="inlineStr">
        <is>
          <t>wnba-chi</t>
        </is>
      </c>
      <c r="AQ96" s="24" t="inlineStr">
        <is>
          <t>Chicago Sky</t>
        </is>
      </c>
      <c r="AR96" s="24" t="inlineStr">
        <is>
          <t>Chicago Sky</t>
        </is>
      </c>
      <c r="AS96" s="24" t="inlineStr">
        <is>
          <t>wnba-con</t>
        </is>
      </c>
      <c r="AT96" s="24" t="inlineStr">
        <is>
          <t>Connecticut Sun</t>
        </is>
      </c>
      <c r="AU96" s="24" t="inlineStr">
        <is>
          <t>Connecticut Sun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23ba88bcc86a710d76233b349116f2eefe021a993d2d3b9102922e567a027b4c</t>
        </is>
      </c>
      <c r="BB96" s="24" t="inlineStr">
        <is>
          <t>margin_normal</t>
        </is>
      </c>
      <c r="BC96" s="24" t="inlineStr">
        <is>
          <t>wnba-spread-margin-v1</t>
        </is>
      </c>
      <c r="BD96" s="24" t="inlineStr">
        <is>
          <t>23ba88bcc86a710d76233b349116f2eefe021a993d2d3b9102922e567a027b4c</t>
        </is>
      </c>
      <c r="BE96" s="24" t="inlineStr">
        <is>
          <t>wnba-spread-margin-v1</t>
        </is>
      </c>
      <c r="BF96" s="24" t="inlineStr">
        <is>
          <t>1</t>
        </is>
      </c>
      <c r="BG96" s="24" t="inlineStr">
        <is>
          <t>23ba88bcc86a710d76233b349116f2eefe021a993d2d3b9102922e567a027b4c</t>
        </is>
      </c>
      <c r="BH96" s="24" t="inlineStr">
        <is>
          <t>2026-08-25T04:58:24.179335Z</t>
        </is>
      </c>
      <c r="BI96" s="24" t="inlineStr">
        <is>
          <t>["same_event","same_team_same_day","same_league_same_day"]</t>
        </is>
      </c>
      <c r="BJ96" s="25" t="n">
        <v>5.5</v>
      </c>
      <c r="BK96" s="26" t="n">
        <v>100</v>
      </c>
      <c r="BL96" s="27" t="n">
        <v>2</v>
      </c>
      <c r="BM96" s="28" t="n">
        <v>0.5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>
        <v>1</v>
      </c>
      <c r="BY96" s="27" t="n">
        <v>1</v>
      </c>
      <c r="BZ96" s="24" t="inlineStr">
        <is>
          <t>2026-08-26T12:31:34.908084Z</t>
        </is>
      </c>
      <c r="CA96" s="31" t="inlineStr">
        <is>
          <t>fixed one-unit hypothetical scoring; no real exposure or execution</t>
        </is>
      </c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inlineStr">
        <is>
          <t>2026-08-25T04:58:24.179335Z</t>
        </is>
      </c>
      <c r="CZ96" s="24" t="inlineStr">
        <is>
          <t>True</t>
        </is>
      </c>
      <c r="DA96" s="24" t="inlineStr">
        <is>
          <t>polymarket_us</t>
        </is>
      </c>
      <c r="DB96" s="24" t="inlineStr">
        <is>
          <t>decision_time_executable_quote</t>
        </is>
      </c>
      <c r="DC96" s="24" t="inlineStr">
        <is>
          <t>False</t>
        </is>
      </c>
      <c r="DD96" s="24" t="inlineStr">
        <is>
          <t>d3e29d44779efb8160275b2e36b028b5e1e81e87a06caec427f2e9b1a7239491</t>
        </is>
      </c>
      <c r="DE96" s="24" t="inlineStr">
        <is>
          <t>/Users/vincentc9002/model-prediction/data/odds/wnba/2026-08-25/polymarket_snapshots.jsonl</t>
        </is>
      </c>
      <c r="DF96" s="24" t="inlineStr">
        <is>
          <t>d3e29d44779efb8160275b2e36b028b5e1e81e87a06caec427f2e9b1a7239491</t>
        </is>
      </c>
      <c r="DG96" s="24" t="n"/>
      <c r="DH96" s="24" t="n"/>
      <c r="DI96" s="24" t="n"/>
      <c r="DJ96" s="24" t="inlineStr">
        <is>
          <t>0.5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82372cf63fc448c0</t>
        </is>
      </c>
      <c r="B97" s="24" t="inlineStr">
        <is>
          <t>2026-08-25T13:31:47.671398Z</t>
        </is>
      </c>
      <c r="C97" s="24" t="inlineStr">
        <is>
          <t>2026-08-26T00:00Z</t>
        </is>
      </c>
      <c r="D97" s="24" t="inlineStr">
        <is>
          <t>401857174</t>
        </is>
      </c>
      <c r="E97" s="24" t="inlineStr">
        <is>
          <t>WNBA</t>
        </is>
      </c>
      <c r="F97" s="24" t="inlineStr">
        <is>
          <t>Portland Fire</t>
        </is>
      </c>
      <c r="G97" s="24" t="inlineStr">
        <is>
          <t>Dallas Wings</t>
        </is>
      </c>
      <c r="H97" s="24" t="inlineStr">
        <is>
          <t>spread</t>
        </is>
      </c>
      <c r="I97" s="24" t="inlineStr">
        <is>
          <t>away</t>
        </is>
      </c>
      <c r="J97" s="25" t="n">
        <v>8.5</v>
      </c>
      <c r="K97" s="24" t="inlineStr">
        <is>
          <t>polymarket_us</t>
        </is>
      </c>
      <c r="L97" s="26" t="n">
        <v>100</v>
      </c>
      <c r="M97" s="27" t="n">
        <v>2</v>
      </c>
      <c r="N97" s="28" t="n">
        <v>0.5</v>
      </c>
      <c r="O97" s="28" t="n">
        <v>0.6644409999999999</v>
      </c>
      <c r="P97" s="28" t="n">
        <v>0.03</v>
      </c>
      <c r="Q97" s="28" t="n">
        <v>0.164441</v>
      </c>
      <c r="R97" s="26" t="n">
        <v>100</v>
      </c>
      <c r="S97" s="29" t="n">
        <v>2</v>
      </c>
      <c r="T97" s="24" t="inlineStr">
        <is>
          <t>wnba-spread-margin-v1</t>
        </is>
      </c>
      <c r="U97" s="24" t="inlineStr">
        <is>
          <t>settled</t>
        </is>
      </c>
      <c r="V97" s="24" t="inlineStr">
        <is>
          <t>loss</t>
        </is>
      </c>
      <c r="W97" s="26" t="n">
        <v>78</v>
      </c>
      <c r="X97" s="26" t="n">
        <v>96</v>
      </c>
      <c r="Y97" s="25" t="n"/>
      <c r="Z97" s="26" t="n"/>
      <c r="AA97" s="28" t="n"/>
      <c r="AB97" s="28" t="n"/>
      <c r="AC97" s="30" t="n">
        <v>-2</v>
      </c>
      <c r="AD97" s="24" t="inlineStr">
        <is>
          <t>2026-08-26T12:31:35.441000Z</t>
        </is>
      </c>
      <c r="AE97" s="31" t="inlineStr">
        <is>
          <t>Projected margin +4.0 (home), sd 10.5. Executable ask 0.5000 (asc-wnba-por-dal-2026-08-25-pos-8pt5).</t>
        </is>
      </c>
      <c r="AF97" s="31" t="inlineStr">
        <is>
          <t>Research-baseline margin-normal spread model; not yet locked-holdout qualified.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PAPER_CALL_MODEL_UNVALIDATED</t>
        </is>
      </c>
      <c r="AP97" s="24" t="inlineStr">
        <is>
          <t>wnba-por</t>
        </is>
      </c>
      <c r="AQ97" s="24" t="inlineStr">
        <is>
          <t>Portland Fire</t>
        </is>
      </c>
      <c r="AR97" s="24" t="inlineStr">
        <is>
          <t>Portland Fire</t>
        </is>
      </c>
      <c r="AS97" s="24" t="inlineStr">
        <is>
          <t>wnba-dal</t>
        </is>
      </c>
      <c r="AT97" s="24" t="inlineStr">
        <is>
          <t>Dallas Wings</t>
        </is>
      </c>
      <c r="AU97" s="24" t="inlineStr">
        <is>
          <t>Dallas Wings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23ba88bcc86a710d76233b349116f2eefe021a993d2d3b9102922e567a027b4c</t>
        </is>
      </c>
      <c r="BB97" s="24" t="inlineStr">
        <is>
          <t>margin_normal</t>
        </is>
      </c>
      <c r="BC97" s="24" t="inlineStr">
        <is>
          <t>wnba-spread-margin-v1</t>
        </is>
      </c>
      <c r="BD97" s="24" t="inlineStr">
        <is>
          <t>23ba88bcc86a710d76233b349116f2eefe021a993d2d3b9102922e567a027b4c</t>
        </is>
      </c>
      <c r="BE97" s="24" t="inlineStr">
        <is>
          <t>wnba-spread-margin-v1</t>
        </is>
      </c>
      <c r="BF97" s="24" t="inlineStr">
        <is>
          <t>1</t>
        </is>
      </c>
      <c r="BG97" s="24" t="inlineStr">
        <is>
          <t>23ba88bcc86a710d76233b349116f2eefe021a993d2d3b9102922e567a027b4c</t>
        </is>
      </c>
      <c r="BH97" s="24" t="inlineStr">
        <is>
          <t>2026-08-25T13:29:42.987142Z</t>
        </is>
      </c>
      <c r="BI97" s="24" t="inlineStr">
        <is>
          <t>["same_event","same_team_same_day","same_league_same_day"]</t>
        </is>
      </c>
      <c r="BJ97" s="25" t="n">
        <v>8.5</v>
      </c>
      <c r="BK97" s="26" t="n">
        <v>100</v>
      </c>
      <c r="BL97" s="27" t="n">
        <v>2</v>
      </c>
      <c r="BM97" s="28" t="n">
        <v>0.5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>
        <v>1</v>
      </c>
      <c r="BY97" s="27" t="n">
        <v>-1</v>
      </c>
      <c r="BZ97" s="24" t="inlineStr">
        <is>
          <t>2026-08-26T12:31:35.441000Z</t>
        </is>
      </c>
      <c r="CA97" s="31" t="inlineStr">
        <is>
          <t>fixed one-unit hypothetical scoring; no real exposure or execution</t>
        </is>
      </c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inlineStr">
        <is>
          <t>2026-08-25T13:29:42.987142Z</t>
        </is>
      </c>
      <c r="CZ97" s="24" t="inlineStr">
        <is>
          <t>True</t>
        </is>
      </c>
      <c r="DA97" s="24" t="inlineStr">
        <is>
          <t>polymarket_us</t>
        </is>
      </c>
      <c r="DB97" s="24" t="inlineStr">
        <is>
          <t>decision_time_executable_quote</t>
        </is>
      </c>
      <c r="DC97" s="24" t="inlineStr">
        <is>
          <t>False</t>
        </is>
      </c>
      <c r="DD97" s="24" t="inlineStr">
        <is>
          <t>405ab0d082dded5d349329deaf416fc0e85e3dbad6e6a81cab1268df7102d8ea</t>
        </is>
      </c>
      <c r="DE97" s="24" t="inlineStr">
        <is>
          <t>/Users/vincentc9002/model-prediction/data/odds/wnba/2026-08-25/polymarket_snapshots.jsonl</t>
        </is>
      </c>
      <c r="DF97" s="24" t="inlineStr">
        <is>
          <t>405ab0d082dded5d349329deaf416fc0e85e3dbad6e6a81cab1268df7102d8ea</t>
        </is>
      </c>
      <c r="DG97" s="24" t="n"/>
      <c r="DH97" s="24" t="n"/>
      <c r="DI97" s="24" t="n"/>
      <c r="DJ97" s="24" t="inlineStr">
        <is>
          <t>0.5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bd23f4c2fa6a4855</t>
        </is>
      </c>
      <c r="B98" s="24" t="inlineStr">
        <is>
          <t>2026-08-25T13:31:47.671398Z</t>
        </is>
      </c>
      <c r="C98" s="24" t="inlineStr">
        <is>
          <t>2026-08-26T02:00Z</t>
        </is>
      </c>
      <c r="D98" s="24" t="inlineStr">
        <is>
          <t>401857175</t>
        </is>
      </c>
      <c r="E98" s="24" t="inlineStr">
        <is>
          <t>WNBA</t>
        </is>
      </c>
      <c r="F98" s="24" t="inlineStr">
        <is>
          <t>Washington Mystics</t>
        </is>
      </c>
      <c r="G98" s="24" t="inlineStr">
        <is>
          <t>Phoenix Mercury</t>
        </is>
      </c>
      <c r="H98" s="24" t="inlineStr">
        <is>
          <t>spread</t>
        </is>
      </c>
      <c r="I98" s="24" t="inlineStr">
        <is>
          <t>home</t>
        </is>
      </c>
      <c r="J98" s="25" t="n">
        <v>1.5</v>
      </c>
      <c r="K98" s="24" t="inlineStr">
        <is>
          <t>polymarket_us</t>
        </is>
      </c>
      <c r="L98" s="26" t="n">
        <v>104</v>
      </c>
      <c r="M98" s="27" t="n">
        <v>2.04</v>
      </c>
      <c r="N98" s="28" t="n">
        <v>0.490196</v>
      </c>
      <c r="O98" s="28" t="n">
        <v>0.552114</v>
      </c>
      <c r="P98" s="28" t="n">
        <v>0.03</v>
      </c>
      <c r="Q98" s="28" t="n">
        <v>0.061918</v>
      </c>
      <c r="R98" s="26" t="n">
        <v>63</v>
      </c>
      <c r="S98" s="29" t="n">
        <v>1.25</v>
      </c>
      <c r="T98" s="24" t="inlineStr">
        <is>
          <t>wnba-spread-margin-v1</t>
        </is>
      </c>
      <c r="U98" s="24" t="inlineStr">
        <is>
          <t>settled</t>
        </is>
      </c>
      <c r="V98" s="24" t="inlineStr">
        <is>
          <t>loss</t>
        </is>
      </c>
      <c r="W98" s="26" t="n">
        <v>94</v>
      </c>
      <c r="X98" s="26" t="n">
        <v>84</v>
      </c>
      <c r="Y98" s="25" t="n"/>
      <c r="Z98" s="26" t="n"/>
      <c r="AA98" s="28" t="n"/>
      <c r="AB98" s="28" t="n"/>
      <c r="AC98" s="30" t="n">
        <v>-1.25</v>
      </c>
      <c r="AD98" s="24" t="inlineStr">
        <is>
          <t>2026-08-26T12:31:36.016979Z</t>
        </is>
      </c>
      <c r="AE98" s="31" t="inlineStr">
        <is>
          <t>Projected margin -0.1 (home), sd 10.5. Executable ask 0.4900 (asc-wnba-wsh-phx-2026-08-25-neg-1pt5).</t>
        </is>
      </c>
      <c r="AF98" s="31" t="inlineStr">
        <is>
          <t>Research-baseline margin-normal spread model; not yet locked-holdout qualified.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PAPER_CALL_MODEL_UNVALIDATED</t>
        </is>
      </c>
      <c r="AP98" s="24" t="inlineStr">
        <is>
          <t>wnba-was</t>
        </is>
      </c>
      <c r="AQ98" s="24" t="inlineStr">
        <is>
          <t>Washington Mystics</t>
        </is>
      </c>
      <c r="AR98" s="24" t="inlineStr">
        <is>
          <t>Washington Mystics</t>
        </is>
      </c>
      <c r="AS98" s="24" t="inlineStr">
        <is>
          <t>wnba-phx</t>
        </is>
      </c>
      <c r="AT98" s="24" t="inlineStr">
        <is>
          <t>Phoenix Mercury</t>
        </is>
      </c>
      <c r="AU98" s="24" t="inlineStr">
        <is>
          <t>Phoenix Mercury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23ba88bcc86a710d76233b349116f2eefe021a993d2d3b9102922e567a027b4c</t>
        </is>
      </c>
      <c r="BB98" s="24" t="inlineStr">
        <is>
          <t>margin_normal</t>
        </is>
      </c>
      <c r="BC98" s="24" t="inlineStr">
        <is>
          <t>wnba-spread-margin-v1</t>
        </is>
      </c>
      <c r="BD98" s="24" t="inlineStr">
        <is>
          <t>23ba88bcc86a710d76233b349116f2eefe021a993d2d3b9102922e567a027b4c</t>
        </is>
      </c>
      <c r="BE98" s="24" t="inlineStr">
        <is>
          <t>wnba-spread-margin-v1</t>
        </is>
      </c>
      <c r="BF98" s="24" t="inlineStr">
        <is>
          <t>1</t>
        </is>
      </c>
      <c r="BG98" s="24" t="inlineStr">
        <is>
          <t>23ba88bcc86a710d76233b349116f2eefe021a993d2d3b9102922e567a027b4c</t>
        </is>
      </c>
      <c r="BH98" s="24" t="inlineStr">
        <is>
          <t>2026-08-25T12:32:36.066789Z</t>
        </is>
      </c>
      <c r="BI98" s="24" t="inlineStr">
        <is>
          <t>["same_event","same_team_same_day","same_league_same_day"]</t>
        </is>
      </c>
      <c r="BJ98" s="25" t="n">
        <v>1.5</v>
      </c>
      <c r="BK98" s="26" t="n">
        <v>104</v>
      </c>
      <c r="BL98" s="27" t="n">
        <v>2.04</v>
      </c>
      <c r="BM98" s="28" t="n">
        <v>0.490196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>
        <v>1</v>
      </c>
      <c r="BY98" s="27" t="n">
        <v>-1</v>
      </c>
      <c r="BZ98" s="24" t="inlineStr">
        <is>
          <t>2026-08-26T12:31:36.016979Z</t>
        </is>
      </c>
      <c r="CA98" s="31" t="inlineStr">
        <is>
          <t>fixed one-unit hypothetical scoring; no real exposure or execution</t>
        </is>
      </c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inlineStr">
        <is>
          <t>2026-08-25T12:32:36.066789Z</t>
        </is>
      </c>
      <c r="CZ98" s="24" t="inlineStr">
        <is>
          <t>True</t>
        </is>
      </c>
      <c r="DA98" s="24" t="inlineStr">
        <is>
          <t>polymarket_us</t>
        </is>
      </c>
      <c r="DB98" s="24" t="inlineStr">
        <is>
          <t>decision_time_executable_quote</t>
        </is>
      </c>
      <c r="DC98" s="24" t="inlineStr">
        <is>
          <t>False</t>
        </is>
      </c>
      <c r="DD98" s="24" t="inlineStr">
        <is>
          <t>0bbab4403443c61a98d87bd11b6883ceb7a9012bed85d9533332a610477b9b63</t>
        </is>
      </c>
      <c r="DE98" s="24" t="inlineStr">
        <is>
          <t>/Users/vincentc9002/model-prediction/data/odds/wnba/2026-08-25/polymarket_snapshots.jsonl</t>
        </is>
      </c>
      <c r="DF98" s="24" t="inlineStr">
        <is>
          <t>0bbab4403443c61a98d87bd11b6883ceb7a9012bed85d9533332a610477b9b63</t>
        </is>
      </c>
      <c r="DG98" s="24" t="n"/>
      <c r="DH98" s="24" t="n"/>
      <c r="DI98" s="24" t="n"/>
      <c r="DJ98" s="24" t="inlineStr">
        <is>
          <t>0.490196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073e78d29e9b4386</t>
        </is>
      </c>
      <c r="B99" s="24" t="inlineStr">
        <is>
          <t>2026-08-26T22:17:16.514149Z</t>
        </is>
      </c>
      <c r="C99" s="24" t="inlineStr">
        <is>
          <t>2026-08-26T19:00:00-0400</t>
        </is>
      </c>
      <c r="D99" s="24" t="inlineStr">
        <is>
          <t>401857176</t>
        </is>
      </c>
      <c r="E99" s="24" t="inlineStr">
        <is>
          <t>WNBA</t>
        </is>
      </c>
      <c r="F99" s="24" t="inlineStr">
        <is>
          <t>Golden State Valkyries</t>
        </is>
      </c>
      <c r="G99" s="24" t="inlineStr">
        <is>
          <t>Connecticut Sun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-1011</v>
      </c>
      <c r="M99" s="27" t="n">
        <v>1.098912</v>
      </c>
      <c r="N99" s="28" t="n">
        <v>0.909991</v>
      </c>
      <c r="O99" s="28" t="n">
        <v>0.750957</v>
      </c>
      <c r="P99" s="28" t="n"/>
      <c r="Q99" s="28" t="n">
        <v>-0.159034</v>
      </c>
      <c r="R99" s="26" t="n">
        <v>0</v>
      </c>
      <c r="S99" s="29" t="n">
        <v>1</v>
      </c>
      <c r="T99" s="24" t="inlineStr">
        <is>
          <t>wnba-elo-trend-lr-v4</t>
        </is>
      </c>
      <c r="U99" s="24" t="inlineStr">
        <is>
          <t>settled</t>
        </is>
      </c>
      <c r="V99" s="24" t="inlineStr">
        <is>
          <t>win</t>
        </is>
      </c>
      <c r="W99" s="26" t="n">
        <v>89</v>
      </c>
      <c r="X99" s="26" t="n">
        <v>64</v>
      </c>
      <c r="Y99" s="25" t="n"/>
      <c r="Z99" s="26" t="n"/>
      <c r="AA99" s="28" t="n"/>
      <c r="AB99" s="28" t="n"/>
      <c r="AC99" s="30" t="n">
        <v>0.0989</v>
      </c>
      <c r="AD99" s="24" t="inlineStr">
        <is>
          <t>2026-08-27T03:37:49.997436Z</t>
        </is>
      </c>
      <c r="AE99" s="31" t="inlineStr">
        <is>
          <t>Learned LR call at threshold 0.5001; executable ask 0.9100 (aec-wnba-gsv-conn-2026-08-26); model edge vs ask -0.1590. NOTE: NO_CALL_AVAILABILITY_REPORT_INCOMPLETE unavailable for this game — defaulted to neutral, other features used normally.</t>
        </is>
      </c>
      <c r="AF99" s="31" t="inlineStr">
        <is>
          <t>Learned model; shadow-qualified via operator override.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4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wnba-gsv</t>
        </is>
      </c>
      <c r="AQ99" s="24" t="inlineStr">
        <is>
          <t>Golden State Valkyries</t>
        </is>
      </c>
      <c r="AR99" s="24" t="inlineStr">
        <is>
          <t>Golden State Valkyries</t>
        </is>
      </c>
      <c r="AS99" s="24" t="inlineStr">
        <is>
          <t>wnba-con</t>
        </is>
      </c>
      <c r="AT99" s="24" t="inlineStr">
        <is>
          <t>Connecticut Sun</t>
        </is>
      </c>
      <c r="AU99" s="24" t="inlineStr">
        <is>
          <t>Connecticut Sun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7afd5274214b58b7efd7f7febc7be3ab33b92351cda5cc6403c0a39faea0cc8c</t>
        </is>
      </c>
      <c r="BB99" s="24" t="inlineStr">
        <is>
          <t>learned_lr</t>
        </is>
      </c>
      <c r="BC99" s="24" t="inlineStr">
        <is>
          <t>wnba-elo-trend-lr-v4</t>
        </is>
      </c>
      <c r="BD99" s="24" t="inlineStr">
        <is>
          <t>7afd5274214b58b7efd7f7febc7be3ab33b92351cda5cc6403c0a39faea0cc8c</t>
        </is>
      </c>
      <c r="BE99" s="24" t="inlineStr">
        <is>
          <t>cfae4f7a0aeff4c8</t>
        </is>
      </c>
      <c r="BF99" s="24" t="inlineStr">
        <is>
          <t>1</t>
        </is>
      </c>
      <c r="BG99" s="24" t="inlineStr">
        <is>
          <t>wnba-elo-trend-lr-v4</t>
        </is>
      </c>
      <c r="BH99" s="24" t="inlineStr">
        <is>
          <t>2026-08-26T22:16:54.372116Z</t>
        </is>
      </c>
      <c r="BI99" s="24" t="inlineStr">
        <is>
          <t>["same_event","same_team_same_day","same_league_same_day"]</t>
        </is>
      </c>
      <c r="BJ99" s="25" t="n"/>
      <c r="BK99" s="26" t="n">
        <v>-1011</v>
      </c>
      <c r="BL99" s="27" t="n">
        <v>1.098912</v>
      </c>
      <c r="BM99" s="28" t="n">
        <v>0.909991</v>
      </c>
      <c r="BN99" s="28" t="n">
        <v>0.90099</v>
      </c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inlineStr">
        <is>
          <t>0.1469845305</t>
        </is>
      </c>
      <c r="CD99" s="24" t="inlineStr">
        <is>
          <t>0.016312</t>
        </is>
      </c>
      <c r="CE99" s="24" t="n"/>
      <c r="CF99" s="24" t="n"/>
      <c r="CG99" s="24" t="n"/>
      <c r="CH99" s="24" t="n"/>
      <c r="CI99" s="24" t="inlineStr">
        <is>
          <t>NO_CALL_AVAILABILITY_REPORT_INCOMPLETE</t>
        </is>
      </c>
      <c r="CJ99" s="24" t="inlineStr">
        <is>
          <t>-2.535326</t>
        </is>
      </c>
      <c r="CK99" s="24" t="n"/>
      <c r="CL99" s="24" t="n"/>
      <c r="CM99" s="24" t="n"/>
      <c r="CN99" s="24" t="n"/>
      <c r="CO99" s="24" t="n"/>
      <c r="CP99" s="24" t="n"/>
      <c r="CQ99" s="24" t="n"/>
      <c r="CR99" s="24" t="inlineStr">
        <is>
          <t>0.750957</t>
        </is>
      </c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inlineStr">
        <is>
          <t>2026-08-26T22:16:54.372116Z</t>
        </is>
      </c>
      <c r="CZ99" s="24" t="inlineStr">
        <is>
          <t>True</t>
        </is>
      </c>
      <c r="DA99" s="24" t="inlineStr">
        <is>
          <t>polymarket_us</t>
        </is>
      </c>
      <c r="DB99" s="24" t="inlineStr">
        <is>
          <t>decision_time_executable_quote</t>
        </is>
      </c>
      <c r="DC99" s="24" t="inlineStr">
        <is>
          <t>False</t>
        </is>
      </c>
      <c r="DD99" s="24" t="inlineStr">
        <is>
          <t>5ca9a384402490a36e11abfba26a4169c6950da6f8ad4a8a5069d1a5be98a355</t>
        </is>
      </c>
      <c r="DE99" s="24" t="inlineStr">
        <is>
          <t>/Users/vincentc9002/model-prediction/data/odds/wnba/2026-08-26/polymarket_snapshots.jsonl</t>
        </is>
      </c>
      <c r="DF99" s="24" t="inlineStr">
        <is>
          <t>5ca9a384402490a36e11abfba26a4169c6950da6f8ad4a8a5069d1a5be98a355</t>
        </is>
      </c>
      <c r="DG99" s="24" t="n"/>
      <c r="DH99" s="24" t="n"/>
      <c r="DI99" s="24" t="n"/>
      <c r="DJ99" s="24" t="inlineStr">
        <is>
          <t>0.909991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219e7a5cba5b4983</t>
        </is>
      </c>
      <c r="B100" s="24" t="inlineStr">
        <is>
          <t>2026-08-26T22:17:59.838227Z</t>
        </is>
      </c>
      <c r="C100" s="24" t="inlineStr">
        <is>
          <t>2026-08-26T23:00Z</t>
        </is>
      </c>
      <c r="D100" s="24" t="inlineStr">
        <is>
          <t>401857176</t>
        </is>
      </c>
      <c r="E100" s="24" t="inlineStr">
        <is>
          <t>WNBA</t>
        </is>
      </c>
      <c r="F100" s="24" t="inlineStr">
        <is>
          <t>Golden State Valkyries</t>
        </is>
      </c>
      <c r="G100" s="24" t="inlineStr">
        <is>
          <t>Connecticut Sun</t>
        </is>
      </c>
      <c r="H100" s="24" t="inlineStr">
        <is>
          <t>total</t>
        </is>
      </c>
      <c r="I100" s="24" t="inlineStr">
        <is>
          <t>over</t>
        </is>
      </c>
      <c r="J100" s="25" t="n">
        <v>153.5</v>
      </c>
      <c r="K100" s="24" t="inlineStr">
        <is>
          <t>polymarket_us</t>
        </is>
      </c>
      <c r="L100" s="26" t="n">
        <v>104</v>
      </c>
      <c r="M100" s="27" t="n">
        <v>2.04</v>
      </c>
      <c r="N100" s="28" t="n">
        <v>0.490196</v>
      </c>
      <c r="O100" s="28" t="n">
        <v>0.663386</v>
      </c>
      <c r="P100" s="28" t="n">
        <v>0.03</v>
      </c>
      <c r="Q100" s="28" t="n">
        <v>0.17319</v>
      </c>
      <c r="R100" s="26" t="n">
        <v>100</v>
      </c>
      <c r="S100" s="29" t="n">
        <v>2</v>
      </c>
      <c r="T100" s="24" t="inlineStr">
        <is>
          <t>wnba-total-margin-v1</t>
        </is>
      </c>
      <c r="U100" s="24" t="inlineStr">
        <is>
          <t>settled</t>
        </is>
      </c>
      <c r="V100" s="24" t="inlineStr">
        <is>
          <t>loss</t>
        </is>
      </c>
      <c r="W100" s="26" t="n">
        <v>89</v>
      </c>
      <c r="X100" s="26" t="n">
        <v>64</v>
      </c>
      <c r="Y100" s="25" t="n"/>
      <c r="Z100" s="26" t="n"/>
      <c r="AA100" s="28" t="n"/>
      <c r="AB100" s="28" t="n"/>
      <c r="AC100" s="30" t="n">
        <v>-2</v>
      </c>
      <c r="AD100" s="24" t="inlineStr">
        <is>
          <t>2026-08-27T03:39:14.139177Z</t>
        </is>
      </c>
      <c r="AE100" s="31" t="inlineStr">
        <is>
          <t>Projected total 159.8, sd 15.0. Executable ask 0.4900 (tsc-wnba-gsv-conn-2026-08-26-153pt5).</t>
        </is>
      </c>
      <c r="AF100" s="31" t="inlineStr">
        <is>
          <t>Research-baseline total model; not yet locked-holdout qualified.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PAPER_CALL_MODEL_UNVALIDATED</t>
        </is>
      </c>
      <c r="AP100" s="24" t="inlineStr">
        <is>
          <t>wnba-gsv</t>
        </is>
      </c>
      <c r="AQ100" s="24" t="inlineStr">
        <is>
          <t>Golden State Valkyries</t>
        </is>
      </c>
      <c r="AR100" s="24" t="inlineStr">
        <is>
          <t>Golden State Valkyries</t>
        </is>
      </c>
      <c r="AS100" s="24" t="inlineStr">
        <is>
          <t>wnba-con</t>
        </is>
      </c>
      <c r="AT100" s="24" t="inlineStr">
        <is>
          <t>Connecticut Sun</t>
        </is>
      </c>
      <c r="AU100" s="24" t="inlineStr">
        <is>
          <t>Connecticut Sun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113e1744e564570dce943be22f4609ea073b2c634f9429475f4ee76e24e2f9c8</t>
        </is>
      </c>
      <c r="BB100" s="24" t="inlineStr">
        <is>
          <t>total_normal</t>
        </is>
      </c>
      <c r="BC100" s="24" t="inlineStr">
        <is>
          <t>wnba-total-margin-v1</t>
        </is>
      </c>
      <c r="BD100" s="24" t="inlineStr">
        <is>
          <t>113e1744e564570dce943be22f4609ea073b2c634f9429475f4ee76e24e2f9c8</t>
        </is>
      </c>
      <c r="BE100" s="24" t="inlineStr">
        <is>
          <t>wnba-total-margin-v1</t>
        </is>
      </c>
      <c r="BF100" s="24" t="inlineStr">
        <is>
          <t>1</t>
        </is>
      </c>
      <c r="BG100" s="24" t="inlineStr">
        <is>
          <t>113e1744e564570dce943be22f4609ea073b2c634f9429475f4ee76e24e2f9c8</t>
        </is>
      </c>
      <c r="BH100" s="24" t="inlineStr">
        <is>
          <t>2026-08-26T22:16:54.382439Z</t>
        </is>
      </c>
      <c r="BI100" s="24" t="inlineStr">
        <is>
          <t>["same_event","same_team_same_day","same_league_same_day"]</t>
        </is>
      </c>
      <c r="BJ100" s="25" t="n">
        <v>153.5</v>
      </c>
      <c r="BK100" s="26" t="n">
        <v>104</v>
      </c>
      <c r="BL100" s="27" t="n">
        <v>2.04</v>
      </c>
      <c r="BM100" s="28" t="n">
        <v>0.490196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>
        <v>1</v>
      </c>
      <c r="BY100" s="27" t="n">
        <v>-1</v>
      </c>
      <c r="BZ100" s="24" t="inlineStr">
        <is>
          <t>2026-08-27T03:39:14.139177Z</t>
        </is>
      </c>
      <c r="CA100" s="31" t="inlineStr">
        <is>
          <t>fixed one-unit hypothetical scoring; no real exposure or execution</t>
        </is>
      </c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inlineStr">
        <is>
          <t>2026-08-26T22:16:54.382439Z</t>
        </is>
      </c>
      <c r="CZ100" s="24" t="inlineStr">
        <is>
          <t>True</t>
        </is>
      </c>
      <c r="DA100" s="24" t="inlineStr">
        <is>
          <t>polymarket_us</t>
        </is>
      </c>
      <c r="DB100" s="24" t="inlineStr">
        <is>
          <t>decision_time_executable_quote</t>
        </is>
      </c>
      <c r="DC100" s="24" t="inlineStr">
        <is>
          <t>False</t>
        </is>
      </c>
      <c r="DD100" s="24" t="inlineStr">
        <is>
          <t>3fd8ad21a03387e295f21d664cba8c6bc6f31445e9bf1c259777db9c6ba03410</t>
        </is>
      </c>
      <c r="DE100" s="24" t="inlineStr">
        <is>
          <t>/Users/vincentc9002/model-prediction/data/odds/wnba/2026-08-26/polymarket_snapshots.jsonl</t>
        </is>
      </c>
      <c r="DF100" s="24" t="inlineStr">
        <is>
          <t>3fd8ad21a03387e295f21d664cba8c6bc6f31445e9bf1c259777db9c6ba03410</t>
        </is>
      </c>
      <c r="DG100" s="24" t="n"/>
      <c r="DH100" s="24" t="n"/>
      <c r="DI100" s="24" t="n"/>
      <c r="DJ100" s="24" t="inlineStr">
        <is>
          <t>0.490196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7a8da42b382346c5</t>
        </is>
      </c>
      <c r="B101" s="24" t="inlineStr">
        <is>
          <t>2026-08-26T22:17:59.847537Z</t>
        </is>
      </c>
      <c r="C101" s="24" t="inlineStr">
        <is>
          <t>2026-08-26T23:00Z</t>
        </is>
      </c>
      <c r="D101" s="24" t="inlineStr">
        <is>
          <t>401857176</t>
        </is>
      </c>
      <c r="E101" s="24" t="inlineStr">
        <is>
          <t>WNBA</t>
        </is>
      </c>
      <c r="F101" s="24" t="inlineStr">
        <is>
          <t>Golden State Valkyries</t>
        </is>
      </c>
      <c r="G101" s="24" t="inlineStr">
        <is>
          <t>Connecticut Sun</t>
        </is>
      </c>
      <c r="H101" s="24" t="inlineStr">
        <is>
          <t>spread</t>
        </is>
      </c>
      <c r="I101" s="24" t="inlineStr">
        <is>
          <t>home</t>
        </is>
      </c>
      <c r="J101" s="25" t="n">
        <v>13.5</v>
      </c>
      <c r="K101" s="24" t="inlineStr">
        <is>
          <t>polymarket_us</t>
        </is>
      </c>
      <c r="L101" s="26" t="n">
        <v>100</v>
      </c>
      <c r="M101" s="27" t="n">
        <v>2</v>
      </c>
      <c r="N101" s="28" t="n">
        <v>0.5</v>
      </c>
      <c r="O101" s="28" t="n">
        <v>0.828981</v>
      </c>
      <c r="P101" s="28" t="n">
        <v>0.03</v>
      </c>
      <c r="Q101" s="28" t="n">
        <v>0.328981</v>
      </c>
      <c r="R101" s="26" t="n">
        <v>100</v>
      </c>
      <c r="S101" s="29" t="n">
        <v>2</v>
      </c>
      <c r="T101" s="24" t="inlineStr">
        <is>
          <t>wnba-spread-margin-v1</t>
        </is>
      </c>
      <c r="U101" s="24" t="inlineStr">
        <is>
          <t>settled</t>
        </is>
      </c>
      <c r="V101" s="24" t="inlineStr">
        <is>
          <t>loss</t>
        </is>
      </c>
      <c r="W101" s="26" t="n">
        <v>89</v>
      </c>
      <c r="X101" s="26" t="n">
        <v>64</v>
      </c>
      <c r="Y101" s="25" t="n"/>
      <c r="Z101" s="26" t="n"/>
      <c r="AA101" s="28" t="n"/>
      <c r="AB101" s="28" t="n"/>
      <c r="AC101" s="30" t="n">
        <v>-2</v>
      </c>
      <c r="AD101" s="24" t="inlineStr">
        <is>
          <t>2026-08-27T03:39:15.209011Z</t>
        </is>
      </c>
      <c r="AE101" s="31" t="inlineStr">
        <is>
          <t>Projected margin -3.5 (home), sd 10.5. Executable ask 0.5000 (asc-wnba-gsv-conn-2026-08-26-neg-13pt5).</t>
        </is>
      </c>
      <c r="AF101" s="31" t="inlineStr">
        <is>
          <t>Research-baseline margin-normal spread model; not yet locked-holdout qualified.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PAPER_CALL_MODEL_UNVALIDATED</t>
        </is>
      </c>
      <c r="AP101" s="24" t="inlineStr">
        <is>
          <t>wnba-gsv</t>
        </is>
      </c>
      <c r="AQ101" s="24" t="inlineStr">
        <is>
          <t>Golden State Valkyries</t>
        </is>
      </c>
      <c r="AR101" s="24" t="inlineStr">
        <is>
          <t>Golden State Valkyries</t>
        </is>
      </c>
      <c r="AS101" s="24" t="inlineStr">
        <is>
          <t>wnba-con</t>
        </is>
      </c>
      <c r="AT101" s="24" t="inlineStr">
        <is>
          <t>Connecticut Sun</t>
        </is>
      </c>
      <c r="AU101" s="24" t="inlineStr">
        <is>
          <t>Connecticut Sun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23ba88bcc86a710d76233b349116f2eefe021a993d2d3b9102922e567a027b4c</t>
        </is>
      </c>
      <c r="BB101" s="24" t="inlineStr">
        <is>
          <t>margin_normal</t>
        </is>
      </c>
      <c r="BC101" s="24" t="inlineStr">
        <is>
          <t>wnba-spread-margin-v1</t>
        </is>
      </c>
      <c r="BD101" s="24" t="inlineStr">
        <is>
          <t>23ba88bcc86a710d76233b349116f2eefe021a993d2d3b9102922e567a027b4c</t>
        </is>
      </c>
      <c r="BE101" s="24" t="inlineStr">
        <is>
          <t>wnba-spread-margin-v1</t>
        </is>
      </c>
      <c r="BF101" s="24" t="inlineStr">
        <is>
          <t>1</t>
        </is>
      </c>
      <c r="BG101" s="24" t="inlineStr">
        <is>
          <t>23ba88bcc86a710d76233b349116f2eefe021a993d2d3b9102922e567a027b4c</t>
        </is>
      </c>
      <c r="BH101" s="24" t="inlineStr">
        <is>
          <t>2026-08-26T12:42:14.292294Z</t>
        </is>
      </c>
      <c r="BI101" s="24" t="inlineStr">
        <is>
          <t>["same_event","same_team_same_day","same_league_same_day"]</t>
        </is>
      </c>
      <c r="BJ101" s="25" t="n">
        <v>13.5</v>
      </c>
      <c r="BK101" s="26" t="n">
        <v>100</v>
      </c>
      <c r="BL101" s="27" t="n">
        <v>2</v>
      </c>
      <c r="BM101" s="28" t="n">
        <v>0.5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>
        <v>1</v>
      </c>
      <c r="BY101" s="27" t="n">
        <v>-1</v>
      </c>
      <c r="BZ101" s="24" t="inlineStr">
        <is>
          <t>2026-08-27T03:39:15.209011Z</t>
        </is>
      </c>
      <c r="CA101" s="31" t="inlineStr">
        <is>
          <t>fixed one-unit hypothetical scoring; no real exposure or execution</t>
        </is>
      </c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inlineStr">
        <is>
          <t>2026-08-26T12:42:14.292294Z</t>
        </is>
      </c>
      <c r="CZ101" s="24" t="inlineStr">
        <is>
          <t>True</t>
        </is>
      </c>
      <c r="DA101" s="24" t="inlineStr">
        <is>
          <t>polymarket_us</t>
        </is>
      </c>
      <c r="DB101" s="24" t="inlineStr">
        <is>
          <t>decision_time_executable_quote</t>
        </is>
      </c>
      <c r="DC101" s="24" t="inlineStr">
        <is>
          <t>False</t>
        </is>
      </c>
      <c r="DD101" s="24" t="inlineStr">
        <is>
          <t>15e830f9e8b4bfa8f7e6ef2843d9f607e63532c2f12ae7215da2fc5457537f1a</t>
        </is>
      </c>
      <c r="DE101" s="24" t="inlineStr">
        <is>
          <t>/Users/vincentc9002/model-prediction/data/odds/wnba/2026-08-26/polymarket_snapshots.jsonl</t>
        </is>
      </c>
      <c r="DF101" s="24" t="inlineStr">
        <is>
          <t>15e830f9e8b4bfa8f7e6ef2843d9f607e63532c2f12ae7215da2fc5457537f1a</t>
        </is>
      </c>
      <c r="DG101" s="24" t="n"/>
      <c r="DH101" s="24" t="n"/>
      <c r="DI101" s="24" t="n"/>
      <c r="DJ101" s="24" t="inlineStr">
        <is>
          <t>0.5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ea16002c67a04a12</t>
        </is>
      </c>
      <c r="B102" s="24" t="inlineStr">
        <is>
          <t>2026-08-27T00:43:41.903363Z</t>
        </is>
      </c>
      <c r="C102" s="24" t="inlineStr">
        <is>
          <t>2026-08-26T22:00:00-0400</t>
        </is>
      </c>
      <c r="D102" s="24" t="inlineStr">
        <is>
          <t>401857177</t>
        </is>
      </c>
      <c r="E102" s="24" t="inlineStr">
        <is>
          <t>WNBA</t>
        </is>
      </c>
      <c r="F102" s="24" t="inlineStr">
        <is>
          <t>Toronto Tempo</t>
        </is>
      </c>
      <c r="G102" s="24" t="inlineStr">
        <is>
          <t>Seattle Storm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-257</v>
      </c>
      <c r="M102" s="27" t="n">
        <v>1.389105</v>
      </c>
      <c r="N102" s="28" t="n">
        <v>0.719888</v>
      </c>
      <c r="O102" s="28" t="n">
        <v>0.588544</v>
      </c>
      <c r="P102" s="28" t="n"/>
      <c r="Q102" s="28" t="n">
        <v>-0.131344</v>
      </c>
      <c r="R102" s="26" t="n">
        <v>0</v>
      </c>
      <c r="S102" s="29" t="n">
        <v>1</v>
      </c>
      <c r="T102" s="24" t="inlineStr">
        <is>
          <t>wnba-elo-trend-lr-v4</t>
        </is>
      </c>
      <c r="U102" s="24" t="inlineStr">
        <is>
          <t>settled</t>
        </is>
      </c>
      <c r="V102" s="24" t="inlineStr">
        <is>
          <t>win</t>
        </is>
      </c>
      <c r="W102" s="26" t="n">
        <v>78</v>
      </c>
      <c r="X102" s="26" t="n">
        <v>90</v>
      </c>
      <c r="Y102" s="25" t="n"/>
      <c r="Z102" s="26" t="n"/>
      <c r="AA102" s="28" t="n"/>
      <c r="AB102" s="28" t="n"/>
      <c r="AC102" s="30" t="n">
        <v>0.3891</v>
      </c>
      <c r="AD102" s="24" t="inlineStr">
        <is>
          <t>2026-08-27T12:30:08.146184Z</t>
        </is>
      </c>
      <c r="AE102" s="31" t="inlineStr">
        <is>
          <t>Learned LR call at threshold 0.5001; executable ask 0.7200 (aec-wnba-tor-sea-2026-08-26); model edge vs ask -0.1315. NOTE: NO_CALL_AVAILABILITY_SOURCE_CONFLICT unavailable for this game — defaulted to neutral, other features used normally.</t>
        </is>
      </c>
      <c r="AF102" s="31" t="inlineStr">
        <is>
          <t>Learned model; shadow-qualified via operator override.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4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wnba-tor</t>
        </is>
      </c>
      <c r="AQ102" s="24" t="inlineStr">
        <is>
          <t>Toronto Tempo</t>
        </is>
      </c>
      <c r="AR102" s="24" t="inlineStr">
        <is>
          <t>Toronto Tempo</t>
        </is>
      </c>
      <c r="AS102" s="24" t="inlineStr">
        <is>
          <t>wnba-sea</t>
        </is>
      </c>
      <c r="AT102" s="24" t="inlineStr">
        <is>
          <t>Seattle Storm</t>
        </is>
      </c>
      <c r="AU102" s="24" t="inlineStr">
        <is>
          <t>Seattle Storm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7afd5274214b58b7efd7f7febc7be3ab33b92351cda5cc6403c0a39faea0cc8c</t>
        </is>
      </c>
      <c r="BB102" s="24" t="inlineStr">
        <is>
          <t>learned_lr</t>
        </is>
      </c>
      <c r="BC102" s="24" t="inlineStr">
        <is>
          <t>wnba-elo-trend-lr-v4</t>
        </is>
      </c>
      <c r="BD102" s="24" t="inlineStr">
        <is>
          <t>7afd5274214b58b7efd7f7febc7be3ab33b92351cda5cc6403c0a39faea0cc8c</t>
        </is>
      </c>
      <c r="BE102" s="24" t="inlineStr">
        <is>
          <t>19604207b2dd3861</t>
        </is>
      </c>
      <c r="BF102" s="24" t="inlineStr">
        <is>
          <t>1</t>
        </is>
      </c>
      <c r="BG102" s="24" t="inlineStr">
        <is>
          <t>wnba-elo-trend-lr-v4</t>
        </is>
      </c>
      <c r="BH102" s="24" t="inlineStr">
        <is>
          <t>2026-08-27T00:43:23.499459Z</t>
        </is>
      </c>
      <c r="BI102" s="24" t="inlineStr">
        <is>
          <t>["same_event","same_team_same_day","same_league_same_day"]</t>
        </is>
      </c>
      <c r="BJ102" s="25" t="n"/>
      <c r="BK102" s="26" t="n">
        <v>-257</v>
      </c>
      <c r="BL102" s="27" t="n">
        <v>1.389105</v>
      </c>
      <c r="BM102" s="28" t="n">
        <v>0.719888</v>
      </c>
      <c r="BN102" s="28" t="n">
        <v>0.712871</v>
      </c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inlineStr">
        <is>
          <t>0.6125963519</t>
        </is>
      </c>
      <c r="CD102" s="24" t="inlineStr">
        <is>
          <t>0.939402</t>
        </is>
      </c>
      <c r="CE102" s="24" t="n"/>
      <c r="CF102" s="24" t="n"/>
      <c r="CG102" s="24" t="n"/>
      <c r="CH102" s="24" t="n"/>
      <c r="CI102" s="24" t="inlineStr">
        <is>
          <t>NO_CALL_AVAILABILITY_SOURCE_CONFLICT</t>
        </is>
      </c>
      <c r="CJ102" s="24" t="inlineStr">
        <is>
          <t>-5.43468</t>
        </is>
      </c>
      <c r="CK102" s="24" t="n"/>
      <c r="CL102" s="24" t="n"/>
      <c r="CM102" s="24" t="n"/>
      <c r="CN102" s="24" t="n"/>
      <c r="CO102" s="24" t="n"/>
      <c r="CP102" s="24" t="n"/>
      <c r="CQ102" s="24" t="n"/>
      <c r="CR102" s="24" t="inlineStr">
        <is>
          <t>0.588544</t>
        </is>
      </c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inlineStr">
        <is>
          <t>2026-08-27T00:43:23.499459Z</t>
        </is>
      </c>
      <c r="CZ102" s="24" t="inlineStr">
        <is>
          <t>True</t>
        </is>
      </c>
      <c r="DA102" s="24" t="inlineStr">
        <is>
          <t>polymarket_us</t>
        </is>
      </c>
      <c r="DB102" s="24" t="inlineStr">
        <is>
          <t>decision_time_executable_quote</t>
        </is>
      </c>
      <c r="DC102" s="24" t="inlineStr">
        <is>
          <t>False</t>
        </is>
      </c>
      <c r="DD102" s="24" t="inlineStr">
        <is>
          <t>7c7c1931d6c80c2972d29ced6ab90ff447f86b875e8c0e7071fc9884885efb9e</t>
        </is>
      </c>
      <c r="DE102" s="24" t="inlineStr">
        <is>
          <t>/Users/vincentc9002/model-prediction/data/odds/wnba/2026-08-26/polymarket_snapshots.jsonl</t>
        </is>
      </c>
      <c r="DF102" s="24" t="inlineStr">
        <is>
          <t>7c7c1931d6c80c2972d29ced6ab90ff447f86b875e8c0e7071fc9884885efb9e</t>
        </is>
      </c>
      <c r="DG102" s="24" t="n"/>
      <c r="DH102" s="24" t="n"/>
      <c r="DI102" s="24" t="n"/>
      <c r="DJ102" s="24" t="inlineStr">
        <is>
          <t>0.719888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7472db8a1b7b42bb</t>
        </is>
      </c>
      <c r="B103" s="24" t="inlineStr">
        <is>
          <t>2026-08-27T00:43:54.634274Z</t>
        </is>
      </c>
      <c r="C103" s="24" t="inlineStr">
        <is>
          <t>2026-08-27T02:00Z</t>
        </is>
      </c>
      <c r="D103" s="24" t="inlineStr">
        <is>
          <t>401857177</t>
        </is>
      </c>
      <c r="E103" s="24" t="inlineStr">
        <is>
          <t>WNBA</t>
        </is>
      </c>
      <c r="F103" s="24" t="inlineStr">
        <is>
          <t>Toronto Tempo</t>
        </is>
      </c>
      <c r="G103" s="24" t="inlineStr">
        <is>
          <t>Seattle Storm</t>
        </is>
      </c>
      <c r="H103" s="24" t="inlineStr">
        <is>
          <t>spread</t>
        </is>
      </c>
      <c r="I103" s="24" t="inlineStr">
        <is>
          <t>away</t>
        </is>
      </c>
      <c r="J103" s="25" t="n">
        <v>5.5</v>
      </c>
      <c r="K103" s="24" t="inlineStr">
        <is>
          <t>polymarket_us</t>
        </is>
      </c>
      <c r="L103" s="26" t="n">
        <v>113</v>
      </c>
      <c r="M103" s="27" t="n">
        <v>2.13</v>
      </c>
      <c r="N103" s="28" t="n">
        <v>0.469484</v>
      </c>
      <c r="O103" s="28" t="n">
        <v>0.609766</v>
      </c>
      <c r="P103" s="28" t="n">
        <v>0.03</v>
      </c>
      <c r="Q103" s="28" t="n">
        <v>0.140282</v>
      </c>
      <c r="R103" s="26" t="n">
        <v>100</v>
      </c>
      <c r="S103" s="29" t="n">
        <v>1.75</v>
      </c>
      <c r="T103" s="24" t="inlineStr">
        <is>
          <t>wnba-spread-margin-v1</t>
        </is>
      </c>
      <c r="U103" s="24" t="inlineStr">
        <is>
          <t>settled</t>
        </is>
      </c>
      <c r="V103" s="24" t="inlineStr">
        <is>
          <t>loss</t>
        </is>
      </c>
      <c r="W103" s="26" t="n">
        <v>78</v>
      </c>
      <c r="X103" s="26" t="n">
        <v>90</v>
      </c>
      <c r="Y103" s="25" t="n"/>
      <c r="Z103" s="26" t="n"/>
      <c r="AA103" s="28" t="n"/>
      <c r="AB103" s="28" t="n"/>
      <c r="AC103" s="30" t="n">
        <v>-1.75</v>
      </c>
      <c r="AD103" s="24" t="inlineStr">
        <is>
          <t>2026-08-27T12:30:08.949163Z</t>
        </is>
      </c>
      <c r="AE103" s="31" t="inlineStr">
        <is>
          <t>Projected margin +2.6 (home), sd 10.5. Executable ask 0.4700 (asc-wnba-tor-sea-2026-08-26-pos-5pt5).</t>
        </is>
      </c>
      <c r="AF103" s="31" t="inlineStr">
        <is>
          <t>Research-baseline margin-normal spread model; not yet locked-holdout qualified.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PAPER_CALL_MODEL_UNVALIDATED</t>
        </is>
      </c>
      <c r="AP103" s="24" t="inlineStr">
        <is>
          <t>wnba-tor</t>
        </is>
      </c>
      <c r="AQ103" s="24" t="inlineStr">
        <is>
          <t>Toronto Tempo</t>
        </is>
      </c>
      <c r="AR103" s="24" t="inlineStr">
        <is>
          <t>Toronto Tempo</t>
        </is>
      </c>
      <c r="AS103" s="24" t="inlineStr">
        <is>
          <t>wnba-sea</t>
        </is>
      </c>
      <c r="AT103" s="24" t="inlineStr">
        <is>
          <t>Seattle Storm</t>
        </is>
      </c>
      <c r="AU103" s="24" t="inlineStr">
        <is>
          <t>Seattle Storm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23ba88bcc86a710d76233b349116f2eefe021a993d2d3b9102922e567a027b4c</t>
        </is>
      </c>
      <c r="BB103" s="24" t="inlineStr">
        <is>
          <t>margin_normal</t>
        </is>
      </c>
      <c r="BC103" s="24" t="inlineStr">
        <is>
          <t>wnba-spread-margin-v1</t>
        </is>
      </c>
      <c r="BD103" s="24" t="inlineStr">
        <is>
          <t>23ba88bcc86a710d76233b349116f2eefe021a993d2d3b9102922e567a027b4c</t>
        </is>
      </c>
      <c r="BE103" s="24" t="inlineStr">
        <is>
          <t>wnba-spread-margin-v1</t>
        </is>
      </c>
      <c r="BF103" s="24" t="inlineStr">
        <is>
          <t>1</t>
        </is>
      </c>
      <c r="BG103" s="24" t="inlineStr">
        <is>
          <t>23ba88bcc86a710d76233b349116f2eefe021a993d2d3b9102922e567a027b4c</t>
        </is>
      </c>
      <c r="BH103" s="24" t="inlineStr">
        <is>
          <t>2026-08-26T22:16:54.523637Z</t>
        </is>
      </c>
      <c r="BI103" s="24" t="inlineStr">
        <is>
          <t>["same_event","same_team_same_day","same_league_same_day"]</t>
        </is>
      </c>
      <c r="BJ103" s="25" t="n">
        <v>5.5</v>
      </c>
      <c r="BK103" s="26" t="n">
        <v>113</v>
      </c>
      <c r="BL103" s="27" t="n">
        <v>2.13</v>
      </c>
      <c r="BM103" s="28" t="n">
        <v>0.469484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>
        <v>1</v>
      </c>
      <c r="BY103" s="27" t="n">
        <v>-1</v>
      </c>
      <c r="BZ103" s="24" t="inlineStr">
        <is>
          <t>2026-08-27T12:30:08.949163Z</t>
        </is>
      </c>
      <c r="CA103" s="31" t="inlineStr">
        <is>
          <t>fixed one-unit hypothetical scoring; no real exposure or execution</t>
        </is>
      </c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inlineStr">
        <is>
          <t>2026-08-26T22:16:54.523637Z</t>
        </is>
      </c>
      <c r="CZ103" s="24" t="inlineStr">
        <is>
          <t>True</t>
        </is>
      </c>
      <c r="DA103" s="24" t="inlineStr">
        <is>
          <t>polymarket_us</t>
        </is>
      </c>
      <c r="DB103" s="24" t="inlineStr">
        <is>
          <t>decision_time_executable_quote</t>
        </is>
      </c>
      <c r="DC103" s="24" t="inlineStr">
        <is>
          <t>False</t>
        </is>
      </c>
      <c r="DD103" s="24" t="inlineStr">
        <is>
          <t>211ed6f862b017de0259cb3ed5299261f2ce02e0d00c98e4f64ddea881a15bd2</t>
        </is>
      </c>
      <c r="DE103" s="24" t="inlineStr">
        <is>
          <t>/Users/vincentc9002/model-prediction/data/odds/wnba/2026-08-26/polymarket_snapshots.jsonl</t>
        </is>
      </c>
      <c r="DF103" s="24" t="inlineStr">
        <is>
          <t>211ed6f862b017de0259cb3ed5299261f2ce02e0d00c98e4f64ddea881a15bd2</t>
        </is>
      </c>
      <c r="DG103" s="24" t="n"/>
      <c r="DH103" s="24" t="n"/>
      <c r="DI103" s="24" t="n"/>
      <c r="DJ103" s="24" t="inlineStr">
        <is>
          <t>0.469484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b882660240a24cb9</t>
        </is>
      </c>
      <c r="B104" s="24" t="inlineStr">
        <is>
          <t>2026-08-27T00:43:54.651260Z</t>
        </is>
      </c>
      <c r="C104" s="24" t="inlineStr">
        <is>
          <t>2026-08-27T02:00Z</t>
        </is>
      </c>
      <c r="D104" s="24" t="inlineStr">
        <is>
          <t>401857177</t>
        </is>
      </c>
      <c r="E104" s="24" t="inlineStr">
        <is>
          <t>WNBA</t>
        </is>
      </c>
      <c r="F104" s="24" t="inlineStr">
        <is>
          <t>Toronto Tempo</t>
        </is>
      </c>
      <c r="G104" s="24" t="inlineStr">
        <is>
          <t>Seattle Storm</t>
        </is>
      </c>
      <c r="H104" s="24" t="inlineStr">
        <is>
          <t>total</t>
        </is>
      </c>
      <c r="I104" s="24" t="inlineStr">
        <is>
          <t>under</t>
        </is>
      </c>
      <c r="J104" s="25" t="n">
        <v>175.5</v>
      </c>
      <c r="K104" s="24" t="inlineStr">
        <is>
          <t>polymarket_us</t>
        </is>
      </c>
      <c r="L104" s="26" t="n">
        <v>-113</v>
      </c>
      <c r="M104" s="27" t="n">
        <v>1.884956</v>
      </c>
      <c r="N104" s="28" t="n">
        <v>0.530516</v>
      </c>
      <c r="O104" s="28" t="n">
        <v>0.515042</v>
      </c>
      <c r="P104" s="28" t="n">
        <v>0.03</v>
      </c>
      <c r="Q104" s="28" t="n">
        <v>-0.015474</v>
      </c>
      <c r="R104" s="26" t="n">
        <v>24</v>
      </c>
      <c r="S104" s="29" t="n">
        <v>1</v>
      </c>
      <c r="T104" s="24" t="inlineStr">
        <is>
          <t>wnba-total-margin-v1</t>
        </is>
      </c>
      <c r="U104" s="24" t="inlineStr">
        <is>
          <t>settled</t>
        </is>
      </c>
      <c r="V104" s="24" t="inlineStr">
        <is>
          <t>win</t>
        </is>
      </c>
      <c r="W104" s="26" t="n">
        <v>78</v>
      </c>
      <c r="X104" s="26" t="n">
        <v>90</v>
      </c>
      <c r="Y104" s="25" t="n"/>
      <c r="Z104" s="26" t="n"/>
      <c r="AA104" s="28" t="n"/>
      <c r="AB104" s="28" t="n"/>
      <c r="AC104" s="30" t="n">
        <v>0.885</v>
      </c>
      <c r="AD104" s="24" t="inlineStr">
        <is>
          <t>2026-08-27T12:30:09.509338Z</t>
        </is>
      </c>
      <c r="AE104" s="31" t="inlineStr">
        <is>
          <t>Projected total 174.9, sd 15.0. Executable ask 0.5300 (tsc-wnba-tor-sea-2026-08-26-175pt5).</t>
        </is>
      </c>
      <c r="AF104" s="31" t="inlineStr">
        <is>
          <t>Research-baseline total model; not yet locked-holdout qualified.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PAPER_CALL_MODEL_UNVALIDATED</t>
        </is>
      </c>
      <c r="AP104" s="24" t="inlineStr">
        <is>
          <t>wnba-tor</t>
        </is>
      </c>
      <c r="AQ104" s="24" t="inlineStr">
        <is>
          <t>Toronto Tempo</t>
        </is>
      </c>
      <c r="AR104" s="24" t="inlineStr">
        <is>
          <t>Toronto Tempo</t>
        </is>
      </c>
      <c r="AS104" s="24" t="inlineStr">
        <is>
          <t>wnba-sea</t>
        </is>
      </c>
      <c r="AT104" s="24" t="inlineStr">
        <is>
          <t>Seattle Storm</t>
        </is>
      </c>
      <c r="AU104" s="24" t="inlineStr">
        <is>
          <t>Seattle Storm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research</t>
        </is>
      </c>
      <c r="BA104" s="24" t="inlineStr">
        <is>
          <t>113e1744e564570dce943be22f4609ea073b2c634f9429475f4ee76e24e2f9c8</t>
        </is>
      </c>
      <c r="BB104" s="24" t="inlineStr">
        <is>
          <t>total_normal</t>
        </is>
      </c>
      <c r="BC104" s="24" t="inlineStr">
        <is>
          <t>wnba-total-margin-v1</t>
        </is>
      </c>
      <c r="BD104" s="24" t="inlineStr">
        <is>
          <t>113e1744e564570dce943be22f4609ea073b2c634f9429475f4ee76e24e2f9c8</t>
        </is>
      </c>
      <c r="BE104" s="24" t="inlineStr">
        <is>
          <t>wnba-total-margin-v1</t>
        </is>
      </c>
      <c r="BF104" s="24" t="inlineStr">
        <is>
          <t>1</t>
        </is>
      </c>
      <c r="BG104" s="24" t="inlineStr">
        <is>
          <t>113e1744e564570dce943be22f4609ea073b2c634f9429475f4ee76e24e2f9c8</t>
        </is>
      </c>
      <c r="BH104" s="24" t="inlineStr">
        <is>
          <t>2026-08-26T12:42:14.344065Z</t>
        </is>
      </c>
      <c r="BI104" s="24" t="inlineStr">
        <is>
          <t>["same_event","same_team_same_day","same_league_same_day"]</t>
        </is>
      </c>
      <c r="BJ104" s="25" t="n">
        <v>175.5</v>
      </c>
      <c r="BK104" s="26" t="n">
        <v>-113</v>
      </c>
      <c r="BL104" s="27" t="n">
        <v>1.884956</v>
      </c>
      <c r="BM104" s="28" t="n">
        <v>0.530516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>
        <v>1</v>
      </c>
      <c r="BY104" s="27" t="n">
        <v>0.884957</v>
      </c>
      <c r="BZ104" s="24" t="inlineStr">
        <is>
          <t>2026-08-27T12:30:09.509338Z</t>
        </is>
      </c>
      <c r="CA104" s="31" t="inlineStr">
        <is>
          <t>fixed one-unit hypothetical scoring; no real exposure or execution</t>
        </is>
      </c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inlineStr">
        <is>
          <t>2026-08-26T12:42:14.344065Z</t>
        </is>
      </c>
      <c r="CZ104" s="24" t="inlineStr">
        <is>
          <t>True</t>
        </is>
      </c>
      <c r="DA104" s="24" t="inlineStr">
        <is>
          <t>polymarket_us</t>
        </is>
      </c>
      <c r="DB104" s="24" t="inlineStr">
        <is>
          <t>decision_time_executable_quote</t>
        </is>
      </c>
      <c r="DC104" s="24" t="inlineStr">
        <is>
          <t>False</t>
        </is>
      </c>
      <c r="DD104" s="24" t="inlineStr">
        <is>
          <t>8586f8a547b23c4a7d9dbb527af47972cc9408455887633d6b611928563aa399</t>
        </is>
      </c>
      <c r="DE104" s="24" t="inlineStr">
        <is>
          <t>/Users/vincentc9002/model-prediction/data/odds/wnba/2026-08-26/polymarket_snapshots.jsonl</t>
        </is>
      </c>
      <c r="DF104" s="24" t="inlineStr">
        <is>
          <t>8586f8a547b23c4a7d9dbb527af47972cc9408455887633d6b611928563aa399</t>
        </is>
      </c>
      <c r="DG104" s="24" t="n"/>
      <c r="DH104" s="24" t="n"/>
      <c r="DI104" s="24" t="n"/>
      <c r="DJ104" s="24" t="inlineStr">
        <is>
          <t>0.530516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c5294321948c4726</t>
        </is>
      </c>
      <c r="B105" s="24" t="inlineStr">
        <is>
          <t>2026-08-27T22:18:08.192151Z</t>
        </is>
      </c>
      <c r="C105" s="24" t="inlineStr">
        <is>
          <t>2026-08-27T20:00:00-0400</t>
        </is>
      </c>
      <c r="D105" s="24" t="inlineStr">
        <is>
          <t>401857178</t>
        </is>
      </c>
      <c r="E105" s="24" t="inlineStr">
        <is>
          <t>WNBA</t>
        </is>
      </c>
      <c r="F105" s="24" t="inlineStr">
        <is>
          <t>Golden State Valkyries</t>
        </is>
      </c>
      <c r="G105" s="24" t="inlineStr">
        <is>
          <t>New York Liberty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133</v>
      </c>
      <c r="M105" s="27" t="n">
        <v>2.33</v>
      </c>
      <c r="N105" s="28" t="n">
        <v>0.429185</v>
      </c>
      <c r="O105" s="28" t="n">
        <v>0.569746</v>
      </c>
      <c r="P105" s="28" t="n"/>
      <c r="Q105" s="28" t="n">
        <v>0.140561</v>
      </c>
      <c r="R105" s="26" t="n">
        <v>92</v>
      </c>
      <c r="S105" s="29" t="n">
        <v>1.5</v>
      </c>
      <c r="T105" s="24" t="inlineStr">
        <is>
          <t>wnba-elo-trend-lr-v4</t>
        </is>
      </c>
      <c r="U105" s="24" t="inlineStr">
        <is>
          <t>settled</t>
        </is>
      </c>
      <c r="V105" s="24" t="inlineStr">
        <is>
          <t>win</t>
        </is>
      </c>
      <c r="W105" s="26" t="n">
        <v>79</v>
      </c>
      <c r="X105" s="26" t="n">
        <v>60</v>
      </c>
      <c r="Y105" s="25" t="n"/>
      <c r="Z105" s="26" t="n"/>
      <c r="AA105" s="28" t="n"/>
      <c r="AB105" s="28" t="n"/>
      <c r="AC105" s="30" t="n">
        <v>1.995</v>
      </c>
      <c r="AD105" s="24" t="inlineStr">
        <is>
          <t>2026-08-28T02:36:39.374456Z</t>
        </is>
      </c>
      <c r="AE105" s="31" t="inlineStr">
        <is>
          <t>Learned LR call at threshold 0.5001; executable ask 0.4300 (aec-wnba-gsv-ny-2026-08-27); model edge vs ask +0.1397.</t>
        </is>
      </c>
      <c r="AF105" s="31" t="inlineStr">
        <is>
          <t>Learned model; shadow-qualified via operator override.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4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wnba-gsv</t>
        </is>
      </c>
      <c r="AQ105" s="24" t="inlineStr">
        <is>
          <t>Golden State Valkyries</t>
        </is>
      </c>
      <c r="AR105" s="24" t="inlineStr">
        <is>
          <t>Golden State Valkyries</t>
        </is>
      </c>
      <c r="AS105" s="24" t="inlineStr">
        <is>
          <t>wnba-nyl</t>
        </is>
      </c>
      <c r="AT105" s="24" t="inlineStr">
        <is>
          <t>New York Liberty</t>
        </is>
      </c>
      <c r="AU105" s="24" t="inlineStr">
        <is>
          <t>New York Liberty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7afd5274214b58b7efd7f7febc7be3ab33b92351cda5cc6403c0a39faea0cc8c</t>
        </is>
      </c>
      <c r="BB105" s="24" t="inlineStr">
        <is>
          <t>learned_lr</t>
        </is>
      </c>
      <c r="BC105" s="24" t="inlineStr">
        <is>
          <t>wnba-elo-trend-lr-v4</t>
        </is>
      </c>
      <c r="BD105" s="24" t="inlineStr">
        <is>
          <t>7afd5274214b58b7efd7f7febc7be3ab33b92351cda5cc6403c0a39faea0cc8c</t>
        </is>
      </c>
      <c r="BE105" s="24" t="inlineStr">
        <is>
          <t>5ed2a54bd3272d87</t>
        </is>
      </c>
      <c r="BF105" s="24" t="inlineStr">
        <is>
          <t>1</t>
        </is>
      </c>
      <c r="BG105" s="24" t="inlineStr">
        <is>
          <t>wnba-elo-trend-lr-v4</t>
        </is>
      </c>
      <c r="BH105" s="24" t="inlineStr">
        <is>
          <t>2026-08-27T22:17:27.141767Z</t>
        </is>
      </c>
      <c r="BI105" s="24" t="inlineStr">
        <is>
          <t>["same_event","same_team_same_day","same_league_same_day"]</t>
        </is>
      </c>
      <c r="BJ105" s="25" t="n"/>
      <c r="BK105" s="26" t="n">
        <v>133</v>
      </c>
      <c r="BL105" s="27" t="n">
        <v>2.33</v>
      </c>
      <c r="BM105" s="28" t="n">
        <v>0.429185</v>
      </c>
      <c r="BN105" s="28" t="n">
        <v>0.425743</v>
      </c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inlineStr">
        <is>
          <t>0.4136681737</t>
        </is>
      </c>
      <c r="CD105" s="24" t="inlineStr">
        <is>
          <t>4.043818</t>
        </is>
      </c>
      <c r="CE105" s="24" t="n"/>
      <c r="CF105" s="24" t="n"/>
      <c r="CG105" s="24" t="n"/>
      <c r="CH105" s="24" t="n"/>
      <c r="CI105" s="24" t="n"/>
      <c r="CJ105" s="24" t="inlineStr">
        <is>
          <t>-7.381535</t>
        </is>
      </c>
      <c r="CK105" s="24" t="n"/>
      <c r="CL105" s="24" t="n"/>
      <c r="CM105" s="24" t="n"/>
      <c r="CN105" s="24" t="n"/>
      <c r="CO105" s="24" t="n"/>
      <c r="CP105" s="24" t="n"/>
      <c r="CQ105" s="24" t="n"/>
      <c r="CR105" s="24" t="inlineStr">
        <is>
          <t>0.569746</t>
        </is>
      </c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inlineStr">
        <is>
          <t>2026-08-27T22:17:27.141767Z</t>
        </is>
      </c>
      <c r="CZ105" s="24" t="inlineStr">
        <is>
          <t>True</t>
        </is>
      </c>
      <c r="DA105" s="24" t="inlineStr">
        <is>
          <t>polymarket_us</t>
        </is>
      </c>
      <c r="DB105" s="24" t="inlineStr">
        <is>
          <t>decision_time_executable_quote</t>
        </is>
      </c>
      <c r="DC105" s="24" t="inlineStr">
        <is>
          <t>False</t>
        </is>
      </c>
      <c r="DD105" s="24" t="inlineStr">
        <is>
          <t>1a6ff676a1b3cfb900ae8da5260c3675462f712df514c26e73e55789aa1f0898</t>
        </is>
      </c>
      <c r="DE105" s="24" t="inlineStr">
        <is>
          <t>/Users/vincentc9002/model-prediction/data/odds/wnba/2026-08-27/polymarket_snapshots.jsonl</t>
        </is>
      </c>
      <c r="DF105" s="24" t="inlineStr">
        <is>
          <t>1a6ff676a1b3cfb900ae8da5260c3675462f712df514c26e73e55789aa1f0898</t>
        </is>
      </c>
      <c r="DG105" s="24" t="n"/>
      <c r="DH105" s="24" t="n"/>
      <c r="DI105" s="24" t="n"/>
      <c r="DJ105" s="24" t="inlineStr">
        <is>
          <t>0.429185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200ec26e61f648b2</t>
        </is>
      </c>
      <c r="B106" s="24" t="inlineStr">
        <is>
          <t>2026-08-27T22:18:08.192151Z</t>
        </is>
      </c>
      <c r="C106" s="24" t="inlineStr">
        <is>
          <t>2026-08-27T22:00:00-0400</t>
        </is>
      </c>
      <c r="D106" s="24" t="inlineStr">
        <is>
          <t>401857179</t>
        </is>
      </c>
      <c r="E106" s="24" t="inlineStr">
        <is>
          <t>WNBA</t>
        </is>
      </c>
      <c r="F106" s="24" t="inlineStr">
        <is>
          <t>Washington Mystics</t>
        </is>
      </c>
      <c r="G106" s="24" t="inlineStr">
        <is>
          <t>Phoenix Mercury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-178</v>
      </c>
      <c r="M106" s="27" t="n">
        <v>1.561798</v>
      </c>
      <c r="N106" s="28" t="n">
        <v>0.640288</v>
      </c>
      <c r="O106" s="28" t="n">
        <v>0.635423</v>
      </c>
      <c r="P106" s="28" t="n"/>
      <c r="Q106" s="28" t="n">
        <v>-0.004865</v>
      </c>
      <c r="R106" s="26" t="n">
        <v>21</v>
      </c>
      <c r="S106" s="29" t="n">
        <v>1</v>
      </c>
      <c r="T106" s="24" t="inlineStr">
        <is>
          <t>wnba-elo-trend-lr-v4</t>
        </is>
      </c>
      <c r="U106" s="24" t="inlineStr">
        <is>
          <t>settled</t>
        </is>
      </c>
      <c r="V106" s="24" t="inlineStr">
        <is>
          <t>win</t>
        </is>
      </c>
      <c r="W106" s="26" t="n">
        <v>80</v>
      </c>
      <c r="X106" s="26" t="n">
        <v>73</v>
      </c>
      <c r="Y106" s="25" t="n"/>
      <c r="Z106" s="26" t="n"/>
      <c r="AA106" s="28" t="n"/>
      <c r="AB106" s="28" t="n"/>
      <c r="AC106" s="30" t="n">
        <v>0.5618</v>
      </c>
      <c r="AD106" s="24" t="inlineStr">
        <is>
          <t>2026-08-28T12:30:10.312326Z</t>
        </is>
      </c>
      <c r="AE106" s="31" t="inlineStr">
        <is>
          <t>Learned LR call at threshold 0.5001; executable ask 0.6400 (aec-wnba-wsh-phx-2026-08-27); model edge vs ask -0.0046. NOTE: NO_CALL_AVAILABILITY_REPORT_INCOMPLETE unavailable for this game — defaulted to neutral, other features used normally.</t>
        </is>
      </c>
      <c r="AF106" s="31" t="inlineStr">
        <is>
          <t>Learned model; shadow-qualified via operator override.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wnba-was</t>
        </is>
      </c>
      <c r="AQ106" s="24" t="inlineStr">
        <is>
          <t>Washington Mystics</t>
        </is>
      </c>
      <c r="AR106" s="24" t="inlineStr">
        <is>
          <t>Washington Mystics</t>
        </is>
      </c>
      <c r="AS106" s="24" t="inlineStr">
        <is>
          <t>wnba-phx</t>
        </is>
      </c>
      <c r="AT106" s="24" t="inlineStr">
        <is>
          <t>Phoenix Mercury</t>
        </is>
      </c>
      <c r="AU106" s="24" t="inlineStr">
        <is>
          <t>Phoenix Mercury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7afd5274214b58b7efd7f7febc7be3ab33b92351cda5cc6403c0a39faea0cc8c</t>
        </is>
      </c>
      <c r="BB106" s="24" t="inlineStr">
        <is>
          <t>learned_lr</t>
        </is>
      </c>
      <c r="BC106" s="24" t="inlineStr">
        <is>
          <t>wnba-elo-trend-lr-v4</t>
        </is>
      </c>
      <c r="BD106" s="24" t="inlineStr">
        <is>
          <t>7afd5274214b58b7efd7f7febc7be3ab33b92351cda5cc6403c0a39faea0cc8c</t>
        </is>
      </c>
      <c r="BE106" s="24" t="inlineStr">
        <is>
          <t>e3d74312365bcb0b</t>
        </is>
      </c>
      <c r="BF106" s="24" t="inlineStr">
        <is>
          <t>1</t>
        </is>
      </c>
      <c r="BG106" s="24" t="inlineStr">
        <is>
          <t>wnba-elo-trend-lr-v4</t>
        </is>
      </c>
      <c r="BH106" s="24" t="inlineStr">
        <is>
          <t>2026-08-27T22:17:27.211040Z</t>
        </is>
      </c>
      <c r="BI106" s="24" t="inlineStr">
        <is>
          <t>["same_event","same_team_same_day","same_league_same_day"]</t>
        </is>
      </c>
      <c r="BJ106" s="25" t="n"/>
      <c r="BK106" s="26" t="n">
        <v>-178</v>
      </c>
      <c r="BL106" s="27" t="n">
        <v>1.561798</v>
      </c>
      <c r="BM106" s="28" t="n">
        <v>0.640288</v>
      </c>
      <c r="BN106" s="28" t="n">
        <v>0.633663</v>
      </c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inlineStr">
        <is>
          <t>0.3098868787</t>
        </is>
      </c>
      <c r="CD106" s="24" t="inlineStr">
        <is>
          <t>-4.928675</t>
        </is>
      </c>
      <c r="CE106" s="24" t="n"/>
      <c r="CF106" s="24" t="n"/>
      <c r="CG106" s="24" t="n"/>
      <c r="CH106" s="24" t="n"/>
      <c r="CI106" s="24" t="inlineStr">
        <is>
          <t>NO_CALL_AVAILABILITY_REPORT_INCOMPLETE</t>
        </is>
      </c>
      <c r="CJ106" s="24" t="inlineStr">
        <is>
          <t>-3.95589</t>
        </is>
      </c>
      <c r="CK106" s="24" t="n"/>
      <c r="CL106" s="24" t="n"/>
      <c r="CM106" s="24" t="n"/>
      <c r="CN106" s="24" t="n"/>
      <c r="CO106" s="24" t="n"/>
      <c r="CP106" s="24" t="n"/>
      <c r="CQ106" s="24" t="n"/>
      <c r="CR106" s="24" t="inlineStr">
        <is>
          <t>0.635423</t>
        </is>
      </c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inlineStr">
        <is>
          <t>2026-08-27T22:17:27.211040Z</t>
        </is>
      </c>
      <c r="CZ106" s="24" t="inlineStr">
        <is>
          <t>True</t>
        </is>
      </c>
      <c r="DA106" s="24" t="inlineStr">
        <is>
          <t>polymarket_us</t>
        </is>
      </c>
      <c r="DB106" s="24" t="inlineStr">
        <is>
          <t>decision_time_executable_quote</t>
        </is>
      </c>
      <c r="DC106" s="24" t="inlineStr">
        <is>
          <t>False</t>
        </is>
      </c>
      <c r="DD106" s="24" t="inlineStr">
        <is>
          <t>81108e19d08391b6a649fedad8971131314d3b6bea0bc90f67aad8650b6e79f3</t>
        </is>
      </c>
      <c r="DE106" s="24" t="inlineStr">
        <is>
          <t>/Users/vincentc9002/model-prediction/data/odds/wnba/2026-08-27/polymarket_snapshots.jsonl</t>
        </is>
      </c>
      <c r="DF106" s="24" t="inlineStr">
        <is>
          <t>81108e19d08391b6a649fedad8971131314d3b6bea0bc90f67aad8650b6e79f3</t>
        </is>
      </c>
      <c r="DG106" s="24" t="n"/>
      <c r="DH106" s="24" t="n"/>
      <c r="DI106" s="24" t="n"/>
      <c r="DJ106" s="24" t="inlineStr">
        <is>
          <t>0.640288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ad8713d63f1b4b47</t>
        </is>
      </c>
      <c r="B107" s="24" t="inlineStr">
        <is>
          <t>2026-08-27T22:19:15.110910Z</t>
        </is>
      </c>
      <c r="C107" s="24" t="inlineStr">
        <is>
          <t>2026-08-28T00:00Z</t>
        </is>
      </c>
      <c r="D107" s="24" t="inlineStr">
        <is>
          <t>401857178</t>
        </is>
      </c>
      <c r="E107" s="24" t="inlineStr">
        <is>
          <t>WNBA</t>
        </is>
      </c>
      <c r="F107" s="24" t="inlineStr">
        <is>
          <t>Golden State Valkyries</t>
        </is>
      </c>
      <c r="G107" s="24" t="inlineStr">
        <is>
          <t>New York Liberty</t>
        </is>
      </c>
      <c r="H107" s="24" t="inlineStr">
        <is>
          <t>spread</t>
        </is>
      </c>
      <c r="I107" s="24" t="inlineStr">
        <is>
          <t>away</t>
        </is>
      </c>
      <c r="J107" s="25" t="n">
        <v>1.5</v>
      </c>
      <c r="K107" s="24" t="inlineStr">
        <is>
          <t>polymarket_us</t>
        </is>
      </c>
      <c r="L107" s="26" t="n">
        <v>117</v>
      </c>
      <c r="M107" s="27" t="n">
        <v>2.17</v>
      </c>
      <c r="N107" s="28" t="n">
        <v>0.460829</v>
      </c>
      <c r="O107" s="28" t="n">
        <v>0.544821</v>
      </c>
      <c r="P107" s="28" t="n">
        <v>0.03</v>
      </c>
      <c r="Q107" s="28" t="n">
        <v>0.083992</v>
      </c>
      <c r="R107" s="26" t="n">
        <v>74</v>
      </c>
      <c r="S107" s="29" t="n">
        <v>1.25</v>
      </c>
      <c r="T107" s="24" t="inlineStr">
        <is>
          <t>wnba-spread-margin-v1</t>
        </is>
      </c>
      <c r="U107" s="24" t="inlineStr">
        <is>
          <t>settled</t>
        </is>
      </c>
      <c r="V107" s="24" t="inlineStr">
        <is>
          <t>win</t>
        </is>
      </c>
      <c r="W107" s="26" t="n">
        <v>79</v>
      </c>
      <c r="X107" s="26" t="n">
        <v>60</v>
      </c>
      <c r="Y107" s="25" t="n"/>
      <c r="Z107" s="26" t="n"/>
      <c r="AA107" s="28" t="n"/>
      <c r="AB107" s="28" t="n"/>
      <c r="AC107" s="30" t="n">
        <v>1.4625</v>
      </c>
      <c r="AD107" s="24" t="inlineStr">
        <is>
          <t>2026-08-28T02:37:23.559668Z</t>
        </is>
      </c>
      <c r="AE107" s="31" t="inlineStr">
        <is>
          <t>Projected margin +0.3 (home), sd 10.5. Executable ask 0.4600 (asc-wnba-gsv-ny-2026-08-27-pos-1pt5).</t>
        </is>
      </c>
      <c r="AF107" s="31" t="inlineStr">
        <is>
          <t>Research-baseline margin-normal spread model; not yet locked-holdout qualified.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PAPER_CALL_MODEL_UNVALIDATED</t>
        </is>
      </c>
      <c r="AP107" s="24" t="inlineStr">
        <is>
          <t>wnba-gsv</t>
        </is>
      </c>
      <c r="AQ107" s="24" t="inlineStr">
        <is>
          <t>Golden State Valkyries</t>
        </is>
      </c>
      <c r="AR107" s="24" t="inlineStr">
        <is>
          <t>Golden State Valkyries</t>
        </is>
      </c>
      <c r="AS107" s="24" t="inlineStr">
        <is>
          <t>wnba-nyl</t>
        </is>
      </c>
      <c r="AT107" s="24" t="inlineStr">
        <is>
          <t>New York Liberty</t>
        </is>
      </c>
      <c r="AU107" s="24" t="inlineStr">
        <is>
          <t>New York Liberty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23ba88bcc86a710d76233b349116f2eefe021a993d2d3b9102922e567a027b4c</t>
        </is>
      </c>
      <c r="BB107" s="24" t="inlineStr">
        <is>
          <t>margin_normal</t>
        </is>
      </c>
      <c r="BC107" s="24" t="inlineStr">
        <is>
          <t>wnba-spread-margin-v1</t>
        </is>
      </c>
      <c r="BD107" s="24" t="inlineStr">
        <is>
          <t>23ba88bcc86a710d76233b349116f2eefe021a993d2d3b9102922e567a027b4c</t>
        </is>
      </c>
      <c r="BE107" s="24" t="inlineStr">
        <is>
          <t>wnba-spread-margin-v1</t>
        </is>
      </c>
      <c r="BF107" s="24" t="inlineStr">
        <is>
          <t>1</t>
        </is>
      </c>
      <c r="BG107" s="24" t="inlineStr">
        <is>
          <t>23ba88bcc86a710d76233b349116f2eefe021a993d2d3b9102922e567a027b4c</t>
        </is>
      </c>
      <c r="BH107" s="24" t="inlineStr">
        <is>
          <t>2026-08-27T12:32:36.071998Z</t>
        </is>
      </c>
      <c r="BI107" s="24" t="inlineStr">
        <is>
          <t>["same_event","same_team_same_day","same_league_same_day"]</t>
        </is>
      </c>
      <c r="BJ107" s="25" t="n">
        <v>1.5</v>
      </c>
      <c r="BK107" s="26" t="n">
        <v>117</v>
      </c>
      <c r="BL107" s="27" t="n">
        <v>2.17</v>
      </c>
      <c r="BM107" s="28" t="n">
        <v>0.460829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>
        <v>1</v>
      </c>
      <c r="BY107" s="27" t="n">
        <v>1.170002</v>
      </c>
      <c r="BZ107" s="24" t="inlineStr">
        <is>
          <t>2026-08-28T02:37:23.559668Z</t>
        </is>
      </c>
      <c r="CA107" s="31" t="inlineStr">
        <is>
          <t>fixed one-unit hypothetical scoring; no real exposure or execution</t>
        </is>
      </c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inlineStr">
        <is>
          <t>2026-08-27T12:32:36.071998Z</t>
        </is>
      </c>
      <c r="CZ107" s="24" t="inlineStr">
        <is>
          <t>True</t>
        </is>
      </c>
      <c r="DA107" s="24" t="inlineStr">
        <is>
          <t>polymarket_us</t>
        </is>
      </c>
      <c r="DB107" s="24" t="inlineStr">
        <is>
          <t>decision_time_executable_quote</t>
        </is>
      </c>
      <c r="DC107" s="24" t="inlineStr">
        <is>
          <t>False</t>
        </is>
      </c>
      <c r="DD107" s="24" t="inlineStr">
        <is>
          <t>591edb5b16d02f95a8ad2e0afb27be8e3aec5356eab51887d260db8e94b0f934</t>
        </is>
      </c>
      <c r="DE107" s="24" t="inlineStr">
        <is>
          <t>/Users/vincentc9002/model-prediction/data/odds/wnba/2026-08-27/polymarket_snapshots.jsonl</t>
        </is>
      </c>
      <c r="DF107" s="24" t="inlineStr">
        <is>
          <t>591edb5b16d02f95a8ad2e0afb27be8e3aec5356eab51887d260db8e94b0f934</t>
        </is>
      </c>
      <c r="DG107" s="24" t="n"/>
      <c r="DH107" s="24" t="n"/>
      <c r="DI107" s="24" t="n"/>
      <c r="DJ107" s="24" t="inlineStr">
        <is>
          <t>0.460829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45047b797a2a4cf9</t>
        </is>
      </c>
      <c r="B108" s="24" t="inlineStr">
        <is>
          <t>2026-08-27T22:19:15.110910Z</t>
        </is>
      </c>
      <c r="C108" s="24" t="inlineStr">
        <is>
          <t>2026-08-28T02:00Z</t>
        </is>
      </c>
      <c r="D108" s="24" t="inlineStr">
        <is>
          <t>401857179</t>
        </is>
      </c>
      <c r="E108" s="24" t="inlineStr">
        <is>
          <t>WNBA</t>
        </is>
      </c>
      <c r="F108" s="24" t="inlineStr">
        <is>
          <t>Washington Mystics</t>
        </is>
      </c>
      <c r="G108" s="24" t="inlineStr">
        <is>
          <t>Phoenix Mercury</t>
        </is>
      </c>
      <c r="H108" s="24" t="inlineStr">
        <is>
          <t>spread</t>
        </is>
      </c>
      <c r="I108" s="24" t="inlineStr">
        <is>
          <t>home</t>
        </is>
      </c>
      <c r="J108" s="25" t="n">
        <v>4.5</v>
      </c>
      <c r="K108" s="24" t="inlineStr">
        <is>
          <t>polymarket_us</t>
        </is>
      </c>
      <c r="L108" s="26" t="n">
        <v>-113</v>
      </c>
      <c r="M108" s="27" t="n">
        <v>1.884956</v>
      </c>
      <c r="N108" s="28" t="n">
        <v>0.530516</v>
      </c>
      <c r="O108" s="28" t="n">
        <v>0.643005</v>
      </c>
      <c r="P108" s="28" t="n">
        <v>0.03</v>
      </c>
      <c r="Q108" s="28" t="n">
        <v>0.112489</v>
      </c>
      <c r="R108" s="26" t="n">
        <v>88</v>
      </c>
      <c r="S108" s="29" t="n">
        <v>1.5</v>
      </c>
      <c r="T108" s="24" t="inlineStr">
        <is>
          <t>wnba-spread-margin-v1</t>
        </is>
      </c>
      <c r="U108" s="24" t="inlineStr">
        <is>
          <t>settled</t>
        </is>
      </c>
      <c r="V108" s="24" t="inlineStr">
        <is>
          <t>loss</t>
        </is>
      </c>
      <c r="W108" s="26" t="n">
        <v>80</v>
      </c>
      <c r="X108" s="26" t="n">
        <v>73</v>
      </c>
      <c r="Y108" s="25" t="n"/>
      <c r="Z108" s="26" t="n"/>
      <c r="AA108" s="28" t="n"/>
      <c r="AB108" s="28" t="n"/>
      <c r="AC108" s="30" t="n">
        <v>-1.5</v>
      </c>
      <c r="AD108" s="24" t="inlineStr">
        <is>
          <t>2026-08-28T12:30:15.343009Z</t>
        </is>
      </c>
      <c r="AE108" s="31" t="inlineStr">
        <is>
          <t>Projected margin -0.7 (home), sd 10.5. Executable ask 0.5300 (asc-wnba-wsh-phx-2026-08-27-neg-4pt5).</t>
        </is>
      </c>
      <c r="AF108" s="31" t="inlineStr">
        <is>
          <t>Research-baseline margin-normal spread model; not yet locked-holdout qualified.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PAPER_CALL_MODEL_UNVALIDATED</t>
        </is>
      </c>
      <c r="AP108" s="24" t="inlineStr">
        <is>
          <t>wnba-was</t>
        </is>
      </c>
      <c r="AQ108" s="24" t="inlineStr">
        <is>
          <t>Washington Mystics</t>
        </is>
      </c>
      <c r="AR108" s="24" t="inlineStr">
        <is>
          <t>Washington Mystics</t>
        </is>
      </c>
      <c r="AS108" s="24" t="inlineStr">
        <is>
          <t>wnba-phx</t>
        </is>
      </c>
      <c r="AT108" s="24" t="inlineStr">
        <is>
          <t>Phoenix Mercury</t>
        </is>
      </c>
      <c r="AU108" s="24" t="inlineStr">
        <is>
          <t>Phoenix Mercury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23ba88bcc86a710d76233b349116f2eefe021a993d2d3b9102922e567a027b4c</t>
        </is>
      </c>
      <c r="BB108" s="24" t="inlineStr">
        <is>
          <t>margin_normal</t>
        </is>
      </c>
      <c r="BC108" s="24" t="inlineStr">
        <is>
          <t>wnba-spread-margin-v1</t>
        </is>
      </c>
      <c r="BD108" s="24" t="inlineStr">
        <is>
          <t>23ba88bcc86a710d76233b349116f2eefe021a993d2d3b9102922e567a027b4c</t>
        </is>
      </c>
      <c r="BE108" s="24" t="inlineStr">
        <is>
          <t>wnba-spread-margin-v1</t>
        </is>
      </c>
      <c r="BF108" s="24" t="inlineStr">
        <is>
          <t>1</t>
        </is>
      </c>
      <c r="BG108" s="24" t="inlineStr">
        <is>
          <t>23ba88bcc86a710d76233b349116f2eefe021a993d2d3b9102922e567a027b4c</t>
        </is>
      </c>
      <c r="BH108" s="24" t="inlineStr">
        <is>
          <t>2026-08-27T12:32:36.129719Z</t>
        </is>
      </c>
      <c r="BI108" s="24" t="inlineStr">
        <is>
          <t>["same_event","same_team_same_day","same_league_same_day"]</t>
        </is>
      </c>
      <c r="BJ108" s="25" t="n">
        <v>4.5</v>
      </c>
      <c r="BK108" s="26" t="n">
        <v>-113</v>
      </c>
      <c r="BL108" s="27" t="n">
        <v>1.884956</v>
      </c>
      <c r="BM108" s="28" t="n">
        <v>0.530516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>
        <v>1</v>
      </c>
      <c r="BY108" s="27" t="n">
        <v>-1</v>
      </c>
      <c r="BZ108" s="24" t="inlineStr">
        <is>
          <t>2026-08-28T12:30:15.343009Z</t>
        </is>
      </c>
      <c r="CA108" s="31" t="inlineStr">
        <is>
          <t>fixed one-unit hypothetical scoring; no real exposure or execution</t>
        </is>
      </c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inlineStr">
        <is>
          <t>2026-08-27T12:32:36.129719Z</t>
        </is>
      </c>
      <c r="CZ108" s="24" t="inlineStr">
        <is>
          <t>True</t>
        </is>
      </c>
      <c r="DA108" s="24" t="inlineStr">
        <is>
          <t>polymarket_us</t>
        </is>
      </c>
      <c r="DB108" s="24" t="inlineStr">
        <is>
          <t>decision_time_executable_quote</t>
        </is>
      </c>
      <c r="DC108" s="24" t="inlineStr">
        <is>
          <t>False</t>
        </is>
      </c>
      <c r="DD108" s="24" t="inlineStr">
        <is>
          <t>fac14375b9e067eb27bc75e8ee1a7b2359c3d930f9ccd3e50c041221e27e4485</t>
        </is>
      </c>
      <c r="DE108" s="24" t="inlineStr">
        <is>
          <t>/Users/vincentc9002/model-prediction/data/odds/wnba/2026-08-27/polymarket_snapshots.jsonl</t>
        </is>
      </c>
      <c r="DF108" s="24" t="inlineStr">
        <is>
          <t>fac14375b9e067eb27bc75e8ee1a7b2359c3d930f9ccd3e50c041221e27e4485</t>
        </is>
      </c>
      <c r="DG108" s="24" t="n"/>
      <c r="DH108" s="24" t="n"/>
      <c r="DI108" s="24" t="n"/>
      <c r="DJ108" s="24" t="inlineStr">
        <is>
          <t>0.530516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b15c83ca521743c8</t>
        </is>
      </c>
      <c r="B109" s="24" t="inlineStr">
        <is>
          <t>2026-08-27T22:19:15.135222Z</t>
        </is>
      </c>
      <c r="C109" s="24" t="inlineStr">
        <is>
          <t>2026-08-28T00:00Z</t>
        </is>
      </c>
      <c r="D109" s="24" t="inlineStr">
        <is>
          <t>401857178</t>
        </is>
      </c>
      <c r="E109" s="24" t="inlineStr">
        <is>
          <t>WNBA</t>
        </is>
      </c>
      <c r="F109" s="24" t="inlineStr">
        <is>
          <t>Golden State Valkyries</t>
        </is>
      </c>
      <c r="G109" s="24" t="inlineStr">
        <is>
          <t>New York Liberty</t>
        </is>
      </c>
      <c r="H109" s="24" t="inlineStr">
        <is>
          <t>total</t>
        </is>
      </c>
      <c r="I109" s="24" t="inlineStr">
        <is>
          <t>under</t>
        </is>
      </c>
      <c r="J109" s="25" t="n">
        <v>169.5</v>
      </c>
      <c r="K109" s="24" t="inlineStr">
        <is>
          <t>polymarket_us</t>
        </is>
      </c>
      <c r="L109" s="26" t="n">
        <v>-245</v>
      </c>
      <c r="M109" s="27" t="n">
        <v>1.408163</v>
      </c>
      <c r="N109" s="28" t="n">
        <v>0.710145</v>
      </c>
      <c r="O109" s="28" t="n">
        <v>0.550666</v>
      </c>
      <c r="P109" s="28" t="n">
        <v>0.03</v>
      </c>
      <c r="Q109" s="28" t="n">
        <v>-0.159479</v>
      </c>
      <c r="R109" s="26" t="n">
        <v>0</v>
      </c>
      <c r="S109" s="29" t="n">
        <v>1</v>
      </c>
      <c r="T109" s="24" t="inlineStr">
        <is>
          <t>wnba-total-margin-v1</t>
        </is>
      </c>
      <c r="U109" s="24" t="inlineStr">
        <is>
          <t>settled</t>
        </is>
      </c>
      <c r="V109" s="24" t="inlineStr">
        <is>
          <t>win</t>
        </is>
      </c>
      <c r="W109" s="26" t="n">
        <v>79</v>
      </c>
      <c r="X109" s="26" t="n">
        <v>60</v>
      </c>
      <c r="Y109" s="25" t="n"/>
      <c r="Z109" s="26" t="n"/>
      <c r="AA109" s="28" t="n"/>
      <c r="AB109" s="28" t="n"/>
      <c r="AC109" s="30" t="n">
        <v>0.4082</v>
      </c>
      <c r="AD109" s="24" t="inlineStr">
        <is>
          <t>2026-08-28T02:37:26.033701Z</t>
        </is>
      </c>
      <c r="AE109" s="31" t="inlineStr">
        <is>
          <t>Projected total 167.6, sd 15.0. Executable ask 0.7100 (tsc-wnba-gsv-ny-2026-08-27-169pt5).</t>
        </is>
      </c>
      <c r="AF109" s="31" t="inlineStr">
        <is>
          <t>Research-baseline total model; not yet locked-holdout qualified.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PAPER_CALL_MODEL_UNVALIDATED</t>
        </is>
      </c>
      <c r="AP109" s="24" t="inlineStr">
        <is>
          <t>wnba-gsv</t>
        </is>
      </c>
      <c r="AQ109" s="24" t="inlineStr">
        <is>
          <t>Golden State Valkyries</t>
        </is>
      </c>
      <c r="AR109" s="24" t="inlineStr">
        <is>
          <t>Golden State Valkyries</t>
        </is>
      </c>
      <c r="AS109" s="24" t="inlineStr">
        <is>
          <t>wnba-nyl</t>
        </is>
      </c>
      <c r="AT109" s="24" t="inlineStr">
        <is>
          <t>New York Liberty</t>
        </is>
      </c>
      <c r="AU109" s="24" t="inlineStr">
        <is>
          <t>New York Liberty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113e1744e564570dce943be22f4609ea073b2c634f9429475f4ee76e24e2f9c8</t>
        </is>
      </c>
      <c r="BB109" s="24" t="inlineStr">
        <is>
          <t>total_normal</t>
        </is>
      </c>
      <c r="BC109" s="24" t="inlineStr">
        <is>
          <t>wnba-total-margin-v1</t>
        </is>
      </c>
      <c r="BD109" s="24" t="inlineStr">
        <is>
          <t>113e1744e564570dce943be22f4609ea073b2c634f9429475f4ee76e24e2f9c8</t>
        </is>
      </c>
      <c r="BE109" s="24" t="inlineStr">
        <is>
          <t>wnba-total-margin-v1</t>
        </is>
      </c>
      <c r="BF109" s="24" t="inlineStr">
        <is>
          <t>1</t>
        </is>
      </c>
      <c r="BG109" s="24" t="inlineStr">
        <is>
          <t>113e1744e564570dce943be22f4609ea073b2c634f9429475f4ee76e24e2f9c8</t>
        </is>
      </c>
      <c r="BH109" s="24" t="inlineStr">
        <is>
          <t>2026-08-27T12:32:36.052532Z</t>
        </is>
      </c>
      <c r="BI109" s="24" t="inlineStr">
        <is>
          <t>["same_event","same_team_same_day","same_league_same_day"]</t>
        </is>
      </c>
      <c r="BJ109" s="25" t="n">
        <v>169.5</v>
      </c>
      <c r="BK109" s="26" t="n">
        <v>-245</v>
      </c>
      <c r="BL109" s="27" t="n">
        <v>1.408163</v>
      </c>
      <c r="BM109" s="28" t="n">
        <v>0.710145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>
        <v>1</v>
      </c>
      <c r="BY109" s="27" t="n">
        <v>0.408163</v>
      </c>
      <c r="BZ109" s="24" t="inlineStr">
        <is>
          <t>2026-08-28T02:37:26.033701Z</t>
        </is>
      </c>
      <c r="CA109" s="31" t="inlineStr">
        <is>
          <t>fixed one-unit hypothetical scoring; no real exposure or execution</t>
        </is>
      </c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inlineStr">
        <is>
          <t>2026-08-27T12:32:36.052532Z</t>
        </is>
      </c>
      <c r="CZ109" s="24" t="inlineStr">
        <is>
          <t>True</t>
        </is>
      </c>
      <c r="DA109" s="24" t="inlineStr">
        <is>
          <t>polymarket_us</t>
        </is>
      </c>
      <c r="DB109" s="24" t="inlineStr">
        <is>
          <t>decision_time_executable_quote</t>
        </is>
      </c>
      <c r="DC109" s="24" t="inlineStr">
        <is>
          <t>False</t>
        </is>
      </c>
      <c r="DD109" s="24" t="inlineStr">
        <is>
          <t>290a09139d72cfc9da981d9409de6bcf1696312c5c7ca6ba02eec40ede308973</t>
        </is>
      </c>
      <c r="DE109" s="24" t="inlineStr">
        <is>
          <t>/Users/vincentc9002/model-prediction/data/odds/wnba/2026-08-27/polymarket_snapshots.jsonl</t>
        </is>
      </c>
      <c r="DF109" s="24" t="inlineStr">
        <is>
          <t>290a09139d72cfc9da981d9409de6bcf1696312c5c7ca6ba02eec40ede308973</t>
        </is>
      </c>
      <c r="DG109" s="24" t="n"/>
      <c r="DH109" s="24" t="n"/>
      <c r="DI109" s="24" t="n"/>
      <c r="DJ109" s="24" t="inlineStr">
        <is>
          <t>0.710145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9700a1426fa8488f</t>
        </is>
      </c>
      <c r="B110" s="24" t="inlineStr">
        <is>
          <t>2026-08-27T22:19:15.135222Z</t>
        </is>
      </c>
      <c r="C110" s="24" t="inlineStr">
        <is>
          <t>2026-08-28T02:00Z</t>
        </is>
      </c>
      <c r="D110" s="24" t="inlineStr">
        <is>
          <t>401857179</t>
        </is>
      </c>
      <c r="E110" s="24" t="inlineStr">
        <is>
          <t>WNBA</t>
        </is>
      </c>
      <c r="F110" s="24" t="inlineStr">
        <is>
          <t>Washington Mystics</t>
        </is>
      </c>
      <c r="G110" s="24" t="inlineStr">
        <is>
          <t>Phoenix Mercury</t>
        </is>
      </c>
      <c r="H110" s="24" t="inlineStr">
        <is>
          <t>total</t>
        </is>
      </c>
      <c r="I110" s="24" t="inlineStr">
        <is>
          <t>over</t>
        </is>
      </c>
      <c r="J110" s="25" t="n">
        <v>166.5</v>
      </c>
      <c r="K110" s="24" t="inlineStr">
        <is>
          <t>polymarket_us</t>
        </is>
      </c>
      <c r="L110" s="26" t="n">
        <v>100</v>
      </c>
      <c r="M110" s="27" t="n">
        <v>2</v>
      </c>
      <c r="N110" s="28" t="n">
        <v>0.5</v>
      </c>
      <c r="O110" s="28" t="n">
        <v>0.580212</v>
      </c>
      <c r="P110" s="28" t="n">
        <v>0.03</v>
      </c>
      <c r="Q110" s="28" t="n">
        <v>0.08021200000000001</v>
      </c>
      <c r="R110" s="26" t="n">
        <v>72</v>
      </c>
      <c r="S110" s="29" t="n">
        <v>1.25</v>
      </c>
      <c r="T110" s="24" t="inlineStr">
        <is>
          <t>wnba-total-margin-v1</t>
        </is>
      </c>
      <c r="U110" s="24" t="inlineStr">
        <is>
          <t>settled</t>
        </is>
      </c>
      <c r="V110" s="24" t="inlineStr">
        <is>
          <t>loss</t>
        </is>
      </c>
      <c r="W110" s="26" t="n">
        <v>80</v>
      </c>
      <c r="X110" s="26" t="n">
        <v>73</v>
      </c>
      <c r="Y110" s="25" t="n"/>
      <c r="Z110" s="26" t="n"/>
      <c r="AA110" s="28" t="n"/>
      <c r="AB110" s="28" t="n"/>
      <c r="AC110" s="30" t="n">
        <v>-1.25</v>
      </c>
      <c r="AD110" s="24" t="inlineStr">
        <is>
          <t>2026-08-28T12:30:15.889018Z</t>
        </is>
      </c>
      <c r="AE110" s="31" t="inlineStr">
        <is>
          <t>Projected total 169.5, sd 15.0. Executable ask 0.5000 (tsc-wnba-wsh-phx-2026-08-27-166pt5).</t>
        </is>
      </c>
      <c r="AF110" s="31" t="inlineStr">
        <is>
          <t>Research-baseline total model; not yet locked-holdout qualified.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PAPER_CALL_MODEL_UNVALIDATED</t>
        </is>
      </c>
      <c r="AP110" s="24" t="inlineStr">
        <is>
          <t>wnba-was</t>
        </is>
      </c>
      <c r="AQ110" s="24" t="inlineStr">
        <is>
          <t>Washington Mystics</t>
        </is>
      </c>
      <c r="AR110" s="24" t="inlineStr">
        <is>
          <t>Washington Mystics</t>
        </is>
      </c>
      <c r="AS110" s="24" t="inlineStr">
        <is>
          <t>wnba-phx</t>
        </is>
      </c>
      <c r="AT110" s="24" t="inlineStr">
        <is>
          <t>Phoenix Mercury</t>
        </is>
      </c>
      <c r="AU110" s="24" t="inlineStr">
        <is>
          <t>Phoenix Mercury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113e1744e564570dce943be22f4609ea073b2c634f9429475f4ee76e24e2f9c8</t>
        </is>
      </c>
      <c r="BB110" s="24" t="inlineStr">
        <is>
          <t>total_normal</t>
        </is>
      </c>
      <c r="BC110" s="24" t="inlineStr">
        <is>
          <t>wnba-total-margin-v1</t>
        </is>
      </c>
      <c r="BD110" s="24" t="inlineStr">
        <is>
          <t>113e1744e564570dce943be22f4609ea073b2c634f9429475f4ee76e24e2f9c8</t>
        </is>
      </c>
      <c r="BE110" s="24" t="inlineStr">
        <is>
          <t>wnba-total-margin-v1</t>
        </is>
      </c>
      <c r="BF110" s="24" t="inlineStr">
        <is>
          <t>1</t>
        </is>
      </c>
      <c r="BG110" s="24" t="inlineStr">
        <is>
          <t>113e1744e564570dce943be22f4609ea073b2c634f9429475f4ee76e24e2f9c8</t>
        </is>
      </c>
      <c r="BH110" s="24" t="inlineStr">
        <is>
          <t>2026-08-27T21:53:54.698040Z</t>
        </is>
      </c>
      <c r="BI110" s="24" t="inlineStr">
        <is>
          <t>["same_event","same_team_same_day","same_league_same_day"]</t>
        </is>
      </c>
      <c r="BJ110" s="25" t="n">
        <v>166.5</v>
      </c>
      <c r="BK110" s="26" t="n">
        <v>100</v>
      </c>
      <c r="BL110" s="27" t="n">
        <v>2</v>
      </c>
      <c r="BM110" s="28" t="n">
        <v>0.5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>
        <v>1</v>
      </c>
      <c r="BY110" s="27" t="n">
        <v>-1</v>
      </c>
      <c r="BZ110" s="24" t="inlineStr">
        <is>
          <t>2026-08-28T12:30:15.889018Z</t>
        </is>
      </c>
      <c r="CA110" s="31" t="inlineStr">
        <is>
          <t>fixed one-unit hypothetical scoring; no real exposure or execution</t>
        </is>
      </c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inlineStr">
        <is>
          <t>2026-08-27T21:53:54.698040Z</t>
        </is>
      </c>
      <c r="CZ110" s="24" t="inlineStr">
        <is>
          <t>True</t>
        </is>
      </c>
      <c r="DA110" s="24" t="inlineStr">
        <is>
          <t>polymarket_us</t>
        </is>
      </c>
      <c r="DB110" s="24" t="inlineStr">
        <is>
          <t>decision_time_executable_quote</t>
        </is>
      </c>
      <c r="DC110" s="24" t="inlineStr">
        <is>
          <t>False</t>
        </is>
      </c>
      <c r="DD110" s="24" t="inlineStr">
        <is>
          <t>477c0990570a092b4cfb1da8677813f2529b4b6e45a3b2a2905e9755e31610ed</t>
        </is>
      </c>
      <c r="DE110" s="24" t="inlineStr">
        <is>
          <t>/Users/vincentc9002/model-prediction/data/odds/wnba/2026-08-27/polymarket_snapshots.jsonl</t>
        </is>
      </c>
      <c r="DF110" s="24" t="inlineStr">
        <is>
          <t>477c0990570a092b4cfb1da8677813f2529b4b6e45a3b2a2905e9755e31610ed</t>
        </is>
      </c>
      <c r="DG110" s="24" t="n"/>
      <c r="DH110" s="24" t="n"/>
      <c r="DI110" s="24" t="n"/>
      <c r="DJ110" s="24" t="inlineStr">
        <is>
          <t>0.5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40f8a55c94b94cd7</t>
        </is>
      </c>
      <c r="B111" s="24" t="inlineStr">
        <is>
          <t>2026-08-28T12:33:47.009944Z</t>
        </is>
      </c>
      <c r="C111" s="24" t="inlineStr">
        <is>
          <t>2026-08-28T19:30:00-0400</t>
        </is>
      </c>
      <c r="D111" s="24" t="inlineStr">
        <is>
          <t>401857180</t>
        </is>
      </c>
      <c r="E111" s="24" t="inlineStr">
        <is>
          <t>WNBA</t>
        </is>
      </c>
      <c r="F111" s="24" t="inlineStr">
        <is>
          <t>Portland Fire</t>
        </is>
      </c>
      <c r="G111" s="24" t="inlineStr">
        <is>
          <t>Atlanta Dream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-733</v>
      </c>
      <c r="M111" s="27" t="n">
        <v>1.136426</v>
      </c>
      <c r="N111" s="28" t="n">
        <v>0.879952</v>
      </c>
      <c r="O111" s="28" t="n">
        <v>0.740179</v>
      </c>
      <c r="P111" s="28" t="n"/>
      <c r="Q111" s="28" t="n">
        <v>-0.139773</v>
      </c>
      <c r="R111" s="26" t="n">
        <v>0</v>
      </c>
      <c r="S111" s="29" t="n">
        <v>1</v>
      </c>
      <c r="T111" s="24" t="inlineStr">
        <is>
          <t>wnba-elo-trend-lr-v4</t>
        </is>
      </c>
      <c r="U111" s="24" t="inlineStr">
        <is>
          <t>settled</t>
        </is>
      </c>
      <c r="V111" s="24" t="inlineStr">
        <is>
          <t>loss</t>
        </is>
      </c>
      <c r="W111" s="26" t="n">
        <v>101</v>
      </c>
      <c r="X111" s="26" t="n">
        <v>83</v>
      </c>
      <c r="Y111" s="25" t="n"/>
      <c r="Z111" s="26" t="n"/>
      <c r="AA111" s="28" t="n"/>
      <c r="AB111" s="28" t="n"/>
      <c r="AC111" s="30" t="n">
        <v>-1</v>
      </c>
      <c r="AD111" s="24" t="inlineStr">
        <is>
          <t>2026-08-29T12:31:13.316580Z</t>
        </is>
      </c>
      <c r="AE111" s="31" t="inlineStr">
        <is>
          <t>Learned LR call at threshold 0.5001; executable ask 0.8800 (aec-wnba-por-atl-2026-08-28); model edge vs ask -0.1398. NOTE: NO_CALL_AVAILABILITY_PLAYER_UNMAPPED unavailable for this game — defaulted to neutral, other features used normally.</t>
        </is>
      </c>
      <c r="AF111" s="31" t="inlineStr">
        <is>
          <t>Learned model; shadow-qualified via operator override.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4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wnba-por</t>
        </is>
      </c>
      <c r="AQ111" s="24" t="inlineStr">
        <is>
          <t>Portland Fire</t>
        </is>
      </c>
      <c r="AR111" s="24" t="inlineStr">
        <is>
          <t>Portland Fire</t>
        </is>
      </c>
      <c r="AS111" s="24" t="inlineStr">
        <is>
          <t>wnba-atl</t>
        </is>
      </c>
      <c r="AT111" s="24" t="inlineStr">
        <is>
          <t>Atlanta Dream</t>
        </is>
      </c>
      <c r="AU111" s="24" t="inlineStr">
        <is>
          <t>Atlanta Dream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7afd5274214b58b7efd7f7febc7be3ab33b92351cda5cc6403c0a39faea0cc8c</t>
        </is>
      </c>
      <c r="BB111" s="24" t="inlineStr">
        <is>
          <t>learned_lr</t>
        </is>
      </c>
      <c r="BC111" s="24" t="inlineStr">
        <is>
          <t>wnba-elo-trend-lr-v4</t>
        </is>
      </c>
      <c r="BD111" s="24" t="inlineStr">
        <is>
          <t>7afd5274214b58b7efd7f7febc7be3ab33b92351cda5cc6403c0a39faea0cc8c</t>
        </is>
      </c>
      <c r="BE111" s="24" t="inlineStr">
        <is>
          <t>ef35a1059f267db2</t>
        </is>
      </c>
      <c r="BF111" s="24" t="inlineStr">
        <is>
          <t>1</t>
        </is>
      </c>
      <c r="BG111" s="24" t="inlineStr">
        <is>
          <t>wnba-elo-trend-lr-v4</t>
        </is>
      </c>
      <c r="BH111" s="24" t="inlineStr">
        <is>
          <t>2026-08-28T12:33:30.271204Z</t>
        </is>
      </c>
      <c r="BI111" s="24" t="inlineStr">
        <is>
          <t>["same_event","same_team_same_day","same_league_same_day"]</t>
        </is>
      </c>
      <c r="BJ111" s="25" t="n"/>
      <c r="BK111" s="26" t="n">
        <v>-733</v>
      </c>
      <c r="BL111" s="27" t="n">
        <v>1.136426</v>
      </c>
      <c r="BM111" s="28" t="n">
        <v>0.879952</v>
      </c>
      <c r="BN111" s="28" t="n">
        <v>0.871287</v>
      </c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inlineStr">
        <is>
          <t>0.8472871263</t>
        </is>
      </c>
      <c r="CD111" s="24" t="inlineStr">
        <is>
          <t>5.40715</t>
        </is>
      </c>
      <c r="CE111" s="24" t="n"/>
      <c r="CF111" s="24" t="n"/>
      <c r="CG111" s="24" t="n"/>
      <c r="CH111" s="24" t="n"/>
      <c r="CI111" s="24" t="inlineStr">
        <is>
          <t>NO_CALL_AVAILABILITY_PLAYER_UNMAPPED</t>
        </is>
      </c>
      <c r="CJ111" s="24" t="inlineStr">
        <is>
          <t>0.172939</t>
        </is>
      </c>
      <c r="CK111" s="24" t="n"/>
      <c r="CL111" s="24" t="n"/>
      <c r="CM111" s="24" t="n"/>
      <c r="CN111" s="24" t="n"/>
      <c r="CO111" s="24" t="n"/>
      <c r="CP111" s="24" t="n"/>
      <c r="CQ111" s="24" t="n"/>
      <c r="CR111" s="24" t="inlineStr">
        <is>
          <t>0.740179</t>
        </is>
      </c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inlineStr">
        <is>
          <t>2026-08-28T12:33:30.271204Z</t>
        </is>
      </c>
      <c r="CZ111" s="24" t="inlineStr">
        <is>
          <t>True</t>
        </is>
      </c>
      <c r="DA111" s="24" t="inlineStr">
        <is>
          <t>polymarket_us</t>
        </is>
      </c>
      <c r="DB111" s="24" t="inlineStr">
        <is>
          <t>decision_time_executable_quote</t>
        </is>
      </c>
      <c r="DC111" s="24" t="inlineStr">
        <is>
          <t>False</t>
        </is>
      </c>
      <c r="DD111" s="24" t="inlineStr">
        <is>
          <t>358e627c2356b6c728271f5aefef8f5a8b8bc29fabdaa2dbd30cc15162a7e890</t>
        </is>
      </c>
      <c r="DE111" s="24" t="inlineStr">
        <is>
          <t>/Users/vincentc9002/model-prediction/data/odds/wnba/2026-08-28/polymarket_snapshots.jsonl</t>
        </is>
      </c>
      <c r="DF111" s="24" t="inlineStr">
        <is>
          <t>358e627c2356b6c728271f5aefef8f5a8b8bc29fabdaa2dbd30cc15162a7e890</t>
        </is>
      </c>
      <c r="DG111" s="24" t="n"/>
      <c r="DH111" s="24" t="n"/>
      <c r="DI111" s="24" t="n"/>
      <c r="DJ111" s="24" t="inlineStr">
        <is>
          <t>0.879952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9c6037379ca9437f</t>
        </is>
      </c>
      <c r="B112" s="24" t="inlineStr">
        <is>
          <t>2026-08-28T12:33:47.009944Z</t>
        </is>
      </c>
      <c r="C112" s="24" t="inlineStr">
        <is>
          <t>2026-08-28T19:30:00-0400</t>
        </is>
      </c>
      <c r="D112" s="24" t="inlineStr">
        <is>
          <t>401857181</t>
        </is>
      </c>
      <c r="E112" s="24" t="inlineStr">
        <is>
          <t>WNBA</t>
        </is>
      </c>
      <c r="F112" s="24" t="inlineStr">
        <is>
          <t>Connecticut Sun</t>
        </is>
      </c>
      <c r="G112" s="24" t="inlineStr">
        <is>
          <t>Indiana Fever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-1329</v>
      </c>
      <c r="M112" s="27" t="n">
        <v>1.075245</v>
      </c>
      <c r="N112" s="28" t="n">
        <v>0.930021</v>
      </c>
      <c r="O112" s="28" t="n">
        <v>0.770384</v>
      </c>
      <c r="P112" s="28" t="n"/>
      <c r="Q112" s="28" t="n">
        <v>-0.159637</v>
      </c>
      <c r="R112" s="26" t="n">
        <v>0</v>
      </c>
      <c r="S112" s="29" t="n">
        <v>1</v>
      </c>
      <c r="T112" s="24" t="inlineStr">
        <is>
          <t>wnba-elo-trend-lr-v4</t>
        </is>
      </c>
      <c r="U112" s="24" t="inlineStr">
        <is>
          <t>settled</t>
        </is>
      </c>
      <c r="V112" s="24" t="inlineStr">
        <is>
          <t>win</t>
        </is>
      </c>
      <c r="W112" s="26" t="n">
        <v>91</v>
      </c>
      <c r="X112" s="26" t="n">
        <v>111</v>
      </c>
      <c r="Y112" s="25" t="n"/>
      <c r="Z112" s="26" t="n"/>
      <c r="AA112" s="28" t="n"/>
      <c r="AB112" s="28" t="n"/>
      <c r="AC112" s="30" t="n">
        <v>0.0752</v>
      </c>
      <c r="AD112" s="24" t="inlineStr">
        <is>
          <t>2026-08-29T12:31:13.968476Z</t>
        </is>
      </c>
      <c r="AE112" s="31" t="inlineStr">
        <is>
          <t>Learned LR call at threshold 0.5001; executable ask 0.9300 (aec-wnba-conn-ind-2026-08-28); model edge vs ask -0.1596. NOTE: NO_CALL_AVAILABILITY_SOURCE_CONFLICT unavailable for this game — defaulted to neutral, other features used normally.</t>
        </is>
      </c>
      <c r="AF112" s="31" t="inlineStr">
        <is>
          <t>Learned model; shadow-qualified via operator override.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4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wnba-con</t>
        </is>
      </c>
      <c r="AQ112" s="24" t="inlineStr">
        <is>
          <t>Connecticut Sun</t>
        </is>
      </c>
      <c r="AR112" s="24" t="inlineStr">
        <is>
          <t>Connecticut Sun</t>
        </is>
      </c>
      <c r="AS112" s="24" t="inlineStr">
        <is>
          <t>wnba-ind</t>
        </is>
      </c>
      <c r="AT112" s="24" t="inlineStr">
        <is>
          <t>Indiana Fever</t>
        </is>
      </c>
      <c r="AU112" s="24" t="inlineStr">
        <is>
          <t>Indiana Fever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7afd5274214b58b7efd7f7febc7be3ab33b92351cda5cc6403c0a39faea0cc8c</t>
        </is>
      </c>
      <c r="BB112" s="24" t="inlineStr">
        <is>
          <t>learned_lr</t>
        </is>
      </c>
      <c r="BC112" s="24" t="inlineStr">
        <is>
          <t>wnba-elo-trend-lr-v4</t>
        </is>
      </c>
      <c r="BD112" s="24" t="inlineStr">
        <is>
          <t>7afd5274214b58b7efd7f7febc7be3ab33b92351cda5cc6403c0a39faea0cc8c</t>
        </is>
      </c>
      <c r="BE112" s="24" t="inlineStr">
        <is>
          <t>2f8eac2e4dfe5505</t>
        </is>
      </c>
      <c r="BF112" s="24" t="inlineStr">
        <is>
          <t>1</t>
        </is>
      </c>
      <c r="BG112" s="24" t="inlineStr">
        <is>
          <t>wnba-elo-trend-lr-v4</t>
        </is>
      </c>
      <c r="BH112" s="24" t="inlineStr">
        <is>
          <t>2026-08-28T12:33:30.334290Z</t>
        </is>
      </c>
      <c r="BI112" s="24" t="inlineStr">
        <is>
          <t>["same_event","same_team_same_day","same_league_same_day"]</t>
        </is>
      </c>
      <c r="BJ112" s="25" t="n"/>
      <c r="BK112" s="26" t="n">
        <v>-1329</v>
      </c>
      <c r="BL112" s="27" t="n">
        <v>1.075245</v>
      </c>
      <c r="BM112" s="28" t="n">
        <v>0.930021</v>
      </c>
      <c r="BN112" s="28" t="n">
        <v>0.9207920000000001</v>
      </c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inlineStr">
        <is>
          <t>0.9011901822</t>
        </is>
      </c>
      <c r="CD112" s="24" t="inlineStr">
        <is>
          <t>7.618615</t>
        </is>
      </c>
      <c r="CE112" s="24" t="n"/>
      <c r="CF112" s="24" t="n"/>
      <c r="CG112" s="24" t="n"/>
      <c r="CH112" s="24" t="n"/>
      <c r="CI112" s="24" t="inlineStr">
        <is>
          <t>NO_CALL_AVAILABILITY_SOURCE_CONFLICT</t>
        </is>
      </c>
      <c r="CJ112" s="24" t="inlineStr">
        <is>
          <t>-3.083711</t>
        </is>
      </c>
      <c r="CK112" s="24" t="n"/>
      <c r="CL112" s="24" t="n"/>
      <c r="CM112" s="24" t="n"/>
      <c r="CN112" s="24" t="n"/>
      <c r="CO112" s="24" t="n"/>
      <c r="CP112" s="24" t="n"/>
      <c r="CQ112" s="24" t="n"/>
      <c r="CR112" s="24" t="inlineStr">
        <is>
          <t>0.770384</t>
        </is>
      </c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inlineStr">
        <is>
          <t>2026-08-28T12:33:30.334290Z</t>
        </is>
      </c>
      <c r="CZ112" s="24" t="inlineStr">
        <is>
          <t>True</t>
        </is>
      </c>
      <c r="DA112" s="24" t="inlineStr">
        <is>
          <t>polymarket_us</t>
        </is>
      </c>
      <c r="DB112" s="24" t="inlineStr">
        <is>
          <t>decision_time_executable_quote</t>
        </is>
      </c>
      <c r="DC112" s="24" t="inlineStr">
        <is>
          <t>False</t>
        </is>
      </c>
      <c r="DD112" s="24" t="inlineStr">
        <is>
          <t>2816b4593d7a83c2dde125fc70c6fb5c762b4aea265993c06e2753d91d97351b</t>
        </is>
      </c>
      <c r="DE112" s="24" t="inlineStr">
        <is>
          <t>/Users/vincentc9002/model-prediction/data/odds/wnba/2026-08-28/polymarket_snapshots.jsonl</t>
        </is>
      </c>
      <c r="DF112" s="24" t="inlineStr">
        <is>
          <t>2816b4593d7a83c2dde125fc70c6fb5c762b4aea265993c06e2753d91d97351b</t>
        </is>
      </c>
      <c r="DG112" s="24" t="n"/>
      <c r="DH112" s="24" t="n"/>
      <c r="DI112" s="24" t="n"/>
      <c r="DJ112" s="24" t="inlineStr">
        <is>
          <t>0.930021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fc85227b30274e53</t>
        </is>
      </c>
      <c r="B113" s="24" t="inlineStr">
        <is>
          <t>2026-08-28T12:33:47.009944Z</t>
        </is>
      </c>
      <c r="C113" s="24" t="inlineStr">
        <is>
          <t>2026-08-28T22:00:00-0400</t>
        </is>
      </c>
      <c r="D113" s="24" t="inlineStr">
        <is>
          <t>401857182</t>
        </is>
      </c>
      <c r="E113" s="24" t="inlineStr">
        <is>
          <t>WNBA</t>
        </is>
      </c>
      <c r="F113" s="24" t="inlineStr">
        <is>
          <t>Toronto Tempo</t>
        </is>
      </c>
      <c r="G113" s="24" t="inlineStr">
        <is>
          <t>Las Vegas Aces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-900</v>
      </c>
      <c r="M113" s="27" t="n">
        <v>1.111111</v>
      </c>
      <c r="N113" s="28" t="n">
        <v>0.9</v>
      </c>
      <c r="O113" s="28" t="n">
        <v>0.77372</v>
      </c>
      <c r="P113" s="28" t="n"/>
      <c r="Q113" s="28" t="n">
        <v>-0.12628</v>
      </c>
      <c r="R113" s="26" t="n">
        <v>0</v>
      </c>
      <c r="S113" s="29" t="n">
        <v>1</v>
      </c>
      <c r="T113" s="24" t="inlineStr">
        <is>
          <t>wnba-elo-trend-lr-v4</t>
        </is>
      </c>
      <c r="U113" s="24" t="inlineStr">
        <is>
          <t>settled</t>
        </is>
      </c>
      <c r="V113" s="24" t="inlineStr">
        <is>
          <t>win</t>
        </is>
      </c>
      <c r="W113" s="26" t="n">
        <v>73</v>
      </c>
      <c r="X113" s="26" t="n">
        <v>93</v>
      </c>
      <c r="Y113" s="25" t="n"/>
      <c r="Z113" s="26" t="n"/>
      <c r="AA113" s="28" t="n"/>
      <c r="AB113" s="28" t="n"/>
      <c r="AC113" s="30" t="n">
        <v>0.1111</v>
      </c>
      <c r="AD113" s="24" t="inlineStr">
        <is>
          <t>2026-08-29T12:31:14.618023Z</t>
        </is>
      </c>
      <c r="AE113" s="31" t="inlineStr">
        <is>
          <t>Learned LR call at threshold 0.5001; executable ask 0.9000 (aec-wnba-tor-lv-2026-08-28); model edge vs ask -0.1263. NOTE: NO_CALL_AVAILABILITY_SOURCE_CONFLICT unavailable for this game — defaulted to neutral, other features used normally.</t>
        </is>
      </c>
      <c r="AF113" s="31" t="inlineStr">
        <is>
          <t>Learned model; shadow-qualified via operator override.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4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wnba-tor</t>
        </is>
      </c>
      <c r="AQ113" s="24" t="inlineStr">
        <is>
          <t>Toronto Tempo</t>
        </is>
      </c>
      <c r="AR113" s="24" t="inlineStr">
        <is>
          <t>Toronto Tempo</t>
        </is>
      </c>
      <c r="AS113" s="24" t="inlineStr">
        <is>
          <t>wnba-lva</t>
        </is>
      </c>
      <c r="AT113" s="24" t="inlineStr">
        <is>
          <t>Las Vegas Aces</t>
        </is>
      </c>
      <c r="AU113" s="24" t="inlineStr">
        <is>
          <t>Las Vegas Aces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7afd5274214b58b7efd7f7febc7be3ab33b92351cda5cc6403c0a39faea0cc8c</t>
        </is>
      </c>
      <c r="BB113" s="24" t="inlineStr">
        <is>
          <t>learned_lr</t>
        </is>
      </c>
      <c r="BC113" s="24" t="inlineStr">
        <is>
          <t>wnba-elo-trend-lr-v4</t>
        </is>
      </c>
      <c r="BD113" s="24" t="inlineStr">
        <is>
          <t>7afd5274214b58b7efd7f7febc7be3ab33b92351cda5cc6403c0a39faea0cc8c</t>
        </is>
      </c>
      <c r="BE113" s="24" t="inlineStr">
        <is>
          <t>f345e50b18b71ab3</t>
        </is>
      </c>
      <c r="BF113" s="24" t="inlineStr">
        <is>
          <t>1</t>
        </is>
      </c>
      <c r="BG113" s="24" t="inlineStr">
        <is>
          <t>wnba-elo-trend-lr-v4</t>
        </is>
      </c>
      <c r="BH113" s="24" t="inlineStr">
        <is>
          <t>2026-08-28T12:33:30.433765Z</t>
        </is>
      </c>
      <c r="BI113" s="24" t="inlineStr">
        <is>
          <t>["same_event","same_team_same_day","same_league_same_day"]</t>
        </is>
      </c>
      <c r="BJ113" s="25" t="n"/>
      <c r="BK113" s="26" t="n">
        <v>-900</v>
      </c>
      <c r="BL113" s="27" t="n">
        <v>1.111111</v>
      </c>
      <c r="BM113" s="28" t="n">
        <v>0.9</v>
      </c>
      <c r="BN113" s="28" t="n">
        <v>0.891089</v>
      </c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inlineStr">
        <is>
          <t>0.8976997833</t>
        </is>
      </c>
      <c r="CD113" s="24" t="inlineStr">
        <is>
          <t>2.916691</t>
        </is>
      </c>
      <c r="CE113" s="24" t="n"/>
      <c r="CF113" s="24" t="n"/>
      <c r="CG113" s="24" t="n"/>
      <c r="CH113" s="24" t="n"/>
      <c r="CI113" s="24" t="inlineStr">
        <is>
          <t>NO_CALL_AVAILABILITY_SOURCE_CONFLICT</t>
        </is>
      </c>
      <c r="CJ113" s="24" t="inlineStr">
        <is>
          <t>-2.449121</t>
        </is>
      </c>
      <c r="CK113" s="24" t="n"/>
      <c r="CL113" s="24" t="n"/>
      <c r="CM113" s="24" t="n"/>
      <c r="CN113" s="24" t="n"/>
      <c r="CO113" s="24" t="n"/>
      <c r="CP113" s="24" t="n"/>
      <c r="CQ113" s="24" t="n"/>
      <c r="CR113" s="24" t="inlineStr">
        <is>
          <t>0.77372</t>
        </is>
      </c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inlineStr">
        <is>
          <t>2026-08-28T12:33:30.433765Z</t>
        </is>
      </c>
      <c r="CZ113" s="24" t="inlineStr">
        <is>
          <t>True</t>
        </is>
      </c>
      <c r="DA113" s="24" t="inlineStr">
        <is>
          <t>polymarket_us</t>
        </is>
      </c>
      <c r="DB113" s="24" t="inlineStr">
        <is>
          <t>decision_time_executable_quote</t>
        </is>
      </c>
      <c r="DC113" s="24" t="inlineStr">
        <is>
          <t>False</t>
        </is>
      </c>
      <c r="DD113" s="24" t="inlineStr">
        <is>
          <t>37eafa2111c14bb7a524ab6f848187c9a82293b155b72e8b86d557d0a8bb0d40</t>
        </is>
      </c>
      <c r="DE113" s="24" t="inlineStr">
        <is>
          <t>/Users/vincentc9002/model-prediction/data/odds/wnba/2026-08-28/polymarket_snapshots.jsonl</t>
        </is>
      </c>
      <c r="DF113" s="24" t="inlineStr">
        <is>
          <t>37eafa2111c14bb7a524ab6f848187c9a82293b155b72e8b86d557d0a8bb0d40</t>
        </is>
      </c>
      <c r="DG113" s="24" t="n"/>
      <c r="DH113" s="24" t="n"/>
      <c r="DI113" s="24" t="n"/>
      <c r="DJ113" s="24" t="inlineStr">
        <is>
          <t>0.9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39d4b69fae3c4231</t>
        </is>
      </c>
      <c r="B114" s="24" t="inlineStr">
        <is>
          <t>2026-08-28T12:33:47.009944Z</t>
        </is>
      </c>
      <c r="C114" s="24" t="inlineStr">
        <is>
          <t>2026-08-28T22:00:00-0400</t>
        </is>
      </c>
      <c r="D114" s="24" t="inlineStr">
        <is>
          <t>401857183</t>
        </is>
      </c>
      <c r="E114" s="24" t="inlineStr">
        <is>
          <t>WNBA</t>
        </is>
      </c>
      <c r="F114" s="24" t="inlineStr">
        <is>
          <t>Washington Mystics</t>
        </is>
      </c>
      <c r="G114" s="24" t="inlineStr">
        <is>
          <t>Los Angeles Sparks</t>
        </is>
      </c>
      <c r="H114" s="24" t="inlineStr">
        <is>
          <t>moneyline</t>
        </is>
      </c>
      <c r="I114" s="24" t="inlineStr">
        <is>
          <t>away</t>
        </is>
      </c>
      <c r="J114" s="25" t="n"/>
      <c r="K114" s="24" t="inlineStr">
        <is>
          <t>polymarket_us</t>
        </is>
      </c>
      <c r="L114" s="26" t="n">
        <v>-203</v>
      </c>
      <c r="M114" s="27" t="n">
        <v>1.492611</v>
      </c>
      <c r="N114" s="28" t="n">
        <v>0.669967</v>
      </c>
      <c r="O114" s="28" t="n">
        <v>0.657209</v>
      </c>
      <c r="P114" s="28" t="n"/>
      <c r="Q114" s="28" t="n">
        <v>-0.012758</v>
      </c>
      <c r="R114" s="26" t="n">
        <v>17</v>
      </c>
      <c r="S114" s="29" t="n">
        <v>1</v>
      </c>
      <c r="T114" s="24" t="inlineStr">
        <is>
          <t>wnba-elo-trend-lr-v4</t>
        </is>
      </c>
      <c r="U114" s="24" t="inlineStr">
        <is>
          <t>settled</t>
        </is>
      </c>
      <c r="V114" s="24" t="inlineStr">
        <is>
          <t>loss</t>
        </is>
      </c>
      <c r="W114" s="26" t="n">
        <v>82</v>
      </c>
      <c r="X114" s="26" t="n">
        <v>88</v>
      </c>
      <c r="Y114" s="25" t="n"/>
      <c r="Z114" s="26" t="n"/>
      <c r="AA114" s="28" t="n"/>
      <c r="AB114" s="28" t="n"/>
      <c r="AC114" s="30" t="n">
        <v>-1</v>
      </c>
      <c r="AD114" s="24" t="inlineStr">
        <is>
          <t>2026-08-29T12:31:15.330066Z</t>
        </is>
      </c>
      <c r="AE114" s="31" t="inlineStr">
        <is>
          <t>Learned LR call at threshold 0.5001; executable ask 0.6700 (aec-wnba-wsh-la-2026-08-28); model edge vs ask -0.0128. NOTE: NO_CALL_AVAILABILITY_SOURCE_CONFLICT unavailable for this game — defaulted to neutral, other features used normally.</t>
        </is>
      </c>
      <c r="AF114" s="31" t="inlineStr">
        <is>
          <t>Learned model; shadow-qualified via operator override.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4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wnba-was</t>
        </is>
      </c>
      <c r="AQ114" s="24" t="inlineStr">
        <is>
          <t>Washington Mystics</t>
        </is>
      </c>
      <c r="AR114" s="24" t="inlineStr">
        <is>
          <t>Washington Mystics</t>
        </is>
      </c>
      <c r="AS114" s="24" t="inlineStr">
        <is>
          <t>wnba-las</t>
        </is>
      </c>
      <c r="AT114" s="24" t="inlineStr">
        <is>
          <t>Los Angeles Sparks</t>
        </is>
      </c>
      <c r="AU114" s="24" t="inlineStr">
        <is>
          <t>Los Angeles Sparks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7afd5274214b58b7efd7f7febc7be3ab33b92351cda5cc6403c0a39faea0cc8c</t>
        </is>
      </c>
      <c r="BB114" s="24" t="inlineStr">
        <is>
          <t>learned_lr</t>
        </is>
      </c>
      <c r="BC114" s="24" t="inlineStr">
        <is>
          <t>wnba-elo-trend-lr-v4</t>
        </is>
      </c>
      <c r="BD114" s="24" t="inlineStr">
        <is>
          <t>7afd5274214b58b7efd7f7febc7be3ab33b92351cda5cc6403c0a39faea0cc8c</t>
        </is>
      </c>
      <c r="BE114" s="24" t="inlineStr">
        <is>
          <t>38c2b04e7f4e46ff</t>
        </is>
      </c>
      <c r="BF114" s="24" t="inlineStr">
        <is>
          <t>1</t>
        </is>
      </c>
      <c r="BG114" s="24" t="inlineStr">
        <is>
          <t>wnba-elo-trend-lr-v4</t>
        </is>
      </c>
      <c r="BH114" s="24" t="inlineStr">
        <is>
          <t>2026-08-28T12:33:30.470736Z</t>
        </is>
      </c>
      <c r="BI114" s="24" t="inlineStr">
        <is>
          <t>["same_event","same_team_same_day","same_league_same_day"]</t>
        </is>
      </c>
      <c r="BJ114" s="25" t="n"/>
      <c r="BK114" s="26" t="n">
        <v>-203</v>
      </c>
      <c r="BL114" s="27" t="n">
        <v>1.492611</v>
      </c>
      <c r="BM114" s="28" t="n">
        <v>0.669967</v>
      </c>
      <c r="BN114" s="28" t="n">
        <v>0.663366</v>
      </c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inlineStr">
        <is>
          <t>0.2773450477</t>
        </is>
      </c>
      <c r="CD114" s="24" t="inlineStr">
        <is>
          <t>-8.507251</t>
        </is>
      </c>
      <c r="CE114" s="24" t="n"/>
      <c r="CF114" s="24" t="n"/>
      <c r="CG114" s="24" t="n"/>
      <c r="CH114" s="24" t="n"/>
      <c r="CI114" s="24" t="inlineStr">
        <is>
          <t>NO_CALL_AVAILABILITY_SOURCE_CONFLICT</t>
        </is>
      </c>
      <c r="CJ114" s="24" t="inlineStr">
        <is>
          <t>2.003541</t>
        </is>
      </c>
      <c r="CK114" s="24" t="n"/>
      <c r="CL114" s="24" t="n"/>
      <c r="CM114" s="24" t="n"/>
      <c r="CN114" s="24" t="n"/>
      <c r="CO114" s="24" t="n"/>
      <c r="CP114" s="24" t="n"/>
      <c r="CQ114" s="24" t="n"/>
      <c r="CR114" s="24" t="inlineStr">
        <is>
          <t>0.657209</t>
        </is>
      </c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inlineStr">
        <is>
          <t>2026-08-28T12:33:30.470736Z</t>
        </is>
      </c>
      <c r="CZ114" s="24" t="inlineStr">
        <is>
          <t>True</t>
        </is>
      </c>
      <c r="DA114" s="24" t="inlineStr">
        <is>
          <t>polymarket_us</t>
        </is>
      </c>
      <c r="DB114" s="24" t="inlineStr">
        <is>
          <t>decision_time_executable_quote</t>
        </is>
      </c>
      <c r="DC114" s="24" t="inlineStr">
        <is>
          <t>False</t>
        </is>
      </c>
      <c r="DD114" s="24" t="inlineStr">
        <is>
          <t>7071699610fea24610419a2d9b2da4061df47fd3a7df83873bcfd0634b3a7943</t>
        </is>
      </c>
      <c r="DE114" s="24" t="inlineStr">
        <is>
          <t>/Users/vincentc9002/model-prediction/data/odds/wnba/2026-08-28/polymarket_snapshots.jsonl</t>
        </is>
      </c>
      <c r="DF114" s="24" t="inlineStr">
        <is>
          <t>7071699610fea24610419a2d9b2da4061df47fd3a7df83873bcfd0634b3a7943</t>
        </is>
      </c>
      <c r="DG114" s="24" t="n"/>
      <c r="DH114" s="24" t="n"/>
      <c r="DI114" s="24" t="n"/>
      <c r="DJ114" s="24" t="inlineStr">
        <is>
          <t>0.669967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d4160be58e2946c4</t>
        </is>
      </c>
      <c r="B115" s="24" t="inlineStr">
        <is>
          <t>2026-08-28T12:35:00.230912Z</t>
        </is>
      </c>
      <c r="C115" s="24" t="inlineStr">
        <is>
          <t>2026-08-28T23:30Z</t>
        </is>
      </c>
      <c r="D115" s="24" t="inlineStr">
        <is>
          <t>401857180</t>
        </is>
      </c>
      <c r="E115" s="24" t="inlineStr">
        <is>
          <t>WNBA</t>
        </is>
      </c>
      <c r="F115" s="24" t="inlineStr">
        <is>
          <t>Portland Fire</t>
        </is>
      </c>
      <c r="G115" s="24" t="inlineStr">
        <is>
          <t>Atlanta Dream</t>
        </is>
      </c>
      <c r="H115" s="24" t="inlineStr">
        <is>
          <t>spread</t>
        </is>
      </c>
      <c r="I115" s="24" t="inlineStr">
        <is>
          <t>away</t>
        </is>
      </c>
      <c r="J115" s="25" t="n">
        <v>13.5</v>
      </c>
      <c r="K115" s="24" t="inlineStr">
        <is>
          <t>polymarket_us</t>
        </is>
      </c>
      <c r="L115" s="26" t="n">
        <v>-117</v>
      </c>
      <c r="M115" s="27" t="n">
        <v>1.854701</v>
      </c>
      <c r="N115" s="28" t="n">
        <v>0.539171</v>
      </c>
      <c r="O115" s="28" t="n">
        <v>0.7457859999999999</v>
      </c>
      <c r="P115" s="28" t="n">
        <v>0.03</v>
      </c>
      <c r="Q115" s="28" t="n">
        <v>0.206615</v>
      </c>
      <c r="R115" s="26" t="n">
        <v>100</v>
      </c>
      <c r="S115" s="29" t="n">
        <v>2</v>
      </c>
      <c r="T115" s="24" t="inlineStr">
        <is>
          <t>wnba-spread-margin-v1</t>
        </is>
      </c>
      <c r="U115" s="24" t="inlineStr">
        <is>
          <t>settled</t>
        </is>
      </c>
      <c r="V115" s="24" t="inlineStr">
        <is>
          <t>win</t>
        </is>
      </c>
      <c r="W115" s="26" t="n">
        <v>101</v>
      </c>
      <c r="X115" s="26" t="n">
        <v>83</v>
      </c>
      <c r="Y115" s="25" t="n"/>
      <c r="Z115" s="26" t="n"/>
      <c r="AA115" s="28" t="n"/>
      <c r="AB115" s="28" t="n"/>
      <c r="AC115" s="30" t="n">
        <v>1.7094</v>
      </c>
      <c r="AD115" s="24" t="inlineStr">
        <is>
          <t>2026-08-29T12:32:34.767785Z</t>
        </is>
      </c>
      <c r="AE115" s="31" t="inlineStr">
        <is>
          <t>Projected margin +6.6 (home), sd 10.5. Executable ask 0.5400 (asc-wnba-por-atl-2026-08-28-pos-13pt5).</t>
        </is>
      </c>
      <c r="AF115" s="31" t="inlineStr">
        <is>
          <t>Research-baseline margin-normal spread model; not yet locked-holdout qualified.</t>
        </is>
      </c>
      <c r="AG115" s="24" t="inlineStr">
        <is>
          <t>not_applicable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PAPER_CALL_MODEL_UNVALIDATED</t>
        </is>
      </c>
      <c r="AP115" s="24" t="inlineStr">
        <is>
          <t>wnba-por</t>
        </is>
      </c>
      <c r="AQ115" s="24" t="inlineStr">
        <is>
          <t>Portland Fire</t>
        </is>
      </c>
      <c r="AR115" s="24" t="inlineStr">
        <is>
          <t>Portland Fire</t>
        </is>
      </c>
      <c r="AS115" s="24" t="inlineStr">
        <is>
          <t>wnba-atl</t>
        </is>
      </c>
      <c r="AT115" s="24" t="inlineStr">
        <is>
          <t>Atlanta Dream</t>
        </is>
      </c>
      <c r="AU115" s="24" t="inlineStr">
        <is>
          <t>Atlanta Dream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23ba88bcc86a710d76233b349116f2eefe021a993d2d3b9102922e567a027b4c</t>
        </is>
      </c>
      <c r="BB115" s="24" t="inlineStr">
        <is>
          <t>margin_normal</t>
        </is>
      </c>
      <c r="BC115" s="24" t="inlineStr">
        <is>
          <t>wnba-spread-margin-v1</t>
        </is>
      </c>
      <c r="BD115" s="24" t="inlineStr">
        <is>
          <t>23ba88bcc86a710d76233b349116f2eefe021a993d2d3b9102922e567a027b4c</t>
        </is>
      </c>
      <c r="BE115" s="24" t="inlineStr">
        <is>
          <t>wnba-spread-margin-v1</t>
        </is>
      </c>
      <c r="BF115" s="24" t="inlineStr">
        <is>
          <t>1</t>
        </is>
      </c>
      <c r="BG115" s="24" t="inlineStr">
        <is>
          <t>23ba88bcc86a710d76233b349116f2eefe021a993d2d3b9102922e567a027b4c</t>
        </is>
      </c>
      <c r="BH115" s="24" t="inlineStr">
        <is>
          <t>2026-08-28T12:33:30.240379Z</t>
        </is>
      </c>
      <c r="BI115" s="24" t="inlineStr">
        <is>
          <t>["same_event","same_team_same_day","same_league_same_day"]</t>
        </is>
      </c>
      <c r="BJ115" s="25" t="n">
        <v>13.5</v>
      </c>
      <c r="BK115" s="26" t="n">
        <v>-117</v>
      </c>
      <c r="BL115" s="27" t="n">
        <v>1.854701</v>
      </c>
      <c r="BM115" s="28" t="n">
        <v>0.539171</v>
      </c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>
        <v>1</v>
      </c>
      <c r="BY115" s="27" t="n">
        <v>0.854699</v>
      </c>
      <c r="BZ115" s="24" t="inlineStr">
        <is>
          <t>2026-08-29T12:32:34.767785Z</t>
        </is>
      </c>
      <c r="CA115" s="31" t="inlineStr">
        <is>
          <t>fixed one-unit hypothetical scoring; no real exposure or execution</t>
        </is>
      </c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inlineStr">
        <is>
          <t>2026-08-28T12:33:30.240379Z</t>
        </is>
      </c>
      <c r="CZ115" s="24" t="inlineStr">
        <is>
          <t>True</t>
        </is>
      </c>
      <c r="DA115" s="24" t="inlineStr">
        <is>
          <t>polymarket_us</t>
        </is>
      </c>
      <c r="DB115" s="24" t="inlineStr">
        <is>
          <t>decision_time_executable_quote</t>
        </is>
      </c>
      <c r="DC115" s="24" t="inlineStr">
        <is>
          <t>False</t>
        </is>
      </c>
      <c r="DD115" s="24" t="inlineStr">
        <is>
          <t>96ffaaf8b58000ff3c34a54fe956f911b2d1fbfcb4106eeab4070ed93ac77c06</t>
        </is>
      </c>
      <c r="DE115" s="24" t="inlineStr">
        <is>
          <t>/Users/vincentc9002/model-prediction/data/odds/wnba/2026-08-28/polymarket_snapshots.jsonl</t>
        </is>
      </c>
      <c r="DF115" s="24" t="inlineStr">
        <is>
          <t>96ffaaf8b58000ff3c34a54fe956f911b2d1fbfcb4106eeab4070ed93ac77c06</t>
        </is>
      </c>
      <c r="DG115" s="24" t="n"/>
      <c r="DH115" s="24" t="n"/>
      <c r="DI115" s="24" t="n"/>
      <c r="DJ115" s="24" t="inlineStr">
        <is>
          <t>0.539171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ae81620fc1734341</t>
        </is>
      </c>
      <c r="B116" s="24" t="inlineStr">
        <is>
          <t>2026-08-28T12:35:00.230912Z</t>
        </is>
      </c>
      <c r="C116" s="24" t="inlineStr">
        <is>
          <t>2026-08-28T23:30Z</t>
        </is>
      </c>
      <c r="D116" s="24" t="inlineStr">
        <is>
          <t>401857181</t>
        </is>
      </c>
      <c r="E116" s="24" t="inlineStr">
        <is>
          <t>WNBA</t>
        </is>
      </c>
      <c r="F116" s="24" t="inlineStr">
        <is>
          <t>Connecticut Sun</t>
        </is>
      </c>
      <c r="G116" s="24" t="inlineStr">
        <is>
          <t>Indiana Fever</t>
        </is>
      </c>
      <c r="H116" s="24" t="inlineStr">
        <is>
          <t>spread</t>
        </is>
      </c>
      <c r="I116" s="24" t="inlineStr">
        <is>
          <t>away</t>
        </is>
      </c>
      <c r="J116" s="25" t="n">
        <v>17.5</v>
      </c>
      <c r="K116" s="24" t="inlineStr">
        <is>
          <t>polymarket_us</t>
        </is>
      </c>
      <c r="L116" s="26" t="n">
        <v>-113</v>
      </c>
      <c r="M116" s="27" t="n">
        <v>1.884956</v>
      </c>
      <c r="N116" s="28" t="n">
        <v>0.530516</v>
      </c>
      <c r="O116" s="28" t="n">
        <v>0.8156</v>
      </c>
      <c r="P116" s="28" t="n">
        <v>0.03</v>
      </c>
      <c r="Q116" s="28" t="n">
        <v>0.285084</v>
      </c>
      <c r="R116" s="26" t="n">
        <v>100</v>
      </c>
      <c r="S116" s="29" t="n">
        <v>2</v>
      </c>
      <c r="T116" s="24" t="inlineStr">
        <is>
          <t>wnba-spread-margin-v1</t>
        </is>
      </c>
      <c r="U116" s="24" t="inlineStr">
        <is>
          <t>settled</t>
        </is>
      </c>
      <c r="V116" s="24" t="inlineStr">
        <is>
          <t>loss</t>
        </is>
      </c>
      <c r="W116" s="26" t="n">
        <v>91</v>
      </c>
      <c r="X116" s="26" t="n">
        <v>111</v>
      </c>
      <c r="Y116" s="25" t="n"/>
      <c r="Z116" s="26" t="n"/>
      <c r="AA116" s="28" t="n"/>
      <c r="AB116" s="28" t="n"/>
      <c r="AC116" s="30" t="n">
        <v>-2</v>
      </c>
      <c r="AD116" s="24" t="inlineStr">
        <is>
          <t>2026-08-29T12:32:35.452892Z</t>
        </is>
      </c>
      <c r="AE116" s="31" t="inlineStr">
        <is>
          <t>Projected margin +8.1 (home), sd 10.5. Executable ask 0.5300 (asc-wnba-conn-ind-2026-08-28-pos-17pt5).</t>
        </is>
      </c>
      <c r="AF116" s="31" t="inlineStr">
        <is>
          <t>Research-baseline margin-normal spread model; not yet locked-holdout qualified.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PAPER_CALL_MODEL_UNVALIDATED</t>
        </is>
      </c>
      <c r="AP116" s="24" t="inlineStr">
        <is>
          <t>wnba-con</t>
        </is>
      </c>
      <c r="AQ116" s="24" t="inlineStr">
        <is>
          <t>Connecticut Sun</t>
        </is>
      </c>
      <c r="AR116" s="24" t="inlineStr">
        <is>
          <t>Connecticut Sun</t>
        </is>
      </c>
      <c r="AS116" s="24" t="inlineStr">
        <is>
          <t>wnba-ind</t>
        </is>
      </c>
      <c r="AT116" s="24" t="inlineStr">
        <is>
          <t>Indiana Fever</t>
        </is>
      </c>
      <c r="AU116" s="24" t="inlineStr">
        <is>
          <t>Indiana Fever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23ba88bcc86a710d76233b349116f2eefe021a993d2d3b9102922e567a027b4c</t>
        </is>
      </c>
      <c r="BB116" s="24" t="inlineStr">
        <is>
          <t>margin_normal</t>
        </is>
      </c>
      <c r="BC116" s="24" t="inlineStr">
        <is>
          <t>wnba-spread-margin-v1</t>
        </is>
      </c>
      <c r="BD116" s="24" t="inlineStr">
        <is>
          <t>23ba88bcc86a710d76233b349116f2eefe021a993d2d3b9102922e567a027b4c</t>
        </is>
      </c>
      <c r="BE116" s="24" t="inlineStr">
        <is>
          <t>wnba-spread-margin-v1</t>
        </is>
      </c>
      <c r="BF116" s="24" t="inlineStr">
        <is>
          <t>1</t>
        </is>
      </c>
      <c r="BG116" s="24" t="inlineStr">
        <is>
          <t>23ba88bcc86a710d76233b349116f2eefe021a993d2d3b9102922e567a027b4c</t>
        </is>
      </c>
      <c r="BH116" s="24" t="inlineStr">
        <is>
          <t>2026-08-28T12:33:30.302367Z</t>
        </is>
      </c>
      <c r="BI116" s="24" t="inlineStr">
        <is>
          <t>["same_event","same_team_same_day","same_league_same_day"]</t>
        </is>
      </c>
      <c r="BJ116" s="25" t="n">
        <v>17.5</v>
      </c>
      <c r="BK116" s="26" t="n">
        <v>-113</v>
      </c>
      <c r="BL116" s="27" t="n">
        <v>1.884956</v>
      </c>
      <c r="BM116" s="28" t="n">
        <v>0.530516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>
        <v>1</v>
      </c>
      <c r="BY116" s="27" t="n">
        <v>-1</v>
      </c>
      <c r="BZ116" s="24" t="inlineStr">
        <is>
          <t>2026-08-29T12:32:35.452892Z</t>
        </is>
      </c>
      <c r="CA116" s="31" t="inlineStr">
        <is>
          <t>fixed one-unit hypothetical scoring; no real exposure or execution</t>
        </is>
      </c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inlineStr">
        <is>
          <t>2026-08-28T12:33:30.302367Z</t>
        </is>
      </c>
      <c r="CZ116" s="24" t="inlineStr">
        <is>
          <t>True</t>
        </is>
      </c>
      <c r="DA116" s="24" t="inlineStr">
        <is>
          <t>polymarket_us</t>
        </is>
      </c>
      <c r="DB116" s="24" t="inlineStr">
        <is>
          <t>decision_time_executable_quote</t>
        </is>
      </c>
      <c r="DC116" s="24" t="inlineStr">
        <is>
          <t>False</t>
        </is>
      </c>
      <c r="DD116" s="24" t="inlineStr">
        <is>
          <t>04bf53a3cf27f024459e9a8039ec69da22de3a0943f2f31615d0ee76b0947f2e</t>
        </is>
      </c>
      <c r="DE116" s="24" t="inlineStr">
        <is>
          <t>/Users/vincentc9002/model-prediction/data/odds/wnba/2026-08-28/polymarket_snapshots.jsonl</t>
        </is>
      </c>
      <c r="DF116" s="24" t="inlineStr">
        <is>
          <t>04bf53a3cf27f024459e9a8039ec69da22de3a0943f2f31615d0ee76b0947f2e</t>
        </is>
      </c>
      <c r="DG116" s="24" t="n"/>
      <c r="DH116" s="24" t="n"/>
      <c r="DI116" s="24" t="n"/>
      <c r="DJ116" s="24" t="inlineStr">
        <is>
          <t>0.530516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24c59b3ba1944773</t>
        </is>
      </c>
      <c r="B117" s="24" t="inlineStr">
        <is>
          <t>2026-08-28T12:35:00.230912Z</t>
        </is>
      </c>
      <c r="C117" s="24" t="inlineStr">
        <is>
          <t>2026-08-29T02:00Z</t>
        </is>
      </c>
      <c r="D117" s="24" t="inlineStr">
        <is>
          <t>401857182</t>
        </is>
      </c>
      <c r="E117" s="24" t="inlineStr">
        <is>
          <t>WNBA</t>
        </is>
      </c>
      <c r="F117" s="24" t="inlineStr">
        <is>
          <t>Toronto Tempo</t>
        </is>
      </c>
      <c r="G117" s="24" t="inlineStr">
        <is>
          <t>Las Vegas Aces</t>
        </is>
      </c>
      <c r="H117" s="24" t="inlineStr">
        <is>
          <t>spread</t>
        </is>
      </c>
      <c r="I117" s="24" t="inlineStr">
        <is>
          <t>away</t>
        </is>
      </c>
      <c r="J117" s="25" t="n">
        <v>13.5</v>
      </c>
      <c r="K117" s="24" t="inlineStr">
        <is>
          <t>polymarket_us</t>
        </is>
      </c>
      <c r="L117" s="26" t="n">
        <v>104</v>
      </c>
      <c r="M117" s="27" t="n">
        <v>2.04</v>
      </c>
      <c r="N117" s="28" t="n">
        <v>0.490196</v>
      </c>
      <c r="O117" s="28" t="n">
        <v>0.744188</v>
      </c>
      <c r="P117" s="28" t="n">
        <v>0.03</v>
      </c>
      <c r="Q117" s="28" t="n">
        <v>0.253992</v>
      </c>
      <c r="R117" s="26" t="n">
        <v>100</v>
      </c>
      <c r="S117" s="29" t="n">
        <v>2</v>
      </c>
      <c r="T117" s="24" t="inlineStr">
        <is>
          <t>wnba-spread-margin-v1</t>
        </is>
      </c>
      <c r="U117" s="24" t="inlineStr">
        <is>
          <t>settled</t>
        </is>
      </c>
      <c r="V117" s="24" t="inlineStr">
        <is>
          <t>loss</t>
        </is>
      </c>
      <c r="W117" s="26" t="n">
        <v>73</v>
      </c>
      <c r="X117" s="26" t="n">
        <v>93</v>
      </c>
      <c r="Y117" s="25" t="n"/>
      <c r="Z117" s="26" t="n"/>
      <c r="AA117" s="28" t="n"/>
      <c r="AB117" s="28" t="n"/>
      <c r="AC117" s="30" t="n">
        <v>-2</v>
      </c>
      <c r="AD117" s="24" t="inlineStr">
        <is>
          <t>2026-08-29T12:32:36.064739Z</t>
        </is>
      </c>
      <c r="AE117" s="31" t="inlineStr">
        <is>
          <t>Projected margin +6.6 (home), sd 10.5. Executable ask 0.4900 (asc-wnba-tor-lv-2026-08-28-pos-13pt5).</t>
        </is>
      </c>
      <c r="AF117" s="31" t="inlineStr">
        <is>
          <t>Research-baseline margin-normal spread model; not yet locked-holdout qualified.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PAPER_CALL_MODEL_UNVALIDATED</t>
        </is>
      </c>
      <c r="AP117" s="24" t="inlineStr">
        <is>
          <t>wnba-tor</t>
        </is>
      </c>
      <c r="AQ117" s="24" t="inlineStr">
        <is>
          <t>Toronto Tempo</t>
        </is>
      </c>
      <c r="AR117" s="24" t="inlineStr">
        <is>
          <t>Toronto Tempo</t>
        </is>
      </c>
      <c r="AS117" s="24" t="inlineStr">
        <is>
          <t>wnba-lva</t>
        </is>
      </c>
      <c r="AT117" s="24" t="inlineStr">
        <is>
          <t>Las Vegas Aces</t>
        </is>
      </c>
      <c r="AU117" s="24" t="inlineStr">
        <is>
          <t>Las Vegas Aces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23ba88bcc86a710d76233b349116f2eefe021a993d2d3b9102922e567a027b4c</t>
        </is>
      </c>
      <c r="BB117" s="24" t="inlineStr">
        <is>
          <t>margin_normal</t>
        </is>
      </c>
      <c r="BC117" s="24" t="inlineStr">
        <is>
          <t>wnba-spread-margin-v1</t>
        </is>
      </c>
      <c r="BD117" s="24" t="inlineStr">
        <is>
          <t>23ba88bcc86a710d76233b349116f2eefe021a993d2d3b9102922e567a027b4c</t>
        </is>
      </c>
      <c r="BE117" s="24" t="inlineStr">
        <is>
          <t>wnba-spread-margin-v1</t>
        </is>
      </c>
      <c r="BF117" s="24" t="inlineStr">
        <is>
          <t>1</t>
        </is>
      </c>
      <c r="BG117" s="24" t="inlineStr">
        <is>
          <t>23ba88bcc86a710d76233b349116f2eefe021a993d2d3b9102922e567a027b4c</t>
        </is>
      </c>
      <c r="BH117" s="24" t="inlineStr">
        <is>
          <t>2026-08-28T12:33:30.401017Z</t>
        </is>
      </c>
      <c r="BI117" s="24" t="inlineStr">
        <is>
          <t>["same_event","same_team_same_day","same_league_same_day"]</t>
        </is>
      </c>
      <c r="BJ117" s="25" t="n">
        <v>13.5</v>
      </c>
      <c r="BK117" s="26" t="n">
        <v>104</v>
      </c>
      <c r="BL117" s="27" t="n">
        <v>2.04</v>
      </c>
      <c r="BM117" s="28" t="n">
        <v>0.490196</v>
      </c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n"/>
      <c r="BX117" s="30" t="n">
        <v>1</v>
      </c>
      <c r="BY117" s="27" t="n">
        <v>-1</v>
      </c>
      <c r="BZ117" s="24" t="inlineStr">
        <is>
          <t>2026-08-29T12:32:36.064739Z</t>
        </is>
      </c>
      <c r="CA117" s="31" t="inlineStr">
        <is>
          <t>fixed one-unit hypothetical scoring; no real exposure or execution</t>
        </is>
      </c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inlineStr">
        <is>
          <t>2026-08-28T12:33:30.401017Z</t>
        </is>
      </c>
      <c r="CZ117" s="24" t="inlineStr">
        <is>
          <t>True</t>
        </is>
      </c>
      <c r="DA117" s="24" t="inlineStr">
        <is>
          <t>polymarket_us</t>
        </is>
      </c>
      <c r="DB117" s="24" t="inlineStr">
        <is>
          <t>decision_time_executable_quote</t>
        </is>
      </c>
      <c r="DC117" s="24" t="inlineStr">
        <is>
          <t>False</t>
        </is>
      </c>
      <c r="DD117" s="24" t="inlineStr">
        <is>
          <t>94b8e1388d616b8ca7c869353eae9f200d9eafee9c9545332e832664ca952497</t>
        </is>
      </c>
      <c r="DE117" s="24" t="inlineStr">
        <is>
          <t>/Users/vincentc9002/model-prediction/data/odds/wnba/2026-08-28/polymarket_snapshots.jsonl</t>
        </is>
      </c>
      <c r="DF117" s="24" t="inlineStr">
        <is>
          <t>94b8e1388d616b8ca7c869353eae9f200d9eafee9c9545332e832664ca952497</t>
        </is>
      </c>
      <c r="DG117" s="24" t="n"/>
      <c r="DH117" s="24" t="n"/>
      <c r="DI117" s="24" t="n"/>
      <c r="DJ117" s="24" t="inlineStr">
        <is>
          <t>0.490196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1264d30b9dfd4b64</t>
        </is>
      </c>
      <c r="B118" s="24" t="inlineStr">
        <is>
          <t>2026-08-28T12:35:00.230912Z</t>
        </is>
      </c>
      <c r="C118" s="24" t="inlineStr">
        <is>
          <t>2026-08-29T02:00Z</t>
        </is>
      </c>
      <c r="D118" s="24" t="inlineStr">
        <is>
          <t>401857183</t>
        </is>
      </c>
      <c r="E118" s="24" t="inlineStr">
        <is>
          <t>WNBA</t>
        </is>
      </c>
      <c r="F118" s="24" t="inlineStr">
        <is>
          <t>Washington Mystics</t>
        </is>
      </c>
      <c r="G118" s="24" t="inlineStr">
        <is>
          <t>Los Angeles Sparks</t>
        </is>
      </c>
      <c r="H118" s="24" t="inlineStr">
        <is>
          <t>spread</t>
        </is>
      </c>
      <c r="I118" s="24" t="inlineStr">
        <is>
          <t>home</t>
        </is>
      </c>
      <c r="J118" s="25" t="n">
        <v>4.5</v>
      </c>
      <c r="K118" s="24" t="inlineStr">
        <is>
          <t>polymarket_us</t>
        </is>
      </c>
      <c r="L118" s="26" t="n">
        <v>113</v>
      </c>
      <c r="M118" s="27" t="n">
        <v>2.13</v>
      </c>
      <c r="N118" s="28" t="n">
        <v>0.469484</v>
      </c>
      <c r="O118" s="28" t="n">
        <v>0.624024</v>
      </c>
      <c r="P118" s="28" t="n">
        <v>0.03</v>
      </c>
      <c r="Q118" s="28" t="n">
        <v>0.15454</v>
      </c>
      <c r="R118" s="26" t="n">
        <v>100</v>
      </c>
      <c r="S118" s="29" t="n">
        <v>1.75</v>
      </c>
      <c r="T118" s="24" t="inlineStr">
        <is>
          <t>wnba-spread-margin-v1</t>
        </is>
      </c>
      <c r="U118" s="24" t="inlineStr">
        <is>
          <t>settled</t>
        </is>
      </c>
      <c r="V118" s="24" t="inlineStr">
        <is>
          <t>win</t>
        </is>
      </c>
      <c r="W118" s="26" t="n">
        <v>82</v>
      </c>
      <c r="X118" s="26" t="n">
        <v>88</v>
      </c>
      <c r="Y118" s="25" t="n"/>
      <c r="Z118" s="26" t="n"/>
      <c r="AA118" s="28" t="n"/>
      <c r="AB118" s="28" t="n"/>
      <c r="AC118" s="30" t="n">
        <v>1.9775</v>
      </c>
      <c r="AD118" s="24" t="inlineStr">
        <is>
          <t>2026-08-29T12:32:36.674069Z</t>
        </is>
      </c>
      <c r="AE118" s="31" t="inlineStr">
        <is>
          <t>Projected margin -1.2 (home), sd 10.5. Executable ask 0.4700 (asc-wnba-wsh-la-2026-08-28-neg-4pt5).</t>
        </is>
      </c>
      <c r="AF118" s="31" t="inlineStr">
        <is>
          <t>Research-baseline margin-normal spread model; not yet locked-holdout qualified.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PAPER_CALL_MODEL_UNVALIDATED</t>
        </is>
      </c>
      <c r="AP118" s="24" t="inlineStr">
        <is>
          <t>wnba-was</t>
        </is>
      </c>
      <c r="AQ118" s="24" t="inlineStr">
        <is>
          <t>Washington Mystics</t>
        </is>
      </c>
      <c r="AR118" s="24" t="inlineStr">
        <is>
          <t>Washington Mystics</t>
        </is>
      </c>
      <c r="AS118" s="24" t="inlineStr">
        <is>
          <t>wnba-las</t>
        </is>
      </c>
      <c r="AT118" s="24" t="inlineStr">
        <is>
          <t>Los Angeles Sparks</t>
        </is>
      </c>
      <c r="AU118" s="24" t="inlineStr">
        <is>
          <t>Los Angeles Sparks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23ba88bcc86a710d76233b349116f2eefe021a993d2d3b9102922e567a027b4c</t>
        </is>
      </c>
      <c r="BB118" s="24" t="inlineStr">
        <is>
          <t>margin_normal</t>
        </is>
      </c>
      <c r="BC118" s="24" t="inlineStr">
        <is>
          <t>wnba-spread-margin-v1</t>
        </is>
      </c>
      <c r="BD118" s="24" t="inlineStr">
        <is>
          <t>23ba88bcc86a710d76233b349116f2eefe021a993d2d3b9102922e567a027b4c</t>
        </is>
      </c>
      <c r="BE118" s="24" t="inlineStr">
        <is>
          <t>wnba-spread-margin-v1</t>
        </is>
      </c>
      <c r="BF118" s="24" t="inlineStr">
        <is>
          <t>1</t>
        </is>
      </c>
      <c r="BG118" s="24" t="inlineStr">
        <is>
          <t>23ba88bcc86a710d76233b349116f2eefe021a993d2d3b9102922e567a027b4c</t>
        </is>
      </c>
      <c r="BH118" s="24" t="inlineStr">
        <is>
          <t>2026-08-28T12:33:30.481635Z</t>
        </is>
      </c>
      <c r="BI118" s="24" t="inlineStr">
        <is>
          <t>["same_event","same_team_same_day","same_league_same_day"]</t>
        </is>
      </c>
      <c r="BJ118" s="25" t="n">
        <v>4.5</v>
      </c>
      <c r="BK118" s="26" t="n">
        <v>113</v>
      </c>
      <c r="BL118" s="27" t="n">
        <v>2.13</v>
      </c>
      <c r="BM118" s="28" t="n">
        <v>0.469484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>
        <v>1</v>
      </c>
      <c r="BY118" s="27" t="n">
        <v>1.129998</v>
      </c>
      <c r="BZ118" s="24" t="inlineStr">
        <is>
          <t>2026-08-29T12:32:36.674069Z</t>
        </is>
      </c>
      <c r="CA118" s="31" t="inlineStr">
        <is>
          <t>fixed one-unit hypothetical scoring; no real exposure or execution</t>
        </is>
      </c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inlineStr">
        <is>
          <t>2026-08-28T12:33:30.481635Z</t>
        </is>
      </c>
      <c r="CZ118" s="24" t="inlineStr">
        <is>
          <t>True</t>
        </is>
      </c>
      <c r="DA118" s="24" t="inlineStr">
        <is>
          <t>polymarket_us</t>
        </is>
      </c>
      <c r="DB118" s="24" t="inlineStr">
        <is>
          <t>decision_time_executable_quote</t>
        </is>
      </c>
      <c r="DC118" s="24" t="inlineStr">
        <is>
          <t>False</t>
        </is>
      </c>
      <c r="DD118" s="24" t="inlineStr">
        <is>
          <t>86718472e11f857a9c746b1e4118d89f29d707d45223b4a1c7fba8e76d71e6b4</t>
        </is>
      </c>
      <c r="DE118" s="24" t="inlineStr">
        <is>
          <t>/Users/vincentc9002/model-prediction/data/odds/wnba/2026-08-28/polymarket_snapshots.jsonl</t>
        </is>
      </c>
      <c r="DF118" s="24" t="inlineStr">
        <is>
          <t>86718472e11f857a9c746b1e4118d89f29d707d45223b4a1c7fba8e76d71e6b4</t>
        </is>
      </c>
      <c r="DG118" s="24" t="n"/>
      <c r="DH118" s="24" t="n"/>
      <c r="DI118" s="24" t="n"/>
      <c r="DJ118" s="24" t="inlineStr">
        <is>
          <t>0.469484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fa56397b9d304267</t>
        </is>
      </c>
      <c r="B119" s="24" t="inlineStr">
        <is>
          <t>2026-08-28T12:35:00.387270Z</t>
        </is>
      </c>
      <c r="C119" s="24" t="inlineStr">
        <is>
          <t>2026-08-28T23:30Z</t>
        </is>
      </c>
      <c r="D119" s="24" t="inlineStr">
        <is>
          <t>401857180</t>
        </is>
      </c>
      <c r="E119" s="24" t="inlineStr">
        <is>
          <t>WNBA</t>
        </is>
      </c>
      <c r="F119" s="24" t="inlineStr">
        <is>
          <t>Portland Fire</t>
        </is>
      </c>
      <c r="G119" s="24" t="inlineStr">
        <is>
          <t>Atlanta Dream</t>
        </is>
      </c>
      <c r="H119" s="24" t="inlineStr">
        <is>
          <t>total</t>
        </is>
      </c>
      <c r="I119" s="24" t="inlineStr">
        <is>
          <t>under</t>
        </is>
      </c>
      <c r="J119" s="25" t="n">
        <v>180.5</v>
      </c>
      <c r="K119" s="24" t="inlineStr">
        <is>
          <t>polymarket_us</t>
        </is>
      </c>
      <c r="L119" s="26" t="n">
        <v>-113</v>
      </c>
      <c r="M119" s="27" t="n">
        <v>1.884956</v>
      </c>
      <c r="N119" s="28" t="n">
        <v>0.530516</v>
      </c>
      <c r="O119" s="28" t="n">
        <v>0.621565</v>
      </c>
      <c r="P119" s="28" t="n">
        <v>0.03</v>
      </c>
      <c r="Q119" s="28" t="n">
        <v>0.091049</v>
      </c>
      <c r="R119" s="26" t="n">
        <v>78</v>
      </c>
      <c r="S119" s="29" t="n">
        <v>1.5</v>
      </c>
      <c r="T119" s="24" t="inlineStr">
        <is>
          <t>wnba-total-margin-v1</t>
        </is>
      </c>
      <c r="U119" s="24" t="inlineStr">
        <is>
          <t>settled</t>
        </is>
      </c>
      <c r="V119" s="24" t="inlineStr">
        <is>
          <t>loss</t>
        </is>
      </c>
      <c r="W119" s="26" t="n">
        <v>101</v>
      </c>
      <c r="X119" s="26" t="n">
        <v>83</v>
      </c>
      <c r="Y119" s="25" t="n"/>
      <c r="Z119" s="26" t="n"/>
      <c r="AA119" s="28" t="n"/>
      <c r="AB119" s="28" t="n"/>
      <c r="AC119" s="30" t="n">
        <v>-1.5</v>
      </c>
      <c r="AD119" s="24" t="inlineStr">
        <is>
          <t>2026-08-29T12:32:37.334844Z</t>
        </is>
      </c>
      <c r="AE119" s="31" t="inlineStr">
        <is>
          <t>Projected total 175.9, sd 15.0. Executable ask 0.5300 (tsc-wnba-por-atl-2026-08-28-180pt5).</t>
        </is>
      </c>
      <c r="AF119" s="31" t="inlineStr">
        <is>
          <t>Research-baseline total model; not yet locked-holdout qualified.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PAPER_CALL_MODEL_UNVALIDATED</t>
        </is>
      </c>
      <c r="AP119" s="24" t="inlineStr">
        <is>
          <t>wnba-por</t>
        </is>
      </c>
      <c r="AQ119" s="24" t="inlineStr">
        <is>
          <t>Portland Fire</t>
        </is>
      </c>
      <c r="AR119" s="24" t="inlineStr">
        <is>
          <t>Portland Fire</t>
        </is>
      </c>
      <c r="AS119" s="24" t="inlineStr">
        <is>
          <t>wnba-atl</t>
        </is>
      </c>
      <c r="AT119" s="24" t="inlineStr">
        <is>
          <t>Atlanta Dream</t>
        </is>
      </c>
      <c r="AU119" s="24" t="inlineStr">
        <is>
          <t>Atlanta Dream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research</t>
        </is>
      </c>
      <c r="BA119" s="24" t="inlineStr">
        <is>
          <t>113e1744e564570dce943be22f4609ea073b2c634f9429475f4ee76e24e2f9c8</t>
        </is>
      </c>
      <c r="BB119" s="24" t="inlineStr">
        <is>
          <t>total_normal</t>
        </is>
      </c>
      <c r="BC119" s="24" t="inlineStr">
        <is>
          <t>wnba-total-margin-v1</t>
        </is>
      </c>
      <c r="BD119" s="24" t="inlineStr">
        <is>
          <t>113e1744e564570dce943be22f4609ea073b2c634f9429475f4ee76e24e2f9c8</t>
        </is>
      </c>
      <c r="BE119" s="24" t="inlineStr">
        <is>
          <t>wnba-total-margin-v1</t>
        </is>
      </c>
      <c r="BF119" s="24" t="inlineStr">
        <is>
          <t>1</t>
        </is>
      </c>
      <c r="BG119" s="24" t="inlineStr">
        <is>
          <t>113e1744e564570dce943be22f4609ea073b2c634f9429475f4ee76e24e2f9c8</t>
        </is>
      </c>
      <c r="BH119" s="24" t="inlineStr">
        <is>
          <t>2026-08-28T12:33:30.245032Z</t>
        </is>
      </c>
      <c r="BI119" s="24" t="inlineStr">
        <is>
          <t>["same_event","same_team_same_day","same_league_same_day"]</t>
        </is>
      </c>
      <c r="BJ119" s="25" t="n">
        <v>180.5</v>
      </c>
      <c r="BK119" s="26" t="n">
        <v>-113</v>
      </c>
      <c r="BL119" s="27" t="n">
        <v>1.884956</v>
      </c>
      <c r="BM119" s="28" t="n">
        <v>0.530516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n"/>
      <c r="BX119" s="30" t="n">
        <v>1</v>
      </c>
      <c r="BY119" s="27" t="n">
        <v>-1</v>
      </c>
      <c r="BZ119" s="24" t="inlineStr">
        <is>
          <t>2026-08-29T12:32:37.334844Z</t>
        </is>
      </c>
      <c r="CA119" s="31" t="inlineStr">
        <is>
          <t>fixed one-unit hypothetical scoring; no real exposure or execution</t>
        </is>
      </c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inlineStr">
        <is>
          <t>2026-08-28T12:33:30.245032Z</t>
        </is>
      </c>
      <c r="CZ119" s="24" t="inlineStr">
        <is>
          <t>True</t>
        </is>
      </c>
      <c r="DA119" s="24" t="inlineStr">
        <is>
          <t>polymarket_us</t>
        </is>
      </c>
      <c r="DB119" s="24" t="inlineStr">
        <is>
          <t>decision_time_executable_quote</t>
        </is>
      </c>
      <c r="DC119" s="24" t="inlineStr">
        <is>
          <t>False</t>
        </is>
      </c>
      <c r="DD119" s="24" t="inlineStr">
        <is>
          <t>5ee02ff18d74c3502e5123f61a162689f244274c7403b999b5d975e926ff7ee1</t>
        </is>
      </c>
      <c r="DE119" s="24" t="inlineStr">
        <is>
          <t>/Users/vincentc9002/model-prediction/data/odds/wnba/2026-08-28/polymarket_snapshots.jsonl</t>
        </is>
      </c>
      <c r="DF119" s="24" t="inlineStr">
        <is>
          <t>5ee02ff18d74c3502e5123f61a162689f244274c7403b999b5d975e926ff7ee1</t>
        </is>
      </c>
      <c r="DG119" s="24" t="n"/>
      <c r="DH119" s="24" t="n"/>
      <c r="DI119" s="24" t="n"/>
      <c r="DJ119" s="24" t="inlineStr">
        <is>
          <t>0.530516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f9ddfff3e828450d</t>
        </is>
      </c>
      <c r="B120" s="24" t="inlineStr">
        <is>
          <t>2026-08-28T12:35:00.387270Z</t>
        </is>
      </c>
      <c r="C120" s="24" t="inlineStr">
        <is>
          <t>2026-08-28T23:30Z</t>
        </is>
      </c>
      <c r="D120" s="24" t="inlineStr">
        <is>
          <t>401857181</t>
        </is>
      </c>
      <c r="E120" s="24" t="inlineStr">
        <is>
          <t>WNBA</t>
        </is>
      </c>
      <c r="F120" s="24" t="inlineStr">
        <is>
          <t>Connecticut Sun</t>
        </is>
      </c>
      <c r="G120" s="24" t="inlineStr">
        <is>
          <t>Indiana Fever</t>
        </is>
      </c>
      <c r="H120" s="24" t="inlineStr">
        <is>
          <t>total</t>
        </is>
      </c>
      <c r="I120" s="24" t="inlineStr">
        <is>
          <t>under</t>
        </is>
      </c>
      <c r="J120" s="25" t="n">
        <v>178.5</v>
      </c>
      <c r="K120" s="24" t="inlineStr">
        <is>
          <t>polymarket_us</t>
        </is>
      </c>
      <c r="L120" s="26" t="n">
        <v>-108</v>
      </c>
      <c r="M120" s="27" t="n">
        <v>1.925926</v>
      </c>
      <c r="N120" s="28" t="n">
        <v>0.519231</v>
      </c>
      <c r="O120" s="28" t="n">
        <v>0.601526</v>
      </c>
      <c r="P120" s="28" t="n">
        <v>0.03</v>
      </c>
      <c r="Q120" s="28" t="n">
        <v>0.08229499999999999</v>
      </c>
      <c r="R120" s="26" t="n">
        <v>73</v>
      </c>
      <c r="S120" s="29" t="n">
        <v>1.25</v>
      </c>
      <c r="T120" s="24" t="inlineStr">
        <is>
          <t>wnba-total-margin-v1</t>
        </is>
      </c>
      <c r="U120" s="24" t="inlineStr">
        <is>
          <t>settled</t>
        </is>
      </c>
      <c r="V120" s="24" t="inlineStr">
        <is>
          <t>loss</t>
        </is>
      </c>
      <c r="W120" s="26" t="n">
        <v>91</v>
      </c>
      <c r="X120" s="26" t="n">
        <v>111</v>
      </c>
      <c r="Y120" s="25" t="n"/>
      <c r="Z120" s="26" t="n"/>
      <c r="AA120" s="28" t="n"/>
      <c r="AB120" s="28" t="n"/>
      <c r="AC120" s="30" t="n">
        <v>-1.25</v>
      </c>
      <c r="AD120" s="24" t="inlineStr">
        <is>
          <t>2026-08-29T12:32:37.884524Z</t>
        </is>
      </c>
      <c r="AE120" s="31" t="inlineStr">
        <is>
          <t>Projected total 174.6, sd 15.0. Executable ask 0.5200 (tsc-wnba-conn-ind-2026-08-28-178pt5).</t>
        </is>
      </c>
      <c r="AF120" s="31" t="inlineStr">
        <is>
          <t>Research-baseline total model; not yet locked-holdout qualified.</t>
        </is>
      </c>
      <c r="AG120" s="24" t="inlineStr">
        <is>
          <t>review_required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PAPER_CALL_MODEL_UNVALIDATED</t>
        </is>
      </c>
      <c r="AP120" s="24" t="inlineStr">
        <is>
          <t>wnba-con</t>
        </is>
      </c>
      <c r="AQ120" s="24" t="inlineStr">
        <is>
          <t>Connecticut Sun</t>
        </is>
      </c>
      <c r="AR120" s="24" t="inlineStr">
        <is>
          <t>Connecticut Sun</t>
        </is>
      </c>
      <c r="AS120" s="24" t="inlineStr">
        <is>
          <t>wnba-ind</t>
        </is>
      </c>
      <c r="AT120" s="24" t="inlineStr">
        <is>
          <t>Indiana Fever</t>
        </is>
      </c>
      <c r="AU120" s="24" t="inlineStr">
        <is>
          <t>Indiana Fever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research</t>
        </is>
      </c>
      <c r="BA120" s="24" t="inlineStr">
        <is>
          <t>113e1744e564570dce943be22f4609ea073b2c634f9429475f4ee76e24e2f9c8</t>
        </is>
      </c>
      <c r="BB120" s="24" t="inlineStr">
        <is>
          <t>total_normal</t>
        </is>
      </c>
      <c r="BC120" s="24" t="inlineStr">
        <is>
          <t>wnba-total-margin-v1</t>
        </is>
      </c>
      <c r="BD120" s="24" t="inlineStr">
        <is>
          <t>113e1744e564570dce943be22f4609ea073b2c634f9429475f4ee76e24e2f9c8</t>
        </is>
      </c>
      <c r="BE120" s="24" t="inlineStr">
        <is>
          <t>wnba-total-margin-v1</t>
        </is>
      </c>
      <c r="BF120" s="24" t="inlineStr">
        <is>
          <t>1</t>
        </is>
      </c>
      <c r="BG120" s="24" t="inlineStr">
        <is>
          <t>113e1744e564570dce943be22f4609ea073b2c634f9429475f4ee76e24e2f9c8</t>
        </is>
      </c>
      <c r="BH120" s="24" t="inlineStr">
        <is>
          <t>2026-08-28T12:33:30.299161Z</t>
        </is>
      </c>
      <c r="BI120" s="24" t="inlineStr">
        <is>
          <t>["same_event","same_team_same_day","same_league_same_day"]</t>
        </is>
      </c>
      <c r="BJ120" s="25" t="n">
        <v>178.5</v>
      </c>
      <c r="BK120" s="26" t="n">
        <v>-108</v>
      </c>
      <c r="BL120" s="27" t="n">
        <v>1.925926</v>
      </c>
      <c r="BM120" s="28" t="n">
        <v>0.519231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>
        <v>1</v>
      </c>
      <c r="BY120" s="27" t="n">
        <v>-1</v>
      </c>
      <c r="BZ120" s="24" t="inlineStr">
        <is>
          <t>2026-08-29T12:32:37.884524Z</t>
        </is>
      </c>
      <c r="CA120" s="31" t="inlineStr">
        <is>
          <t>fixed one-unit hypothetical scoring; no real exposure or execution</t>
        </is>
      </c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inlineStr">
        <is>
          <t>2026-08-28T12:33:30.299161Z</t>
        </is>
      </c>
      <c r="CZ120" s="24" t="inlineStr">
        <is>
          <t>True</t>
        </is>
      </c>
      <c r="DA120" s="24" t="inlineStr">
        <is>
          <t>polymarket_us</t>
        </is>
      </c>
      <c r="DB120" s="24" t="inlineStr">
        <is>
          <t>decision_time_executable_quote</t>
        </is>
      </c>
      <c r="DC120" s="24" t="inlineStr">
        <is>
          <t>False</t>
        </is>
      </c>
      <c r="DD120" s="24" t="inlineStr">
        <is>
          <t>279b079bc681c68998b03380a4467452d320c8549ea5716793bbe6b6b00268c0</t>
        </is>
      </c>
      <c r="DE120" s="24" t="inlineStr">
        <is>
          <t>/Users/vincentc9002/model-prediction/data/odds/wnba/2026-08-28/polymarket_snapshots.jsonl</t>
        </is>
      </c>
      <c r="DF120" s="24" t="inlineStr">
        <is>
          <t>279b079bc681c68998b03380a4467452d320c8549ea5716793bbe6b6b00268c0</t>
        </is>
      </c>
      <c r="DG120" s="24" t="n"/>
      <c r="DH120" s="24" t="n"/>
      <c r="DI120" s="24" t="n"/>
      <c r="DJ120" s="24" t="inlineStr">
        <is>
          <t>0.519231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920b7ad4e6474d05</t>
        </is>
      </c>
      <c r="B121" s="24" t="inlineStr">
        <is>
          <t>2026-08-28T12:35:00.387270Z</t>
        </is>
      </c>
      <c r="C121" s="24" t="inlineStr">
        <is>
          <t>2026-08-29T02:00Z</t>
        </is>
      </c>
      <c r="D121" s="24" t="inlineStr">
        <is>
          <t>401857182</t>
        </is>
      </c>
      <c r="E121" s="24" t="inlineStr">
        <is>
          <t>WNBA</t>
        </is>
      </c>
      <c r="F121" s="24" t="inlineStr">
        <is>
          <t>Toronto Tempo</t>
        </is>
      </c>
      <c r="G121" s="24" t="inlineStr">
        <is>
          <t>Las Vegas Aces</t>
        </is>
      </c>
      <c r="H121" s="24" t="inlineStr">
        <is>
          <t>total</t>
        </is>
      </c>
      <c r="I121" s="24" t="inlineStr">
        <is>
          <t>under</t>
        </is>
      </c>
      <c r="J121" s="25" t="n">
        <v>176.5</v>
      </c>
      <c r="K121" s="24" t="inlineStr">
        <is>
          <t>polymarket_us</t>
        </is>
      </c>
      <c r="L121" s="26" t="n">
        <v>-117</v>
      </c>
      <c r="M121" s="27" t="n">
        <v>1.854701</v>
      </c>
      <c r="N121" s="28" t="n">
        <v>0.539171</v>
      </c>
      <c r="O121" s="28" t="n">
        <v>0.519122</v>
      </c>
      <c r="P121" s="28" t="n">
        <v>0.03</v>
      </c>
      <c r="Q121" s="28" t="n">
        <v>-0.020049</v>
      </c>
      <c r="R121" s="26" t="n">
        <v>22</v>
      </c>
      <c r="S121" s="29" t="n">
        <v>1</v>
      </c>
      <c r="T121" s="24" t="inlineStr">
        <is>
          <t>wnba-total-margin-v1</t>
        </is>
      </c>
      <c r="U121" s="24" t="inlineStr">
        <is>
          <t>settled</t>
        </is>
      </c>
      <c r="V121" s="24" t="inlineStr">
        <is>
          <t>win</t>
        </is>
      </c>
      <c r="W121" s="26" t="n">
        <v>73</v>
      </c>
      <c r="X121" s="26" t="n">
        <v>93</v>
      </c>
      <c r="Y121" s="25" t="n"/>
      <c r="Z121" s="26" t="n"/>
      <c r="AA121" s="28" t="n"/>
      <c r="AB121" s="28" t="n"/>
      <c r="AC121" s="30" t="n">
        <v>0.8547</v>
      </c>
      <c r="AD121" s="24" t="inlineStr">
        <is>
          <t>2026-08-29T12:32:38.441544Z</t>
        </is>
      </c>
      <c r="AE121" s="31" t="inlineStr">
        <is>
          <t>Projected total 175.8, sd 15.0. Executable ask 0.5400 (tsc-wnba-tor-lv-2026-08-28-176pt5).</t>
        </is>
      </c>
      <c r="AF121" s="31" t="inlineStr">
        <is>
          <t>Research-baseline total model; not yet locked-holdout qualified.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PAPER_CALL_MODEL_UNVALIDATED</t>
        </is>
      </c>
      <c r="AP121" s="24" t="inlineStr">
        <is>
          <t>wnba-tor</t>
        </is>
      </c>
      <c r="AQ121" s="24" t="inlineStr">
        <is>
          <t>Toronto Tempo</t>
        </is>
      </c>
      <c r="AR121" s="24" t="inlineStr">
        <is>
          <t>Toronto Tempo</t>
        </is>
      </c>
      <c r="AS121" s="24" t="inlineStr">
        <is>
          <t>wnba-lva</t>
        </is>
      </c>
      <c r="AT121" s="24" t="inlineStr">
        <is>
          <t>Las Vegas Aces</t>
        </is>
      </c>
      <c r="AU121" s="24" t="inlineStr">
        <is>
          <t>Las Vegas Aces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research</t>
        </is>
      </c>
      <c r="BA121" s="24" t="inlineStr">
        <is>
          <t>113e1744e564570dce943be22f4609ea073b2c634f9429475f4ee76e24e2f9c8</t>
        </is>
      </c>
      <c r="BB121" s="24" t="inlineStr">
        <is>
          <t>total_normal</t>
        </is>
      </c>
      <c r="BC121" s="24" t="inlineStr">
        <is>
          <t>wnba-total-margin-v1</t>
        </is>
      </c>
      <c r="BD121" s="24" t="inlineStr">
        <is>
          <t>113e1744e564570dce943be22f4609ea073b2c634f9429475f4ee76e24e2f9c8</t>
        </is>
      </c>
      <c r="BE121" s="24" t="inlineStr">
        <is>
          <t>wnba-total-margin-v1</t>
        </is>
      </c>
      <c r="BF121" s="24" t="inlineStr">
        <is>
          <t>1</t>
        </is>
      </c>
      <c r="BG121" s="24" t="inlineStr">
        <is>
          <t>113e1744e564570dce943be22f4609ea073b2c634f9429475f4ee76e24e2f9c8</t>
        </is>
      </c>
      <c r="BH121" s="24" t="inlineStr">
        <is>
          <t>2026-08-28T12:33:30.391850Z</t>
        </is>
      </c>
      <c r="BI121" s="24" t="inlineStr">
        <is>
          <t>["same_event","same_team_same_day","same_league_same_day"]</t>
        </is>
      </c>
      <c r="BJ121" s="25" t="n">
        <v>176.5</v>
      </c>
      <c r="BK121" s="26" t="n">
        <v>-117</v>
      </c>
      <c r="BL121" s="27" t="n">
        <v>1.854701</v>
      </c>
      <c r="BM121" s="28" t="n">
        <v>0.539171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>
        <v>1</v>
      </c>
      <c r="BY121" s="27" t="n">
        <v>0.854699</v>
      </c>
      <c r="BZ121" s="24" t="inlineStr">
        <is>
          <t>2026-08-29T12:32:38.441544Z</t>
        </is>
      </c>
      <c r="CA121" s="31" t="inlineStr">
        <is>
          <t>fixed one-unit hypothetical scoring; no real exposure or execution</t>
        </is>
      </c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inlineStr">
        <is>
          <t>2026-08-28T12:33:30.391850Z</t>
        </is>
      </c>
      <c r="CZ121" s="24" t="inlineStr">
        <is>
          <t>True</t>
        </is>
      </c>
      <c r="DA121" s="24" t="inlineStr">
        <is>
          <t>polymarket_us</t>
        </is>
      </c>
      <c r="DB121" s="24" t="inlineStr">
        <is>
          <t>decision_time_executable_quote</t>
        </is>
      </c>
      <c r="DC121" s="24" t="inlineStr">
        <is>
          <t>False</t>
        </is>
      </c>
      <c r="DD121" s="24" t="inlineStr">
        <is>
          <t>ca5af055c82856da53406693fb94b63d26d007175c0cdd342361ac50ff3308f4</t>
        </is>
      </c>
      <c r="DE121" s="24" t="inlineStr">
        <is>
          <t>/Users/vincentc9002/model-prediction/data/odds/wnba/2026-08-28/polymarket_snapshots.jsonl</t>
        </is>
      </c>
      <c r="DF121" s="24" t="inlineStr">
        <is>
          <t>ca5af055c82856da53406693fb94b63d26d007175c0cdd342361ac50ff3308f4</t>
        </is>
      </c>
      <c r="DG121" s="24" t="n"/>
      <c r="DH121" s="24" t="n"/>
      <c r="DI121" s="24" t="n"/>
      <c r="DJ121" s="24" t="inlineStr">
        <is>
          <t>0.539171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5e35ee6342a049e1</t>
        </is>
      </c>
      <c r="B122" s="24" t="inlineStr">
        <is>
          <t>2026-08-28T12:35:00.387270Z</t>
        </is>
      </c>
      <c r="C122" s="24" t="inlineStr">
        <is>
          <t>2026-08-29T02:00Z</t>
        </is>
      </c>
      <c r="D122" s="24" t="inlineStr">
        <is>
          <t>401857183</t>
        </is>
      </c>
      <c r="E122" s="24" t="inlineStr">
        <is>
          <t>WNBA</t>
        </is>
      </c>
      <c r="F122" s="24" t="inlineStr">
        <is>
          <t>Washington Mystics</t>
        </is>
      </c>
      <c r="G122" s="24" t="inlineStr">
        <is>
          <t>Los Angeles Sparks</t>
        </is>
      </c>
      <c r="H122" s="24" t="inlineStr">
        <is>
          <t>total</t>
        </is>
      </c>
      <c r="I122" s="24" t="inlineStr">
        <is>
          <t>over</t>
        </is>
      </c>
      <c r="J122" s="25" t="n">
        <v>167.5</v>
      </c>
      <c r="K122" s="24" t="inlineStr">
        <is>
          <t>polymarket_us</t>
        </is>
      </c>
      <c r="L122" s="26" t="n">
        <v>-104</v>
      </c>
      <c r="M122" s="27" t="n">
        <v>1.961538</v>
      </c>
      <c r="N122" s="28" t="n">
        <v>0.509804</v>
      </c>
      <c r="O122" s="28" t="n">
        <v>0.573732</v>
      </c>
      <c r="P122" s="28" t="n">
        <v>0.03</v>
      </c>
      <c r="Q122" s="28" t="n">
        <v>0.063928</v>
      </c>
      <c r="R122" s="26" t="n">
        <v>64</v>
      </c>
      <c r="S122" s="29" t="n">
        <v>1.25</v>
      </c>
      <c r="T122" s="24" t="inlineStr">
        <is>
          <t>wnba-total-margin-v1</t>
        </is>
      </c>
      <c r="U122" s="24" t="inlineStr">
        <is>
          <t>settled</t>
        </is>
      </c>
      <c r="V122" s="24" t="inlineStr">
        <is>
          <t>win</t>
        </is>
      </c>
      <c r="W122" s="26" t="n">
        <v>82</v>
      </c>
      <c r="X122" s="26" t="n">
        <v>88</v>
      </c>
      <c r="Y122" s="25" t="n"/>
      <c r="Z122" s="26" t="n"/>
      <c r="AA122" s="28" t="n"/>
      <c r="AB122" s="28" t="n"/>
      <c r="AC122" s="30" t="n">
        <v>1.2019</v>
      </c>
      <c r="AD122" s="24" t="inlineStr">
        <is>
          <t>2026-08-29T12:32:38.989826Z</t>
        </is>
      </c>
      <c r="AE122" s="31" t="inlineStr">
        <is>
          <t>Projected total 170.3, sd 15.0. Executable ask 0.5100 (tsc-wnba-wsh-la-2026-08-28-167pt5).</t>
        </is>
      </c>
      <c r="AF122" s="31" t="inlineStr">
        <is>
          <t>Research-baseline total model; not yet locked-holdout qualified.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PAPER_CALL_MODEL_UNVALIDATED</t>
        </is>
      </c>
      <c r="AP122" s="24" t="inlineStr">
        <is>
          <t>wnba-was</t>
        </is>
      </c>
      <c r="AQ122" s="24" t="inlineStr">
        <is>
          <t>Washington Mystics</t>
        </is>
      </c>
      <c r="AR122" s="24" t="inlineStr">
        <is>
          <t>Washington Mystics</t>
        </is>
      </c>
      <c r="AS122" s="24" t="inlineStr">
        <is>
          <t>wnba-las</t>
        </is>
      </c>
      <c r="AT122" s="24" t="inlineStr">
        <is>
          <t>Los Angeles Sparks</t>
        </is>
      </c>
      <c r="AU122" s="24" t="inlineStr">
        <is>
          <t>Los Angeles Sparks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research</t>
        </is>
      </c>
      <c r="BA122" s="24" t="inlineStr">
        <is>
          <t>113e1744e564570dce943be22f4609ea073b2c634f9429475f4ee76e24e2f9c8</t>
        </is>
      </c>
      <c r="BB122" s="24" t="inlineStr">
        <is>
          <t>total_normal</t>
        </is>
      </c>
      <c r="BC122" s="24" t="inlineStr">
        <is>
          <t>wnba-total-margin-v1</t>
        </is>
      </c>
      <c r="BD122" s="24" t="inlineStr">
        <is>
          <t>113e1744e564570dce943be22f4609ea073b2c634f9429475f4ee76e24e2f9c8</t>
        </is>
      </c>
      <c r="BE122" s="24" t="inlineStr">
        <is>
          <t>wnba-total-margin-v1</t>
        </is>
      </c>
      <c r="BF122" s="24" t="inlineStr">
        <is>
          <t>1</t>
        </is>
      </c>
      <c r="BG122" s="24" t="inlineStr">
        <is>
          <t>113e1744e564570dce943be22f4609ea073b2c634f9429475f4ee76e24e2f9c8</t>
        </is>
      </c>
      <c r="BH122" s="24" t="inlineStr">
        <is>
          <t>2026-08-28T12:33:30.499145Z</t>
        </is>
      </c>
      <c r="BI122" s="24" t="inlineStr">
        <is>
          <t>["same_event","same_team_same_day","same_league_same_day"]</t>
        </is>
      </c>
      <c r="BJ122" s="25" t="n">
        <v>167.5</v>
      </c>
      <c r="BK122" s="26" t="n">
        <v>-104</v>
      </c>
      <c r="BL122" s="27" t="n">
        <v>1.961538</v>
      </c>
      <c r="BM122" s="28" t="n">
        <v>0.509804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>
        <v>1</v>
      </c>
      <c r="BY122" s="27" t="n">
        <v>0.961538</v>
      </c>
      <c r="BZ122" s="24" t="inlineStr">
        <is>
          <t>2026-08-29T12:32:38.989826Z</t>
        </is>
      </c>
      <c r="CA122" s="31" t="inlineStr">
        <is>
          <t>fixed one-unit hypothetical scoring; no real exposure or execution</t>
        </is>
      </c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inlineStr">
        <is>
          <t>2026-08-28T12:33:30.499145Z</t>
        </is>
      </c>
      <c r="CZ122" s="24" t="inlineStr">
        <is>
          <t>True</t>
        </is>
      </c>
      <c r="DA122" s="24" t="inlineStr">
        <is>
          <t>polymarket_us</t>
        </is>
      </c>
      <c r="DB122" s="24" t="inlineStr">
        <is>
          <t>decision_time_executable_quote</t>
        </is>
      </c>
      <c r="DC122" s="24" t="inlineStr">
        <is>
          <t>False</t>
        </is>
      </c>
      <c r="DD122" s="24" t="inlineStr">
        <is>
          <t>92a788224391b4e4b2bb63c4e989283e475e9978f533abd49277602ee1ac67ac</t>
        </is>
      </c>
      <c r="DE122" s="24" t="inlineStr">
        <is>
          <t>/Users/vincentc9002/model-prediction/data/odds/wnba/2026-08-28/polymarket_snapshots.jsonl</t>
        </is>
      </c>
      <c r="DF122" s="24" t="inlineStr">
        <is>
          <t>92a788224391b4e4b2bb63c4e989283e475e9978f533abd49277602ee1ac67ac</t>
        </is>
      </c>
      <c r="DG122" s="24" t="n"/>
      <c r="DH122" s="24" t="n"/>
      <c r="DI122" s="24" t="n"/>
      <c r="DJ122" s="24" t="inlineStr">
        <is>
          <t>0.509804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7414c6a167394c6b</t>
        </is>
      </c>
      <c r="B123" s="24" t="inlineStr">
        <is>
          <t>2026-08-29T16:03:30.178719Z</t>
        </is>
      </c>
      <c r="C123" s="24" t="inlineStr">
        <is>
          <t>2026-08-29T13:00:00-0400</t>
        </is>
      </c>
      <c r="D123" s="24" t="inlineStr">
        <is>
          <t>401857184</t>
        </is>
      </c>
      <c r="E123" s="24" t="inlineStr">
        <is>
          <t>WNBA</t>
        </is>
      </c>
      <c r="F123" s="24" t="inlineStr">
        <is>
          <t>Chicago Sky</t>
        </is>
      </c>
      <c r="G123" s="24" t="inlineStr">
        <is>
          <t>New York Liberty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-400</v>
      </c>
      <c r="M123" s="27" t="n">
        <v>1.25</v>
      </c>
      <c r="N123" s="28" t="n">
        <v>0.8</v>
      </c>
      <c r="O123" s="28" t="n">
        <v>0.708275</v>
      </c>
      <c r="P123" s="28" t="n"/>
      <c r="Q123" s="28" t="n">
        <v>-0.091725</v>
      </c>
      <c r="R123" s="26" t="n">
        <v>0</v>
      </c>
      <c r="S123" s="29" t="n">
        <v>1</v>
      </c>
      <c r="T123" s="24" t="inlineStr">
        <is>
          <t>wnba-elo-trend-lr-v4</t>
        </is>
      </c>
      <c r="U123" s="24" t="inlineStr">
        <is>
          <t>settled</t>
        </is>
      </c>
      <c r="V123" s="24" t="inlineStr">
        <is>
          <t>win</t>
        </is>
      </c>
      <c r="W123" s="26" t="n">
        <v>66</v>
      </c>
      <c r="X123" s="26" t="n">
        <v>85</v>
      </c>
      <c r="Y123" s="25" t="n"/>
      <c r="Z123" s="26" t="n"/>
      <c r="AA123" s="28" t="n"/>
      <c r="AB123" s="28" t="n"/>
      <c r="AC123" s="30" t="n">
        <v>0.25</v>
      </c>
      <c r="AD123" s="24" t="inlineStr">
        <is>
          <t>2026-08-30T03:24:51.537056Z</t>
        </is>
      </c>
      <c r="AE123" s="31" t="inlineStr">
        <is>
          <t>Learned LR call at threshold 0.5001; executable ask 0.8000 (aec-wnba-chi-ny-2026-08-29); model edge vs ask -0.0917. NOTE: NO_CALL_AVAILABILITY_SOURCE_CONFLICT unavailable for this game — defaulted to neutral, other features used normally.</t>
        </is>
      </c>
      <c r="AF123" s="31" t="inlineStr">
        <is>
          <t>Learned model; shadow-qualified via operator override.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4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wnba-chi</t>
        </is>
      </c>
      <c r="AQ123" s="24" t="inlineStr">
        <is>
          <t>Chicago Sky</t>
        </is>
      </c>
      <c r="AR123" s="24" t="inlineStr">
        <is>
          <t>Chicago Sky</t>
        </is>
      </c>
      <c r="AS123" s="24" t="inlineStr">
        <is>
          <t>wnba-nyl</t>
        </is>
      </c>
      <c r="AT123" s="24" t="inlineStr">
        <is>
          <t>New York Liberty</t>
        </is>
      </c>
      <c r="AU123" s="24" t="inlineStr">
        <is>
          <t>New York Liberty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7afd5274214b58b7efd7f7febc7be3ab33b92351cda5cc6403c0a39faea0cc8c</t>
        </is>
      </c>
      <c r="BB123" s="24" t="inlineStr">
        <is>
          <t>learned_lr</t>
        </is>
      </c>
      <c r="BC123" s="24" t="inlineStr">
        <is>
          <t>wnba-elo-trend-lr-v4</t>
        </is>
      </c>
      <c r="BD123" s="24" t="inlineStr">
        <is>
          <t>7afd5274214b58b7efd7f7febc7be3ab33b92351cda5cc6403c0a39faea0cc8c</t>
        </is>
      </c>
      <c r="BE123" s="24" t="inlineStr">
        <is>
          <t>9d64656739583281</t>
        </is>
      </c>
      <c r="BF123" s="24" t="inlineStr">
        <is>
          <t>1</t>
        </is>
      </c>
      <c r="BG123" s="24" t="inlineStr">
        <is>
          <t>wnba-elo-trend-lr-v4</t>
        </is>
      </c>
      <c r="BH123" s="24" t="inlineStr">
        <is>
          <t>2026-08-29T16:02:44.654306Z</t>
        </is>
      </c>
      <c r="BI123" s="24" t="inlineStr">
        <is>
          <t>["same_event","same_team_same_day","same_league_same_day"]</t>
        </is>
      </c>
      <c r="BJ123" s="25" t="n"/>
      <c r="BK123" s="26" t="n">
        <v>-400</v>
      </c>
      <c r="BL123" s="27" t="n">
        <v>1.25</v>
      </c>
      <c r="BM123" s="28" t="n">
        <v>0.8</v>
      </c>
      <c r="BN123" s="28" t="n">
        <v>0.792079</v>
      </c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inlineStr">
        <is>
          <t>0.7796390681</t>
        </is>
      </c>
      <c r="CD123" s="24" t="inlineStr">
        <is>
          <t>-1.841349</t>
        </is>
      </c>
      <c r="CE123" s="24" t="n"/>
      <c r="CF123" s="24" t="n"/>
      <c r="CG123" s="24" t="n"/>
      <c r="CH123" s="24" t="n"/>
      <c r="CI123" s="24" t="inlineStr">
        <is>
          <t>NO_CALL_AVAILABILITY_SOURCE_CONFLICT</t>
        </is>
      </c>
      <c r="CJ123" s="24" t="inlineStr">
        <is>
          <t>-0.912093</t>
        </is>
      </c>
      <c r="CK123" s="24" t="n"/>
      <c r="CL123" s="24" t="n"/>
      <c r="CM123" s="24" t="n"/>
      <c r="CN123" s="24" t="n"/>
      <c r="CO123" s="24" t="n"/>
      <c r="CP123" s="24" t="n"/>
      <c r="CQ123" s="24" t="n"/>
      <c r="CR123" s="24" t="inlineStr">
        <is>
          <t>0.708275</t>
        </is>
      </c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inlineStr">
        <is>
          <t>2026-08-29T16:02:44.654306Z</t>
        </is>
      </c>
      <c r="CZ123" s="24" t="inlineStr">
        <is>
          <t>True</t>
        </is>
      </c>
      <c r="DA123" s="24" t="inlineStr">
        <is>
          <t>polymarket_us</t>
        </is>
      </c>
      <c r="DB123" s="24" t="inlineStr">
        <is>
          <t>decision_time_executable_quote</t>
        </is>
      </c>
      <c r="DC123" s="24" t="inlineStr">
        <is>
          <t>False</t>
        </is>
      </c>
      <c r="DD123" s="24" t="inlineStr">
        <is>
          <t>e15e0964f5bc7404d52e1433667a44f4dc99e09518300fd1642825b9ca889537</t>
        </is>
      </c>
      <c r="DE123" s="24" t="inlineStr">
        <is>
          <t>/Users/vincentc9002/model-prediction/data/odds/wnba/2026-08-29/polymarket_snapshots.jsonl</t>
        </is>
      </c>
      <c r="DF123" s="24" t="inlineStr">
        <is>
          <t>e15e0964f5bc7404d52e1433667a44f4dc99e09518300fd1642825b9ca889537</t>
        </is>
      </c>
      <c r="DG123" s="24" t="n"/>
      <c r="DH123" s="24" t="n"/>
      <c r="DI123" s="24" t="n"/>
      <c r="DJ123" s="24" t="inlineStr">
        <is>
          <t>0.8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2c2287d65afd4986</t>
        </is>
      </c>
      <c r="B124" s="24" t="inlineStr">
        <is>
          <t>2026-08-29T16:03:30.178719Z</t>
        </is>
      </c>
      <c r="C124" s="24" t="inlineStr">
        <is>
          <t>2026-08-29T22:00:00-0400</t>
        </is>
      </c>
      <c r="D124" s="24" t="inlineStr">
        <is>
          <t>401857185</t>
        </is>
      </c>
      <c r="E124" s="24" t="inlineStr">
        <is>
          <t>WNBA</t>
        </is>
      </c>
      <c r="F124" s="24" t="inlineStr">
        <is>
          <t>Toronto Tempo</t>
        </is>
      </c>
      <c r="G124" s="24" t="inlineStr">
        <is>
          <t>Phoenix Mercury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-376</v>
      </c>
      <c r="M124" s="27" t="n">
        <v>1.265957</v>
      </c>
      <c r="N124" s="28" t="n">
        <v>0.789916</v>
      </c>
      <c r="O124" s="28" t="n">
        <v>0.655904</v>
      </c>
      <c r="P124" s="28" t="n"/>
      <c r="Q124" s="28" t="n">
        <v>-0.134012</v>
      </c>
      <c r="R124" s="26" t="n">
        <v>0</v>
      </c>
      <c r="S124" s="29" t="n">
        <v>1</v>
      </c>
      <c r="T124" s="24" t="inlineStr">
        <is>
          <t>wnba-elo-trend-lr-v4</t>
        </is>
      </c>
      <c r="U124" s="24" t="inlineStr">
        <is>
          <t>settled</t>
        </is>
      </c>
      <c r="V124" s="24" t="inlineStr">
        <is>
          <t>win</t>
        </is>
      </c>
      <c r="W124" s="26" t="n">
        <v>69</v>
      </c>
      <c r="X124" s="26" t="n">
        <v>101</v>
      </c>
      <c r="Y124" s="25" t="n"/>
      <c r="Z124" s="26" t="n"/>
      <c r="AA124" s="28" t="n"/>
      <c r="AB124" s="28" t="n"/>
      <c r="AC124" s="30" t="n">
        <v>0.266</v>
      </c>
      <c r="AD124" s="24" t="inlineStr">
        <is>
          <t>2026-08-30T16:00:11.485557Z</t>
        </is>
      </c>
      <c r="AE124" s="31" t="inlineStr">
        <is>
          <t>Learned LR call at threshold 0.5001; executable ask 0.7900 (aec-wnba-tor-phx-2026-08-29); model edge vs ask -0.1341. NOTE: NO_CALL_AVAILABILITY_SOURCE_CONFLICT unavailable for this game — defaulted to neutral, other features used normally.</t>
        </is>
      </c>
      <c r="AF124" s="31" t="inlineStr">
        <is>
          <t>Learned model; shadow-qualified via operator override.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4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wnba-tor</t>
        </is>
      </c>
      <c r="AQ124" s="24" t="inlineStr">
        <is>
          <t>Toronto Tempo</t>
        </is>
      </c>
      <c r="AR124" s="24" t="inlineStr">
        <is>
          <t>Toronto Tempo</t>
        </is>
      </c>
      <c r="AS124" s="24" t="inlineStr">
        <is>
          <t>wnba-phx</t>
        </is>
      </c>
      <c r="AT124" s="24" t="inlineStr">
        <is>
          <t>Phoenix Mercury</t>
        </is>
      </c>
      <c r="AU124" s="24" t="inlineStr">
        <is>
          <t>Phoenix Mercury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7afd5274214b58b7efd7f7febc7be3ab33b92351cda5cc6403c0a39faea0cc8c</t>
        </is>
      </c>
      <c r="BB124" s="24" t="inlineStr">
        <is>
          <t>learned_lr</t>
        </is>
      </c>
      <c r="BC124" s="24" t="inlineStr">
        <is>
          <t>wnba-elo-trend-lr-v4</t>
        </is>
      </c>
      <c r="BD124" s="24" t="inlineStr">
        <is>
          <t>7afd5274214b58b7efd7f7febc7be3ab33b92351cda5cc6403c0a39faea0cc8c</t>
        </is>
      </c>
      <c r="BE124" s="24" t="inlineStr">
        <is>
          <t>29b3e87d5279fc83</t>
        </is>
      </c>
      <c r="BF124" s="24" t="inlineStr">
        <is>
          <t>1</t>
        </is>
      </c>
      <c r="BG124" s="24" t="inlineStr">
        <is>
          <t>wnba-elo-trend-lr-v4</t>
        </is>
      </c>
      <c r="BH124" s="24" t="inlineStr">
        <is>
          <t>2026-08-29T16:02:44.725881Z</t>
        </is>
      </c>
      <c r="BI124" s="24" t="inlineStr">
        <is>
          <t>["same_event","same_team_same_day","same_league_same_day"]</t>
        </is>
      </c>
      <c r="BJ124" s="25" t="n"/>
      <c r="BK124" s="26" t="n">
        <v>-376</v>
      </c>
      <c r="BL124" s="27" t="n">
        <v>1.265957</v>
      </c>
      <c r="BM124" s="28" t="n">
        <v>0.789916</v>
      </c>
      <c r="BN124" s="28" t="n">
        <v>0.782178</v>
      </c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inlineStr">
        <is>
          <t>0.7076690972</t>
        </is>
      </c>
      <c r="CD124" s="24" t="inlineStr">
        <is>
          <t>3.043268</t>
        </is>
      </c>
      <c r="CE124" s="24" t="n"/>
      <c r="CF124" s="24" t="n"/>
      <c r="CG124" s="24" t="n"/>
      <c r="CH124" s="24" t="n"/>
      <c r="CI124" s="24" t="inlineStr">
        <is>
          <t>NO_CALL_AVAILABILITY_SOURCE_CONFLICT</t>
        </is>
      </c>
      <c r="CJ124" s="24" t="inlineStr">
        <is>
          <t>-6.580659</t>
        </is>
      </c>
      <c r="CK124" s="24" t="n"/>
      <c r="CL124" s="24" t="n"/>
      <c r="CM124" s="24" t="n"/>
      <c r="CN124" s="24" t="n"/>
      <c r="CO124" s="24" t="n"/>
      <c r="CP124" s="24" t="n"/>
      <c r="CQ124" s="24" t="n"/>
      <c r="CR124" s="24" t="inlineStr">
        <is>
          <t>0.655904</t>
        </is>
      </c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inlineStr">
        <is>
          <t>2026-08-29T16:02:44.725881Z</t>
        </is>
      </c>
      <c r="CZ124" s="24" t="inlineStr">
        <is>
          <t>True</t>
        </is>
      </c>
      <c r="DA124" s="24" t="inlineStr">
        <is>
          <t>polymarket_us</t>
        </is>
      </c>
      <c r="DB124" s="24" t="inlineStr">
        <is>
          <t>decision_time_executable_quote</t>
        </is>
      </c>
      <c r="DC124" s="24" t="inlineStr">
        <is>
          <t>False</t>
        </is>
      </c>
      <c r="DD124" s="24" t="inlineStr">
        <is>
          <t>43854806ac029d745e3115779972c7f42bc1d4584aa7dd8bfac99f4e425d14c8</t>
        </is>
      </c>
      <c r="DE124" s="24" t="inlineStr">
        <is>
          <t>/Users/vincentc9002/model-prediction/data/odds/wnba/2026-08-29/polymarket_snapshots.jsonl</t>
        </is>
      </c>
      <c r="DF124" s="24" t="inlineStr">
        <is>
          <t>43854806ac029d745e3115779972c7f42bc1d4584aa7dd8bfac99f4e425d14c8</t>
        </is>
      </c>
      <c r="DG124" s="24" t="n"/>
      <c r="DH124" s="24" t="n"/>
      <c r="DI124" s="24" t="n"/>
      <c r="DJ124" s="24" t="inlineStr">
        <is>
          <t>0.789916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e75f8bad0aa44499</t>
        </is>
      </c>
      <c r="B125" s="24" t="inlineStr">
        <is>
          <t>2026-08-29T16:04:47.187646Z</t>
        </is>
      </c>
      <c r="C125" s="24" t="inlineStr">
        <is>
          <t>2026-08-29T17:00Z</t>
        </is>
      </c>
      <c r="D125" s="24" t="inlineStr">
        <is>
          <t>401857184</t>
        </is>
      </c>
      <c r="E125" s="24" t="inlineStr">
        <is>
          <t>WNBA</t>
        </is>
      </c>
      <c r="F125" s="24" t="inlineStr">
        <is>
          <t>Chicago Sky</t>
        </is>
      </c>
      <c r="G125" s="24" t="inlineStr">
        <is>
          <t>New York Liberty</t>
        </is>
      </c>
      <c r="H125" s="24" t="inlineStr">
        <is>
          <t>total</t>
        </is>
      </c>
      <c r="I125" s="24" t="inlineStr">
        <is>
          <t>under</t>
        </is>
      </c>
      <c r="J125" s="25" t="n">
        <v>179.5</v>
      </c>
      <c r="K125" s="24" t="inlineStr">
        <is>
          <t>polymarket_us</t>
        </is>
      </c>
      <c r="L125" s="26" t="n">
        <v>100</v>
      </c>
      <c r="M125" s="27" t="n">
        <v>2</v>
      </c>
      <c r="N125" s="28" t="n">
        <v>0.5</v>
      </c>
      <c r="O125" s="28" t="n">
        <v>0.59175</v>
      </c>
      <c r="P125" s="28" t="n">
        <v>0.03</v>
      </c>
      <c r="Q125" s="28" t="n">
        <v>0.09175</v>
      </c>
      <c r="R125" s="26" t="n">
        <v>78</v>
      </c>
      <c r="S125" s="29" t="n">
        <v>1.5</v>
      </c>
      <c r="T125" s="24" t="inlineStr">
        <is>
          <t>wnba-total-margin-v1</t>
        </is>
      </c>
      <c r="U125" s="24" t="inlineStr">
        <is>
          <t>settled</t>
        </is>
      </c>
      <c r="V125" s="24" t="inlineStr">
        <is>
          <t>win</t>
        </is>
      </c>
      <c r="W125" s="26" t="n">
        <v>66</v>
      </c>
      <c r="X125" s="26" t="n">
        <v>85</v>
      </c>
      <c r="Y125" s="25" t="n"/>
      <c r="Z125" s="26" t="n"/>
      <c r="AA125" s="28" t="n"/>
      <c r="AB125" s="28" t="n"/>
      <c r="AC125" s="30" t="n">
        <v>1.5</v>
      </c>
      <c r="AD125" s="24" t="inlineStr">
        <is>
          <t>2026-08-30T03:25:49.056539Z</t>
        </is>
      </c>
      <c r="AE125" s="31" t="inlineStr">
        <is>
          <t>Projected total 176.0, sd 15.0. Executable ask 0.5000 (tsc-wnba-chi-ny-2026-08-29-179pt5).</t>
        </is>
      </c>
      <c r="AF125" s="31" t="inlineStr">
        <is>
          <t>Research-baseline total model; not yet locked-holdout qualified.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PAPER_CALL_MODEL_UNVALIDATED</t>
        </is>
      </c>
      <c r="AP125" s="24" t="inlineStr">
        <is>
          <t>wnba-chi</t>
        </is>
      </c>
      <c r="AQ125" s="24" t="inlineStr">
        <is>
          <t>Chicago Sky</t>
        </is>
      </c>
      <c r="AR125" s="24" t="inlineStr">
        <is>
          <t>Chicago Sky</t>
        </is>
      </c>
      <c r="AS125" s="24" t="inlineStr">
        <is>
          <t>wnba-nyl</t>
        </is>
      </c>
      <c r="AT125" s="24" t="inlineStr">
        <is>
          <t>New York Liberty</t>
        </is>
      </c>
      <c r="AU125" s="24" t="inlineStr">
        <is>
          <t>New York Liberty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113e1744e564570dce943be22f4609ea073b2c634f9429475f4ee76e24e2f9c8</t>
        </is>
      </c>
      <c r="BB125" s="24" t="inlineStr">
        <is>
          <t>total_normal</t>
        </is>
      </c>
      <c r="BC125" s="24" t="inlineStr">
        <is>
          <t>wnba-total-margin-v1</t>
        </is>
      </c>
      <c r="BD125" s="24" t="inlineStr">
        <is>
          <t>113e1744e564570dce943be22f4609ea073b2c634f9429475f4ee76e24e2f9c8</t>
        </is>
      </c>
      <c r="BE125" s="24" t="inlineStr">
        <is>
          <t>wnba-total-margin-v1</t>
        </is>
      </c>
      <c r="BF125" s="24" t="inlineStr">
        <is>
          <t>1</t>
        </is>
      </c>
      <c r="BG125" s="24" t="inlineStr">
        <is>
          <t>113e1744e564570dce943be22f4609ea073b2c634f9429475f4ee76e24e2f9c8</t>
        </is>
      </c>
      <c r="BH125" s="24" t="inlineStr">
        <is>
          <t>2026-08-29T12:40:47.294562Z</t>
        </is>
      </c>
      <c r="BI125" s="24" t="inlineStr">
        <is>
          <t>["same_event","same_team_same_day","same_league_same_day"]</t>
        </is>
      </c>
      <c r="BJ125" s="25" t="n">
        <v>179.5</v>
      </c>
      <c r="BK125" s="26" t="n">
        <v>100</v>
      </c>
      <c r="BL125" s="27" t="n">
        <v>2</v>
      </c>
      <c r="BM125" s="28" t="n">
        <v>0.5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>
        <v>1</v>
      </c>
      <c r="BY125" s="27" t="n">
        <v>1</v>
      </c>
      <c r="BZ125" s="24" t="inlineStr">
        <is>
          <t>2026-08-30T03:25:49.056539Z</t>
        </is>
      </c>
      <c r="CA125" s="31" t="inlineStr">
        <is>
          <t>fixed one-unit hypothetical scoring; no real exposure or execution</t>
        </is>
      </c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inlineStr">
        <is>
          <t>2026-08-29T12:40:47.294562Z</t>
        </is>
      </c>
      <c r="CZ125" s="24" t="inlineStr">
        <is>
          <t>True</t>
        </is>
      </c>
      <c r="DA125" s="24" t="inlineStr">
        <is>
          <t>polymarket_us</t>
        </is>
      </c>
      <c r="DB125" s="24" t="inlineStr">
        <is>
          <t>decision_time_executable_quote</t>
        </is>
      </c>
      <c r="DC125" s="24" t="inlineStr">
        <is>
          <t>False</t>
        </is>
      </c>
      <c r="DD125" s="24" t="inlineStr">
        <is>
          <t>2b68eaced9dbf3b3148bd9073da79748b6a3057c57ea8f95567b7b7d2e8932be</t>
        </is>
      </c>
      <c r="DE125" s="24" t="inlineStr">
        <is>
          <t>/Users/vincentc9002/model-prediction/data/odds/wnba/2026-08-29/polymarket_snapshots.jsonl</t>
        </is>
      </c>
      <c r="DF125" s="24" t="inlineStr">
        <is>
          <t>2b68eaced9dbf3b3148bd9073da79748b6a3057c57ea8f95567b7b7d2e8932be</t>
        </is>
      </c>
      <c r="DG125" s="24" t="n"/>
      <c r="DH125" s="24" t="n"/>
      <c r="DI125" s="24" t="n"/>
      <c r="DJ125" s="24" t="inlineStr">
        <is>
          <t>0.5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b7488d866dbc443e</t>
        </is>
      </c>
      <c r="B126" s="24" t="inlineStr">
        <is>
          <t>2026-08-29T16:04:47.187646Z</t>
        </is>
      </c>
      <c r="C126" s="24" t="inlineStr">
        <is>
          <t>2026-08-30T02:00Z</t>
        </is>
      </c>
      <c r="D126" s="24" t="inlineStr">
        <is>
          <t>401857185</t>
        </is>
      </c>
      <c r="E126" s="24" t="inlineStr">
        <is>
          <t>WNBA</t>
        </is>
      </c>
      <c r="F126" s="24" t="inlineStr">
        <is>
          <t>Toronto Tempo</t>
        </is>
      </c>
      <c r="G126" s="24" t="inlineStr">
        <is>
          <t>Phoenix Mercury</t>
        </is>
      </c>
      <c r="H126" s="24" t="inlineStr">
        <is>
          <t>total</t>
        </is>
      </c>
      <c r="I126" s="24" t="inlineStr">
        <is>
          <t>under</t>
        </is>
      </c>
      <c r="J126" s="25" t="n">
        <v>174.5</v>
      </c>
      <c r="K126" s="24" t="inlineStr">
        <is>
          <t>polymarket_us</t>
        </is>
      </c>
      <c r="L126" s="26" t="n">
        <v>-104</v>
      </c>
      <c r="M126" s="27" t="n">
        <v>1.961538</v>
      </c>
      <c r="N126" s="28" t="n">
        <v>0.509804</v>
      </c>
      <c r="O126" s="28" t="n">
        <v>0.501969</v>
      </c>
      <c r="P126" s="28" t="n">
        <v>0.03</v>
      </c>
      <c r="Q126" s="28" t="n">
        <v>-0.007835</v>
      </c>
      <c r="R126" s="26" t="n">
        <v>28</v>
      </c>
      <c r="S126" s="29" t="n">
        <v>1</v>
      </c>
      <c r="T126" s="24" t="inlineStr">
        <is>
          <t>wnba-total-margin-v1</t>
        </is>
      </c>
      <c r="U126" s="24" t="inlineStr">
        <is>
          <t>settled</t>
        </is>
      </c>
      <c r="V126" s="24" t="inlineStr">
        <is>
          <t>win</t>
        </is>
      </c>
      <c r="W126" s="26" t="n">
        <v>69</v>
      </c>
      <c r="X126" s="26" t="n">
        <v>101</v>
      </c>
      <c r="Y126" s="25" t="n"/>
      <c r="Z126" s="26" t="n"/>
      <c r="AA126" s="28" t="n"/>
      <c r="AB126" s="28" t="n"/>
      <c r="AC126" s="30" t="n">
        <v>0.9615</v>
      </c>
      <c r="AD126" s="24" t="inlineStr">
        <is>
          <t>2026-08-30T16:00:18.728451Z</t>
        </is>
      </c>
      <c r="AE126" s="31" t="inlineStr">
        <is>
          <t>Projected total 174.4, sd 15.0. Executable ask 0.5100 (tsc-wnba-tor-phx-2026-08-29-174pt5).</t>
        </is>
      </c>
      <c r="AF126" s="31" t="inlineStr">
        <is>
          <t>Research-baseline total model; not yet locked-holdout qualified.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PAPER_CALL_MODEL_UNVALIDATED</t>
        </is>
      </c>
      <c r="AP126" s="24" t="inlineStr">
        <is>
          <t>wnba-tor</t>
        </is>
      </c>
      <c r="AQ126" s="24" t="inlineStr">
        <is>
          <t>Toronto Tempo</t>
        </is>
      </c>
      <c r="AR126" s="24" t="inlineStr">
        <is>
          <t>Toronto Tempo</t>
        </is>
      </c>
      <c r="AS126" s="24" t="inlineStr">
        <is>
          <t>wnba-phx</t>
        </is>
      </c>
      <c r="AT126" s="24" t="inlineStr">
        <is>
          <t>Phoenix Mercury</t>
        </is>
      </c>
      <c r="AU126" s="24" t="inlineStr">
        <is>
          <t>Phoenix Mercury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113e1744e564570dce943be22f4609ea073b2c634f9429475f4ee76e24e2f9c8</t>
        </is>
      </c>
      <c r="BB126" s="24" t="inlineStr">
        <is>
          <t>total_normal</t>
        </is>
      </c>
      <c r="BC126" s="24" t="inlineStr">
        <is>
          <t>wnba-total-margin-v1</t>
        </is>
      </c>
      <c r="BD126" s="24" t="inlineStr">
        <is>
          <t>113e1744e564570dce943be22f4609ea073b2c634f9429475f4ee76e24e2f9c8</t>
        </is>
      </c>
      <c r="BE126" s="24" t="inlineStr">
        <is>
          <t>wnba-total-margin-v1</t>
        </is>
      </c>
      <c r="BF126" s="24" t="inlineStr">
        <is>
          <t>1</t>
        </is>
      </c>
      <c r="BG126" s="24" t="inlineStr">
        <is>
          <t>113e1744e564570dce943be22f4609ea073b2c634f9429475f4ee76e24e2f9c8</t>
        </is>
      </c>
      <c r="BH126" s="24" t="inlineStr">
        <is>
          <t>2026-08-29T16:02:44.682201Z</t>
        </is>
      </c>
      <c r="BI126" s="24" t="inlineStr">
        <is>
          <t>["same_event","same_team_same_day","same_league_same_day"]</t>
        </is>
      </c>
      <c r="BJ126" s="25" t="n">
        <v>174.5</v>
      </c>
      <c r="BK126" s="26" t="n">
        <v>-104</v>
      </c>
      <c r="BL126" s="27" t="n">
        <v>1.961538</v>
      </c>
      <c r="BM126" s="28" t="n">
        <v>0.509804</v>
      </c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>
        <v>1</v>
      </c>
      <c r="BY126" s="27" t="n">
        <v>0.961538</v>
      </c>
      <c r="BZ126" s="24" t="inlineStr">
        <is>
          <t>2026-08-30T16:00:18.728451Z</t>
        </is>
      </c>
      <c r="CA126" s="31" t="inlineStr">
        <is>
          <t>fixed one-unit hypothetical scoring; no real exposure or execution</t>
        </is>
      </c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inlineStr">
        <is>
          <t>2026-08-29T16:02:44.682201Z</t>
        </is>
      </c>
      <c r="CZ126" s="24" t="inlineStr">
        <is>
          <t>True</t>
        </is>
      </c>
      <c r="DA126" s="24" t="inlineStr">
        <is>
          <t>polymarket_us</t>
        </is>
      </c>
      <c r="DB126" s="24" t="inlineStr">
        <is>
          <t>decision_time_executable_quote</t>
        </is>
      </c>
      <c r="DC126" s="24" t="inlineStr">
        <is>
          <t>False</t>
        </is>
      </c>
      <c r="DD126" s="24" t="inlineStr">
        <is>
          <t>7d6bc22d43cc43130d5a5ff1147801f811b77c22a5b96725f289d12e46a5bb6d</t>
        </is>
      </c>
      <c r="DE126" s="24" t="inlineStr">
        <is>
          <t>/Users/vincentc9002/model-prediction/data/odds/wnba/2026-08-29/polymarket_snapshots.jsonl</t>
        </is>
      </c>
      <c r="DF126" s="24" t="inlineStr">
        <is>
          <t>7d6bc22d43cc43130d5a5ff1147801f811b77c22a5b96725f289d12e46a5bb6d</t>
        </is>
      </c>
      <c r="DG126" s="24" t="n"/>
      <c r="DH126" s="24" t="n"/>
      <c r="DI126" s="24" t="n"/>
      <c r="DJ126" s="24" t="inlineStr">
        <is>
          <t>0.509804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f223179fa29a49e6</t>
        </is>
      </c>
      <c r="B127" s="24" t="inlineStr">
        <is>
          <t>2026-08-29T16:04:47.771438Z</t>
        </is>
      </c>
      <c r="C127" s="24" t="inlineStr">
        <is>
          <t>2026-08-29T17:00Z</t>
        </is>
      </c>
      <c r="D127" s="24" t="inlineStr">
        <is>
          <t>401857184</t>
        </is>
      </c>
      <c r="E127" s="24" t="inlineStr">
        <is>
          <t>WNBA</t>
        </is>
      </c>
      <c r="F127" s="24" t="inlineStr">
        <is>
          <t>Chicago Sky</t>
        </is>
      </c>
      <c r="G127" s="24" t="inlineStr">
        <is>
          <t>New York Liberty</t>
        </is>
      </c>
      <c r="H127" s="24" t="inlineStr">
        <is>
          <t>spread</t>
        </is>
      </c>
      <c r="I127" s="24" t="inlineStr">
        <is>
          <t>away</t>
        </is>
      </c>
      <c r="J127" s="25" t="n">
        <v>7.5</v>
      </c>
      <c r="K127" s="24" t="inlineStr">
        <is>
          <t>polymarket_us</t>
        </is>
      </c>
      <c r="L127" s="26" t="n">
        <v>117</v>
      </c>
      <c r="M127" s="27" t="n">
        <v>2.17</v>
      </c>
      <c r="N127" s="28" t="n">
        <v>0.460829</v>
      </c>
      <c r="O127" s="28" t="n">
        <v>0.632035</v>
      </c>
      <c r="P127" s="28" t="n">
        <v>0.03</v>
      </c>
      <c r="Q127" s="28" t="n">
        <v>0.171206</v>
      </c>
      <c r="R127" s="26" t="n">
        <v>100</v>
      </c>
      <c r="S127" s="29" t="n">
        <v>2</v>
      </c>
      <c r="T127" s="24" t="inlineStr">
        <is>
          <t>wnba-spread-margin-v1</t>
        </is>
      </c>
      <c r="U127" s="24" t="inlineStr">
        <is>
          <t>settled</t>
        </is>
      </c>
      <c r="V127" s="24" t="inlineStr">
        <is>
          <t>loss</t>
        </is>
      </c>
      <c r="W127" s="26" t="n">
        <v>66</v>
      </c>
      <c r="X127" s="26" t="n">
        <v>85</v>
      </c>
      <c r="Y127" s="25" t="n"/>
      <c r="Z127" s="26" t="n"/>
      <c r="AA127" s="28" t="n"/>
      <c r="AB127" s="28" t="n"/>
      <c r="AC127" s="30" t="n">
        <v>-2</v>
      </c>
      <c r="AD127" s="24" t="inlineStr">
        <is>
          <t>2026-08-30T03:26:22.677347Z</t>
        </is>
      </c>
      <c r="AE127" s="31" t="inlineStr">
        <is>
          <t>Projected margin +4.0 (home), sd 10.5. Executable ask 0.4600 (asc-wnba-chi-ny-2026-08-29-pos-7pt5).</t>
        </is>
      </c>
      <c r="AF127" s="31" t="inlineStr">
        <is>
          <t>Research-baseline margin-normal spread model; not yet locked-holdout qualified.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PAPER_CALL_MODEL_UNVALIDATED</t>
        </is>
      </c>
      <c r="AP127" s="24" t="inlineStr">
        <is>
          <t>wnba-chi</t>
        </is>
      </c>
      <c r="AQ127" s="24" t="inlineStr">
        <is>
          <t>Chicago Sky</t>
        </is>
      </c>
      <c r="AR127" s="24" t="inlineStr">
        <is>
          <t>Chicago Sky</t>
        </is>
      </c>
      <c r="AS127" s="24" t="inlineStr">
        <is>
          <t>wnba-nyl</t>
        </is>
      </c>
      <c r="AT127" s="24" t="inlineStr">
        <is>
          <t>New York Liberty</t>
        </is>
      </c>
      <c r="AU127" s="24" t="inlineStr">
        <is>
          <t>New York Liberty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23ba88bcc86a710d76233b349116f2eefe021a993d2d3b9102922e567a027b4c</t>
        </is>
      </c>
      <c r="BB127" s="24" t="inlineStr">
        <is>
          <t>margin_normal</t>
        </is>
      </c>
      <c r="BC127" s="24" t="inlineStr">
        <is>
          <t>wnba-spread-margin-v1</t>
        </is>
      </c>
      <c r="BD127" s="24" t="inlineStr">
        <is>
          <t>23ba88bcc86a710d76233b349116f2eefe021a993d2d3b9102922e567a027b4c</t>
        </is>
      </c>
      <c r="BE127" s="24" t="inlineStr">
        <is>
          <t>wnba-spread-margin-v1</t>
        </is>
      </c>
      <c r="BF127" s="24" t="inlineStr">
        <is>
          <t>1</t>
        </is>
      </c>
      <c r="BG127" s="24" t="inlineStr">
        <is>
          <t>23ba88bcc86a710d76233b349116f2eefe021a993d2d3b9102922e567a027b4c</t>
        </is>
      </c>
      <c r="BH127" s="24" t="inlineStr">
        <is>
          <t>2026-08-29T12:40:47.288764Z</t>
        </is>
      </c>
      <c r="BI127" s="24" t="inlineStr">
        <is>
          <t>["same_event","same_team_same_day","same_league_same_day"]</t>
        </is>
      </c>
      <c r="BJ127" s="25" t="n">
        <v>7.5</v>
      </c>
      <c r="BK127" s="26" t="n">
        <v>117</v>
      </c>
      <c r="BL127" s="27" t="n">
        <v>2.17</v>
      </c>
      <c r="BM127" s="28" t="n">
        <v>0.460829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>
        <v>1</v>
      </c>
      <c r="BY127" s="27" t="n">
        <v>-1</v>
      </c>
      <c r="BZ127" s="24" t="inlineStr">
        <is>
          <t>2026-08-30T03:26:22.677347Z</t>
        </is>
      </c>
      <c r="CA127" s="31" t="inlineStr">
        <is>
          <t>fixed one-unit hypothetical scoring; no real exposure or execution</t>
        </is>
      </c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inlineStr">
        <is>
          <t>2026-08-29T12:40:47.288764Z</t>
        </is>
      </c>
      <c r="CZ127" s="24" t="inlineStr">
        <is>
          <t>True</t>
        </is>
      </c>
      <c r="DA127" s="24" t="inlineStr">
        <is>
          <t>polymarket_us</t>
        </is>
      </c>
      <c r="DB127" s="24" t="inlineStr">
        <is>
          <t>decision_time_executable_quote</t>
        </is>
      </c>
      <c r="DC127" s="24" t="inlineStr">
        <is>
          <t>False</t>
        </is>
      </c>
      <c r="DD127" s="24" t="inlineStr">
        <is>
          <t>8140601c536cf19e0e5e4be23dfbc1846a85b36da824487af7b1d88477e02497</t>
        </is>
      </c>
      <c r="DE127" s="24" t="inlineStr">
        <is>
          <t>/Users/vincentc9002/model-prediction/data/odds/wnba/2026-08-29/polymarket_snapshots.jsonl</t>
        </is>
      </c>
      <c r="DF127" s="24" t="inlineStr">
        <is>
          <t>8140601c536cf19e0e5e4be23dfbc1846a85b36da824487af7b1d88477e02497</t>
        </is>
      </c>
      <c r="DG127" s="24" t="n"/>
      <c r="DH127" s="24" t="n"/>
      <c r="DI127" s="24" t="n"/>
      <c r="DJ127" s="24" t="inlineStr">
        <is>
          <t>0.460829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3585c310d7474679</t>
        </is>
      </c>
      <c r="B128" s="24" t="inlineStr">
        <is>
          <t>2026-08-29T16:04:47.771438Z</t>
        </is>
      </c>
      <c r="C128" s="24" t="inlineStr">
        <is>
          <t>2026-08-30T02:00Z</t>
        </is>
      </c>
      <c r="D128" s="24" t="inlineStr">
        <is>
          <t>401857185</t>
        </is>
      </c>
      <c r="E128" s="24" t="inlineStr">
        <is>
          <t>WNBA</t>
        </is>
      </c>
      <c r="F128" s="24" t="inlineStr">
        <is>
          <t>Toronto Tempo</t>
        </is>
      </c>
      <c r="G128" s="24" t="inlineStr">
        <is>
          <t>Phoenix Mercury</t>
        </is>
      </c>
      <c r="H128" s="24" t="inlineStr">
        <is>
          <t>spread</t>
        </is>
      </c>
      <c r="I128" s="24" t="inlineStr">
        <is>
          <t>away</t>
        </is>
      </c>
      <c r="J128" s="25" t="n">
        <v>7.5</v>
      </c>
      <c r="K128" s="24" t="inlineStr">
        <is>
          <t>polymarket_us</t>
        </is>
      </c>
      <c r="L128" s="26" t="n">
        <v>127</v>
      </c>
      <c r="M128" s="27" t="n">
        <v>2.27</v>
      </c>
      <c r="N128" s="28" t="n">
        <v>0.440529</v>
      </c>
      <c r="O128" s="28" t="n">
        <v>0.6637690000000001</v>
      </c>
      <c r="P128" s="28" t="n">
        <v>0.03</v>
      </c>
      <c r="Q128" s="28" t="n">
        <v>0.22324</v>
      </c>
      <c r="R128" s="26" t="n">
        <v>100</v>
      </c>
      <c r="S128" s="29" t="n">
        <v>2</v>
      </c>
      <c r="T128" s="24" t="inlineStr">
        <is>
          <t>wnba-spread-margin-v1</t>
        </is>
      </c>
      <c r="U128" s="24" t="inlineStr">
        <is>
          <t>settled</t>
        </is>
      </c>
      <c r="V128" s="24" t="inlineStr">
        <is>
          <t>loss</t>
        </is>
      </c>
      <c r="W128" s="26" t="n">
        <v>69</v>
      </c>
      <c r="X128" s="26" t="n">
        <v>101</v>
      </c>
      <c r="Y128" s="25" t="n"/>
      <c r="Z128" s="26" t="n"/>
      <c r="AA128" s="28" t="n"/>
      <c r="AB128" s="28" t="n"/>
      <c r="AC128" s="30" t="n">
        <v>-2</v>
      </c>
      <c r="AD128" s="24" t="inlineStr">
        <is>
          <t>2026-08-30T16:00:22.375588Z</t>
        </is>
      </c>
      <c r="AE128" s="31" t="inlineStr">
        <is>
          <t>Projected margin +3.1 (home), sd 10.5. Executable ask 0.4400 (asc-wnba-tor-phx-2026-08-29-pos-7pt5).</t>
        </is>
      </c>
      <c r="AF128" s="31" t="inlineStr">
        <is>
          <t>Research-baseline margin-normal spread model; not yet locked-holdout qualified.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PAPER_CALL_MODEL_UNVALIDATED</t>
        </is>
      </c>
      <c r="AP128" s="24" t="inlineStr">
        <is>
          <t>wnba-tor</t>
        </is>
      </c>
      <c r="AQ128" s="24" t="inlineStr">
        <is>
          <t>Toronto Tempo</t>
        </is>
      </c>
      <c r="AR128" s="24" t="inlineStr">
        <is>
          <t>Toronto Tempo</t>
        </is>
      </c>
      <c r="AS128" s="24" t="inlineStr">
        <is>
          <t>wnba-phx</t>
        </is>
      </c>
      <c r="AT128" s="24" t="inlineStr">
        <is>
          <t>Phoenix Mercury</t>
        </is>
      </c>
      <c r="AU128" s="24" t="inlineStr">
        <is>
          <t>Phoenix Mercury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23ba88bcc86a710d76233b349116f2eefe021a993d2d3b9102922e567a027b4c</t>
        </is>
      </c>
      <c r="BB128" s="24" t="inlineStr">
        <is>
          <t>margin_normal</t>
        </is>
      </c>
      <c r="BC128" s="24" t="inlineStr">
        <is>
          <t>wnba-spread-margin-v1</t>
        </is>
      </c>
      <c r="BD128" s="24" t="inlineStr">
        <is>
          <t>23ba88bcc86a710d76233b349116f2eefe021a993d2d3b9102922e567a027b4c</t>
        </is>
      </c>
      <c r="BE128" s="24" t="inlineStr">
        <is>
          <t>wnba-spread-margin-v1</t>
        </is>
      </c>
      <c r="BF128" s="24" t="inlineStr">
        <is>
          <t>1</t>
        </is>
      </c>
      <c r="BG128" s="24" t="inlineStr">
        <is>
          <t>23ba88bcc86a710d76233b349116f2eefe021a993d2d3b9102922e567a027b4c</t>
        </is>
      </c>
      <c r="BH128" s="24" t="inlineStr">
        <is>
          <t>2026-08-29T12:40:47.358563Z</t>
        </is>
      </c>
      <c r="BI128" s="24" t="inlineStr">
        <is>
          <t>["same_event","same_team_same_day","same_league_same_day"]</t>
        </is>
      </c>
      <c r="BJ128" s="25" t="n">
        <v>7.5</v>
      </c>
      <c r="BK128" s="26" t="n">
        <v>127</v>
      </c>
      <c r="BL128" s="27" t="n">
        <v>2.27</v>
      </c>
      <c r="BM128" s="28" t="n">
        <v>0.440529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>
        <v>1</v>
      </c>
      <c r="BY128" s="27" t="n">
        <v>-1</v>
      </c>
      <c r="BZ128" s="24" t="inlineStr">
        <is>
          <t>2026-08-30T16:00:22.375588Z</t>
        </is>
      </c>
      <c r="CA128" s="31" t="inlineStr">
        <is>
          <t>fixed one-unit hypothetical scoring; no real exposure or execution</t>
        </is>
      </c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inlineStr">
        <is>
          <t>2026-08-29T12:40:47.358563Z</t>
        </is>
      </c>
      <c r="CZ128" s="24" t="inlineStr">
        <is>
          <t>True</t>
        </is>
      </c>
      <c r="DA128" s="24" t="inlineStr">
        <is>
          <t>polymarket_us</t>
        </is>
      </c>
      <c r="DB128" s="24" t="inlineStr">
        <is>
          <t>decision_time_executable_quote</t>
        </is>
      </c>
      <c r="DC128" s="24" t="inlineStr">
        <is>
          <t>False</t>
        </is>
      </c>
      <c r="DD128" s="24" t="inlineStr">
        <is>
          <t>2d0650483b8da7eebf36ba1bd16e727dbf09a6c23e39c984ce2705c6c22b904c</t>
        </is>
      </c>
      <c r="DE128" s="24" t="inlineStr">
        <is>
          <t>/Users/vincentc9002/model-prediction/data/odds/wnba/2026-08-29/polymarket_snapshots.jsonl</t>
        </is>
      </c>
      <c r="DF128" s="24" t="inlineStr">
        <is>
          <t>2d0650483b8da7eebf36ba1bd16e727dbf09a6c23e39c984ce2705c6c22b904c</t>
        </is>
      </c>
      <c r="DG128" s="24" t="n"/>
      <c r="DH128" s="24" t="n"/>
      <c r="DI128" s="24" t="n"/>
      <c r="DJ128" s="24" t="inlineStr">
        <is>
          <t>0.440529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15d6aac23aa545f7</t>
        </is>
      </c>
      <c r="B129" s="24" t="inlineStr">
        <is>
          <t>2026-08-30T16:05:08.565213Z</t>
        </is>
      </c>
      <c r="C129" s="24" t="inlineStr">
        <is>
          <t>2026-08-30T15:00:00-0400</t>
        </is>
      </c>
      <c r="D129" s="24" t="inlineStr">
        <is>
          <t>401857186</t>
        </is>
      </c>
      <c r="E129" s="24" t="inlineStr">
        <is>
          <t>WNBA</t>
        </is>
      </c>
      <c r="F129" s="24" t="inlineStr">
        <is>
          <t>Minnesota Lynx</t>
        </is>
      </c>
      <c r="G129" s="24" t="inlineStr">
        <is>
          <t>Atlanta Dream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-138</v>
      </c>
      <c r="M129" s="27" t="n">
        <v>1.724638</v>
      </c>
      <c r="N129" s="28" t="n">
        <v>0.579832</v>
      </c>
      <c r="O129" s="28" t="n">
        <v>0.6181680000000001</v>
      </c>
      <c r="P129" s="28" t="n"/>
      <c r="Q129" s="28" t="n">
        <v>0.038336</v>
      </c>
      <c r="R129" s="26" t="n">
        <v>42</v>
      </c>
      <c r="S129" s="29" t="n">
        <v>1</v>
      </c>
      <c r="T129" s="24" t="inlineStr">
        <is>
          <t>wnba-elo-trend-lr-v4</t>
        </is>
      </c>
      <c r="U129" s="24" t="inlineStr">
        <is>
          <t>settled</t>
        </is>
      </c>
      <c r="V129" s="24" t="inlineStr">
        <is>
          <t>loss</t>
        </is>
      </c>
      <c r="W129" s="26" t="n">
        <v>81</v>
      </c>
      <c r="X129" s="26" t="n">
        <v>89</v>
      </c>
      <c r="Y129" s="25" t="n"/>
      <c r="Z129" s="26" t="n">
        <v>-138</v>
      </c>
      <c r="AA129" s="28" t="n">
        <v>0.58</v>
      </c>
      <c r="AB129" s="28" t="n">
        <v>0.000168</v>
      </c>
      <c r="AC129" s="30" t="n">
        <v>-1</v>
      </c>
      <c r="AD129" s="24" t="inlineStr">
        <is>
          <t>2026-08-31T04:30:35.804520Z</t>
        </is>
      </c>
      <c r="AE129" s="31" t="inlineStr">
        <is>
          <t>Learned LR call at threshold 0.5001; executable ask 0.5800 (aec-wnba-min-atl-2026-08-30); model edge vs ask +0.0382. NOTE: NO_CALL_AVAILABILITY_SOURCE_CONFLICT unavailable for this game — defaulted to neutral, other features used normally.</t>
        </is>
      </c>
      <c r="AF129" s="31" t="inlineStr">
        <is>
          <t>Learned model; shadow-qualified via operator override.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4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wnba-min</t>
        </is>
      </c>
      <c r="AQ129" s="24" t="inlineStr">
        <is>
          <t>Minnesota Lynx</t>
        </is>
      </c>
      <c r="AR129" s="24" t="inlineStr">
        <is>
          <t>Minnesota Lynx</t>
        </is>
      </c>
      <c r="AS129" s="24" t="inlineStr">
        <is>
          <t>wnba-atl</t>
        </is>
      </c>
      <c r="AT129" s="24" t="inlineStr">
        <is>
          <t>Atlanta Dream</t>
        </is>
      </c>
      <c r="AU129" s="24" t="inlineStr">
        <is>
          <t>Atlanta Dream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7afd5274214b58b7efd7f7febc7be3ab33b92351cda5cc6403c0a39faea0cc8c</t>
        </is>
      </c>
      <c r="BB129" s="24" t="inlineStr">
        <is>
          <t>learned_lr</t>
        </is>
      </c>
      <c r="BC129" s="24" t="inlineStr">
        <is>
          <t>wnba-elo-trend-lr-v4</t>
        </is>
      </c>
      <c r="BD129" s="24" t="inlineStr">
        <is>
          <t>7afd5274214b58b7efd7f7febc7be3ab33b92351cda5cc6403c0a39faea0cc8c</t>
        </is>
      </c>
      <c r="BE129" s="24" t="inlineStr">
        <is>
          <t>2dd2527e75da5604</t>
        </is>
      </c>
      <c r="BF129" s="24" t="inlineStr">
        <is>
          <t>1</t>
        </is>
      </c>
      <c r="BG129" s="24" t="inlineStr">
        <is>
          <t>wnba-elo-trend-lr-v4</t>
        </is>
      </c>
      <c r="BH129" s="24" t="inlineStr">
        <is>
          <t>2026-08-30T16:04:53.381078Z</t>
        </is>
      </c>
      <c r="BI129" s="24" t="inlineStr">
        <is>
          <t>["same_event","same_team_same_day","same_league_same_day"]</t>
        </is>
      </c>
      <c r="BJ129" s="25" t="n"/>
      <c r="BK129" s="26" t="n">
        <v>-138</v>
      </c>
      <c r="BL129" s="27" t="n">
        <v>1.724638</v>
      </c>
      <c r="BM129" s="28" t="n">
        <v>0.579832</v>
      </c>
      <c r="BN129" s="28" t="n">
        <v>0.574257</v>
      </c>
      <c r="BO129" s="28" t="n"/>
      <c r="BP129" s="25" t="n"/>
      <c r="BQ129" s="27" t="n">
        <v>1.724638</v>
      </c>
      <c r="BR129" s="28" t="n">
        <v>0.58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inlineStr">
        <is>
          <t>0.3527771649</t>
        </is>
      </c>
      <c r="CD129" s="24" t="inlineStr">
        <is>
          <t>3.022783</t>
        </is>
      </c>
      <c r="CE129" s="24" t="n"/>
      <c r="CF129" s="24" t="n"/>
      <c r="CG129" s="24" t="n"/>
      <c r="CH129" s="24" t="n"/>
      <c r="CI129" s="24" t="inlineStr">
        <is>
          <t>NO_CALL_AVAILABILITY_SOURCE_CONFLICT</t>
        </is>
      </c>
      <c r="CJ129" s="24" t="inlineStr">
        <is>
          <t>-1.591525</t>
        </is>
      </c>
      <c r="CK129" s="24" t="n"/>
      <c r="CL129" s="24" t="n"/>
      <c r="CM129" s="24" t="n"/>
      <c r="CN129" s="24" t="n"/>
      <c r="CO129" s="24" t="n"/>
      <c r="CP129" s="24" t="n"/>
      <c r="CQ129" s="24" t="n"/>
      <c r="CR129" s="24" t="inlineStr">
        <is>
          <t>0.618168</t>
        </is>
      </c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inlineStr">
        <is>
          <t>2026-08-30T16:04:53.381078Z</t>
        </is>
      </c>
      <c r="CZ129" s="24" t="inlineStr">
        <is>
          <t>True</t>
        </is>
      </c>
      <c r="DA129" s="24" t="inlineStr">
        <is>
          <t>polymarket_us</t>
        </is>
      </c>
      <c r="DB129" s="24" t="inlineStr">
        <is>
          <t>decision_time_executable_quote</t>
        </is>
      </c>
      <c r="DC129" s="24" t="inlineStr">
        <is>
          <t>False</t>
        </is>
      </c>
      <c r="DD129" s="24" t="inlineStr">
        <is>
          <t>766d9c1b133306b44d1d176cbda7fc5df48421e3146af312f94f4ab88a59ee62</t>
        </is>
      </c>
      <c r="DE129" s="24" t="inlineStr">
        <is>
          <t>/Users/vincentc9002/model-prediction/data/odds/wnba/2026-08-30/polymarket_snapshots.jsonl</t>
        </is>
      </c>
      <c r="DF129" s="24" t="inlineStr">
        <is>
          <t>766d9c1b133306b44d1d176cbda7fc5df48421e3146af312f94f4ab88a59ee62</t>
        </is>
      </c>
      <c r="DG129" s="24" t="n"/>
      <c r="DH129" s="24" t="n"/>
      <c r="DI129" s="24" t="n"/>
      <c r="DJ129" s="24" t="inlineStr">
        <is>
          <t>0.579832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f883c6421fb54e2c</t>
        </is>
      </c>
      <c r="B130" s="24" t="inlineStr">
        <is>
          <t>2026-08-30T16:05:08.565213Z</t>
        </is>
      </c>
      <c r="C130" s="24" t="inlineStr">
        <is>
          <t>2026-08-30T17:00:00-0400</t>
        </is>
      </c>
      <c r="D130" s="24" t="inlineStr">
        <is>
          <t>401857187</t>
        </is>
      </c>
      <c r="E130" s="24" t="inlineStr">
        <is>
          <t>WNBA</t>
        </is>
      </c>
      <c r="F130" s="24" t="inlineStr">
        <is>
          <t>Los Angeles Sparks</t>
        </is>
      </c>
      <c r="G130" s="24" t="inlineStr">
        <is>
          <t>Seattle Storm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104</v>
      </c>
      <c r="M130" s="27" t="n">
        <v>2.04</v>
      </c>
      <c r="N130" s="28" t="n">
        <v>0.490196</v>
      </c>
      <c r="O130" s="28" t="n">
        <v>0.501924</v>
      </c>
      <c r="P130" s="28" t="n"/>
      <c r="Q130" s="28" t="n">
        <v>0.011728</v>
      </c>
      <c r="R130" s="26" t="n">
        <v>28</v>
      </c>
      <c r="S130" s="29" t="n">
        <v>1</v>
      </c>
      <c r="T130" s="24" t="inlineStr">
        <is>
          <t>wnba-elo-trend-lr-v4</t>
        </is>
      </c>
      <c r="U130" s="24" t="inlineStr">
        <is>
          <t>settled</t>
        </is>
      </c>
      <c r="V130" s="24" t="inlineStr">
        <is>
          <t>loss</t>
        </is>
      </c>
      <c r="W130" s="26" t="n">
        <v>90</v>
      </c>
      <c r="X130" s="26" t="n">
        <v>74</v>
      </c>
      <c r="Y130" s="25" t="n"/>
      <c r="Z130" s="26" t="n">
        <v>104</v>
      </c>
      <c r="AA130" s="28" t="n">
        <v>0.49</v>
      </c>
      <c r="AB130" s="28" t="n">
        <v>-0.000196</v>
      </c>
      <c r="AC130" s="30" t="n">
        <v>-1</v>
      </c>
      <c r="AD130" s="24" t="inlineStr">
        <is>
          <t>2026-08-31T04:30:36.531276Z</t>
        </is>
      </c>
      <c r="AE130" s="31" t="inlineStr">
        <is>
          <t>Learned LR call at threshold 0.5001; executable ask 0.4900 (aec-wnba-la-sea-2026-08-30); model edge vs ask +0.0119. NOTE: NO_CALL_AVAILABILITY_PLAYER_UNMAPPED unavailable for this game — defaulted to neutral, other features used normally.</t>
        </is>
      </c>
      <c r="AF130" s="31" t="inlineStr">
        <is>
          <t>Learned model; shadow-qualified via operator override.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4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wnba-las</t>
        </is>
      </c>
      <c r="AQ130" s="24" t="inlineStr">
        <is>
          <t>Los Angeles Sparks</t>
        </is>
      </c>
      <c r="AR130" s="24" t="inlineStr">
        <is>
          <t>Los Angeles Sparks</t>
        </is>
      </c>
      <c r="AS130" s="24" t="inlineStr">
        <is>
          <t>wnba-sea</t>
        </is>
      </c>
      <c r="AT130" s="24" t="inlineStr">
        <is>
          <t>Seattle Storm</t>
        </is>
      </c>
      <c r="AU130" s="24" t="inlineStr">
        <is>
          <t>Seattle Storm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7afd5274214b58b7efd7f7febc7be3ab33b92351cda5cc6403c0a39faea0cc8c</t>
        </is>
      </c>
      <c r="BB130" s="24" t="inlineStr">
        <is>
          <t>learned_lr</t>
        </is>
      </c>
      <c r="BC130" s="24" t="inlineStr">
        <is>
          <t>wnba-elo-trend-lr-v4</t>
        </is>
      </c>
      <c r="BD130" s="24" t="inlineStr">
        <is>
          <t>7afd5274214b58b7efd7f7febc7be3ab33b92351cda5cc6403c0a39faea0cc8c</t>
        </is>
      </c>
      <c r="BE130" s="24" t="inlineStr">
        <is>
          <t>f590fde905fb0b5e</t>
        </is>
      </c>
      <c r="BF130" s="24" t="inlineStr">
        <is>
          <t>1</t>
        </is>
      </c>
      <c r="BG130" s="24" t="inlineStr">
        <is>
          <t>wnba-elo-trend-lr-v4</t>
        </is>
      </c>
      <c r="BH130" s="24" t="inlineStr">
        <is>
          <t>2026-08-30T16:04:53.453381Z</t>
        </is>
      </c>
      <c r="BI130" s="24" t="inlineStr">
        <is>
          <t>["same_event","same_team_same_day","same_league_same_day"]</t>
        </is>
      </c>
      <c r="BJ130" s="25" t="n"/>
      <c r="BK130" s="26" t="n">
        <v>104</v>
      </c>
      <c r="BL130" s="27" t="n">
        <v>2.04</v>
      </c>
      <c r="BM130" s="28" t="n">
        <v>0.490196</v>
      </c>
      <c r="BN130" s="28" t="n">
        <v>0.485149</v>
      </c>
      <c r="BO130" s="28" t="n"/>
      <c r="BP130" s="25" t="n"/>
      <c r="BQ130" s="27" t="n">
        <v>2.04</v>
      </c>
      <c r="BR130" s="28" t="n">
        <v>0.49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inlineStr">
        <is>
          <t>0.5033204939</t>
        </is>
      </c>
      <c r="CD130" s="24" t="inlineStr">
        <is>
          <t>1.085158</t>
        </is>
      </c>
      <c r="CE130" s="24" t="n"/>
      <c r="CF130" s="24" t="n"/>
      <c r="CG130" s="24" t="n"/>
      <c r="CH130" s="24" t="n"/>
      <c r="CI130" s="24" t="inlineStr">
        <is>
          <t>NO_CALL_AVAILABILITY_PLAYER_UNMAPPED</t>
        </is>
      </c>
      <c r="CJ130" s="24" t="inlineStr">
        <is>
          <t>-3.133666</t>
        </is>
      </c>
      <c r="CK130" s="24" t="n"/>
      <c r="CL130" s="24" t="n"/>
      <c r="CM130" s="24" t="n"/>
      <c r="CN130" s="24" t="n"/>
      <c r="CO130" s="24" t="n"/>
      <c r="CP130" s="24" t="n"/>
      <c r="CQ130" s="24" t="n"/>
      <c r="CR130" s="24" t="inlineStr">
        <is>
          <t>0.501924</t>
        </is>
      </c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inlineStr">
        <is>
          <t>2026-08-30T16:04:53.453381Z</t>
        </is>
      </c>
      <c r="CZ130" s="24" t="inlineStr">
        <is>
          <t>True</t>
        </is>
      </c>
      <c r="DA130" s="24" t="inlineStr">
        <is>
          <t>polymarket_us</t>
        </is>
      </c>
      <c r="DB130" s="24" t="inlineStr">
        <is>
          <t>decision_time_executable_quote</t>
        </is>
      </c>
      <c r="DC130" s="24" t="inlineStr">
        <is>
          <t>False</t>
        </is>
      </c>
      <c r="DD130" s="24" t="inlineStr">
        <is>
          <t>ed33df1be4c35ddd59c5f1d41940fce05f842e62b291338e69c00175ced62592</t>
        </is>
      </c>
      <c r="DE130" s="24" t="inlineStr">
        <is>
          <t>/Users/vincentc9002/model-prediction/data/odds/wnba/2026-08-30/polymarket_snapshots.jsonl</t>
        </is>
      </c>
      <c r="DF130" s="24" t="inlineStr">
        <is>
          <t>ed33df1be4c35ddd59c5f1d41940fce05f842e62b291338e69c00175ced62592</t>
        </is>
      </c>
      <c r="DG130" s="24" t="n"/>
      <c r="DH130" s="24" t="n"/>
      <c r="DI130" s="24" t="n"/>
      <c r="DJ130" s="24" t="inlineStr">
        <is>
          <t>0.490196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31dd4e8b89f9429b</t>
        </is>
      </c>
      <c r="B131" s="24" t="inlineStr">
        <is>
          <t>2026-08-30T16:05:08.565213Z</t>
        </is>
      </c>
      <c r="C131" s="24" t="inlineStr">
        <is>
          <t>2026-08-30T19:00:00-0400</t>
        </is>
      </c>
      <c r="D131" s="24" t="inlineStr">
        <is>
          <t>401857188</t>
        </is>
      </c>
      <c r="E131" s="24" t="inlineStr">
        <is>
          <t>WNBA</t>
        </is>
      </c>
      <c r="F131" s="24" t="inlineStr">
        <is>
          <t>Golden State Valkyries</t>
        </is>
      </c>
      <c r="G131" s="24" t="inlineStr">
        <is>
          <t>Portland Fire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-203</v>
      </c>
      <c r="M131" s="27" t="n">
        <v>1.492611</v>
      </c>
      <c r="N131" s="28" t="n">
        <v>0.669967</v>
      </c>
      <c r="O131" s="28" t="n">
        <v>0.712128</v>
      </c>
      <c r="P131" s="28" t="n"/>
      <c r="Q131" s="28" t="n">
        <v>0.042161</v>
      </c>
      <c r="R131" s="26" t="n">
        <v>44</v>
      </c>
      <c r="S131" s="29" t="n">
        <v>1</v>
      </c>
      <c r="T131" s="24" t="inlineStr">
        <is>
          <t>wnba-elo-trend-lr-v4</t>
        </is>
      </c>
      <c r="U131" s="24" t="inlineStr">
        <is>
          <t>settled</t>
        </is>
      </c>
      <c r="V131" s="24" t="inlineStr">
        <is>
          <t>win</t>
        </is>
      </c>
      <c r="W131" s="26" t="n">
        <v>86</v>
      </c>
      <c r="X131" s="26" t="n">
        <v>69</v>
      </c>
      <c r="Y131" s="25" t="n"/>
      <c r="Z131" s="26" t="n">
        <v>-203</v>
      </c>
      <c r="AA131" s="28" t="n">
        <v>0.67</v>
      </c>
      <c r="AB131" s="28" t="n">
        <v>3.3e-05</v>
      </c>
      <c r="AC131" s="30" t="n">
        <v>0.4926</v>
      </c>
      <c r="AD131" s="24" t="inlineStr">
        <is>
          <t>2026-08-31T04:30:37.254422Z</t>
        </is>
      </c>
      <c r="AE131" s="31" t="inlineStr">
        <is>
          <t>Learned LR call at threshold 0.5001; executable ask 0.6700 (aec-wnba-gsv-por-2026-08-30); model edge vs ask +0.0421.</t>
        </is>
      </c>
      <c r="AF131" s="31" t="inlineStr">
        <is>
          <t>Learned model; shadow-qualified via operator override.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4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wnba-gsv</t>
        </is>
      </c>
      <c r="AQ131" s="24" t="inlineStr">
        <is>
          <t>Golden State Valkyries</t>
        </is>
      </c>
      <c r="AR131" s="24" t="inlineStr">
        <is>
          <t>Golden State Valkyries</t>
        </is>
      </c>
      <c r="AS131" s="24" t="inlineStr">
        <is>
          <t>wnba-por</t>
        </is>
      </c>
      <c r="AT131" s="24" t="inlineStr">
        <is>
          <t>Portland Fire</t>
        </is>
      </c>
      <c r="AU131" s="24" t="inlineStr">
        <is>
          <t>Portland Fire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7afd5274214b58b7efd7f7febc7be3ab33b92351cda5cc6403c0a39faea0cc8c</t>
        </is>
      </c>
      <c r="BB131" s="24" t="inlineStr">
        <is>
          <t>learned_lr</t>
        </is>
      </c>
      <c r="BC131" s="24" t="inlineStr">
        <is>
          <t>wnba-elo-trend-lr-v4</t>
        </is>
      </c>
      <c r="BD131" s="24" t="inlineStr">
        <is>
          <t>7afd5274214b58b7efd7f7febc7be3ab33b92351cda5cc6403c0a39faea0cc8c</t>
        </is>
      </c>
      <c r="BE131" s="24" t="inlineStr">
        <is>
          <t>2bccdf53e6b4ca30</t>
        </is>
      </c>
      <c r="BF131" s="24" t="inlineStr">
        <is>
          <t>1</t>
        </is>
      </c>
      <c r="BG131" s="24" t="inlineStr">
        <is>
          <t>wnba-elo-trend-lr-v4</t>
        </is>
      </c>
      <c r="BH131" s="24" t="inlineStr">
        <is>
          <t>2026-08-30T16:04:53.530431Z</t>
        </is>
      </c>
      <c r="BI131" s="24" t="inlineStr">
        <is>
          <t>["same_event","same_team_same_day","same_league_same_day"]</t>
        </is>
      </c>
      <c r="BJ131" s="25" t="n"/>
      <c r="BK131" s="26" t="n">
        <v>-203</v>
      </c>
      <c r="BL131" s="27" t="n">
        <v>1.492611</v>
      </c>
      <c r="BM131" s="28" t="n">
        <v>0.669967</v>
      </c>
      <c r="BN131" s="28" t="n">
        <v>0.663366</v>
      </c>
      <c r="BO131" s="28" t="n"/>
      <c r="BP131" s="25" t="n"/>
      <c r="BQ131" s="27" t="n">
        <v>1.492611</v>
      </c>
      <c r="BR131" s="28" t="n">
        <v>0.67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inlineStr">
        <is>
          <t>0.2108988233</t>
        </is>
      </c>
      <c r="CD131" s="24" t="inlineStr">
        <is>
          <t>1.181851</t>
        </is>
      </c>
      <c r="CE131" s="24" t="n"/>
      <c r="CF131" s="24" t="n"/>
      <c r="CG131" s="24" t="n"/>
      <c r="CH131" s="24" t="n"/>
      <c r="CI131" s="24" t="n"/>
      <c r="CJ131" s="24" t="inlineStr">
        <is>
          <t>-4.416215</t>
        </is>
      </c>
      <c r="CK131" s="24" t="n"/>
      <c r="CL131" s="24" t="n"/>
      <c r="CM131" s="24" t="n"/>
      <c r="CN131" s="24" t="n"/>
      <c r="CO131" s="24" t="n"/>
      <c r="CP131" s="24" t="n"/>
      <c r="CQ131" s="24" t="n"/>
      <c r="CR131" s="24" t="inlineStr">
        <is>
          <t>0.712128</t>
        </is>
      </c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inlineStr">
        <is>
          <t>2026-08-30T16:04:53.530431Z</t>
        </is>
      </c>
      <c r="CZ131" s="24" t="inlineStr">
        <is>
          <t>True</t>
        </is>
      </c>
      <c r="DA131" s="24" t="inlineStr">
        <is>
          <t>polymarket_us</t>
        </is>
      </c>
      <c r="DB131" s="24" t="inlineStr">
        <is>
          <t>decision_time_executable_quote</t>
        </is>
      </c>
      <c r="DC131" s="24" t="inlineStr">
        <is>
          <t>False</t>
        </is>
      </c>
      <c r="DD131" s="24" t="inlineStr">
        <is>
          <t>95e35ac49cc4d8a004afceba98c1fdee9a5526a907a66cc1dc333af8a8de665a</t>
        </is>
      </c>
      <c r="DE131" s="24" t="inlineStr">
        <is>
          <t>/Users/vincentc9002/model-prediction/data/odds/wnba/2026-08-30/polymarket_snapshots.jsonl</t>
        </is>
      </c>
      <c r="DF131" s="24" t="inlineStr">
        <is>
          <t>95e35ac49cc4d8a004afceba98c1fdee9a5526a907a66cc1dc333af8a8de665a</t>
        </is>
      </c>
      <c r="DG131" s="24" t="n"/>
      <c r="DH131" s="24" t="n"/>
      <c r="DI131" s="24" t="n"/>
      <c r="DJ131" s="24" t="inlineStr">
        <is>
          <t>0.669967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ee430b6a0e3944f2</t>
        </is>
      </c>
      <c r="B132" s="24" t="inlineStr">
        <is>
          <t>2026-08-30T16:05:08.565213Z</t>
        </is>
      </c>
      <c r="C132" s="24" t="inlineStr">
        <is>
          <t>2026-08-30T20:30:00-0400</t>
        </is>
      </c>
      <c r="D132" s="24" t="inlineStr">
        <is>
          <t>401857189</t>
        </is>
      </c>
      <c r="E132" s="24" t="inlineStr">
        <is>
          <t>WNBA</t>
        </is>
      </c>
      <c r="F132" s="24" t="inlineStr">
        <is>
          <t>Connecticut Sun</t>
        </is>
      </c>
      <c r="G132" s="24" t="inlineStr">
        <is>
          <t>Dallas Wings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-1150</v>
      </c>
      <c r="M132" s="27" t="n">
        <v>1.086957</v>
      </c>
      <c r="N132" s="28" t="n">
        <v>0.92</v>
      </c>
      <c r="O132" s="28" t="n">
        <v>0.749181</v>
      </c>
      <c r="P132" s="28" t="n"/>
      <c r="Q132" s="28" t="n">
        <v>-0.170819</v>
      </c>
      <c r="R132" s="26" t="n">
        <v>0</v>
      </c>
      <c r="S132" s="29" t="n">
        <v>1</v>
      </c>
      <c r="T132" s="24" t="inlineStr">
        <is>
          <t>wnba-elo-trend-lr-v4</t>
        </is>
      </c>
      <c r="U132" s="24" t="inlineStr">
        <is>
          <t>settled</t>
        </is>
      </c>
      <c r="V132" s="24" t="inlineStr">
        <is>
          <t>win</t>
        </is>
      </c>
      <c r="W132" s="26" t="n">
        <v>71</v>
      </c>
      <c r="X132" s="26" t="n">
        <v>97</v>
      </c>
      <c r="Y132" s="25" t="n"/>
      <c r="Z132" s="26" t="n">
        <v>-1150</v>
      </c>
      <c r="AA132" s="28" t="n">
        <v>0.92</v>
      </c>
      <c r="AB132" s="28" t="n">
        <v>0</v>
      </c>
      <c r="AC132" s="30" t="n">
        <v>0.08699999999999999</v>
      </c>
      <c r="AD132" s="24" t="inlineStr">
        <is>
          <t>2026-08-31T04:30:38.026437Z</t>
        </is>
      </c>
      <c r="AE132" s="31" t="inlineStr">
        <is>
          <t>Learned LR call at threshold 0.5001; executable ask 0.9200 (aec-wnba-conn-dal-2026-08-30); model edge vs ask -0.1708. NOTE: NO_CALL_AVAILABILITY_SOURCE_CONFLICT unavailable for this game — defaulted to neutral, other features used normally.</t>
        </is>
      </c>
      <c r="AF132" s="31" t="inlineStr">
        <is>
          <t>Learned model; shadow-qualified via operator override.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4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wnba-con</t>
        </is>
      </c>
      <c r="AQ132" s="24" t="inlineStr">
        <is>
          <t>Connecticut Sun</t>
        </is>
      </c>
      <c r="AR132" s="24" t="inlineStr">
        <is>
          <t>Connecticut Sun</t>
        </is>
      </c>
      <c r="AS132" s="24" t="inlineStr">
        <is>
          <t>wnba-dal</t>
        </is>
      </c>
      <c r="AT132" s="24" t="inlineStr">
        <is>
          <t>Dallas Wings</t>
        </is>
      </c>
      <c r="AU132" s="24" t="inlineStr">
        <is>
          <t>Dallas Wings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7afd5274214b58b7efd7f7febc7be3ab33b92351cda5cc6403c0a39faea0cc8c</t>
        </is>
      </c>
      <c r="BB132" s="24" t="inlineStr">
        <is>
          <t>learned_lr</t>
        </is>
      </c>
      <c r="BC132" s="24" t="inlineStr">
        <is>
          <t>wnba-elo-trend-lr-v4</t>
        </is>
      </c>
      <c r="BD132" s="24" t="inlineStr">
        <is>
          <t>7afd5274214b58b7efd7f7febc7be3ab33b92351cda5cc6403c0a39faea0cc8c</t>
        </is>
      </c>
      <c r="BE132" s="24" t="inlineStr">
        <is>
          <t>af8cd0722a2ce79b</t>
        </is>
      </c>
      <c r="BF132" s="24" t="inlineStr">
        <is>
          <t>1</t>
        </is>
      </c>
      <c r="BG132" s="24" t="inlineStr">
        <is>
          <t>wnba-elo-trend-lr-v4</t>
        </is>
      </c>
      <c r="BH132" s="24" t="inlineStr">
        <is>
          <t>2026-08-30T16:04:53.633285Z</t>
        </is>
      </c>
      <c r="BI132" s="24" t="inlineStr">
        <is>
          <t>["same_event","same_team_same_day","same_league_same_day"]</t>
        </is>
      </c>
      <c r="BJ132" s="25" t="n"/>
      <c r="BK132" s="26" t="n">
        <v>-1150</v>
      </c>
      <c r="BL132" s="27" t="n">
        <v>1.086957</v>
      </c>
      <c r="BM132" s="28" t="n">
        <v>0.92</v>
      </c>
      <c r="BN132" s="28" t="n">
        <v>0.910891</v>
      </c>
      <c r="BO132" s="28" t="n"/>
      <c r="BP132" s="25" t="n"/>
      <c r="BQ132" s="27" t="n">
        <v>1.086957</v>
      </c>
      <c r="BR132" s="28" t="n">
        <v>0.92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inlineStr">
        <is>
          <t>0.8599729576</t>
        </is>
      </c>
      <c r="CD132" s="24" t="inlineStr">
        <is>
          <t>0.521306</t>
        </is>
      </c>
      <c r="CE132" s="24" t="n"/>
      <c r="CF132" s="24" t="n"/>
      <c r="CG132" s="24" t="n"/>
      <c r="CH132" s="24" t="n"/>
      <c r="CI132" s="24" t="inlineStr">
        <is>
          <t>NO_CALL_AVAILABILITY_SOURCE_CONFLICT</t>
        </is>
      </c>
      <c r="CJ132" s="24" t="inlineStr">
        <is>
          <t>8.826119</t>
        </is>
      </c>
      <c r="CK132" s="24" t="n"/>
      <c r="CL132" s="24" t="n"/>
      <c r="CM132" s="24" t="n"/>
      <c r="CN132" s="24" t="n"/>
      <c r="CO132" s="24" t="n"/>
      <c r="CP132" s="24" t="n"/>
      <c r="CQ132" s="24" t="n"/>
      <c r="CR132" s="24" t="inlineStr">
        <is>
          <t>0.749181</t>
        </is>
      </c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inlineStr">
        <is>
          <t>2026-08-30T16:04:53.633285Z</t>
        </is>
      </c>
      <c r="CZ132" s="24" t="inlineStr">
        <is>
          <t>True</t>
        </is>
      </c>
      <c r="DA132" s="24" t="inlineStr">
        <is>
          <t>polymarket_us</t>
        </is>
      </c>
      <c r="DB132" s="24" t="inlineStr">
        <is>
          <t>decision_time_executable_quote</t>
        </is>
      </c>
      <c r="DC132" s="24" t="inlineStr">
        <is>
          <t>False</t>
        </is>
      </c>
      <c r="DD132" s="24" t="inlineStr">
        <is>
          <t>7a8f88dd9252f98b99329e4a6213f966758be35029ca18ecaa1a8e3979885cd0</t>
        </is>
      </c>
      <c r="DE132" s="24" t="inlineStr">
        <is>
          <t>/Users/vincentc9002/model-prediction/data/odds/wnba/2026-08-30/polymarket_snapshots.jsonl</t>
        </is>
      </c>
      <c r="DF132" s="24" t="inlineStr">
        <is>
          <t>7a8f88dd9252f98b99329e4a6213f966758be35029ca18ecaa1a8e3979885cd0</t>
        </is>
      </c>
      <c r="DG132" s="24" t="n"/>
      <c r="DH132" s="24" t="n"/>
      <c r="DI132" s="24" t="n"/>
      <c r="DJ132" s="24" t="inlineStr">
        <is>
          <t>0.92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97c1eb6e5f7847c4</t>
        </is>
      </c>
      <c r="B133" s="24" t="inlineStr">
        <is>
          <t>2026-08-30T16:06:27.993902Z</t>
        </is>
      </c>
      <c r="C133" s="24" t="inlineStr">
        <is>
          <t>2026-08-30T19:00Z</t>
        </is>
      </c>
      <c r="D133" s="24" t="inlineStr">
        <is>
          <t>401857186</t>
        </is>
      </c>
      <c r="E133" s="24" t="inlineStr">
        <is>
          <t>WNBA</t>
        </is>
      </c>
      <c r="F133" s="24" t="inlineStr">
        <is>
          <t>Minnesota Lynx</t>
        </is>
      </c>
      <c r="G133" s="24" t="inlineStr">
        <is>
          <t>Atlanta Dream</t>
        </is>
      </c>
      <c r="H133" s="24" t="inlineStr">
        <is>
          <t>spread</t>
        </is>
      </c>
      <c r="I133" s="24" t="inlineStr">
        <is>
          <t>home</t>
        </is>
      </c>
      <c r="J133" s="25" t="n">
        <v>1.5</v>
      </c>
      <c r="K133" s="24" t="inlineStr">
        <is>
          <t>polymarket_us</t>
        </is>
      </c>
      <c r="L133" s="26" t="n">
        <v>108</v>
      </c>
      <c r="M133" s="27" t="n">
        <v>2.08</v>
      </c>
      <c r="N133" s="28" t="n">
        <v>0.480769</v>
      </c>
      <c r="O133" s="28" t="n">
        <v>0.608769</v>
      </c>
      <c r="P133" s="28" t="n">
        <v>0.03</v>
      </c>
      <c r="Q133" s="28" t="n">
        <v>0.128</v>
      </c>
      <c r="R133" s="26" t="n">
        <v>96</v>
      </c>
      <c r="S133" s="29" t="n">
        <v>1.75</v>
      </c>
      <c r="T133" s="24" t="inlineStr">
        <is>
          <t>wnba-spread-margin-v1</t>
        </is>
      </c>
      <c r="U133" s="24" t="inlineStr">
        <is>
          <t>settled</t>
        </is>
      </c>
      <c r="V133" s="24" t="inlineStr">
        <is>
          <t>win</t>
        </is>
      </c>
      <c r="W133" s="26" t="n">
        <v>81</v>
      </c>
      <c r="X133" s="26" t="n">
        <v>89</v>
      </c>
      <c r="Y133" s="25" t="n"/>
      <c r="Z133" s="26" t="n"/>
      <c r="AA133" s="28" t="n"/>
      <c r="AB133" s="28" t="n"/>
      <c r="AC133" s="30" t="n">
        <v>1.89</v>
      </c>
      <c r="AD133" s="24" t="inlineStr">
        <is>
          <t>2026-08-31T04:32:41.077852Z</t>
        </is>
      </c>
      <c r="AE133" s="31" t="inlineStr">
        <is>
          <t>Projected margin +1.4 (home), sd 10.5. Executable ask 0.4800 (asc-wnba-min-atl-2026-08-30-neg-1pt5).</t>
        </is>
      </c>
      <c r="AF133" s="31" t="inlineStr">
        <is>
          <t>Research-baseline margin-normal spread model; not yet locked-holdout qualified.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PAPER_CALL_MODEL_UNVALIDATED</t>
        </is>
      </c>
      <c r="AP133" s="24" t="inlineStr">
        <is>
          <t>wnba-min</t>
        </is>
      </c>
      <c r="AQ133" s="24" t="inlineStr">
        <is>
          <t>Minnesota Lynx</t>
        </is>
      </c>
      <c r="AR133" s="24" t="inlineStr">
        <is>
          <t>Minnesota Lynx</t>
        </is>
      </c>
      <c r="AS133" s="24" t="inlineStr">
        <is>
          <t>wnba-atl</t>
        </is>
      </c>
      <c r="AT133" s="24" t="inlineStr">
        <is>
          <t>Atlanta Dream</t>
        </is>
      </c>
      <c r="AU133" s="24" t="inlineStr">
        <is>
          <t>Atlanta Dream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23ba88bcc86a710d76233b349116f2eefe021a993d2d3b9102922e567a027b4c</t>
        </is>
      </c>
      <c r="BB133" s="24" t="inlineStr">
        <is>
          <t>margin_normal</t>
        </is>
      </c>
      <c r="BC133" s="24" t="inlineStr">
        <is>
          <t>wnba-spread-margin-v1</t>
        </is>
      </c>
      <c r="BD133" s="24" t="inlineStr">
        <is>
          <t>23ba88bcc86a710d76233b349116f2eefe021a993d2d3b9102922e567a027b4c</t>
        </is>
      </c>
      <c r="BE133" s="24" t="inlineStr">
        <is>
          <t>wnba-spread-margin-v1</t>
        </is>
      </c>
      <c r="BF133" s="24" t="inlineStr">
        <is>
          <t>1</t>
        </is>
      </c>
      <c r="BG133" s="24" t="inlineStr">
        <is>
          <t>23ba88bcc86a710d76233b349116f2eefe021a993d2d3b9102922e567a027b4c</t>
        </is>
      </c>
      <c r="BH133" s="24" t="inlineStr">
        <is>
          <t>2026-08-30T05:39:20.257418Z</t>
        </is>
      </c>
      <c r="BI133" s="24" t="inlineStr">
        <is>
          <t>["same_event","same_team_same_day","same_league_same_day"]</t>
        </is>
      </c>
      <c r="BJ133" s="25" t="n">
        <v>1.5</v>
      </c>
      <c r="BK133" s="26" t="n">
        <v>108</v>
      </c>
      <c r="BL133" s="27" t="n">
        <v>2.08</v>
      </c>
      <c r="BM133" s="28" t="n">
        <v>0.480769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>
        <v>1</v>
      </c>
      <c r="BY133" s="27" t="n">
        <v>1.080001</v>
      </c>
      <c r="BZ133" s="24" t="inlineStr">
        <is>
          <t>2026-08-31T04:32:41.077852Z</t>
        </is>
      </c>
      <c r="CA133" s="31" t="inlineStr">
        <is>
          <t>fixed one-unit hypothetical scoring; no real exposure or execution</t>
        </is>
      </c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inlineStr">
        <is>
          <t>2026-08-30T05:39:20.257418Z</t>
        </is>
      </c>
      <c r="CZ133" s="24" t="inlineStr">
        <is>
          <t>True</t>
        </is>
      </c>
      <c r="DA133" s="24" t="inlineStr">
        <is>
          <t>polymarket_us</t>
        </is>
      </c>
      <c r="DB133" s="24" t="inlineStr">
        <is>
          <t>decision_time_executable_quote</t>
        </is>
      </c>
      <c r="DC133" s="24" t="inlineStr">
        <is>
          <t>False</t>
        </is>
      </c>
      <c r="DD133" s="24" t="inlineStr">
        <is>
          <t>6e1903620631e516dd85d8347a4a4747a5680bd626ad21e5bbe298656a44879c</t>
        </is>
      </c>
      <c r="DE133" s="24" t="inlineStr">
        <is>
          <t>/Users/vincentc9002/model-prediction/data/odds/wnba/2026-08-30/polymarket_snapshots.jsonl</t>
        </is>
      </c>
      <c r="DF133" s="24" t="inlineStr">
        <is>
          <t>6e1903620631e516dd85d8347a4a4747a5680bd626ad21e5bbe298656a44879c</t>
        </is>
      </c>
      <c r="DG133" s="24" t="n"/>
      <c r="DH133" s="24" t="n"/>
      <c r="DI133" s="24" t="n"/>
      <c r="DJ133" s="24" t="inlineStr">
        <is>
          <t>0.480769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5aa89d1b4e5449f1</t>
        </is>
      </c>
      <c r="B134" s="24" t="inlineStr">
        <is>
          <t>2026-08-30T16:06:27.993902Z</t>
        </is>
      </c>
      <c r="C134" s="24" t="inlineStr">
        <is>
          <t>2026-08-30T21:00Z</t>
        </is>
      </c>
      <c r="D134" s="24" t="inlineStr">
        <is>
          <t>401857187</t>
        </is>
      </c>
      <c r="E134" s="24" t="inlineStr">
        <is>
          <t>WNBA</t>
        </is>
      </c>
      <c r="F134" s="24" t="inlineStr">
        <is>
          <t>Los Angeles Sparks</t>
        </is>
      </c>
      <c r="G134" s="24" t="inlineStr">
        <is>
          <t>Seattle Storm</t>
        </is>
      </c>
      <c r="H134" s="24" t="inlineStr">
        <is>
          <t>spread</t>
        </is>
      </c>
      <c r="I134" s="24" t="inlineStr">
        <is>
          <t>home</t>
        </is>
      </c>
      <c r="J134" s="25" t="n">
        <v>1.5</v>
      </c>
      <c r="K134" s="24" t="inlineStr">
        <is>
          <t>polymarket_us</t>
        </is>
      </c>
      <c r="L134" s="26" t="n">
        <v>-117</v>
      </c>
      <c r="M134" s="27" t="n">
        <v>1.854701</v>
      </c>
      <c r="N134" s="28" t="n">
        <v>0.539171</v>
      </c>
      <c r="O134" s="28" t="n">
        <v>0.634288</v>
      </c>
      <c r="P134" s="28" t="n">
        <v>0.03</v>
      </c>
      <c r="Q134" s="28" t="n">
        <v>0.09511699999999999</v>
      </c>
      <c r="R134" s="26" t="n">
        <v>80</v>
      </c>
      <c r="S134" s="29" t="n">
        <v>1.5</v>
      </c>
      <c r="T134" s="24" t="inlineStr">
        <is>
          <t>wnba-spread-margin-v1</t>
        </is>
      </c>
      <c r="U134" s="24" t="inlineStr">
        <is>
          <t>settled</t>
        </is>
      </c>
      <c r="V134" s="24" t="inlineStr">
        <is>
          <t>loss</t>
        </is>
      </c>
      <c r="W134" s="26" t="n">
        <v>90</v>
      </c>
      <c r="X134" s="26" t="n">
        <v>74</v>
      </c>
      <c r="Y134" s="25" t="n"/>
      <c r="Z134" s="26" t="n"/>
      <c r="AA134" s="28" t="n"/>
      <c r="AB134" s="28" t="n"/>
      <c r="AC134" s="30" t="n">
        <v>-1.5</v>
      </c>
      <c r="AD134" s="24" t="inlineStr">
        <is>
          <t>2026-08-31T04:32:41.759844Z</t>
        </is>
      </c>
      <c r="AE134" s="31" t="inlineStr">
        <is>
          <t>Projected margin +2.1 (home), sd 10.5. Executable ask 0.5400 (asc-wnba-la-sea-2026-08-30-neg-1pt5).</t>
        </is>
      </c>
      <c r="AF134" s="31" t="inlineStr">
        <is>
          <t>Research-baseline margin-normal spread model; not yet locked-holdout qualified.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4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PAPER_CALL_MODEL_UNVALIDATED</t>
        </is>
      </c>
      <c r="AP134" s="24" t="inlineStr">
        <is>
          <t>wnba-las</t>
        </is>
      </c>
      <c r="AQ134" s="24" t="inlineStr">
        <is>
          <t>Los Angeles Sparks</t>
        </is>
      </c>
      <c r="AR134" s="24" t="inlineStr">
        <is>
          <t>Los Angeles Sparks</t>
        </is>
      </c>
      <c r="AS134" s="24" t="inlineStr">
        <is>
          <t>wnba-sea</t>
        </is>
      </c>
      <c r="AT134" s="24" t="inlineStr">
        <is>
          <t>Seattle Storm</t>
        </is>
      </c>
      <c r="AU134" s="24" t="inlineStr">
        <is>
          <t>Seattle Storm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23ba88bcc86a710d76233b349116f2eefe021a993d2d3b9102922e567a027b4c</t>
        </is>
      </c>
      <c r="BB134" s="24" t="inlineStr">
        <is>
          <t>margin_normal</t>
        </is>
      </c>
      <c r="BC134" s="24" t="inlineStr">
        <is>
          <t>wnba-spread-margin-v1</t>
        </is>
      </c>
      <c r="BD134" s="24" t="inlineStr">
        <is>
          <t>23ba88bcc86a710d76233b349116f2eefe021a993d2d3b9102922e567a027b4c</t>
        </is>
      </c>
      <c r="BE134" s="24" t="inlineStr">
        <is>
          <t>wnba-spread-margin-v1</t>
        </is>
      </c>
      <c r="BF134" s="24" t="inlineStr">
        <is>
          <t>1</t>
        </is>
      </c>
      <c r="BG134" s="24" t="inlineStr">
        <is>
          <t>23ba88bcc86a710d76233b349116f2eefe021a993d2d3b9102922e567a027b4c</t>
        </is>
      </c>
      <c r="BH134" s="24" t="inlineStr">
        <is>
          <t>2026-08-30T05:39:20.313563Z</t>
        </is>
      </c>
      <c r="BI134" s="24" t="inlineStr">
        <is>
          <t>["same_event","same_team_same_day","same_league_same_day"]</t>
        </is>
      </c>
      <c r="BJ134" s="25" t="n">
        <v>1.5</v>
      </c>
      <c r="BK134" s="26" t="n">
        <v>-117</v>
      </c>
      <c r="BL134" s="27" t="n">
        <v>1.854701</v>
      </c>
      <c r="BM134" s="28" t="n">
        <v>0.539171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>
        <v>1</v>
      </c>
      <c r="BY134" s="27" t="n">
        <v>-1</v>
      </c>
      <c r="BZ134" s="24" t="inlineStr">
        <is>
          <t>2026-08-31T04:32:41.759844Z</t>
        </is>
      </c>
      <c r="CA134" s="31" t="inlineStr">
        <is>
          <t>fixed one-unit hypothetical scoring; no real exposure or execution</t>
        </is>
      </c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inlineStr">
        <is>
          <t>2026-08-30T05:39:20.313563Z</t>
        </is>
      </c>
      <c r="CZ134" s="24" t="inlineStr">
        <is>
          <t>True</t>
        </is>
      </c>
      <c r="DA134" s="24" t="inlineStr">
        <is>
          <t>polymarket_us</t>
        </is>
      </c>
      <c r="DB134" s="24" t="inlineStr">
        <is>
          <t>decision_time_executable_quote</t>
        </is>
      </c>
      <c r="DC134" s="24" t="inlineStr">
        <is>
          <t>False</t>
        </is>
      </c>
      <c r="DD134" s="24" t="inlineStr">
        <is>
          <t>b21fe46c72174a6e20b8071a3dd2365c00a2c089a7c834e33105de4d843c4977</t>
        </is>
      </c>
      <c r="DE134" s="24" t="inlineStr">
        <is>
          <t>/Users/vincentc9002/model-prediction/data/odds/wnba/2026-08-30/polymarket_snapshots.jsonl</t>
        </is>
      </c>
      <c r="DF134" s="24" t="inlineStr">
        <is>
          <t>b21fe46c72174a6e20b8071a3dd2365c00a2c089a7c834e33105de4d843c4977</t>
        </is>
      </c>
      <c r="DG134" s="24" t="n"/>
      <c r="DH134" s="24" t="n"/>
      <c r="DI134" s="24" t="n"/>
      <c r="DJ134" s="24" t="inlineStr">
        <is>
          <t>0.539171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be94d1aecfff4a45</t>
        </is>
      </c>
      <c r="B135" s="24" t="inlineStr">
        <is>
          <t>2026-08-30T16:06:27.993902Z</t>
        </is>
      </c>
      <c r="C135" s="24" t="inlineStr">
        <is>
          <t>2026-08-30T23:00Z</t>
        </is>
      </c>
      <c r="D135" s="24" t="inlineStr">
        <is>
          <t>401857188</t>
        </is>
      </c>
      <c r="E135" s="24" t="inlineStr">
        <is>
          <t>WNBA</t>
        </is>
      </c>
      <c r="F135" s="24" t="inlineStr">
        <is>
          <t>Golden State Valkyries</t>
        </is>
      </c>
      <c r="G135" s="24" t="inlineStr">
        <is>
          <t>Portland Fire</t>
        </is>
      </c>
      <c r="H135" s="24" t="inlineStr">
        <is>
          <t>spread</t>
        </is>
      </c>
      <c r="I135" s="24" t="inlineStr">
        <is>
          <t>home</t>
        </is>
      </c>
      <c r="J135" s="25" t="n">
        <v>6.5</v>
      </c>
      <c r="K135" s="24" t="inlineStr">
        <is>
          <t>polymarket_us</t>
        </is>
      </c>
      <c r="L135" s="26" t="n">
        <v>-117</v>
      </c>
      <c r="M135" s="27" t="n">
        <v>1.854701</v>
      </c>
      <c r="N135" s="28" t="n">
        <v>0.539171</v>
      </c>
      <c r="O135" s="28" t="n">
        <v>0.654944</v>
      </c>
      <c r="P135" s="28" t="n">
        <v>0.03</v>
      </c>
      <c r="Q135" s="28" t="n">
        <v>0.115773</v>
      </c>
      <c r="R135" s="26" t="n">
        <v>90</v>
      </c>
      <c r="S135" s="29" t="n">
        <v>1.5</v>
      </c>
      <c r="T135" s="24" t="inlineStr">
        <is>
          <t>wnba-spread-margin-v1</t>
        </is>
      </c>
      <c r="U135" s="24" t="inlineStr">
        <is>
          <t>settled</t>
        </is>
      </c>
      <c r="V135" s="24" t="inlineStr">
        <is>
          <t>loss</t>
        </is>
      </c>
      <c r="W135" s="26" t="n">
        <v>86</v>
      </c>
      <c r="X135" s="26" t="n">
        <v>69</v>
      </c>
      <c r="Y135" s="25" t="n"/>
      <c r="Z135" s="26" t="n"/>
      <c r="AA135" s="28" t="n"/>
      <c r="AB135" s="28" t="n"/>
      <c r="AC135" s="30" t="n">
        <v>-1.5</v>
      </c>
      <c r="AD135" s="24" t="inlineStr">
        <is>
          <t>2026-08-31T04:32:42.439789Z</t>
        </is>
      </c>
      <c r="AE135" s="31" t="inlineStr">
        <is>
          <t>Projected margin -2.3 (home), sd 10.5. Executable ask 0.5400 (asc-wnba-gsv-por-2026-08-30-neg-6pt5).</t>
        </is>
      </c>
      <c r="AF135" s="31" t="inlineStr">
        <is>
          <t>Research-baseline margin-normal spread model; not yet locked-holdout qualified.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PAPER_CALL_MODEL_UNVALIDATED</t>
        </is>
      </c>
      <c r="AP135" s="24" t="inlineStr">
        <is>
          <t>wnba-gsv</t>
        </is>
      </c>
      <c r="AQ135" s="24" t="inlineStr">
        <is>
          <t>Golden State Valkyries</t>
        </is>
      </c>
      <c r="AR135" s="24" t="inlineStr">
        <is>
          <t>Golden State Valkyries</t>
        </is>
      </c>
      <c r="AS135" s="24" t="inlineStr">
        <is>
          <t>wnba-por</t>
        </is>
      </c>
      <c r="AT135" s="24" t="inlineStr">
        <is>
          <t>Portland Fire</t>
        </is>
      </c>
      <c r="AU135" s="24" t="inlineStr">
        <is>
          <t>Portland Fire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23ba88bcc86a710d76233b349116f2eefe021a993d2d3b9102922e567a027b4c</t>
        </is>
      </c>
      <c r="BB135" s="24" t="inlineStr">
        <is>
          <t>margin_normal</t>
        </is>
      </c>
      <c r="BC135" s="24" t="inlineStr">
        <is>
          <t>wnba-spread-margin-v1</t>
        </is>
      </c>
      <c r="BD135" s="24" t="inlineStr">
        <is>
          <t>23ba88bcc86a710d76233b349116f2eefe021a993d2d3b9102922e567a027b4c</t>
        </is>
      </c>
      <c r="BE135" s="24" t="inlineStr">
        <is>
          <t>wnba-spread-margin-v1</t>
        </is>
      </c>
      <c r="BF135" s="24" t="inlineStr">
        <is>
          <t>1</t>
        </is>
      </c>
      <c r="BG135" s="24" t="inlineStr">
        <is>
          <t>23ba88bcc86a710d76233b349116f2eefe021a993d2d3b9102922e567a027b4c</t>
        </is>
      </c>
      <c r="BH135" s="24" t="inlineStr">
        <is>
          <t>2026-08-30T05:39:20.386991Z</t>
        </is>
      </c>
      <c r="BI135" s="24" t="inlineStr">
        <is>
          <t>["same_event","same_team_same_day","same_league_same_day"]</t>
        </is>
      </c>
      <c r="BJ135" s="25" t="n">
        <v>6.5</v>
      </c>
      <c r="BK135" s="26" t="n">
        <v>-117</v>
      </c>
      <c r="BL135" s="27" t="n">
        <v>1.854701</v>
      </c>
      <c r="BM135" s="28" t="n">
        <v>0.539171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>
        <v>1</v>
      </c>
      <c r="BY135" s="27" t="n">
        <v>-1</v>
      </c>
      <c r="BZ135" s="24" t="inlineStr">
        <is>
          <t>2026-08-31T04:32:42.439789Z</t>
        </is>
      </c>
      <c r="CA135" s="31" t="inlineStr">
        <is>
          <t>fixed one-unit hypothetical scoring; no real exposure or execution</t>
        </is>
      </c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inlineStr">
        <is>
          <t>2026-08-30T05:39:20.386991Z</t>
        </is>
      </c>
      <c r="CZ135" s="24" t="inlineStr">
        <is>
          <t>True</t>
        </is>
      </c>
      <c r="DA135" s="24" t="inlineStr">
        <is>
          <t>polymarket_us</t>
        </is>
      </c>
      <c r="DB135" s="24" t="inlineStr">
        <is>
          <t>decision_time_executable_quote</t>
        </is>
      </c>
      <c r="DC135" s="24" t="inlineStr">
        <is>
          <t>False</t>
        </is>
      </c>
      <c r="DD135" s="24" t="inlineStr">
        <is>
          <t>467acdb01e0571f4dcf218001f3617e067d8c8396895ae60357958973a9c9c7d</t>
        </is>
      </c>
      <c r="DE135" s="24" t="inlineStr">
        <is>
          <t>/Users/vincentc9002/model-prediction/data/odds/wnba/2026-08-30/polymarket_snapshots.jsonl</t>
        </is>
      </c>
      <c r="DF135" s="24" t="inlineStr">
        <is>
          <t>467acdb01e0571f4dcf218001f3617e067d8c8396895ae60357958973a9c9c7d</t>
        </is>
      </c>
      <c r="DG135" s="24" t="n"/>
      <c r="DH135" s="24" t="n"/>
      <c r="DI135" s="24" t="n"/>
      <c r="DJ135" s="24" t="inlineStr">
        <is>
          <t>0.539171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6063f5cdde694a20</t>
        </is>
      </c>
      <c r="B136" s="24" t="inlineStr">
        <is>
          <t>2026-08-30T16:06:27.993902Z</t>
        </is>
      </c>
      <c r="C136" s="24" t="inlineStr">
        <is>
          <t>2026-08-31T00:30Z</t>
        </is>
      </c>
      <c r="D136" s="24" t="inlineStr">
        <is>
          <t>401857189</t>
        </is>
      </c>
      <c r="E136" s="24" t="inlineStr">
        <is>
          <t>WNBA</t>
        </is>
      </c>
      <c r="F136" s="24" t="inlineStr">
        <is>
          <t>Connecticut Sun</t>
        </is>
      </c>
      <c r="G136" s="24" t="inlineStr">
        <is>
          <t>Dallas Wings</t>
        </is>
      </c>
      <c r="H136" s="24" t="inlineStr">
        <is>
          <t>spread</t>
        </is>
      </c>
      <c r="I136" s="24" t="inlineStr">
        <is>
          <t>away</t>
        </is>
      </c>
      <c r="J136" s="25" t="n">
        <v>10.5</v>
      </c>
      <c r="K136" s="24" t="inlineStr">
        <is>
          <t>polymarket_us</t>
        </is>
      </c>
      <c r="L136" s="26" t="n">
        <v>-104</v>
      </c>
      <c r="M136" s="27" t="n">
        <v>1.961538</v>
      </c>
      <c r="N136" s="28" t="n">
        <v>0.509804</v>
      </c>
      <c r="O136" s="28" t="n">
        <v>0.627306</v>
      </c>
      <c r="P136" s="28" t="n">
        <v>0.03</v>
      </c>
      <c r="Q136" s="28" t="n">
        <v>0.117502</v>
      </c>
      <c r="R136" s="26" t="n">
        <v>91</v>
      </c>
      <c r="S136" s="29" t="n">
        <v>1.5</v>
      </c>
      <c r="T136" s="24" t="inlineStr">
        <is>
          <t>wnba-spread-margin-v1</t>
        </is>
      </c>
      <c r="U136" s="24" t="inlineStr">
        <is>
          <t>settled</t>
        </is>
      </c>
      <c r="V136" s="24" t="inlineStr">
        <is>
          <t>loss</t>
        </is>
      </c>
      <c r="W136" s="26" t="n">
        <v>71</v>
      </c>
      <c r="X136" s="26" t="n">
        <v>97</v>
      </c>
      <c r="Y136" s="25" t="n"/>
      <c r="Z136" s="26" t="n"/>
      <c r="AA136" s="28" t="n"/>
      <c r="AB136" s="28" t="n"/>
      <c r="AC136" s="30" t="n">
        <v>-1.5</v>
      </c>
      <c r="AD136" s="24" t="inlineStr">
        <is>
          <t>2026-08-31T04:32:43.174969Z</t>
        </is>
      </c>
      <c r="AE136" s="31" t="inlineStr">
        <is>
          <t>Projected margin +7.1 (home), sd 10.5. Executable ask 0.5100 (asc-wnba-conn-dal-2026-08-30-pos-10pt5).</t>
        </is>
      </c>
      <c r="AF136" s="31" t="inlineStr">
        <is>
          <t>Research-baseline margin-normal spread model; not yet locked-holdout qualified.</t>
        </is>
      </c>
      <c r="AG136" s="24" t="inlineStr">
        <is>
          <t>review_required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PAPER_CALL_MODEL_UNVALIDATED</t>
        </is>
      </c>
      <c r="AP136" s="24" t="inlineStr">
        <is>
          <t>wnba-con</t>
        </is>
      </c>
      <c r="AQ136" s="24" t="inlineStr">
        <is>
          <t>Connecticut Sun</t>
        </is>
      </c>
      <c r="AR136" s="24" t="inlineStr">
        <is>
          <t>Connecticut Sun</t>
        </is>
      </c>
      <c r="AS136" s="24" t="inlineStr">
        <is>
          <t>wnba-dal</t>
        </is>
      </c>
      <c r="AT136" s="24" t="inlineStr">
        <is>
          <t>Dallas Wings</t>
        </is>
      </c>
      <c r="AU136" s="24" t="inlineStr">
        <is>
          <t>Dallas Wings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23ba88bcc86a710d76233b349116f2eefe021a993d2d3b9102922e567a027b4c</t>
        </is>
      </c>
      <c r="BB136" s="24" t="inlineStr">
        <is>
          <t>margin_normal</t>
        </is>
      </c>
      <c r="BC136" s="24" t="inlineStr">
        <is>
          <t>wnba-spread-margin-v1</t>
        </is>
      </c>
      <c r="BD136" s="24" t="inlineStr">
        <is>
          <t>23ba88bcc86a710d76233b349116f2eefe021a993d2d3b9102922e567a027b4c</t>
        </is>
      </c>
      <c r="BE136" s="24" t="inlineStr">
        <is>
          <t>wnba-spread-margin-v1</t>
        </is>
      </c>
      <c r="BF136" s="24" t="inlineStr">
        <is>
          <t>1</t>
        </is>
      </c>
      <c r="BG136" s="24" t="inlineStr">
        <is>
          <t>23ba88bcc86a710d76233b349116f2eefe021a993d2d3b9102922e567a027b4c</t>
        </is>
      </c>
      <c r="BH136" s="24" t="inlineStr">
        <is>
          <t>2026-08-30T05:39:20.440708Z</t>
        </is>
      </c>
      <c r="BI136" s="24" t="inlineStr">
        <is>
          <t>["same_event","same_team_same_day","same_league_same_day"]</t>
        </is>
      </c>
      <c r="BJ136" s="25" t="n">
        <v>10.5</v>
      </c>
      <c r="BK136" s="26" t="n">
        <v>-104</v>
      </c>
      <c r="BL136" s="27" t="n">
        <v>1.961538</v>
      </c>
      <c r="BM136" s="28" t="n">
        <v>0.509804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>
        <v>1</v>
      </c>
      <c r="BY136" s="27" t="n">
        <v>-1</v>
      </c>
      <c r="BZ136" s="24" t="inlineStr">
        <is>
          <t>2026-08-31T04:32:43.174969Z</t>
        </is>
      </c>
      <c r="CA136" s="31" t="inlineStr">
        <is>
          <t>fixed one-unit hypothetical scoring; no real exposure or execution</t>
        </is>
      </c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inlineStr">
        <is>
          <t>2026-08-30T05:39:20.440708Z</t>
        </is>
      </c>
      <c r="CZ136" s="24" t="inlineStr">
        <is>
          <t>True</t>
        </is>
      </c>
      <c r="DA136" s="24" t="inlineStr">
        <is>
          <t>polymarket_us</t>
        </is>
      </c>
      <c r="DB136" s="24" t="inlineStr">
        <is>
          <t>decision_time_executable_quote</t>
        </is>
      </c>
      <c r="DC136" s="24" t="inlineStr">
        <is>
          <t>False</t>
        </is>
      </c>
      <c r="DD136" s="24" t="inlineStr">
        <is>
          <t>6cd8576597c74bccc5eb1b71006d19896f3b08fd8ea7668518710cf45ded8ae6</t>
        </is>
      </c>
      <c r="DE136" s="24" t="inlineStr">
        <is>
          <t>/Users/vincentc9002/model-prediction/data/odds/wnba/2026-08-30/polymarket_snapshots.jsonl</t>
        </is>
      </c>
      <c r="DF136" s="24" t="inlineStr">
        <is>
          <t>6cd8576597c74bccc5eb1b71006d19896f3b08fd8ea7668518710cf45ded8ae6</t>
        </is>
      </c>
      <c r="DG136" s="24" t="n"/>
      <c r="DH136" s="24" t="n"/>
      <c r="DI136" s="24" t="n"/>
      <c r="DJ136" s="24" t="inlineStr">
        <is>
          <t>0.509804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ac0b071d70054133</t>
        </is>
      </c>
      <c r="B137" s="24" t="inlineStr">
        <is>
          <t>2026-08-30T16:06:28.033915Z</t>
        </is>
      </c>
      <c r="C137" s="24" t="inlineStr">
        <is>
          <t>2026-08-30T19:00Z</t>
        </is>
      </c>
      <c r="D137" s="24" t="inlineStr">
        <is>
          <t>401857186</t>
        </is>
      </c>
      <c r="E137" s="24" t="inlineStr">
        <is>
          <t>WNBA</t>
        </is>
      </c>
      <c r="F137" s="24" t="inlineStr">
        <is>
          <t>Minnesota Lynx</t>
        </is>
      </c>
      <c r="G137" s="24" t="inlineStr">
        <is>
          <t>Atlanta Dream</t>
        </is>
      </c>
      <c r="H137" s="24" t="inlineStr">
        <is>
          <t>total</t>
        </is>
      </c>
      <c r="I137" s="24" t="inlineStr">
        <is>
          <t>under</t>
        </is>
      </c>
      <c r="J137" s="25" t="n">
        <v>175.5</v>
      </c>
      <c r="K137" s="24" t="inlineStr">
        <is>
          <t>polymarket_us</t>
        </is>
      </c>
      <c r="L137" s="26" t="n">
        <v>100</v>
      </c>
      <c r="M137" s="27" t="n">
        <v>2</v>
      </c>
      <c r="N137" s="28" t="n">
        <v>0.5</v>
      </c>
      <c r="O137" s="28" t="n">
        <v>0.530206</v>
      </c>
      <c r="P137" s="28" t="n">
        <v>0.03</v>
      </c>
      <c r="Q137" s="28" t="n">
        <v>0.030206</v>
      </c>
      <c r="R137" s="26" t="n">
        <v>47</v>
      </c>
      <c r="S137" s="29" t="n">
        <v>1</v>
      </c>
      <c r="T137" s="24" t="inlineStr">
        <is>
          <t>wnba-total-margin-v1</t>
        </is>
      </c>
      <c r="U137" s="24" t="inlineStr">
        <is>
          <t>settled</t>
        </is>
      </c>
      <c r="V137" s="24" t="inlineStr">
        <is>
          <t>win</t>
        </is>
      </c>
      <c r="W137" s="26" t="n">
        <v>81</v>
      </c>
      <c r="X137" s="26" t="n">
        <v>89</v>
      </c>
      <c r="Y137" s="25" t="n"/>
      <c r="Z137" s="26" t="n">
        <v>100</v>
      </c>
      <c r="AA137" s="28" t="n">
        <v>0.5</v>
      </c>
      <c r="AB137" s="28" t="n">
        <v>0</v>
      </c>
      <c r="AC137" s="30" t="n">
        <v>1</v>
      </c>
      <c r="AD137" s="24" t="inlineStr">
        <is>
          <t>2026-08-31T04:32:43.851795Z</t>
        </is>
      </c>
      <c r="AE137" s="31" t="inlineStr">
        <is>
          <t>Projected total 174.4, sd 15.0. Executable ask 0.5000 (tsc-wnba-min-atl-2026-08-30-175pt5).</t>
        </is>
      </c>
      <c r="AF137" s="31" t="inlineStr">
        <is>
          <t>Research-baseline total model; not yet locked-holdout qualified.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PAPER_CALL_MODEL_UNVALIDATED</t>
        </is>
      </c>
      <c r="AP137" s="24" t="inlineStr">
        <is>
          <t>wnba-min</t>
        </is>
      </c>
      <c r="AQ137" s="24" t="inlineStr">
        <is>
          <t>Minnesota Lynx</t>
        </is>
      </c>
      <c r="AR137" s="24" t="inlineStr">
        <is>
          <t>Minnesota Lynx</t>
        </is>
      </c>
      <c r="AS137" s="24" t="inlineStr">
        <is>
          <t>wnba-atl</t>
        </is>
      </c>
      <c r="AT137" s="24" t="inlineStr">
        <is>
          <t>Atlanta Dream</t>
        </is>
      </c>
      <c r="AU137" s="24" t="inlineStr">
        <is>
          <t>Atlanta Dream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research</t>
        </is>
      </c>
      <c r="BA137" s="24" t="inlineStr">
        <is>
          <t>113e1744e564570dce943be22f4609ea073b2c634f9429475f4ee76e24e2f9c8</t>
        </is>
      </c>
      <c r="BB137" s="24" t="inlineStr">
        <is>
          <t>total_normal</t>
        </is>
      </c>
      <c r="BC137" s="24" t="inlineStr">
        <is>
          <t>wnba-total-margin-v1</t>
        </is>
      </c>
      <c r="BD137" s="24" t="inlineStr">
        <is>
          <t>113e1744e564570dce943be22f4609ea073b2c634f9429475f4ee76e24e2f9c8</t>
        </is>
      </c>
      <c r="BE137" s="24" t="inlineStr">
        <is>
          <t>wnba-total-margin-v1</t>
        </is>
      </c>
      <c r="BF137" s="24" t="inlineStr">
        <is>
          <t>1</t>
        </is>
      </c>
      <c r="BG137" s="24" t="inlineStr">
        <is>
          <t>113e1744e564570dce943be22f4609ea073b2c634f9429475f4ee76e24e2f9c8</t>
        </is>
      </c>
      <c r="BH137" s="24" t="inlineStr">
        <is>
          <t>2026-08-30T16:04:53.375272Z</t>
        </is>
      </c>
      <c r="BI137" s="24" t="inlineStr">
        <is>
          <t>["same_event","same_team_same_day","same_league_same_day"]</t>
        </is>
      </c>
      <c r="BJ137" s="25" t="n">
        <v>175.5</v>
      </c>
      <c r="BK137" s="26" t="n">
        <v>100</v>
      </c>
      <c r="BL137" s="27" t="n">
        <v>2</v>
      </c>
      <c r="BM137" s="28" t="n">
        <v>0.5</v>
      </c>
      <c r="BN137" s="28" t="n"/>
      <c r="BO137" s="28" t="n"/>
      <c r="BP137" s="25" t="n"/>
      <c r="BQ137" s="27" t="n">
        <v>2</v>
      </c>
      <c r="BR137" s="28" t="n">
        <v>0.5</v>
      </c>
      <c r="BS137" s="28" t="n"/>
      <c r="BT137" s="28" t="n"/>
      <c r="BU137" s="25" t="n"/>
      <c r="BV137" s="29" t="n"/>
      <c r="BW137" s="24" t="n"/>
      <c r="BX137" s="30" t="n">
        <v>1</v>
      </c>
      <c r="BY137" s="27" t="n">
        <v>1</v>
      </c>
      <c r="BZ137" s="24" t="inlineStr">
        <is>
          <t>2026-08-31T04:32:43.851795Z</t>
        </is>
      </c>
      <c r="CA137" s="31" t="inlineStr">
        <is>
          <t>fixed one-unit hypothetical scoring; no real exposure or execution</t>
        </is>
      </c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inlineStr">
        <is>
          <t>2026-08-30T16:04:53.375272Z</t>
        </is>
      </c>
      <c r="CZ137" s="24" t="inlineStr">
        <is>
          <t>True</t>
        </is>
      </c>
      <c r="DA137" s="24" t="inlineStr">
        <is>
          <t>polymarket_us</t>
        </is>
      </c>
      <c r="DB137" s="24" t="inlineStr">
        <is>
          <t>decision_time_executable_quote</t>
        </is>
      </c>
      <c r="DC137" s="24" t="inlineStr">
        <is>
          <t>False</t>
        </is>
      </c>
      <c r="DD137" s="24" t="inlineStr">
        <is>
          <t>f684008fc7cc8f88850ad85717237c409ef288b60928763360746a121db44521</t>
        </is>
      </c>
      <c r="DE137" s="24" t="inlineStr">
        <is>
          <t>/Users/vincentc9002/model-prediction/data/odds/wnba/2026-08-30/polymarket_snapshots.jsonl</t>
        </is>
      </c>
      <c r="DF137" s="24" t="inlineStr">
        <is>
          <t>f684008fc7cc8f88850ad85717237c409ef288b60928763360746a121db44521</t>
        </is>
      </c>
      <c r="DG137" s="24" t="n"/>
      <c r="DH137" s="24" t="n"/>
      <c r="DI137" s="24" t="n"/>
      <c r="DJ137" s="24" t="inlineStr">
        <is>
          <t>0.5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8122063f50654821</t>
        </is>
      </c>
      <c r="B138" s="24" t="inlineStr">
        <is>
          <t>2026-08-30T16:06:28.033915Z</t>
        </is>
      </c>
      <c r="C138" s="24" t="inlineStr">
        <is>
          <t>2026-08-30T21:00Z</t>
        </is>
      </c>
      <c r="D138" s="24" t="inlineStr">
        <is>
          <t>401857187</t>
        </is>
      </c>
      <c r="E138" s="24" t="inlineStr">
        <is>
          <t>WNBA</t>
        </is>
      </c>
      <c r="F138" s="24" t="inlineStr">
        <is>
          <t>Los Angeles Sparks</t>
        </is>
      </c>
      <c r="G138" s="24" t="inlineStr">
        <is>
          <t>Seattle Storm</t>
        </is>
      </c>
      <c r="H138" s="24" t="inlineStr">
        <is>
          <t>total</t>
        </is>
      </c>
      <c r="I138" s="24" t="inlineStr">
        <is>
          <t>over</t>
        </is>
      </c>
      <c r="J138" s="25" t="n">
        <v>173.5</v>
      </c>
      <c r="K138" s="24" t="inlineStr">
        <is>
          <t>polymarket_us</t>
        </is>
      </c>
      <c r="L138" s="26" t="n">
        <v>-104</v>
      </c>
      <c r="M138" s="27" t="n">
        <v>1.961538</v>
      </c>
      <c r="N138" s="28" t="n">
        <v>0.509804</v>
      </c>
      <c r="O138" s="28" t="n">
        <v>0.5135459999999999</v>
      </c>
      <c r="P138" s="28" t="n">
        <v>0.03</v>
      </c>
      <c r="Q138" s="28" t="n">
        <v>0.003742</v>
      </c>
      <c r="R138" s="26" t="n">
        <v>34</v>
      </c>
      <c r="S138" s="29" t="n">
        <v>1</v>
      </c>
      <c r="T138" s="24" t="inlineStr">
        <is>
          <t>wnba-total-margin-v1</t>
        </is>
      </c>
      <c r="U138" s="24" t="inlineStr">
        <is>
          <t>settled</t>
        </is>
      </c>
      <c r="V138" s="24" t="inlineStr">
        <is>
          <t>loss</t>
        </is>
      </c>
      <c r="W138" s="26" t="n">
        <v>90</v>
      </c>
      <c r="X138" s="26" t="n">
        <v>74</v>
      </c>
      <c r="Y138" s="25" t="n"/>
      <c r="Z138" s="26" t="n">
        <v>-108</v>
      </c>
      <c r="AA138" s="28" t="n">
        <v>0.52</v>
      </c>
      <c r="AB138" s="28" t="n">
        <v>0.010196</v>
      </c>
      <c r="AC138" s="30" t="n">
        <v>-1</v>
      </c>
      <c r="AD138" s="24" t="inlineStr">
        <is>
          <t>2026-08-31T04:32:44.475696Z</t>
        </is>
      </c>
      <c r="AE138" s="31" t="inlineStr">
        <is>
          <t>Projected total 174.0, sd 15.0. Executable ask 0.5100 (tsc-wnba-la-sea-2026-08-30-173pt5).</t>
        </is>
      </c>
      <c r="AF138" s="31" t="inlineStr">
        <is>
          <t>Research-baseline total model; not yet locked-holdout qualified.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PAPER_CALL_MODEL_UNVALIDATED</t>
        </is>
      </c>
      <c r="AP138" s="24" t="inlineStr">
        <is>
          <t>wnba-las</t>
        </is>
      </c>
      <c r="AQ138" s="24" t="inlineStr">
        <is>
          <t>Los Angeles Sparks</t>
        </is>
      </c>
      <c r="AR138" s="24" t="inlineStr">
        <is>
          <t>Los Angeles Sparks</t>
        </is>
      </c>
      <c r="AS138" s="24" t="inlineStr">
        <is>
          <t>wnba-sea</t>
        </is>
      </c>
      <c r="AT138" s="24" t="inlineStr">
        <is>
          <t>Seattle Storm</t>
        </is>
      </c>
      <c r="AU138" s="24" t="inlineStr">
        <is>
          <t>Seattle Storm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research</t>
        </is>
      </c>
      <c r="BA138" s="24" t="inlineStr">
        <is>
          <t>113e1744e564570dce943be22f4609ea073b2c634f9429475f4ee76e24e2f9c8</t>
        </is>
      </c>
      <c r="BB138" s="24" t="inlineStr">
        <is>
          <t>total_normal</t>
        </is>
      </c>
      <c r="BC138" s="24" t="inlineStr">
        <is>
          <t>wnba-total-margin-v1</t>
        </is>
      </c>
      <c r="BD138" s="24" t="inlineStr">
        <is>
          <t>113e1744e564570dce943be22f4609ea073b2c634f9429475f4ee76e24e2f9c8</t>
        </is>
      </c>
      <c r="BE138" s="24" t="inlineStr">
        <is>
          <t>wnba-total-margin-v1</t>
        </is>
      </c>
      <c r="BF138" s="24" t="inlineStr">
        <is>
          <t>1</t>
        </is>
      </c>
      <c r="BG138" s="24" t="inlineStr">
        <is>
          <t>113e1744e564570dce943be22f4609ea073b2c634f9429475f4ee76e24e2f9c8</t>
        </is>
      </c>
      <c r="BH138" s="24" t="inlineStr">
        <is>
          <t>2026-08-30T05:39:20.317618Z</t>
        </is>
      </c>
      <c r="BI138" s="24" t="inlineStr">
        <is>
          <t>["same_event","same_team_same_day","same_league_same_day"]</t>
        </is>
      </c>
      <c r="BJ138" s="25" t="n">
        <v>173.5</v>
      </c>
      <c r="BK138" s="26" t="n">
        <v>-104</v>
      </c>
      <c r="BL138" s="27" t="n">
        <v>1.961538</v>
      </c>
      <c r="BM138" s="28" t="n">
        <v>0.509804</v>
      </c>
      <c r="BN138" s="28" t="n"/>
      <c r="BO138" s="28" t="n"/>
      <c r="BP138" s="25" t="n"/>
      <c r="BQ138" s="27" t="n">
        <v>1.925926</v>
      </c>
      <c r="BR138" s="28" t="n">
        <v>0.52</v>
      </c>
      <c r="BS138" s="28" t="n"/>
      <c r="BT138" s="28" t="n"/>
      <c r="BU138" s="25" t="n"/>
      <c r="BV138" s="29" t="n"/>
      <c r="BW138" s="24" t="n"/>
      <c r="BX138" s="30" t="n">
        <v>1</v>
      </c>
      <c r="BY138" s="27" t="n">
        <v>-1</v>
      </c>
      <c r="BZ138" s="24" t="inlineStr">
        <is>
          <t>2026-08-31T04:32:44.475696Z</t>
        </is>
      </c>
      <c r="CA138" s="31" t="inlineStr">
        <is>
          <t>fixed one-unit hypothetical scoring; no real exposure or execution</t>
        </is>
      </c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inlineStr">
        <is>
          <t>2026-08-30T05:39:20.317618Z</t>
        </is>
      </c>
      <c r="CZ138" s="24" t="inlineStr">
        <is>
          <t>True</t>
        </is>
      </c>
      <c r="DA138" s="24" t="inlineStr">
        <is>
          <t>polymarket_us</t>
        </is>
      </c>
      <c r="DB138" s="24" t="inlineStr">
        <is>
          <t>decision_time_executable_quote</t>
        </is>
      </c>
      <c r="DC138" s="24" t="inlineStr">
        <is>
          <t>False</t>
        </is>
      </c>
      <c r="DD138" s="24" t="inlineStr">
        <is>
          <t>84439f12099dc21544b07f0837833e4235fea1e03404a500aeff1dc249352bb0</t>
        </is>
      </c>
      <c r="DE138" s="24" t="inlineStr">
        <is>
          <t>/Users/vincentc9002/model-prediction/data/odds/wnba/2026-08-30/polymarket_snapshots.jsonl</t>
        </is>
      </c>
      <c r="DF138" s="24" t="inlineStr">
        <is>
          <t>84439f12099dc21544b07f0837833e4235fea1e03404a500aeff1dc249352bb0</t>
        </is>
      </c>
      <c r="DG138" s="24" t="n"/>
      <c r="DH138" s="24" t="n"/>
      <c r="DI138" s="24" t="n"/>
      <c r="DJ138" s="24" t="inlineStr">
        <is>
          <t>0.509804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e1d00a38dacd46e9</t>
        </is>
      </c>
      <c r="B139" s="24" t="inlineStr">
        <is>
          <t>2026-08-30T16:06:28.033915Z</t>
        </is>
      </c>
      <c r="C139" s="24" t="inlineStr">
        <is>
          <t>2026-08-30T23:00Z</t>
        </is>
      </c>
      <c r="D139" s="24" t="inlineStr">
        <is>
          <t>401857188</t>
        </is>
      </c>
      <c r="E139" s="24" t="inlineStr">
        <is>
          <t>WNBA</t>
        </is>
      </c>
      <c r="F139" s="24" t="inlineStr">
        <is>
          <t>Golden State Valkyries</t>
        </is>
      </c>
      <c r="G139" s="24" t="inlineStr">
        <is>
          <t>Portland Fire</t>
        </is>
      </c>
      <c r="H139" s="24" t="inlineStr">
        <is>
          <t>total</t>
        </is>
      </c>
      <c r="I139" s="24" t="inlineStr">
        <is>
          <t>over</t>
        </is>
      </c>
      <c r="J139" s="25" t="n">
        <v>159.5</v>
      </c>
      <c r="K139" s="24" t="inlineStr">
        <is>
          <t>polymarket_us</t>
        </is>
      </c>
      <c r="L139" s="26" t="n">
        <v>108</v>
      </c>
      <c r="M139" s="27" t="n">
        <v>2.08</v>
      </c>
      <c r="N139" s="28" t="n">
        <v>0.480769</v>
      </c>
      <c r="O139" s="28" t="n">
        <v>0.678173</v>
      </c>
      <c r="P139" s="28" t="n">
        <v>0.03</v>
      </c>
      <c r="Q139" s="28" t="n">
        <v>0.197404</v>
      </c>
      <c r="R139" s="26" t="n">
        <v>100</v>
      </c>
      <c r="S139" s="29" t="n">
        <v>2</v>
      </c>
      <c r="T139" s="24" t="inlineStr">
        <is>
          <t>wnba-total-margin-v1</t>
        </is>
      </c>
      <c r="U139" s="24" t="inlineStr">
        <is>
          <t>settled</t>
        </is>
      </c>
      <c r="V139" s="24" t="inlineStr">
        <is>
          <t>loss</t>
        </is>
      </c>
      <c r="W139" s="26" t="n">
        <v>86</v>
      </c>
      <c r="X139" s="26" t="n">
        <v>69</v>
      </c>
      <c r="Y139" s="25" t="n"/>
      <c r="Z139" s="26" t="n">
        <v>108</v>
      </c>
      <c r="AA139" s="28" t="n">
        <v>0.48</v>
      </c>
      <c r="AB139" s="28" t="n">
        <v>-0.000769</v>
      </c>
      <c r="AC139" s="30" t="n">
        <v>-2</v>
      </c>
      <c r="AD139" s="24" t="inlineStr">
        <is>
          <t>2026-08-31T04:32:45.146736Z</t>
        </is>
      </c>
      <c r="AE139" s="31" t="inlineStr">
        <is>
          <t>Projected total 166.4, sd 15.0. Executable ask 0.4800 (tsc-wnba-gsv-por-2026-08-30-159pt5).</t>
        </is>
      </c>
      <c r="AF139" s="31" t="inlineStr">
        <is>
          <t>Research-baseline total model; not yet locked-holdout qualified.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PAPER_CALL_MODEL_UNVALIDATED</t>
        </is>
      </c>
      <c r="AP139" s="24" t="inlineStr">
        <is>
          <t>wnba-gsv</t>
        </is>
      </c>
      <c r="AQ139" s="24" t="inlineStr">
        <is>
          <t>Golden State Valkyries</t>
        </is>
      </c>
      <c r="AR139" s="24" t="inlineStr">
        <is>
          <t>Golden State Valkyries</t>
        </is>
      </c>
      <c r="AS139" s="24" t="inlineStr">
        <is>
          <t>wnba-por</t>
        </is>
      </c>
      <c r="AT139" s="24" t="inlineStr">
        <is>
          <t>Portland Fire</t>
        </is>
      </c>
      <c r="AU139" s="24" t="inlineStr">
        <is>
          <t>Portland Fire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research</t>
        </is>
      </c>
      <c r="BA139" s="24" t="inlineStr">
        <is>
          <t>113e1744e564570dce943be22f4609ea073b2c634f9429475f4ee76e24e2f9c8</t>
        </is>
      </c>
      <c r="BB139" s="24" t="inlineStr">
        <is>
          <t>total_normal</t>
        </is>
      </c>
      <c r="BC139" s="24" t="inlineStr">
        <is>
          <t>wnba-total-margin-v1</t>
        </is>
      </c>
      <c r="BD139" s="24" t="inlineStr">
        <is>
          <t>113e1744e564570dce943be22f4609ea073b2c634f9429475f4ee76e24e2f9c8</t>
        </is>
      </c>
      <c r="BE139" s="24" t="inlineStr">
        <is>
          <t>wnba-total-margin-v1</t>
        </is>
      </c>
      <c r="BF139" s="24" t="inlineStr">
        <is>
          <t>1</t>
        </is>
      </c>
      <c r="BG139" s="24" t="inlineStr">
        <is>
          <t>113e1744e564570dce943be22f4609ea073b2c634f9429475f4ee76e24e2f9c8</t>
        </is>
      </c>
      <c r="BH139" s="24" t="inlineStr">
        <is>
          <t>2026-08-30T16:04:53.533694Z</t>
        </is>
      </c>
      <c r="BI139" s="24" t="inlineStr">
        <is>
          <t>["same_event","same_team_same_day","same_league_same_day"]</t>
        </is>
      </c>
      <c r="BJ139" s="25" t="n">
        <v>159.5</v>
      </c>
      <c r="BK139" s="26" t="n">
        <v>108</v>
      </c>
      <c r="BL139" s="27" t="n">
        <v>2.08</v>
      </c>
      <c r="BM139" s="28" t="n">
        <v>0.480769</v>
      </c>
      <c r="BN139" s="28" t="n"/>
      <c r="BO139" s="28" t="n"/>
      <c r="BP139" s="25" t="n"/>
      <c r="BQ139" s="27" t="n">
        <v>2.08</v>
      </c>
      <c r="BR139" s="28" t="n">
        <v>0.48</v>
      </c>
      <c r="BS139" s="28" t="n"/>
      <c r="BT139" s="28" t="n"/>
      <c r="BU139" s="25" t="n"/>
      <c r="BV139" s="29" t="n"/>
      <c r="BW139" s="24" t="n"/>
      <c r="BX139" s="30" t="n">
        <v>1</v>
      </c>
      <c r="BY139" s="27" t="n">
        <v>-1</v>
      </c>
      <c r="BZ139" s="24" t="inlineStr">
        <is>
          <t>2026-08-31T04:32:45.146736Z</t>
        </is>
      </c>
      <c r="CA139" s="31" t="inlineStr">
        <is>
          <t>fixed one-unit hypothetical scoring; no real exposure or execution</t>
        </is>
      </c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inlineStr">
        <is>
          <t>2026-08-30T16:04:53.533694Z</t>
        </is>
      </c>
      <c r="CZ139" s="24" t="inlineStr">
        <is>
          <t>True</t>
        </is>
      </c>
      <c r="DA139" s="24" t="inlineStr">
        <is>
          <t>polymarket_us</t>
        </is>
      </c>
      <c r="DB139" s="24" t="inlineStr">
        <is>
          <t>decision_time_executable_quote</t>
        </is>
      </c>
      <c r="DC139" s="24" t="inlineStr">
        <is>
          <t>False</t>
        </is>
      </c>
      <c r="DD139" s="24" t="inlineStr">
        <is>
          <t>0eec183bd6a4f5d91d569fe9c28afaed2287682313f2d45a27ad350c082e09d6</t>
        </is>
      </c>
      <c r="DE139" s="24" t="inlineStr">
        <is>
          <t>/Users/vincentc9002/model-prediction/data/odds/wnba/2026-08-30/polymarket_snapshots.jsonl</t>
        </is>
      </c>
      <c r="DF139" s="24" t="inlineStr">
        <is>
          <t>0eec183bd6a4f5d91d569fe9c28afaed2287682313f2d45a27ad350c082e09d6</t>
        </is>
      </c>
      <c r="DG139" s="24" t="n"/>
      <c r="DH139" s="24" t="n"/>
      <c r="DI139" s="24" t="n"/>
      <c r="DJ139" s="24" t="inlineStr">
        <is>
          <t>0.480769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0a9810f9b2c04c17</t>
        </is>
      </c>
      <c r="B140" s="24" t="inlineStr">
        <is>
          <t>2026-08-30T16:06:28.033915Z</t>
        </is>
      </c>
      <c r="C140" s="24" t="inlineStr">
        <is>
          <t>2026-08-31T00:30Z</t>
        </is>
      </c>
      <c r="D140" s="24" t="inlineStr">
        <is>
          <t>401857189</t>
        </is>
      </c>
      <c r="E140" s="24" t="inlineStr">
        <is>
          <t>WNBA</t>
        </is>
      </c>
      <c r="F140" s="24" t="inlineStr">
        <is>
          <t>Connecticut Sun</t>
        </is>
      </c>
      <c r="G140" s="24" t="inlineStr">
        <is>
          <t>Dallas Wings</t>
        </is>
      </c>
      <c r="H140" s="24" t="inlineStr">
        <is>
          <t>total</t>
        </is>
      </c>
      <c r="I140" s="24" t="inlineStr">
        <is>
          <t>over</t>
        </is>
      </c>
      <c r="J140" s="25" t="n">
        <v>167.5</v>
      </c>
      <c r="K140" s="24" t="inlineStr">
        <is>
          <t>polymarket_us</t>
        </is>
      </c>
      <c r="L140" s="26" t="n">
        <v>-104</v>
      </c>
      <c r="M140" s="27" t="n">
        <v>1.961538</v>
      </c>
      <c r="N140" s="28" t="n">
        <v>0.509804</v>
      </c>
      <c r="O140" s="28" t="n">
        <v>0.5355</v>
      </c>
      <c r="P140" s="28" t="n">
        <v>0.03</v>
      </c>
      <c r="Q140" s="28" t="n">
        <v>0.025696</v>
      </c>
      <c r="R140" s="26" t="n">
        <v>45</v>
      </c>
      <c r="S140" s="29" t="n">
        <v>1</v>
      </c>
      <c r="T140" s="24" t="inlineStr">
        <is>
          <t>wnba-total-margin-v1</t>
        </is>
      </c>
      <c r="U140" s="24" t="inlineStr">
        <is>
          <t>settled</t>
        </is>
      </c>
      <c r="V140" s="24" t="inlineStr">
        <is>
          <t>win</t>
        </is>
      </c>
      <c r="W140" s="26" t="n">
        <v>71</v>
      </c>
      <c r="X140" s="26" t="n">
        <v>97</v>
      </c>
      <c r="Y140" s="25" t="n"/>
      <c r="Z140" s="26" t="n">
        <v>133</v>
      </c>
      <c r="AA140" s="28" t="n">
        <v>0.43</v>
      </c>
      <c r="AB140" s="28" t="n">
        <v>-0.079804</v>
      </c>
      <c r="AC140" s="30" t="n">
        <v>0.9615</v>
      </c>
      <c r="AD140" s="24" t="inlineStr">
        <is>
          <t>2026-08-31T04:32:45.764817Z</t>
        </is>
      </c>
      <c r="AE140" s="31" t="inlineStr">
        <is>
          <t>Projected total 168.8, sd 15.0. Executable ask 0.5100 (tsc-wnba-conn-dal-2026-08-30-167pt5).</t>
        </is>
      </c>
      <c r="AF140" s="31" t="inlineStr">
        <is>
          <t>Research-baseline total model; not yet locked-holdout qualified.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PAPER_CALL_MODEL_UNVALIDATED</t>
        </is>
      </c>
      <c r="AP140" s="24" t="inlineStr">
        <is>
          <t>wnba-con</t>
        </is>
      </c>
      <c r="AQ140" s="24" t="inlineStr">
        <is>
          <t>Connecticut Sun</t>
        </is>
      </c>
      <c r="AR140" s="24" t="inlineStr">
        <is>
          <t>Connecticut Sun</t>
        </is>
      </c>
      <c r="AS140" s="24" t="inlineStr">
        <is>
          <t>wnba-dal</t>
        </is>
      </c>
      <c r="AT140" s="24" t="inlineStr">
        <is>
          <t>Dallas Wings</t>
        </is>
      </c>
      <c r="AU140" s="24" t="inlineStr">
        <is>
          <t>Dallas Wings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113e1744e564570dce943be22f4609ea073b2c634f9429475f4ee76e24e2f9c8</t>
        </is>
      </c>
      <c r="BB140" s="24" t="inlineStr">
        <is>
          <t>total_normal</t>
        </is>
      </c>
      <c r="BC140" s="24" t="inlineStr">
        <is>
          <t>wnba-total-margin-v1</t>
        </is>
      </c>
      <c r="BD140" s="24" t="inlineStr">
        <is>
          <t>113e1744e564570dce943be22f4609ea073b2c634f9429475f4ee76e24e2f9c8</t>
        </is>
      </c>
      <c r="BE140" s="24" t="inlineStr">
        <is>
          <t>wnba-total-margin-v1</t>
        </is>
      </c>
      <c r="BF140" s="24" t="inlineStr">
        <is>
          <t>1</t>
        </is>
      </c>
      <c r="BG140" s="24" t="inlineStr">
        <is>
          <t>113e1744e564570dce943be22f4609ea073b2c634f9429475f4ee76e24e2f9c8</t>
        </is>
      </c>
      <c r="BH140" s="24" t="inlineStr">
        <is>
          <t>2026-08-30T05:39:20.442948Z</t>
        </is>
      </c>
      <c r="BI140" s="24" t="inlineStr">
        <is>
          <t>["same_event","same_team_same_day","same_league_same_day"]</t>
        </is>
      </c>
      <c r="BJ140" s="25" t="n">
        <v>167.5</v>
      </c>
      <c r="BK140" s="26" t="n">
        <v>-104</v>
      </c>
      <c r="BL140" s="27" t="n">
        <v>1.961538</v>
      </c>
      <c r="BM140" s="28" t="n">
        <v>0.509804</v>
      </c>
      <c r="BN140" s="28" t="n"/>
      <c r="BO140" s="28" t="n"/>
      <c r="BP140" s="25" t="n"/>
      <c r="BQ140" s="27" t="n">
        <v>2.33</v>
      </c>
      <c r="BR140" s="28" t="n">
        <v>0.43</v>
      </c>
      <c r="BS140" s="28" t="n"/>
      <c r="BT140" s="28" t="n"/>
      <c r="BU140" s="25" t="n"/>
      <c r="BV140" s="29" t="n"/>
      <c r="BW140" s="24" t="n"/>
      <c r="BX140" s="30" t="n">
        <v>1</v>
      </c>
      <c r="BY140" s="27" t="n">
        <v>0.961538</v>
      </c>
      <c r="BZ140" s="24" t="inlineStr">
        <is>
          <t>2026-08-31T04:32:45.764817Z</t>
        </is>
      </c>
      <c r="CA140" s="31" t="inlineStr">
        <is>
          <t>fixed one-unit hypothetical scoring; no real exposure or execution</t>
        </is>
      </c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inlineStr">
        <is>
          <t>2026-08-30T05:39:20.442948Z</t>
        </is>
      </c>
      <c r="CZ140" s="24" t="inlineStr">
        <is>
          <t>True</t>
        </is>
      </c>
      <c r="DA140" s="24" t="inlineStr">
        <is>
          <t>polymarket_us</t>
        </is>
      </c>
      <c r="DB140" s="24" t="inlineStr">
        <is>
          <t>decision_time_executable_quote</t>
        </is>
      </c>
      <c r="DC140" s="24" t="inlineStr">
        <is>
          <t>False</t>
        </is>
      </c>
      <c r="DD140" s="24" t="inlineStr">
        <is>
          <t>257648017ee83c9790b121e92dbf3c6c1bd520a204db206b800d59fa798f1951</t>
        </is>
      </c>
      <c r="DE140" s="24" t="inlineStr">
        <is>
          <t>/Users/vincentc9002/model-prediction/data/odds/wnba/2026-08-30/polymarket_snapshots.jsonl</t>
        </is>
      </c>
      <c r="DF140" s="24" t="inlineStr">
        <is>
          <t>257648017ee83c9790b121e92dbf3c6c1bd520a204db206b800d59fa798f1951</t>
        </is>
      </c>
      <c r="DG140" s="24" t="n"/>
      <c r="DH140" s="24" t="n"/>
      <c r="DI140" s="24" t="n"/>
      <c r="DJ140" s="24" t="inlineStr">
        <is>
          <t>0.509804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92f60c8bac184469</t>
        </is>
      </c>
      <c r="B141" s="24" t="inlineStr">
        <is>
          <t>2026-09-17T22:08:20.561155Z</t>
        </is>
      </c>
      <c r="C141" s="24" t="inlineStr">
        <is>
          <t>2026-09-17T19:30:00-0400</t>
        </is>
      </c>
      <c r="D141" s="24" t="inlineStr">
        <is>
          <t>401857190</t>
        </is>
      </c>
      <c r="E141" s="24" t="inlineStr">
        <is>
          <t>WNBA</t>
        </is>
      </c>
      <c r="F141" s="24" t="inlineStr">
        <is>
          <t>Connecticut Sun</t>
        </is>
      </c>
      <c r="G141" s="24" t="inlineStr">
        <is>
          <t>Atlanta Dream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model_opinion_no_executable_quote</t>
        </is>
      </c>
      <c r="L141" s="26" t="n">
        <v>-110</v>
      </c>
      <c r="M141" s="27" t="n">
        <v>1.909091</v>
      </c>
      <c r="N141" s="28" t="n">
        <v>0.52381</v>
      </c>
      <c r="O141" s="28" t="n">
        <v>0.812696</v>
      </c>
      <c r="P141" s="28" t="n"/>
      <c r="Q141" s="28" t="n">
        <v>0.288886</v>
      </c>
      <c r="R141" s="26" t="n">
        <v>100</v>
      </c>
      <c r="S141" s="29" t="n">
        <v>2</v>
      </c>
      <c r="T141" s="24" t="inlineStr">
        <is>
          <t>wnba-elo-trend-lr-v4</t>
        </is>
      </c>
      <c r="U141" s="24" t="inlineStr">
        <is>
          <t>settled</t>
        </is>
      </c>
      <c r="V141" s="24" t="inlineStr">
        <is>
          <t>win</t>
        </is>
      </c>
      <c r="W141" s="26" t="n">
        <v>59</v>
      </c>
      <c r="X141" s="26" t="n">
        <v>103</v>
      </c>
      <c r="Y141" s="25" t="n"/>
      <c r="Z141" s="26" t="n"/>
      <c r="AA141" s="28" t="n"/>
      <c r="AB141" s="28" t="n"/>
      <c r="AC141" s="30" t="n">
        <v>1.8182</v>
      </c>
      <c r="AD141" s="24" t="inlineStr">
        <is>
          <t>2026-09-18T04:45:23.751741Z</t>
        </is>
      </c>
      <c r="AE141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1" s="31" t="inlineStr">
        <is>
          <t>Learned model; shadow-qualified via operator override.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PAPER_CALL_MARKET_UNAVAILABLE</t>
        </is>
      </c>
      <c r="AP141" s="24" t="inlineStr">
        <is>
          <t>wnba-con</t>
        </is>
      </c>
      <c r="AQ141" s="24" t="inlineStr">
        <is>
          <t>Connecticut Sun</t>
        </is>
      </c>
      <c r="AR141" s="24" t="inlineStr">
        <is>
          <t>Connecticut Sun</t>
        </is>
      </c>
      <c r="AS141" s="24" t="inlineStr">
        <is>
          <t>wnba-atl</t>
        </is>
      </c>
      <c r="AT141" s="24" t="inlineStr">
        <is>
          <t>Atlanta Dream</t>
        </is>
      </c>
      <c r="AU141" s="24" t="inlineStr">
        <is>
          <t>Atlanta Dream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7afd5274214b58b7efd7f7febc7be3ab33b92351cda5cc6403c0a39faea0cc8c</t>
        </is>
      </c>
      <c r="BB141" s="24" t="inlineStr">
        <is>
          <t>learned_lr</t>
        </is>
      </c>
      <c r="BC141" s="24" t="inlineStr">
        <is>
          <t>wnba-elo-trend-lr-v4</t>
        </is>
      </c>
      <c r="BD141" s="24" t="inlineStr">
        <is>
          <t>7afd5274214b58b7efd7f7febc7be3ab33b92351cda5cc6403c0a39faea0cc8c</t>
        </is>
      </c>
      <c r="BE141" s="24" t="inlineStr">
        <is>
          <t>5509c383f6639a95</t>
        </is>
      </c>
      <c r="BF141" s="24" t="inlineStr">
        <is>
          <t>1</t>
        </is>
      </c>
      <c r="BG141" s="24" t="inlineStr">
        <is>
          <t>wnba-elo-trend-lr-v4</t>
        </is>
      </c>
      <c r="BH141" s="24" t="inlineStr">
        <is>
          <t>2026-09-17T22:08:20.561155Z</t>
        </is>
      </c>
      <c r="BI141" s="24" t="inlineStr">
        <is>
          <t>["same_event","same_team_same_day","same_league_same_day"]</t>
        </is>
      </c>
      <c r="BJ141" s="25" t="n"/>
      <c r="BK141" s="26" t="n">
        <v>-110</v>
      </c>
      <c r="BL141" s="27" t="n">
        <v>1.909091</v>
      </c>
      <c r="BM141" s="28" t="n">
        <v>0.52381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>
        <v>1</v>
      </c>
      <c r="BY141" s="27" t="n">
        <v>0.909091</v>
      </c>
      <c r="BZ141" s="24" t="inlineStr">
        <is>
          <t>2026-09-18T04:45:23.751741Z</t>
        </is>
      </c>
      <c r="CA141" s="31" t="inlineStr">
        <is>
          <t>fixed one-unit hypothetical scoring; no real exposure or execution</t>
        </is>
      </c>
      <c r="CB141" s="24" t="n"/>
      <c r="CC141" s="24" t="inlineStr">
        <is>
          <t>0.8777916043</t>
        </is>
      </c>
      <c r="CD141" s="24" t="inlineStr">
        <is>
          <t>4.479123</t>
        </is>
      </c>
      <c r="CE141" s="24" t="n"/>
      <c r="CF141" s="24" t="n"/>
      <c r="CG141" s="24" t="n"/>
      <c r="CH141" s="24" t="n"/>
      <c r="CI141" s="24" t="inlineStr">
        <is>
          <t>executable_quote_missing_or_unmatched</t>
        </is>
      </c>
      <c r="CJ141" s="24" t="inlineStr">
        <is>
          <t>3.827911</t>
        </is>
      </c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True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0.52381</t>
        </is>
      </c>
      <c r="DK141" s="24" t="n"/>
      <c r="DL141" s="24" t="n"/>
      <c r="DM141" s="24" t="n"/>
      <c r="DN141" s="24" t="n"/>
      <c r="DO141" s="24" t="n"/>
      <c r="DP141" s="24" t="n"/>
      <c r="DQ141" s="24" t="inlineStr">
        <is>
          <t>{"adjustment": {"applied": true, "availability": {"availability_points_gap": 2.7574768025, "availability_report_age_hours": 0.1390447653, "availability_source_conflict_count": 0, "availability_source_conflicts": [], "availability_uncertainty": 0.0916760995, "away_available_minutes_share": 0.698914805, "home_available_minutes_share": 0.94795946, "source_evidence": {"espn_observed_at_utc": "2026-09-17T22:04:32.317807+00:00", "espn_snapshot_hash": "cbac2851c72232a82436e940c6cc85171ad537623d9f74627b1b90e389e2c19b", "official_observed_at_utc": "2026-09-17T22:04:31.750561+00:00", "official_report_at_utc": "2026-09-17T22:00:00+00:00", "official_snapshot_hash": "4fabae0694cdbee14b922e737dbe20b495a847d613052478c6b7b7b091e427cf", "prior_hash": "7e250593fbef1c82f5731791e55b01aa338e8bb9e7e5ef9afd0cdc5123bad7a7", "prior_observed_at_utc": "2026-09-17T22:04:31.631204+00:00"}}, "margin_sigma": 14.500534416689487, "method": "wnba_probit_v1", "minimum_delta": 0.05, "points_gap": 2.7574768025},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0.7573205828772855, "event_id": "401857190", "event_start_utc": "2026-09-17T23:30:00+00:00", "features": {"defensive_trend_gap": 3.8279109999999994, "elo_probability": 0.8777916043307706, "trend_gap": 4.4791229999999995}, "historical_source_observation_times_verified": false, "model_version": "wnba-elo-trend-lr-v4", "observed_at_utc": "2026-09-17T22:08:20.561155+00:00", "schema": "learned-moneyline-replay-v1", "served_home_probability": 0.8126955693904345, "snapshot_hash": "0bbeaae32b0ad7240d029d55cdd902753010812f6bbc2ad3646cf75f13f62d26"}</t>
        </is>
      </c>
    </row>
    <row r="142" ht="36" customHeight="1">
      <c r="A142" s="24" t="inlineStr">
        <is>
          <t>174a566bea7c4f54</t>
        </is>
      </c>
      <c r="B142" s="24" t="inlineStr">
        <is>
          <t>2026-09-17T22:08:20.561155Z</t>
        </is>
      </c>
      <c r="C142" s="24" t="inlineStr">
        <is>
          <t>2026-09-17T20:00:00-0400</t>
        </is>
      </c>
      <c r="D142" s="24" t="inlineStr">
        <is>
          <t>401857191</t>
        </is>
      </c>
      <c r="E142" s="24" t="inlineStr">
        <is>
          <t>WNBA</t>
        </is>
      </c>
      <c r="F142" s="24" t="inlineStr">
        <is>
          <t>Washington Mystics</t>
        </is>
      </c>
      <c r="G142" s="24" t="inlineStr">
        <is>
          <t>Chicago Sky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108</v>
      </c>
      <c r="M142" s="27" t="n">
        <v>2.08</v>
      </c>
      <c r="N142" s="28" t="n">
        <v>0.480769</v>
      </c>
      <c r="O142" s="28" t="n">
        <v>0.509188</v>
      </c>
      <c r="P142" s="28" t="n"/>
      <c r="Q142" s="28" t="n">
        <v>0.028419</v>
      </c>
      <c r="R142" s="26" t="n">
        <v>37</v>
      </c>
      <c r="S142" s="29" t="n">
        <v>1</v>
      </c>
      <c r="T142" s="24" t="inlineStr">
        <is>
          <t>wnba-elo-trend-lr-v4</t>
        </is>
      </c>
      <c r="U142" s="24" t="inlineStr">
        <is>
          <t>settled</t>
        </is>
      </c>
      <c r="V142" s="24" t="inlineStr">
        <is>
          <t>loss</t>
        </is>
      </c>
      <c r="W142" s="26" t="n">
        <v>110</v>
      </c>
      <c r="X142" s="26" t="n">
        <v>80</v>
      </c>
      <c r="Y142" s="25" t="n"/>
      <c r="Z142" s="26" t="n">
        <v>108</v>
      </c>
      <c r="AA142" s="28" t="n">
        <v>0.48</v>
      </c>
      <c r="AB142" s="28" t="n">
        <v>-0.000769</v>
      </c>
      <c r="AC142" s="30" t="n">
        <v>-1</v>
      </c>
      <c r="AD142" s="24" t="inlineStr">
        <is>
          <t>2026-09-18T04:45:24.593095Z</t>
        </is>
      </c>
      <c r="AE142" s="31" t="inlineStr">
        <is>
          <t>Learned LR call at threshold 0.5001; executable ask 0.4800 (aec-wnba-wsh-chi-2026-09-17); model edge vs ask +0.0292.</t>
        </is>
      </c>
      <c r="AF142" s="31" t="inlineStr">
        <is>
          <t>Learned model; shadow-qualified via operator override.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wnba-was</t>
        </is>
      </c>
      <c r="AQ142" s="24" t="inlineStr">
        <is>
          <t>Washington Mystics</t>
        </is>
      </c>
      <c r="AR142" s="24" t="inlineStr">
        <is>
          <t>Washington Mystics</t>
        </is>
      </c>
      <c r="AS142" s="24" t="inlineStr">
        <is>
          <t>wnba-chi</t>
        </is>
      </c>
      <c r="AT142" s="24" t="inlineStr">
        <is>
          <t>Chicago Sky</t>
        </is>
      </c>
      <c r="AU142" s="24" t="inlineStr">
        <is>
          <t>Chicago Sky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7afd5274214b58b7efd7f7febc7be3ab33b92351cda5cc6403c0a39faea0cc8c</t>
        </is>
      </c>
      <c r="BB142" s="24" t="inlineStr">
        <is>
          <t>learned_lr</t>
        </is>
      </c>
      <c r="BC142" s="24" t="inlineStr">
        <is>
          <t>wnba-elo-trend-lr-v4</t>
        </is>
      </c>
      <c r="BD142" s="24" t="inlineStr">
        <is>
          <t>7afd5274214b58b7efd7f7febc7be3ab33b92351cda5cc6403c0a39faea0cc8c</t>
        </is>
      </c>
      <c r="BE142" s="24" t="inlineStr">
        <is>
          <t>3c5d9baae8fea7dc</t>
        </is>
      </c>
      <c r="BF142" s="24" t="inlineStr">
        <is>
          <t>1</t>
        </is>
      </c>
      <c r="BG142" s="24" t="inlineStr">
        <is>
          <t>wnba-elo-trend-lr-v4</t>
        </is>
      </c>
      <c r="BH142" s="24" t="inlineStr">
        <is>
          <t>2026-09-17T22:05:05.226657Z</t>
        </is>
      </c>
      <c r="BI142" s="24" t="inlineStr">
        <is>
          <t>["same_event","same_team_same_day","same_league_same_day"]</t>
        </is>
      </c>
      <c r="BJ142" s="25" t="n"/>
      <c r="BK142" s="26" t="n">
        <v>108</v>
      </c>
      <c r="BL142" s="27" t="n">
        <v>2.08</v>
      </c>
      <c r="BM142" s="28" t="n">
        <v>0.480769</v>
      </c>
      <c r="BN142" s="28" t="n">
        <v>0.475248</v>
      </c>
      <c r="BO142" s="28" t="n"/>
      <c r="BP142" s="25" t="n"/>
      <c r="BQ142" s="27" t="n">
        <v>2.08</v>
      </c>
      <c r="BR142" s="28" t="n">
        <v>0.48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inlineStr">
        <is>
          <t>0.3629291006</t>
        </is>
      </c>
      <c r="CD142" s="24" t="inlineStr">
        <is>
          <t>-4.238166</t>
        </is>
      </c>
      <c r="CE142" s="24" t="n"/>
      <c r="CF142" s="24" t="n"/>
      <c r="CG142" s="24" t="n"/>
      <c r="CH142" s="24" t="n"/>
      <c r="CI142" s="24" t="n"/>
      <c r="CJ142" s="24" t="inlineStr">
        <is>
          <t>0.602947</t>
        </is>
      </c>
      <c r="CK142" s="24" t="n"/>
      <c r="CL142" s="24" t="n"/>
      <c r="CM142" s="24" t="n"/>
      <c r="CN142" s="24" t="n"/>
      <c r="CO142" s="24" t="n"/>
      <c r="CP142" s="24" t="n"/>
      <c r="CQ142" s="24" t="n"/>
      <c r="CR142" s="24" t="inlineStr">
        <is>
          <t>0.509188</t>
        </is>
      </c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inlineStr">
        <is>
          <t>2026-09-17T22:05:05.226657Z</t>
        </is>
      </c>
      <c r="CZ142" s="24" t="inlineStr">
        <is>
          <t>True</t>
        </is>
      </c>
      <c r="DA142" s="24" t="inlineStr">
        <is>
          <t>polymarket_us</t>
        </is>
      </c>
      <c r="DB142" s="24" t="inlineStr">
        <is>
          <t>decision_time_executable_quote</t>
        </is>
      </c>
      <c r="DC142" s="24" t="inlineStr">
        <is>
          <t>False</t>
        </is>
      </c>
      <c r="DD142" s="24" t="inlineStr">
        <is>
          <t>2a4152436ddc7e6ea4e5f8d0353becfee1cd4c455e86cd6d9c4ccb9efbc2ab64</t>
        </is>
      </c>
      <c r="DE142" s="24" t="inlineStr">
        <is>
          <t>/Users/vincentc9002/model-prediction/data/odds/wnba/2026-09-17/polymarket_snapshots.jsonl</t>
        </is>
      </c>
      <c r="DF142" s="24" t="inlineStr">
        <is>
          <t>2a4152436ddc7e6ea4e5f8d0353becfee1cd4c455e86cd6d9c4ccb9efbc2ab64</t>
        </is>
      </c>
      <c r="DG142" s="24" t="n"/>
      <c r="DH142" s="24" t="n"/>
      <c r="DI142" s="24" t="n"/>
      <c r="DJ142" s="24" t="inlineStr">
        <is>
          <t>0.480769</t>
        </is>
      </c>
      <c r="DK142" s="24" t="n"/>
      <c r="DL142" s="24" t="n"/>
      <c r="DM142" s="24" t="n"/>
      <c r="DN142" s="24" t="n"/>
      <c r="DO142" s="24" t="n"/>
      <c r="DP142" s="24" t="n"/>
      <c r="DQ142" s="24" t="inlineStr">
        <is>
          <t>{"adjustment": {"applied": true, "availability": {"availability_points_gap": 4.0246754386, "availability_report_age_hours": 0.1390447653, "availability_source_conflict_count": 0, "availability_source_conflicts": [], "availability_uncertainty": 1.1932373415, "away_available_minutes_share": 0.7819148825, "home_available_minutes_share": 0.879396985, "source_evidence": {"espn_observed_at_utc": "2026-09-17T22:04:32.539894+00:00", "espn_snapshot_hash": "621d88a0e2df306de92c6520f1b9a1baaeb4e2cef714df7b68962213323ba0dd", "official_observed_at_utc": "2026-09-17T22:04:31.750561+00:00", "official_report_at_utc": "2026-09-17T22:00:00+00:00", "official_snapshot_hash": "4fabae0694cdbee14b922e737dbe20b495a847d613052478c6b7b7b091e427cf", "prior_hash": "7e250593fbef1c82f5731791e55b01aa338e8bb9e7e5ef9afd0cdc5123bad7a7", "prior_observed_at_utc": "2026-09-17T22:04:31.631204+00:00"}}, "margin_sigma": 14.500534416689487, "method": "wnba_probit_v1", "minimum_delta": 0.05, "points_gap": 4.0246754386},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0.39954661380909756, "event_id": "401857191", "event_start_utc": "2026-09-18T00:00:00+00:00", "features": {"defensive_trend_gap": 0.6029470000000001, "elo_probability": 0.3629291005811976, "trend_gap": -4.238166}, "historical_source_observation_times_verified": false, "model_version": "wnba-elo-trend-lr-v4", "observed_at_utc": "2026-09-17T22:08:20.561155+00:00", "schema": "learned-moneyline-replay-v1", "served_home_probability": 0.5091879380338395, "snapshot_hash": "4de06da27007befd62aa2cc6359d3c6440735a53a123b82bd0064c4a282cbd7f"}</t>
        </is>
      </c>
    </row>
    <row r="143" ht="36" customHeight="1">
      <c r="A143" s="24" t="inlineStr">
        <is>
          <t>6015fc50846b4b6c</t>
        </is>
      </c>
      <c r="B143" s="24" t="inlineStr">
        <is>
          <t>2026-09-17T22:08:20.561155Z</t>
        </is>
      </c>
      <c r="C143" s="24" t="inlineStr">
        <is>
          <t>2026-09-17T20:00:00-0400</t>
        </is>
      </c>
      <c r="D143" s="24" t="inlineStr">
        <is>
          <t>401857192</t>
        </is>
      </c>
      <c r="E143" s="24" t="inlineStr">
        <is>
          <t>WNBA</t>
        </is>
      </c>
      <c r="F143" s="24" t="inlineStr">
        <is>
          <t>Los Angeles Sparks</t>
        </is>
      </c>
      <c r="G143" s="24" t="inlineStr">
        <is>
          <t>Dallas Wings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model_opinion_no_executable_quote</t>
        </is>
      </c>
      <c r="L143" s="26" t="n">
        <v>-110</v>
      </c>
      <c r="M143" s="27" t="n">
        <v>1.909091</v>
      </c>
      <c r="N143" s="28" t="n">
        <v>0.52381</v>
      </c>
      <c r="O143" s="28" t="n">
        <v>0.707062</v>
      </c>
      <c r="P143" s="28" t="n"/>
      <c r="Q143" s="28" t="n">
        <v>0.183252</v>
      </c>
      <c r="R143" s="26" t="n">
        <v>100</v>
      </c>
      <c r="S143" s="29" t="n">
        <v>2</v>
      </c>
      <c r="T143" s="24" t="inlineStr">
        <is>
          <t>wnba-elo-trend-lr-v4</t>
        </is>
      </c>
      <c r="U143" s="24" t="inlineStr">
        <is>
          <t>settled</t>
        </is>
      </c>
      <c r="V143" s="24" t="inlineStr">
        <is>
          <t>win</t>
        </is>
      </c>
      <c r="W143" s="26" t="n">
        <v>77</v>
      </c>
      <c r="X143" s="26" t="n">
        <v>97</v>
      </c>
      <c r="Y143" s="25" t="n"/>
      <c r="Z143" s="26" t="n"/>
      <c r="AA143" s="28" t="n"/>
      <c r="AB143" s="28" t="n"/>
      <c r="AC143" s="30" t="n">
        <v>1.8182</v>
      </c>
      <c r="AD143" s="24" t="inlineStr">
        <is>
          <t>2026-09-18T04:45:25.507147Z</t>
        </is>
      </c>
      <c r="AE143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3" s="31" t="inlineStr">
        <is>
          <t>Learned model; shadow-qualified via operator override.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PAPER_CALL_MARKET_UNAVAILABLE</t>
        </is>
      </c>
      <c r="AP143" s="24" t="inlineStr">
        <is>
          <t>wnba-las</t>
        </is>
      </c>
      <c r="AQ143" s="24" t="inlineStr">
        <is>
          <t>Los Angeles Sparks</t>
        </is>
      </c>
      <c r="AR143" s="24" t="inlineStr">
        <is>
          <t>Los Angeles Sparks</t>
        </is>
      </c>
      <c r="AS143" s="24" t="inlineStr">
        <is>
          <t>wnba-dal</t>
        </is>
      </c>
      <c r="AT143" s="24" t="inlineStr">
        <is>
          <t>Dallas Wings</t>
        </is>
      </c>
      <c r="AU143" s="24" t="inlineStr">
        <is>
          <t>Dallas Wings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7afd5274214b58b7efd7f7febc7be3ab33b92351cda5cc6403c0a39faea0cc8c</t>
        </is>
      </c>
      <c r="BB143" s="24" t="inlineStr">
        <is>
          <t>learned_lr</t>
        </is>
      </c>
      <c r="BC143" s="24" t="inlineStr">
        <is>
          <t>wnba-elo-trend-lr-v4</t>
        </is>
      </c>
      <c r="BD143" s="24" t="inlineStr">
        <is>
          <t>7afd5274214b58b7efd7f7febc7be3ab33b92351cda5cc6403c0a39faea0cc8c</t>
        </is>
      </c>
      <c r="BE143" s="24" t="inlineStr">
        <is>
          <t>0e653577733ecf0c</t>
        </is>
      </c>
      <c r="BF143" s="24" t="inlineStr">
        <is>
          <t>1</t>
        </is>
      </c>
      <c r="BG143" s="24" t="inlineStr">
        <is>
          <t>wnba-elo-trend-lr-v4</t>
        </is>
      </c>
      <c r="BH143" s="24" t="inlineStr">
        <is>
          <t>2026-09-17T22:08:20.561155Z</t>
        </is>
      </c>
      <c r="BI143" s="24" t="inlineStr">
        <is>
          <t>["same_event","same_team_same_day","same_league_same_day"]</t>
        </is>
      </c>
      <c r="BJ143" s="25" t="n"/>
      <c r="BK143" s="26" t="n">
        <v>-110</v>
      </c>
      <c r="BL143" s="27" t="n">
        <v>1.909091</v>
      </c>
      <c r="BM143" s="28" t="n">
        <v>0.52381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>
        <v>1</v>
      </c>
      <c r="BY143" s="27" t="n">
        <v>0.909091</v>
      </c>
      <c r="BZ143" s="24" t="inlineStr">
        <is>
          <t>2026-09-18T04:45:25.507147Z</t>
        </is>
      </c>
      <c r="CA143" s="31" t="inlineStr">
        <is>
          <t>fixed one-unit hypothetical scoring; no real exposure or execution</t>
        </is>
      </c>
      <c r="CB143" s="24" t="n"/>
      <c r="CC143" s="24" t="inlineStr">
        <is>
          <t>0.7911867696</t>
        </is>
      </c>
      <c r="CD143" s="24" t="inlineStr">
        <is>
          <t>3.575005</t>
        </is>
      </c>
      <c r="CE143" s="24" t="n"/>
      <c r="CF143" s="24" t="n"/>
      <c r="CG143" s="24" t="n"/>
      <c r="CH143" s="24" t="n"/>
      <c r="CI143" s="24" t="inlineStr">
        <is>
          <t>executable_quote_missing_or_unmatched</t>
        </is>
      </c>
      <c r="CJ143" s="24" t="inlineStr">
        <is>
          <t>0.949842</t>
        </is>
      </c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0.52381</t>
        </is>
      </c>
      <c r="DK143" s="24" t="n"/>
      <c r="DL143" s="24" t="n"/>
      <c r="DM143" s="24" t="n"/>
      <c r="DN143" s="24" t="n"/>
      <c r="DO143" s="24" t="n"/>
      <c r="DP143" s="24" t="n"/>
      <c r="DQ143" s="24" t="inlineStr">
        <is>
          <t>{"adjustment": {"applied": false, "availability": {"availability_points_gap": -0.9639895008, "availability_report_age_hours": 0.1390447653, "availability_source_conflict_count": 0, "availability_source_conflicts": [], "availability_uncertainty": 0.0, "away_available_minutes_share": 1.0, "home_available_minutes_share": 0.7856289, "source_evidence": {"espn_observed_at_utc": "2026-09-17T22:04:32.793504+00:00", "espn_snapshot_hash": "45656a30abd7a6e3bc01fca49c78ab446e9e09f79361ef1ec76377eae161e7bb", "official_observed_at_utc": "2026-09-17T22:04:31.750561+00:00", "official_report_at_utc": "2026-09-17T22:00:00+00:00", "official_snapshot_hash": "4fabae0694cdbee14b922e737dbe20b495a847d613052478c6b7b7b091e427cf", "prior_hash": "7e250593fbef1c82f5731791e55b01aa338e8bb9e7e5ef9afd0cdc5123bad7a7", "prior_observed_at_utc": "2026-09-17T22:04:31.631204+00:00"}}, "margin_sigma": 14.500534416689487, "method": "wnba_probit_v1", "minimum_delta": 0.05, "points_gap": -0.9639895008},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0.7070618545843091, "event_id": "401857192", "event_start_utc": "2026-09-18T00:00:00+00:00", "features": {"defensive_trend_gap": 0.9498419999999994, "elo_probability": 0.79118676955054, "trend_gap": 3.575005}, "historical_source_observation_times_verified": false, "model_version": "wnba-elo-trend-lr-v4", "observed_at_utc": "2026-09-17T22:08:20.561155+00:00", "schema": "learned-moneyline-replay-v1", "served_home_probability": 0.7070618545843091, "snapshot_hash": "cdcd5df7c16f81e1c8ab27a8834d8f6a06b64614ed2de0faf465cf0fbd3d4a1e"}</t>
        </is>
      </c>
    </row>
    <row r="144" ht="36" customHeight="1">
      <c r="A144" s="24" t="inlineStr">
        <is>
          <t>e76c060d5f7d4d1e</t>
        </is>
      </c>
      <c r="B144" s="24" t="inlineStr">
        <is>
          <t>2026-09-17T22:08:20.561155Z</t>
        </is>
      </c>
      <c r="C144" s="24" t="inlineStr">
        <is>
          <t>2026-09-17T22:00:00-0400</t>
        </is>
      </c>
      <c r="D144" s="24" t="inlineStr">
        <is>
          <t>401857193</t>
        </is>
      </c>
      <c r="E144" s="24" t="inlineStr">
        <is>
          <t>WNBA</t>
        </is>
      </c>
      <c r="F144" s="24" t="inlineStr">
        <is>
          <t>Phoenix Mercury</t>
        </is>
      </c>
      <c r="G144" s="24" t="inlineStr">
        <is>
          <t>Portland Fire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144</v>
      </c>
      <c r="M144" s="27" t="n">
        <v>2.44</v>
      </c>
      <c r="N144" s="28" t="n">
        <v>0.409836</v>
      </c>
      <c r="O144" s="28" t="n">
        <v>0.622517</v>
      </c>
      <c r="P144" s="28" t="n"/>
      <c r="Q144" s="28" t="n">
        <v>0.212681</v>
      </c>
      <c r="R144" s="26" t="n">
        <v>100</v>
      </c>
      <c r="S144" s="29" t="n">
        <v>2</v>
      </c>
      <c r="T144" s="24" t="inlineStr">
        <is>
          <t>wnba-elo-trend-lr-v4</t>
        </is>
      </c>
      <c r="U144" s="24" t="inlineStr">
        <is>
          <t>settled</t>
        </is>
      </c>
      <c r="V144" s="24" t="inlineStr">
        <is>
          <t>loss</t>
        </is>
      </c>
      <c r="W144" s="26" t="n">
        <v>94</v>
      </c>
      <c r="X144" s="26" t="n">
        <v>91</v>
      </c>
      <c r="Y144" s="25" t="n"/>
      <c r="Z144" s="26" t="n">
        <v>144</v>
      </c>
      <c r="AA144" s="28" t="n">
        <v>0.41</v>
      </c>
      <c r="AB144" s="28" t="n">
        <v>0.000164</v>
      </c>
      <c r="AC144" s="30" t="n">
        <v>-2</v>
      </c>
      <c r="AD144" s="24" t="inlineStr">
        <is>
          <t>2026-09-18T04:45:26.314443Z</t>
        </is>
      </c>
      <c r="AE144" s="31" t="inlineStr">
        <is>
          <t>Learned LR call at threshold 0.5001; executable ask 0.4100 (aec-wnba-phx-por-2026-09-17); model edge vs ask +0.2125. NOTE: NO_CALL_AVAILABILITY_SOURCE_CONFLICT unavailable for this game — defaulted to neutral, other features used normally.</t>
        </is>
      </c>
      <c r="AF144" s="31" t="inlineStr">
        <is>
          <t>Learned model; shadow-qualified via operator override.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4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wnba-phx</t>
        </is>
      </c>
      <c r="AQ144" s="24" t="inlineStr">
        <is>
          <t>Phoenix Mercury</t>
        </is>
      </c>
      <c r="AR144" s="24" t="inlineStr">
        <is>
          <t>Phoenix Mercury</t>
        </is>
      </c>
      <c r="AS144" s="24" t="inlineStr">
        <is>
          <t>wnba-por</t>
        </is>
      </c>
      <c r="AT144" s="24" t="inlineStr">
        <is>
          <t>Portland Fire</t>
        </is>
      </c>
      <c r="AU144" s="24" t="inlineStr">
        <is>
          <t>Portland Fire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7afd5274214b58b7efd7f7febc7be3ab33b92351cda5cc6403c0a39faea0cc8c</t>
        </is>
      </c>
      <c r="BB144" s="24" t="inlineStr">
        <is>
          <t>learned_lr</t>
        </is>
      </c>
      <c r="BC144" s="24" t="inlineStr">
        <is>
          <t>wnba-elo-trend-lr-v4</t>
        </is>
      </c>
      <c r="BD144" s="24" t="inlineStr">
        <is>
          <t>7afd5274214b58b7efd7f7febc7be3ab33b92351cda5cc6403c0a39faea0cc8c</t>
        </is>
      </c>
      <c r="BE144" s="24" t="inlineStr">
        <is>
          <t>1e148027a6ab0df9</t>
        </is>
      </c>
      <c r="BF144" s="24" t="inlineStr">
        <is>
          <t>1</t>
        </is>
      </c>
      <c r="BG144" s="24" t="inlineStr">
        <is>
          <t>wnba-elo-trend-lr-v4</t>
        </is>
      </c>
      <c r="BH144" s="24" t="inlineStr">
        <is>
          <t>2026-09-17T22:05:16.673735Z</t>
        </is>
      </c>
      <c r="BI144" s="24" t="inlineStr">
        <is>
          <t>["same_event","same_team_same_day","same_league_same_day"]</t>
        </is>
      </c>
      <c r="BJ144" s="25" t="n"/>
      <c r="BK144" s="26" t="n">
        <v>144</v>
      </c>
      <c r="BL144" s="27" t="n">
        <v>2.44</v>
      </c>
      <c r="BM144" s="28" t="n">
        <v>0.409836</v>
      </c>
      <c r="BN144" s="28" t="n">
        <v>0.405941</v>
      </c>
      <c r="BO144" s="28" t="n"/>
      <c r="BP144" s="25" t="n"/>
      <c r="BQ144" s="27" t="n">
        <v>2.44</v>
      </c>
      <c r="BR144" s="28" t="n">
        <v>0.41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inlineStr">
        <is>
          <t>0.661168019</t>
        </is>
      </c>
      <c r="CD144" s="24" t="inlineStr">
        <is>
          <t>-0.446901</t>
        </is>
      </c>
      <c r="CE144" s="24" t="n"/>
      <c r="CF144" s="24" t="n"/>
      <c r="CG144" s="24" t="n"/>
      <c r="CH144" s="24" t="n"/>
      <c r="CI144" s="24" t="inlineStr">
        <is>
          <t>NO_CALL_AVAILABILITY_SOURCE_CONFLICT</t>
        </is>
      </c>
      <c r="CJ144" s="24" t="inlineStr">
        <is>
          <t>1.139278</t>
        </is>
      </c>
      <c r="CK144" s="24" t="n"/>
      <c r="CL144" s="24" t="n"/>
      <c r="CM144" s="24" t="n"/>
      <c r="CN144" s="24" t="n"/>
      <c r="CO144" s="24" t="n"/>
      <c r="CP144" s="24" t="n"/>
      <c r="CQ144" s="24" t="n"/>
      <c r="CR144" s="24" t="inlineStr">
        <is>
          <t>0.622517</t>
        </is>
      </c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inlineStr">
        <is>
          <t>2026-09-17T22:05:16.673735Z</t>
        </is>
      </c>
      <c r="CZ144" s="24" t="inlineStr">
        <is>
          <t>True</t>
        </is>
      </c>
      <c r="DA144" s="24" t="inlineStr">
        <is>
          <t>polymarket_us</t>
        </is>
      </c>
      <c r="DB144" s="24" t="inlineStr">
        <is>
          <t>decision_time_executable_quote</t>
        </is>
      </c>
      <c r="DC144" s="24" t="inlineStr">
        <is>
          <t>False</t>
        </is>
      </c>
      <c r="DD144" s="24" t="inlineStr">
        <is>
          <t>9cbc27dc280c7538b22bb5a27a1c10cfcd480dfc13926ccd1dcf9e6b5e7c738c</t>
        </is>
      </c>
      <c r="DE144" s="24" t="inlineStr">
        <is>
          <t>/Users/vincentc9002/model-prediction/data/odds/wnba/2026-09-17/polymarket_snapshots.jsonl</t>
        </is>
      </c>
      <c r="DF144" s="24" t="inlineStr">
        <is>
          <t>9cbc27dc280c7538b22bb5a27a1c10cfcd480dfc13926ccd1dcf9e6b5e7c738c</t>
        </is>
      </c>
      <c r="DG144" s="24" t="n"/>
      <c r="DH144" s="24" t="n"/>
      <c r="DI144" s="24" t="n"/>
      <c r="DJ144" s="24" t="inlineStr">
        <is>
          <t>0.409836</t>
        </is>
      </c>
      <c r="DK144" s="24" t="n"/>
      <c r="DL144" s="24" t="n"/>
      <c r="DM144" s="24" t="n"/>
      <c r="DN144" s="24" t="n"/>
      <c r="DO144" s="24" t="n"/>
      <c r="DP144" s="24" t="n"/>
      <c r="DQ144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0.6225169356394517, "event_id": "401857193", "event_start_utc": "2026-09-18T02:00:00+00:00", "features": {"defensive_trend_gap": 1.139278, "elo_probability": 0.6611680189874852, "trend_gap": -0.446901}, "historical_source_observation_times_verified": false, "model_version": "wnba-elo-trend-lr-v4", "observed_at_utc": "2026-09-17T22:08:20.561155+00:00", "schema": "learned-moneyline-replay-v1", "served_home_probability": 0.6225169356394517, "snapshot_hash": "8850bf474350dd449b9fe8c722079a6414842e03bf75efa73bc936bf79ddb543"}</t>
        </is>
      </c>
    </row>
    <row r="145" ht="36" customHeight="1">
      <c r="A145" s="24" t="inlineStr">
        <is>
          <t>874e501405db4a8d</t>
        </is>
      </c>
      <c r="B145" s="24" t="inlineStr">
        <is>
          <t>2026-09-17T22:08:20.561155Z</t>
        </is>
      </c>
      <c r="C145" s="24" t="inlineStr">
        <is>
          <t>2026-09-17T22:00:00-0400</t>
        </is>
      </c>
      <c r="D145" s="24" t="inlineStr">
        <is>
          <t>401857194</t>
        </is>
      </c>
      <c r="E145" s="24" t="inlineStr">
        <is>
          <t>WNBA</t>
        </is>
      </c>
      <c r="F145" s="24" t="inlineStr">
        <is>
          <t>Las Vegas Aces</t>
        </is>
      </c>
      <c r="G145" s="24" t="inlineStr">
        <is>
          <t>Seattle Storm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model_opinion_no_executable_quote</t>
        </is>
      </c>
      <c r="L145" s="26" t="n">
        <v>-110</v>
      </c>
      <c r="M145" s="27" t="n">
        <v>1.909091</v>
      </c>
      <c r="N145" s="28" t="n">
        <v>0.52381</v>
      </c>
      <c r="O145" s="28" t="n">
        <v>0.710266</v>
      </c>
      <c r="P145" s="28" t="n"/>
      <c r="Q145" s="28" t="n">
        <v>0.186456</v>
      </c>
      <c r="R145" s="26" t="n">
        <v>100</v>
      </c>
      <c r="S145" s="29" t="n">
        <v>2</v>
      </c>
      <c r="T145" s="24" t="inlineStr">
        <is>
          <t>wnba-elo-trend-lr-v4</t>
        </is>
      </c>
      <c r="U145" s="24" t="inlineStr">
        <is>
          <t>settled</t>
        </is>
      </c>
      <c r="V145" s="24" t="inlineStr">
        <is>
          <t>win</t>
        </is>
      </c>
      <c r="W145" s="26" t="n">
        <v>114</v>
      </c>
      <c r="X145" s="26" t="n">
        <v>77</v>
      </c>
      <c r="Y145" s="25" t="n"/>
      <c r="Z145" s="26" t="n"/>
      <c r="AA145" s="28" t="n"/>
      <c r="AB145" s="28" t="n"/>
      <c r="AC145" s="30" t="n">
        <v>1.8182</v>
      </c>
      <c r="AD145" s="24" t="inlineStr">
        <is>
          <t>2026-09-18T04:45:27.120883Z</t>
        </is>
      </c>
      <c r="AE145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5" s="31" t="inlineStr">
        <is>
          <t>Learned model; shadow-qualified via operator override.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PAPER_CALL_MARKET_UNAVAILABLE</t>
        </is>
      </c>
      <c r="AP145" s="24" t="inlineStr">
        <is>
          <t>wnba-lva</t>
        </is>
      </c>
      <c r="AQ145" s="24" t="inlineStr">
        <is>
          <t>Las Vegas Aces</t>
        </is>
      </c>
      <c r="AR145" s="24" t="inlineStr">
        <is>
          <t>Las Vegas Aces</t>
        </is>
      </c>
      <c r="AS145" s="24" t="inlineStr">
        <is>
          <t>wnba-sea</t>
        </is>
      </c>
      <c r="AT145" s="24" t="inlineStr">
        <is>
          <t>Seattle Storm</t>
        </is>
      </c>
      <c r="AU145" s="24" t="inlineStr">
        <is>
          <t>Seattle Storm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7afd5274214b58b7efd7f7febc7be3ab33b92351cda5cc6403c0a39faea0cc8c</t>
        </is>
      </c>
      <c r="BB145" s="24" t="inlineStr">
        <is>
          <t>learned_lr</t>
        </is>
      </c>
      <c r="BC145" s="24" t="inlineStr">
        <is>
          <t>wnba-elo-trend-lr-v4</t>
        </is>
      </c>
      <c r="BD145" s="24" t="inlineStr">
        <is>
          <t>7afd5274214b58b7efd7f7febc7be3ab33b92351cda5cc6403c0a39faea0cc8c</t>
        </is>
      </c>
      <c r="BE145" s="24" t="inlineStr">
        <is>
          <t>0a7d17465e1bedbc</t>
        </is>
      </c>
      <c r="BF145" s="24" t="inlineStr">
        <is>
          <t>1</t>
        </is>
      </c>
      <c r="BG145" s="24" t="inlineStr">
        <is>
          <t>wnba-elo-trend-lr-v4</t>
        </is>
      </c>
      <c r="BH145" s="24" t="inlineStr">
        <is>
          <t>2026-09-17T22:08:20.561155Z</t>
        </is>
      </c>
      <c r="BI145" s="24" t="inlineStr">
        <is>
          <t>["same_event","same_team_same_day","same_league_same_day"]</t>
        </is>
      </c>
      <c r="BJ145" s="25" t="n"/>
      <c r="BK145" s="26" t="n">
        <v>-110</v>
      </c>
      <c r="BL145" s="27" t="n">
        <v>1.909091</v>
      </c>
      <c r="BM145" s="28" t="n">
        <v>0.52381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>
        <v>1</v>
      </c>
      <c r="BY145" s="27" t="n">
        <v>0.909091</v>
      </c>
      <c r="BZ145" s="24" t="inlineStr">
        <is>
          <t>2026-09-18T04:45:27.120883Z</t>
        </is>
      </c>
      <c r="CA145" s="31" t="inlineStr">
        <is>
          <t>fixed one-unit hypothetical scoring; no real exposure or execution</t>
        </is>
      </c>
      <c r="CB145" s="24" t="n"/>
      <c r="CC145" s="24" t="inlineStr">
        <is>
          <t>0.2071087067</t>
        </is>
      </c>
      <c r="CD145" s="24" t="inlineStr">
        <is>
          <t>-2.428841</t>
        </is>
      </c>
      <c r="CE145" s="24" t="n"/>
      <c r="CF145" s="24" t="n"/>
      <c r="CG145" s="24" t="n"/>
      <c r="CH145" s="24" t="n"/>
      <c r="CI145" s="24" t="inlineStr">
        <is>
          <t>executable_quote_missing_or_unmatched</t>
        </is>
      </c>
      <c r="CJ145" s="24" t="inlineStr">
        <is>
          <t>-3.243818</t>
        </is>
      </c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0.52381</t>
        </is>
      </c>
      <c r="DK145" s="24" t="n"/>
      <c r="DL145" s="24" t="n"/>
      <c r="DM145" s="24" t="n"/>
      <c r="DN145" s="24" t="n"/>
      <c r="DO145" s="24" t="n"/>
      <c r="DP145" s="24" t="n"/>
      <c r="DQ145" s="24" t="inlineStr">
        <is>
          <t>{"adjustment": {"applied": false, "availability": {"availability_points_gap": 1.7075259458, "availability_report_age_hours": 0.1390447653, "availability_source_conflict_count": 0, "availability_source_conflicts": [], "availability_uncertainty": 0.1576247818, "away_available_minutes_share": 0.906720745, "home_available_minutes_share": 0.7369142125, "source_evidence": {"espn_observed_at_utc": "2026-09-17T22:04:33.175283+00:00", "espn_snapshot_hash": "01ab8a1b7c42559d6017c999ec7e8e6b2d7541327f53bccadbd5e17e038d6d88", "official_observed_at_utc": "2026-09-17T22:04:31.750561+00:00", "official_report_at_utc": "2026-09-17T22:00:00+00:00", "official_snapshot_hash": "4fabae0694cdbee14b922e737dbe20b495a847d613052478c6b7b7b091e427cf", "prior_hash": "7e250593fbef1c82f5731791e55b01aa338e8bb9e7e5ef9afd0cdc5123bad7a7", "prior_observed_at_utc": "2026-09-17T22:04:31.631204+00:00"}}, "margin_sigma": 14.500534416689487, "method": "wnba_probit_v1", "minimum_delta": 0.05, "points_gap": 1.7075259458},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0.2897343264035063, "event_id": "401857194", "event_start_utc": "2026-09-18T02:00:00+00:00", "features": {"defensive_trend_gap": -3.243818, "elo_probability": 0.20710870668775186, "trend_gap": -2.4288410000000002}, "historical_source_observation_times_verified": false, "model_version": "wnba-elo-trend-lr-v4", "observed_at_utc": "2026-09-17T22:08:20.561155+00:00", "schema": "learned-moneyline-replay-v1", "served_home_probability": 0.2897343264035063, "snapshot_hash": "754abafdfd5504339023199c42f3a48c740bf965c53e9cb4ff061c837d100ce0"}</t>
        </is>
      </c>
    </row>
    <row r="146" ht="36" customHeight="1">
      <c r="A146" s="24" t="inlineStr">
        <is>
          <t>a6445b9f945f4c05</t>
        </is>
      </c>
      <c r="B146" s="24" t="inlineStr">
        <is>
          <t>2026-09-17T22:08:37.205467Z</t>
        </is>
      </c>
      <c r="C146" s="24" t="inlineStr">
        <is>
          <t>2026-09-17T23:30Z</t>
        </is>
      </c>
      <c r="D146" s="24" t="inlineStr">
        <is>
          <t>401857190</t>
        </is>
      </c>
      <c r="E146" s="24" t="inlineStr">
        <is>
          <t>WNBA</t>
        </is>
      </c>
      <c r="F146" s="24" t="inlineStr">
        <is>
          <t>Connecticut Sun</t>
        </is>
      </c>
      <c r="G146" s="24" t="inlineStr">
        <is>
          <t>Atlanta Dream</t>
        </is>
      </c>
      <c r="H146" s="24" t="inlineStr">
        <is>
          <t>total</t>
        </is>
      </c>
      <c r="I146" s="24" t="inlineStr">
        <is>
          <t>over</t>
        </is>
      </c>
      <c r="J146" s="25" t="n">
        <v>169.5</v>
      </c>
      <c r="K146" s="24" t="inlineStr">
        <is>
          <t>polymarket_us</t>
        </is>
      </c>
      <c r="L146" s="26" t="n">
        <v>100</v>
      </c>
      <c r="M146" s="27" t="n">
        <v>2</v>
      </c>
      <c r="N146" s="28" t="n">
        <v>0.5</v>
      </c>
      <c r="O146" s="28" t="n">
        <v>0.537925</v>
      </c>
      <c r="P146" s="28" t="n">
        <v>0.03</v>
      </c>
      <c r="Q146" s="28" t="n">
        <v>0.037925</v>
      </c>
      <c r="R146" s="26" t="n">
        <v>51</v>
      </c>
      <c r="S146" s="29" t="n">
        <v>1</v>
      </c>
      <c r="T146" s="24" t="inlineStr">
        <is>
          <t>wnba-total-margin-v2</t>
        </is>
      </c>
      <c r="U146" s="24" t="inlineStr">
        <is>
          <t>settled</t>
        </is>
      </c>
      <c r="V146" s="24" t="inlineStr">
        <is>
          <t>loss</t>
        </is>
      </c>
      <c r="W146" s="26" t="n">
        <v>59</v>
      </c>
      <c r="X146" s="26" t="n">
        <v>103</v>
      </c>
      <c r="Y146" s="25" t="n"/>
      <c r="Z146" s="26" t="n">
        <v>100</v>
      </c>
      <c r="AA146" s="28" t="n">
        <v>0.5</v>
      </c>
      <c r="AB146" s="28" t="n">
        <v>0</v>
      </c>
      <c r="AC146" s="30" t="n">
        <v>-1</v>
      </c>
      <c r="AD146" s="24" t="inlineStr">
        <is>
          <t>2026-09-18T04:57:36.890242Z</t>
        </is>
      </c>
      <c r="AE146" s="31" t="inlineStr">
        <is>
          <t>Projected total 171.0, sd 16.0. Executable ask 0.5000 (tsc-wnba-conn-atl-2026-09-17-169pt5).</t>
        </is>
      </c>
      <c r="AF146" s="31" t="inlineStr">
        <is>
          <t>Research-baseline total model; not yet locked-holdout qualified.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PAPER_CALL_STALE_DATA</t>
        </is>
      </c>
      <c r="AP146" s="24" t="inlineStr">
        <is>
          <t>wnba-con</t>
        </is>
      </c>
      <c r="AQ146" s="24" t="inlineStr">
        <is>
          <t>Connecticut Sun</t>
        </is>
      </c>
      <c r="AR146" s="24" t="inlineStr">
        <is>
          <t>Connecticut Sun</t>
        </is>
      </c>
      <c r="AS146" s="24" t="inlineStr">
        <is>
          <t>wnba-atl</t>
        </is>
      </c>
      <c r="AT146" s="24" t="inlineStr">
        <is>
          <t>Atlanta Dream</t>
        </is>
      </c>
      <c r="AU146" s="24" t="inlineStr">
        <is>
          <t>Atlanta Dream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research</t>
        </is>
      </c>
      <c r="BA146" s="24" t="inlineStr">
        <is>
          <t>9c9b767590bbbb9a7b333eaf9def066d65bf813e735ed73aa27cfb2c609a4ca5</t>
        </is>
      </c>
      <c r="BB146" s="24" t="inlineStr">
        <is>
          <t>total_normal</t>
        </is>
      </c>
      <c r="BC146" s="24" t="inlineStr">
        <is>
          <t>wnba-total-margin-v2</t>
        </is>
      </c>
      <c r="BD146" s="24" t="inlineStr">
        <is>
          <t>9c9b767590bbbb9a7b333eaf9def066d65bf813e735ed73aa27cfb2c609a4ca5</t>
        </is>
      </c>
      <c r="BE146" s="24" t="inlineStr">
        <is>
          <t>wnba-total-margin-v2</t>
        </is>
      </c>
      <c r="BF146" s="24" t="inlineStr">
        <is>
          <t>1</t>
        </is>
      </c>
      <c r="BG146" s="24" t="inlineStr">
        <is>
          <t>9c9b767590bbbb9a7b333eaf9def066d65bf813e735ed73aa27cfb2c609a4ca5</t>
        </is>
      </c>
      <c r="BH146" s="24" t="inlineStr">
        <is>
          <t>2026-09-17T04:37:40.213129Z</t>
        </is>
      </c>
      <c r="BI146" s="24" t="inlineStr">
        <is>
          <t>["same_event","same_team_same_day","same_league_same_day"]</t>
        </is>
      </c>
      <c r="BJ146" s="25" t="n">
        <v>169.5</v>
      </c>
      <c r="BK146" s="26" t="n">
        <v>100</v>
      </c>
      <c r="BL146" s="27" t="n">
        <v>2</v>
      </c>
      <c r="BM146" s="28" t="n">
        <v>0.5</v>
      </c>
      <c r="BN146" s="28" t="n"/>
      <c r="BO146" s="28" t="n"/>
      <c r="BP146" s="25" t="n"/>
      <c r="BQ146" s="27" t="n">
        <v>2</v>
      </c>
      <c r="BR146" s="28" t="n">
        <v>0.5</v>
      </c>
      <c r="BS146" s="28" t="n"/>
      <c r="BT146" s="28" t="n"/>
      <c r="BU146" s="25" t="n"/>
      <c r="BV146" s="29" t="n"/>
      <c r="BW146" s="24" t="n"/>
      <c r="BX146" s="30" t="n">
        <v>1</v>
      </c>
      <c r="BY146" s="27" t="n">
        <v>-1</v>
      </c>
      <c r="BZ146" s="24" t="inlineStr">
        <is>
          <t>2026-09-18T04:57:36.890242Z</t>
        </is>
      </c>
      <c r="CA146" s="31" t="inlineStr">
        <is>
          <t>fixed one-unit hypothetical scoring; no real exposure or execution</t>
        </is>
      </c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inlineStr">
        <is>
          <t>2026-09-17T04:37:40.213129Z</t>
        </is>
      </c>
      <c r="CZ146" s="24" t="inlineStr">
        <is>
          <t>True</t>
        </is>
      </c>
      <c r="DA146" s="24" t="inlineStr">
        <is>
          <t>polymarket_us</t>
        </is>
      </c>
      <c r="DB146" s="24" t="inlineStr">
        <is>
          <t>decision_time_executable_quote</t>
        </is>
      </c>
      <c r="DC146" s="24" t="inlineStr">
        <is>
          <t>False</t>
        </is>
      </c>
      <c r="DD146" s="24" t="inlineStr">
        <is>
          <t>1d52eb860273c626b969e2e4d1c5758f2349cb4f14fbae6ef2e8bb0d0825a2f0</t>
        </is>
      </c>
      <c r="DE146" s="24" t="inlineStr">
        <is>
          <t>/Users/vincentc9002/model-prediction/data/odds/wnba/2026-09-17/polymarket_snapshots.jsonl</t>
        </is>
      </c>
      <c r="DF146" s="24" t="inlineStr">
        <is>
          <t>1d52eb860273c626b969e2e4d1c5758f2349cb4f14fbae6ef2e8bb0d0825a2f0</t>
        </is>
      </c>
      <c r="DG146" s="24" t="n"/>
      <c r="DH146" s="24" t="n"/>
      <c r="DI146" s="24" t="n"/>
      <c r="DJ146" s="24" t="inlineStr">
        <is>
          <t>0.5</t>
        </is>
      </c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"401857190", "event_start_utc": "2026-09-17T23:30Z", "features": {"away_points_hl10": 81.59, "elo_away": 1327.2, "elo_home": 1609.7, "elo_margin": 12.23, "expected_margin": 8.87, "expected_total": 171.02, "history_games": 916, "home_points_hl10": 88.45, "rest_diff": 0.0, "trend_margin": 8.87}, "historical_source_observation_times_verified": false, "inference_inputs": {"line": 169.5, "mean": 171.02332919999998, "sd": 16.0}, "model_version": "wnba-total-margin-v2", "observed_at_utc": "2026-09-17T22:08:36.812252+00:00", "replay_scope": "Exact final classifier/distribution inputs and artifact. Upstream historical feature construction not certified.", "schema": "scalar-artifact-replay-v1", "snapshot_hash": "5c060e3becf33d46bef616fa13d03de45c77cea31259db3c9850a87e5b0f5a1a"}</t>
        </is>
      </c>
    </row>
    <row r="147" ht="36" customHeight="1">
      <c r="A147" s="24" t="inlineStr">
        <is>
          <t>933af6973f254a78</t>
        </is>
      </c>
      <c r="B147" s="24" t="inlineStr">
        <is>
          <t>2026-09-17T22:08:37.205467Z</t>
        </is>
      </c>
      <c r="C147" s="24" t="inlineStr">
        <is>
          <t>2026-09-18T00:00Z</t>
        </is>
      </c>
      <c r="D147" s="24" t="inlineStr">
        <is>
          <t>401857191</t>
        </is>
      </c>
      <c r="E147" s="24" t="inlineStr">
        <is>
          <t>WNBA</t>
        </is>
      </c>
      <c r="F147" s="24" t="inlineStr">
        <is>
          <t>Washington Mystics</t>
        </is>
      </c>
      <c r="G147" s="24" t="inlineStr">
        <is>
          <t>Chicago Sky</t>
        </is>
      </c>
      <c r="H147" s="24" t="inlineStr">
        <is>
          <t>total</t>
        </is>
      </c>
      <c r="I147" s="24" t="inlineStr">
        <is>
          <t>over</t>
        </is>
      </c>
      <c r="J147" s="25" t="n">
        <v>164.5</v>
      </c>
      <c r="K147" s="24" t="inlineStr">
        <is>
          <t>polymarket_us</t>
        </is>
      </c>
      <c r="L147" s="26" t="n">
        <v>-113</v>
      </c>
      <c r="M147" s="27" t="n">
        <v>1.884956</v>
      </c>
      <c r="N147" s="28" t="n">
        <v>0.530516</v>
      </c>
      <c r="O147" s="28" t="n">
        <v>0.630057</v>
      </c>
      <c r="P147" s="28" t="n">
        <v>0.03</v>
      </c>
      <c r="Q147" s="28" t="n">
        <v>0.099541</v>
      </c>
      <c r="R147" s="26" t="n">
        <v>82</v>
      </c>
      <c r="S147" s="29" t="n">
        <v>1.5</v>
      </c>
      <c r="T147" s="24" t="inlineStr">
        <is>
          <t>wnba-total-margin-v2</t>
        </is>
      </c>
      <c r="U147" s="24" t="inlineStr">
        <is>
          <t>settled</t>
        </is>
      </c>
      <c r="V147" s="24" t="inlineStr">
        <is>
          <t>win</t>
        </is>
      </c>
      <c r="W147" s="26" t="n">
        <v>110</v>
      </c>
      <c r="X147" s="26" t="n">
        <v>80</v>
      </c>
      <c r="Y147" s="25" t="n"/>
      <c r="Z147" s="26" t="n">
        <v>-113</v>
      </c>
      <c r="AA147" s="28" t="n">
        <v>0.53</v>
      </c>
      <c r="AB147" s="28" t="n">
        <v>-0.000516</v>
      </c>
      <c r="AC147" s="30" t="n">
        <v>1.3274</v>
      </c>
      <c r="AD147" s="24" t="inlineStr">
        <is>
          <t>2026-09-18T04:57:37.748069Z</t>
        </is>
      </c>
      <c r="AE147" s="31" t="inlineStr">
        <is>
          <t>Projected total 169.8, sd 16.0. Executable ask 0.5300 (tsc-wnba-wsh-chi-2026-09-17-164pt5).</t>
        </is>
      </c>
      <c r="AF147" s="31" t="inlineStr">
        <is>
          <t>Research-baseline total model; not yet locked-holdout qualified.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4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wnba-was</t>
        </is>
      </c>
      <c r="AQ147" s="24" t="inlineStr">
        <is>
          <t>Washington Mystics</t>
        </is>
      </c>
      <c r="AR147" s="24" t="inlineStr">
        <is>
          <t>Washington Mystics</t>
        </is>
      </c>
      <c r="AS147" s="24" t="inlineStr">
        <is>
          <t>wnba-chi</t>
        </is>
      </c>
      <c r="AT147" s="24" t="inlineStr">
        <is>
          <t>Chicago Sky</t>
        </is>
      </c>
      <c r="AU147" s="24" t="inlineStr">
        <is>
          <t>Chicago Sky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research</t>
        </is>
      </c>
      <c r="BA147" s="24" t="inlineStr">
        <is>
          <t>9c9b767590bbbb9a7b333eaf9def066d65bf813e735ed73aa27cfb2c609a4ca5</t>
        </is>
      </c>
      <c r="BB147" s="24" t="inlineStr">
        <is>
          <t>total_normal</t>
        </is>
      </c>
      <c r="BC147" s="24" t="inlineStr">
        <is>
          <t>wnba-total-margin-v2</t>
        </is>
      </c>
      <c r="BD147" s="24" t="inlineStr">
        <is>
          <t>9c9b767590bbbb9a7b333eaf9def066d65bf813e735ed73aa27cfb2c609a4ca5</t>
        </is>
      </c>
      <c r="BE147" s="24" t="inlineStr">
        <is>
          <t>wnba-total-margin-v2</t>
        </is>
      </c>
      <c r="BF147" s="24" t="inlineStr">
        <is>
          <t>1</t>
        </is>
      </c>
      <c r="BG147" s="24" t="inlineStr">
        <is>
          <t>9c9b767590bbbb9a7b333eaf9def066d65bf813e735ed73aa27cfb2c609a4ca5</t>
        </is>
      </c>
      <c r="BH147" s="24" t="inlineStr">
        <is>
          <t>2026-09-17T22:05:05.256039Z</t>
        </is>
      </c>
      <c r="BI147" s="24" t="inlineStr">
        <is>
          <t>["same_event","same_team_same_day","same_league_same_day"]</t>
        </is>
      </c>
      <c r="BJ147" s="25" t="n">
        <v>164.5</v>
      </c>
      <c r="BK147" s="26" t="n">
        <v>-113</v>
      </c>
      <c r="BL147" s="27" t="n">
        <v>1.884956</v>
      </c>
      <c r="BM147" s="28" t="n">
        <v>0.530516</v>
      </c>
      <c r="BN147" s="28" t="n"/>
      <c r="BO147" s="28" t="n"/>
      <c r="BP147" s="25" t="n"/>
      <c r="BQ147" s="27" t="n">
        <v>1.884956</v>
      </c>
      <c r="BR147" s="28" t="n">
        <v>0.53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inlineStr">
        <is>
          <t>2026-09-17T22:05:05.256039Z</t>
        </is>
      </c>
      <c r="CZ147" s="24" t="inlineStr">
        <is>
          <t>True</t>
        </is>
      </c>
      <c r="DA147" s="24" t="inlineStr">
        <is>
          <t>polymarket_us</t>
        </is>
      </c>
      <c r="DB147" s="24" t="inlineStr">
        <is>
          <t>decision_time_executable_quote</t>
        </is>
      </c>
      <c r="DC147" s="24" t="inlineStr">
        <is>
          <t>False</t>
        </is>
      </c>
      <c r="DD147" s="24" t="inlineStr">
        <is>
          <t>82da4eeaacac4a8bddaa853ac6b4000430b308b844859817755d8a6812e5f2b2</t>
        </is>
      </c>
      <c r="DE147" s="24" t="inlineStr">
        <is>
          <t>/Users/vincentc9002/model-prediction/data/odds/wnba/2026-09-17/polymarket_snapshots.jsonl</t>
        </is>
      </c>
      <c r="DF147" s="24" t="inlineStr">
        <is>
          <t>82da4eeaacac4a8bddaa853ac6b4000430b308b844859817755d8a6812e5f2b2</t>
        </is>
      </c>
      <c r="DG147" s="24" t="n"/>
      <c r="DH147" s="24" t="n"/>
      <c r="DI147" s="24" t="n"/>
      <c r="DJ147" s="24" t="inlineStr">
        <is>
          <t>0.530516</t>
        </is>
      </c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"401857191", "event_start_utc": "2026-09-18T00:00Z", "features": {"away_points_hl10": 85.66, "elo_away": 1564.2, "elo_home": 1406.5, "elo_margin": -3.49, "expected_margin": -0.02, "expected_total": 169.81, "history_games": 916, "home_points_hl10": 83.63, "rest_diff": 0.0, "trend_margin": -0.02}, "historical_source_observation_times_verified": false, "inference_inputs": {"line": 164.5, "mean": 169.8120803, "sd": 16.0}, "model_version": "wnba-total-margin-v2", "observed_at_utc": "2026-09-17T22:08:36.812252+00:00", "replay_scope": "Exact final classifier/distribution inputs and artifact. Upstream historical feature construction not certified.", "schema": "scalar-artifact-replay-v1", "snapshot_hash": "cd2d6eda297b340796424d547a2a44d8872625d3c38c2f2ad2431f1236aea10d"}</t>
        </is>
      </c>
    </row>
    <row r="148" ht="36" customHeight="1">
      <c r="A148" s="24" t="inlineStr">
        <is>
          <t>866bd5a42670498e</t>
        </is>
      </c>
      <c r="B148" s="24" t="inlineStr">
        <is>
          <t>2026-09-17T22:08:37.205467Z</t>
        </is>
      </c>
      <c r="C148" s="24" t="inlineStr">
        <is>
          <t>2026-09-18T00:00Z</t>
        </is>
      </c>
      <c r="D148" s="24" t="inlineStr">
        <is>
          <t>401857192</t>
        </is>
      </c>
      <c r="E148" s="24" t="inlineStr">
        <is>
          <t>WNBA</t>
        </is>
      </c>
      <c r="F148" s="24" t="inlineStr">
        <is>
          <t>Los Angeles Sparks</t>
        </is>
      </c>
      <c r="G148" s="24" t="inlineStr">
        <is>
          <t>Dallas Wings</t>
        </is>
      </c>
      <c r="H148" s="24" t="inlineStr">
        <is>
          <t>total</t>
        </is>
      </c>
      <c r="I148" s="24" t="inlineStr">
        <is>
          <t>under</t>
        </is>
      </c>
      <c r="J148" s="25" t="n">
        <v>188.5</v>
      </c>
      <c r="K148" s="24" t="inlineStr">
        <is>
          <t>polymarket_us</t>
        </is>
      </c>
      <c r="L148" s="26" t="n">
        <v>-270</v>
      </c>
      <c r="M148" s="27" t="n">
        <v>1.37037</v>
      </c>
      <c r="N148" s="28" t="n">
        <v>0.72973</v>
      </c>
      <c r="O148" s="28" t="n">
        <v>0.838741</v>
      </c>
      <c r="P148" s="28" t="n">
        <v>0.03</v>
      </c>
      <c r="Q148" s="28" t="n">
        <v>0.109011</v>
      </c>
      <c r="R148" s="26" t="n">
        <v>87</v>
      </c>
      <c r="S148" s="29" t="n">
        <v>1.5</v>
      </c>
      <c r="T148" s="24" t="inlineStr">
        <is>
          <t>wnba-total-margin-v2</t>
        </is>
      </c>
      <c r="U148" s="24" t="inlineStr">
        <is>
          <t>settled</t>
        </is>
      </c>
      <c r="V148" s="24" t="inlineStr">
        <is>
          <t>win</t>
        </is>
      </c>
      <c r="W148" s="26" t="n">
        <v>77</v>
      </c>
      <c r="X148" s="26" t="n">
        <v>97</v>
      </c>
      <c r="Y148" s="25" t="n"/>
      <c r="Z148" s="26" t="n">
        <v>-270</v>
      </c>
      <c r="AA148" s="28" t="n">
        <v>0.73</v>
      </c>
      <c r="AB148" s="28" t="n">
        <v>0.00027</v>
      </c>
      <c r="AC148" s="30" t="n">
        <v>0.5556</v>
      </c>
      <c r="AD148" s="24" t="inlineStr">
        <is>
          <t>2026-09-18T04:57:39.195932Z</t>
        </is>
      </c>
      <c r="AE148" s="31" t="inlineStr">
        <is>
          <t>Projected total 172.7, sd 16.0. Executable ask 0.7300 (tsc-wnba-la-dal-2026-09-17-188pt5).</t>
        </is>
      </c>
      <c r="AF148" s="31" t="inlineStr">
        <is>
          <t>Research-baseline total model; not yet locked-holdout qualified.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PAPER_CALL_STALE_DATA</t>
        </is>
      </c>
      <c r="AP148" s="24" t="inlineStr">
        <is>
          <t>wnba-las</t>
        </is>
      </c>
      <c r="AQ148" s="24" t="inlineStr">
        <is>
          <t>Los Angeles Sparks</t>
        </is>
      </c>
      <c r="AR148" s="24" t="inlineStr">
        <is>
          <t>Los Angeles Sparks</t>
        </is>
      </c>
      <c r="AS148" s="24" t="inlineStr">
        <is>
          <t>wnba-dal</t>
        </is>
      </c>
      <c r="AT148" s="24" t="inlineStr">
        <is>
          <t>Dallas Wings</t>
        </is>
      </c>
      <c r="AU148" s="24" t="inlineStr">
        <is>
          <t>Dallas Wings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research</t>
        </is>
      </c>
      <c r="BA148" s="24" t="inlineStr">
        <is>
          <t>9c9b767590bbbb9a7b333eaf9def066d65bf813e735ed73aa27cfb2c609a4ca5</t>
        </is>
      </c>
      <c r="BB148" s="24" t="inlineStr">
        <is>
          <t>total_normal</t>
        </is>
      </c>
      <c r="BC148" s="24" t="inlineStr">
        <is>
          <t>wnba-total-margin-v2</t>
        </is>
      </c>
      <c r="BD148" s="24" t="inlineStr">
        <is>
          <t>9c9b767590bbbb9a7b333eaf9def066d65bf813e735ed73aa27cfb2c609a4ca5</t>
        </is>
      </c>
      <c r="BE148" s="24" t="inlineStr">
        <is>
          <t>wnba-total-margin-v2</t>
        </is>
      </c>
      <c r="BF148" s="24" t="inlineStr">
        <is>
          <t>1</t>
        </is>
      </c>
      <c r="BG148" s="24" t="inlineStr">
        <is>
          <t>9c9b767590bbbb9a7b333eaf9def066d65bf813e735ed73aa27cfb2c609a4ca5</t>
        </is>
      </c>
      <c r="BH148" s="24" t="inlineStr">
        <is>
          <t>2026-09-17T10:03:35.078327Z</t>
        </is>
      </c>
      <c r="BI148" s="24" t="inlineStr">
        <is>
          <t>["same_event","same_team_same_day","same_league_same_day"]</t>
        </is>
      </c>
      <c r="BJ148" s="25" t="n">
        <v>188.5</v>
      </c>
      <c r="BK148" s="26" t="n">
        <v>-270</v>
      </c>
      <c r="BL148" s="27" t="n">
        <v>1.37037</v>
      </c>
      <c r="BM148" s="28" t="n">
        <v>0.72973</v>
      </c>
      <c r="BN148" s="28" t="n"/>
      <c r="BO148" s="28" t="n"/>
      <c r="BP148" s="25" t="n"/>
      <c r="BQ148" s="27" t="n">
        <v>1.37037</v>
      </c>
      <c r="BR148" s="28" t="n">
        <v>0.73</v>
      </c>
      <c r="BS148" s="28" t="n"/>
      <c r="BT148" s="28" t="n"/>
      <c r="BU148" s="25" t="n"/>
      <c r="BV148" s="29" t="n"/>
      <c r="BW148" s="24" t="n"/>
      <c r="BX148" s="30" t="n">
        <v>1</v>
      </c>
      <c r="BY148" s="27" t="n">
        <v>0.37037</v>
      </c>
      <c r="BZ148" s="24" t="inlineStr">
        <is>
          <t>2026-09-18T04:57:39.195932Z</t>
        </is>
      </c>
      <c r="CA148" s="31" t="inlineStr">
        <is>
          <t>fixed one-unit hypothetical scoring; no real exposure or execution</t>
        </is>
      </c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inlineStr">
        <is>
          <t>2026-09-17T10:03:35.078327Z</t>
        </is>
      </c>
      <c r="CZ148" s="24" t="inlineStr">
        <is>
          <t>True</t>
        </is>
      </c>
      <c r="DA148" s="24" t="inlineStr">
        <is>
          <t>polymarket_us</t>
        </is>
      </c>
      <c r="DB148" s="24" t="inlineStr">
        <is>
          <t>decision_time_executable_quote</t>
        </is>
      </c>
      <c r="DC148" s="24" t="inlineStr">
        <is>
          <t>False</t>
        </is>
      </c>
      <c r="DD148" s="24" t="inlineStr">
        <is>
          <t>b1d01772a7832027abfef0c0893bcfa47fd7a56daf1f71edc5cd449e26e3dac0</t>
        </is>
      </c>
      <c r="DE148" s="24" t="inlineStr">
        <is>
          <t>/Users/vincentc9002/model-prediction/data/odds/wnba/2026-09-17/polymarket_snapshots.jsonl</t>
        </is>
      </c>
      <c r="DF148" s="24" t="inlineStr">
        <is>
          <t>b1d01772a7832027abfef0c0893bcfa47fd7a56daf1f71edc5cd449e26e3dac0</t>
        </is>
      </c>
      <c r="DG148" s="24" t="n"/>
      <c r="DH148" s="24" t="n"/>
      <c r="DI148" s="24" t="n"/>
      <c r="DJ148" s="24" t="inlineStr">
        <is>
          <t>0.72973</t>
        </is>
      </c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"401857192", "event_start_utc": "2026-09-18T00:00Z", "features": {"away_points_hl10": 85.4, "elo_away": 1427.2, "elo_home": 1598.7, "elo_margin": 8.26, "expected_margin": 5.41, "expected_total": 172.67, "history_games": 916, "home_points_hl10": 88.81, "rest_diff": 0.0, "trend_margin": 5.41}, "historical_source_observation_times_verified": false, "inference_inputs": {"line": 188.5, "mean": 172.6712623, "sd": 16.0}, "model_version": "wnba-total-margin-v2", "observed_at_utc": "2026-09-17T22:08:36.812252+00:00", "replay_scope": "Exact final classifier/distribution inputs and artifact. Upstream historical feature construction not certified.", "schema": "scalar-artifact-replay-v1", "snapshot_hash": "f543992e8d2bf344b3008ad86f20962bc990ca5c5d489427311980a4d609d5d1"}</t>
        </is>
      </c>
    </row>
    <row r="149" ht="36" customHeight="1">
      <c r="A149" s="24" t="inlineStr">
        <is>
          <t>db88231d6a48477b</t>
        </is>
      </c>
      <c r="B149" s="24" t="inlineStr">
        <is>
          <t>2026-09-17T22:08:37.205467Z</t>
        </is>
      </c>
      <c r="C149" s="24" t="inlineStr">
        <is>
          <t>2026-09-18T02:00Z</t>
        </is>
      </c>
      <c r="D149" s="24" t="inlineStr">
        <is>
          <t>401857193</t>
        </is>
      </c>
      <c r="E149" s="24" t="inlineStr">
        <is>
          <t>WNBA</t>
        </is>
      </c>
      <c r="F149" s="24" t="inlineStr">
        <is>
          <t>Phoenix Mercury</t>
        </is>
      </c>
      <c r="G149" s="24" t="inlineStr">
        <is>
          <t>Portland Fire</t>
        </is>
      </c>
      <c r="H149" s="24" t="inlineStr">
        <is>
          <t>total</t>
        </is>
      </c>
      <c r="I149" s="24" t="inlineStr">
        <is>
          <t>over</t>
        </is>
      </c>
      <c r="J149" s="25" t="n">
        <v>172.5</v>
      </c>
      <c r="K149" s="24" t="inlineStr">
        <is>
          <t>polymarket_us</t>
        </is>
      </c>
      <c r="L149" s="26" t="n">
        <v>104</v>
      </c>
      <c r="M149" s="27" t="n">
        <v>2.04</v>
      </c>
      <c r="N149" s="28" t="n">
        <v>0.490196</v>
      </c>
      <c r="O149" s="28" t="n">
        <v>0.5498</v>
      </c>
      <c r="P149" s="28" t="n">
        <v>0.03</v>
      </c>
      <c r="Q149" s="28" t="n">
        <v>0.059604</v>
      </c>
      <c r="R149" s="26" t="n">
        <v>62</v>
      </c>
      <c r="S149" s="29" t="n">
        <v>1.25</v>
      </c>
      <c r="T149" s="24" t="inlineStr">
        <is>
          <t>wnba-total-margin-v2</t>
        </is>
      </c>
      <c r="U149" s="24" t="inlineStr">
        <is>
          <t>settled</t>
        </is>
      </c>
      <c r="V149" s="24" t="inlineStr">
        <is>
          <t>win</t>
        </is>
      </c>
      <c r="W149" s="26" t="n">
        <v>94</v>
      </c>
      <c r="X149" s="26" t="n">
        <v>91</v>
      </c>
      <c r="Y149" s="25" t="n"/>
      <c r="Z149" s="26" t="n">
        <v>104</v>
      </c>
      <c r="AA149" s="28" t="n">
        <v>0.49</v>
      </c>
      <c r="AB149" s="28" t="n">
        <v>-0.000196</v>
      </c>
      <c r="AC149" s="30" t="n">
        <v>1.3</v>
      </c>
      <c r="AD149" s="24" t="inlineStr">
        <is>
          <t>2026-09-18T04:57:40.330000Z</t>
        </is>
      </c>
      <c r="AE149" s="31" t="inlineStr">
        <is>
          <t>Projected total 174.5, sd 16.0. Executable ask 0.4900 (tsc-wnba-phx-por-2026-09-17-172pt5).</t>
        </is>
      </c>
      <c r="AF149" s="31" t="inlineStr">
        <is>
          <t>Research-baseline total model; not yet locked-holdout qualified.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4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wnba-phx</t>
        </is>
      </c>
      <c r="AQ149" s="24" t="inlineStr">
        <is>
          <t>Phoenix Mercury</t>
        </is>
      </c>
      <c r="AR149" s="24" t="inlineStr">
        <is>
          <t>Phoenix Mercury</t>
        </is>
      </c>
      <c r="AS149" s="24" t="inlineStr">
        <is>
          <t>wnba-por</t>
        </is>
      </c>
      <c r="AT149" s="24" t="inlineStr">
        <is>
          <t>Portland Fire</t>
        </is>
      </c>
      <c r="AU149" s="24" t="inlineStr">
        <is>
          <t>Portland Fire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research</t>
        </is>
      </c>
      <c r="BA149" s="24" t="inlineStr">
        <is>
          <t>9c9b767590bbbb9a7b333eaf9def066d65bf813e735ed73aa27cfb2c609a4ca5</t>
        </is>
      </c>
      <c r="BB149" s="24" t="inlineStr">
        <is>
          <t>total_normal</t>
        </is>
      </c>
      <c r="BC149" s="24" t="inlineStr">
        <is>
          <t>wnba-total-margin-v2</t>
        </is>
      </c>
      <c r="BD149" s="24" t="inlineStr">
        <is>
          <t>9c9b767590bbbb9a7b333eaf9def066d65bf813e735ed73aa27cfb2c609a4ca5</t>
        </is>
      </c>
      <c r="BE149" s="24" t="inlineStr">
        <is>
          <t>wnba-total-margin-v2</t>
        </is>
      </c>
      <c r="BF149" s="24" t="inlineStr">
        <is>
          <t>1</t>
        </is>
      </c>
      <c r="BG149" s="24" t="inlineStr">
        <is>
          <t>9c9b767590bbbb9a7b333eaf9def066d65bf813e735ed73aa27cfb2c609a4ca5</t>
        </is>
      </c>
      <c r="BH149" s="24" t="inlineStr">
        <is>
          <t>2026-09-17T22:05:16.714103Z</t>
        </is>
      </c>
      <c r="BI149" s="24" t="inlineStr">
        <is>
          <t>["same_event","same_team_same_day","same_league_same_day"]</t>
        </is>
      </c>
      <c r="BJ149" s="25" t="n">
        <v>172.5</v>
      </c>
      <c r="BK149" s="26" t="n">
        <v>104</v>
      </c>
      <c r="BL149" s="27" t="n">
        <v>2.04</v>
      </c>
      <c r="BM149" s="28" t="n">
        <v>0.490196</v>
      </c>
      <c r="BN149" s="28" t="n"/>
      <c r="BO149" s="28" t="n"/>
      <c r="BP149" s="25" t="n"/>
      <c r="BQ149" s="27" t="n">
        <v>2.04</v>
      </c>
      <c r="BR149" s="28" t="n">
        <v>0.49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inlineStr">
        <is>
          <t>2026-09-17T22:05:16.714103Z</t>
        </is>
      </c>
      <c r="CZ149" s="24" t="inlineStr">
        <is>
          <t>True</t>
        </is>
      </c>
      <c r="DA149" s="24" t="inlineStr">
        <is>
          <t>polymarket_us</t>
        </is>
      </c>
      <c r="DB149" s="24" t="inlineStr">
        <is>
          <t>decision_time_executable_quote</t>
        </is>
      </c>
      <c r="DC149" s="24" t="inlineStr">
        <is>
          <t>False</t>
        </is>
      </c>
      <c r="DD149" s="24" t="inlineStr">
        <is>
          <t>2ef7e01ae50e6f7caaf503faa824df2abb22feaacfd692701de1fcd393504e3f</t>
        </is>
      </c>
      <c r="DE149" s="24" t="inlineStr">
        <is>
          <t>/Users/vincentc9002/model-prediction/data/odds/wnba/2026-09-17/polymarket_snapshots.jsonl</t>
        </is>
      </c>
      <c r="DF149" s="24" t="inlineStr">
        <is>
          <t>2ef7e01ae50e6f7caaf503faa824df2abb22feaacfd692701de1fcd393504e3f</t>
        </is>
      </c>
      <c r="DG149" s="24" t="n"/>
      <c r="DH149" s="24" t="n"/>
      <c r="DI149" s="24" t="n"/>
      <c r="DJ149" s="24" t="inlineStr">
        <is>
          <t>0.490196</t>
        </is>
      </c>
      <c r="DK149" s="24" t="n"/>
      <c r="DL149" s="24" t="n"/>
      <c r="DM149" s="24" t="n"/>
      <c r="DN149" s="24" t="n"/>
      <c r="DO149" s="24" t="n"/>
      <c r="DP149" s="24" t="n"/>
      <c r="DQ14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"401857193", "event_start_utc": "2026-09-18T02:00Z", "features": {"away_points_hl10": 86.99, "elo_away": 1390.4, "elo_home": 1446.5, "elo_margin": 4.15, "expected_margin": 2.13, "expected_total": 174.5, "history_games": 916, "home_points_hl10": 87.12, "rest_diff": 0.0, "trend_margin": 2.13}, "historical_source_observation_times_verified": false, "inference_inputs": {"line": 172.5, "mean": 174.502499, "sd": 16.0}, "model_version": "wnba-total-margin-v2", "observed_at_utc": "2026-09-17T22:08:36.812252+00:00", "replay_scope": "Exact final classifier/distribution inputs and artifact. Upstream historical feature construction not certified.", "schema": "scalar-artifact-replay-v1", "snapshot_hash": "d0e2cf82900f24d7ed66f318a0bf80462c050e76c7b92acd64e5a9145f8a7af6"}</t>
        </is>
      </c>
    </row>
    <row r="150" ht="36" customHeight="1">
      <c r="A150" s="24" t="inlineStr">
        <is>
          <t>d8bdf7cb2d52458c</t>
        </is>
      </c>
      <c r="B150" s="24" t="inlineStr">
        <is>
          <t>2026-09-17T22:08:37.205467Z</t>
        </is>
      </c>
      <c r="C150" s="24" t="inlineStr">
        <is>
          <t>2026-09-18T02:00Z</t>
        </is>
      </c>
      <c r="D150" s="24" t="inlineStr">
        <is>
          <t>401857194</t>
        </is>
      </c>
      <c r="E150" s="24" t="inlineStr">
        <is>
          <t>WNBA</t>
        </is>
      </c>
      <c r="F150" s="24" t="inlineStr">
        <is>
          <t>Las Vegas Aces</t>
        </is>
      </c>
      <c r="G150" s="24" t="inlineStr">
        <is>
          <t>Seattle Storm</t>
        </is>
      </c>
      <c r="H150" s="24" t="inlineStr">
        <is>
          <t>total</t>
        </is>
      </c>
      <c r="I150" s="24" t="inlineStr">
        <is>
          <t>under</t>
        </is>
      </c>
      <c r="J150" s="25" t="n">
        <v>176.5</v>
      </c>
      <c r="K150" s="24" t="inlineStr">
        <is>
          <t>polymarket_us</t>
        </is>
      </c>
      <c r="L150" s="26" t="n">
        <v>-117</v>
      </c>
      <c r="M150" s="27" t="n">
        <v>1.854701</v>
      </c>
      <c r="N150" s="28" t="n">
        <v>0.539171</v>
      </c>
      <c r="O150" s="28" t="n">
        <v>0.590892</v>
      </c>
      <c r="P150" s="28" t="n">
        <v>0.03</v>
      </c>
      <c r="Q150" s="28" t="n">
        <v>0.051721</v>
      </c>
      <c r="R150" s="26" t="n">
        <v>58</v>
      </c>
      <c r="S150" s="29" t="n">
        <v>1.25</v>
      </c>
      <c r="T150" s="24" t="inlineStr">
        <is>
          <t>wnba-total-margin-v2</t>
        </is>
      </c>
      <c r="U150" s="24" t="inlineStr">
        <is>
          <t>settled</t>
        </is>
      </c>
      <c r="V150" s="24" t="inlineStr">
        <is>
          <t>loss</t>
        </is>
      </c>
      <c r="W150" s="26" t="n">
        <v>114</v>
      </c>
      <c r="X150" s="26" t="n">
        <v>77</v>
      </c>
      <c r="Y150" s="25" t="n"/>
      <c r="Z150" s="26" t="n">
        <v>-117</v>
      </c>
      <c r="AA150" s="28" t="n">
        <v>0.54</v>
      </c>
      <c r="AB150" s="28" t="n">
        <v>0.000829</v>
      </c>
      <c r="AC150" s="30" t="n">
        <v>-1.25</v>
      </c>
      <c r="AD150" s="24" t="inlineStr">
        <is>
          <t>2026-09-18T04:57:42.344274Z</t>
        </is>
      </c>
      <c r="AE150" s="31" t="inlineStr">
        <is>
          <t>Projected total 172.8, sd 16.0. Executable ask 0.5400 (tsc-wnba-lv-sea-2026-09-17-176pt5).</t>
        </is>
      </c>
      <c r="AF150" s="31" t="inlineStr">
        <is>
          <t>Research-baseline total model; not yet locked-holdout qualified.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4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wnba-lva</t>
        </is>
      </c>
      <c r="AQ150" s="24" t="inlineStr">
        <is>
          <t>Las Vegas Aces</t>
        </is>
      </c>
      <c r="AR150" s="24" t="inlineStr">
        <is>
          <t>Las Vegas Aces</t>
        </is>
      </c>
      <c r="AS150" s="24" t="inlineStr">
        <is>
          <t>wnba-sea</t>
        </is>
      </c>
      <c r="AT150" s="24" t="inlineStr">
        <is>
          <t>Seattle Storm</t>
        </is>
      </c>
      <c r="AU150" s="24" t="inlineStr">
        <is>
          <t>Seattle Storm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research</t>
        </is>
      </c>
      <c r="BA150" s="24" t="inlineStr">
        <is>
          <t>9c9b767590bbbb9a7b333eaf9def066d65bf813e735ed73aa27cfb2c609a4ca5</t>
        </is>
      </c>
      <c r="BB150" s="24" t="inlineStr">
        <is>
          <t>total_normal</t>
        </is>
      </c>
      <c r="BC150" s="24" t="inlineStr">
        <is>
          <t>wnba-total-margin-v2</t>
        </is>
      </c>
      <c r="BD150" s="24" t="inlineStr">
        <is>
          <t>9c9b767590bbbb9a7b333eaf9def066d65bf813e735ed73aa27cfb2c609a4ca5</t>
        </is>
      </c>
      <c r="BE150" s="24" t="inlineStr">
        <is>
          <t>wnba-total-margin-v2</t>
        </is>
      </c>
      <c r="BF150" s="24" t="inlineStr">
        <is>
          <t>1</t>
        </is>
      </c>
      <c r="BG150" s="24" t="inlineStr">
        <is>
          <t>9c9b767590bbbb9a7b333eaf9def066d65bf813e735ed73aa27cfb2c609a4ca5</t>
        </is>
      </c>
      <c r="BH150" s="24" t="inlineStr">
        <is>
          <t>2026-09-17T16:05:00.596693Z</t>
        </is>
      </c>
      <c r="BI150" s="24" t="inlineStr">
        <is>
          <t>["same_event","same_team_same_day","same_league_same_day"]</t>
        </is>
      </c>
      <c r="BJ150" s="25" t="n">
        <v>176.5</v>
      </c>
      <c r="BK150" s="26" t="n">
        <v>-117</v>
      </c>
      <c r="BL150" s="27" t="n">
        <v>1.854701</v>
      </c>
      <c r="BM150" s="28" t="n">
        <v>0.539171</v>
      </c>
      <c r="BN150" s="28" t="n"/>
      <c r="BO150" s="28" t="n"/>
      <c r="BP150" s="25" t="n"/>
      <c r="BQ150" s="27" t="n">
        <v>1.854701</v>
      </c>
      <c r="BR150" s="28" t="n">
        <v>0.54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inlineStr">
        <is>
          <t>2026-09-17T16:05:00.596693Z</t>
        </is>
      </c>
      <c r="CZ150" s="24" t="inlineStr">
        <is>
          <t>True</t>
        </is>
      </c>
      <c r="DA150" s="24" t="inlineStr">
        <is>
          <t>polymarket_us</t>
        </is>
      </c>
      <c r="DB150" s="24" t="inlineStr">
        <is>
          <t>decision_time_executable_quote</t>
        </is>
      </c>
      <c r="DC150" s="24" t="inlineStr">
        <is>
          <t>False</t>
        </is>
      </c>
      <c r="DD150" s="24" t="inlineStr">
        <is>
          <t>12486ae00f9f3b32271fd233c3b9339eeee4f6cbf92a8536629f129014e4aaec</t>
        </is>
      </c>
      <c r="DE150" s="24" t="inlineStr">
        <is>
          <t>/Users/vincentc9002/model-prediction/data/odds/wnba/2026-09-17/polymarket_snapshots.jsonl</t>
        </is>
      </c>
      <c r="DF150" s="24" t="inlineStr">
        <is>
          <t>12486ae00f9f3b32271fd233c3b9339eeee4f6cbf92a8536629f129014e4aaec</t>
        </is>
      </c>
      <c r="DG150" s="24" t="n"/>
      <c r="DH150" s="24" t="n"/>
      <c r="DI150" s="24" t="n"/>
      <c r="DJ150" s="24" t="inlineStr">
        <is>
          <t>0.539171</t>
        </is>
      </c>
      <c r="DK150" s="24" t="n"/>
      <c r="DL150" s="24" t="n"/>
      <c r="DM150" s="24" t="n"/>
      <c r="DN150" s="24" t="n"/>
      <c r="DO150" s="24" t="n"/>
      <c r="DP150" s="24" t="n"/>
      <c r="DQ150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"401857194", "event_start_utc": "2026-09-18T02:00Z", "features": {"away_points_hl10": 88.34, "elo_away": 1605.7, "elo_home": 1312.5, "elo_margin": -8.33, "expected_margin": -2.31, "expected_total": 172.82, "history_games": 916, "home_points_hl10": 84.03, "rest_diff": 0.0, "trend_margin": -2.31}, "historical_source_observation_times_verified": false, "inference_inputs": {"line": 176.5, "mean": 172.8225751, "sd": 16.0}, "model_version": "wnba-total-margin-v2", "observed_at_utc": "2026-09-17T22:08:36.812252+00:00", "replay_scope": "Exact final classifier/distribution inputs and artifact. Upstream historical feature construction not certified.", "schema": "scalar-artifact-replay-v1", "snapshot_hash": "16b444e8eb5cc1aefc56f075e3bb4fe2b64640881f5b41989ec20ec5a91ba8e0"}</t>
        </is>
      </c>
    </row>
    <row r="151" ht="36" customHeight="1">
      <c r="A151" s="24" t="inlineStr">
        <is>
          <t>6295a38c06b84448</t>
        </is>
      </c>
      <c r="B151" s="24" t="inlineStr">
        <is>
          <t>2026-09-17T22:08:37.370685Z</t>
        </is>
      </c>
      <c r="C151" s="24" t="inlineStr">
        <is>
          <t>2026-09-17T23:30Z</t>
        </is>
      </c>
      <c r="D151" s="24" t="inlineStr">
        <is>
          <t>401857190</t>
        </is>
      </c>
      <c r="E151" s="24" t="inlineStr">
        <is>
          <t>WNBA</t>
        </is>
      </c>
      <c r="F151" s="24" t="inlineStr">
        <is>
          <t>Connecticut Sun</t>
        </is>
      </c>
      <c r="G151" s="24" t="inlineStr">
        <is>
          <t>Atlanta Dream</t>
        </is>
      </c>
      <c r="H151" s="24" t="inlineStr">
        <is>
          <t>spread</t>
        </is>
      </c>
      <c r="I151" s="24" t="inlineStr">
        <is>
          <t>away</t>
        </is>
      </c>
      <c r="J151" s="25" t="n">
        <v>15.5</v>
      </c>
      <c r="K151" s="24" t="inlineStr">
        <is>
          <t>polymarket_us</t>
        </is>
      </c>
      <c r="L151" s="26" t="n">
        <v>127</v>
      </c>
      <c r="M151" s="27" t="n">
        <v>2.27</v>
      </c>
      <c r="N151" s="28" t="n">
        <v>0.440529</v>
      </c>
      <c r="O151" s="28" t="n">
        <v>0.6479200000000001</v>
      </c>
      <c r="P151" s="28" t="n">
        <v>0.03</v>
      </c>
      <c r="Q151" s="28" t="n">
        <v>0.207391</v>
      </c>
      <c r="R151" s="26" t="n">
        <v>100</v>
      </c>
      <c r="S151" s="29" t="n">
        <v>2</v>
      </c>
      <c r="T151" s="24" t="inlineStr">
        <is>
          <t>wnba-spread-margin-v2</t>
        </is>
      </c>
      <c r="U151" s="24" t="inlineStr">
        <is>
          <t>settled</t>
        </is>
      </c>
      <c r="V151" s="24" t="inlineStr">
        <is>
          <t>loss</t>
        </is>
      </c>
      <c r="W151" s="26" t="n">
        <v>59</v>
      </c>
      <c r="X151" s="26" t="n">
        <v>103</v>
      </c>
      <c r="Y151" s="25" t="n"/>
      <c r="Z151" s="26" t="n"/>
      <c r="AA151" s="28" t="n"/>
      <c r="AB151" s="28" t="n"/>
      <c r="AC151" s="30" t="n">
        <v>-2</v>
      </c>
      <c r="AD151" s="24" t="inlineStr">
        <is>
          <t>2026-09-18T04:57:56.272833Z</t>
        </is>
      </c>
      <c r="AE151" s="31" t="inlineStr">
        <is>
          <t>Projected margin +10.4 (home), sd 13.4. Executable ask 0.4400 (asc-wnba-conn-atl-2026-09-17-pos-15pt5).</t>
        </is>
      </c>
      <c r="AF151" s="31" t="inlineStr">
        <is>
          <t>Point-in-time composite Elo + trend + rest margin-normal spread model.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4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wnba-con</t>
        </is>
      </c>
      <c r="AQ151" s="24" t="inlineStr">
        <is>
          <t>Connecticut Sun</t>
        </is>
      </c>
      <c r="AR151" s="24" t="inlineStr">
        <is>
          <t>Connecticut Sun</t>
        </is>
      </c>
      <c r="AS151" s="24" t="inlineStr">
        <is>
          <t>wnba-atl</t>
        </is>
      </c>
      <c r="AT151" s="24" t="inlineStr">
        <is>
          <t>Atlanta Dream</t>
        </is>
      </c>
      <c r="AU151" s="24" t="inlineStr">
        <is>
          <t>Atlanta Dream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f7d192f98d825d7c77be21b0531a91cff101ad35e418fe9d7e07c5d0f769f974</t>
        </is>
      </c>
      <c r="BB151" s="24" t="inlineStr">
        <is>
          <t>margin_normal</t>
        </is>
      </c>
      <c r="BC151" s="24" t="inlineStr">
        <is>
          <t>wnba-spread-margin-v2</t>
        </is>
      </c>
      <c r="BD151" s="24" t="inlineStr">
        <is>
          <t>f7d192f98d825d7c77be21b0531a91cff101ad35e418fe9d7e07c5d0f769f974</t>
        </is>
      </c>
      <c r="BE151" s="24" t="inlineStr">
        <is>
          <t>wnba-spread-margin-v2</t>
        </is>
      </c>
      <c r="BF151" s="24" t="inlineStr">
        <is>
          <t>1</t>
        </is>
      </c>
      <c r="BG151" s="24" t="inlineStr">
        <is>
          <t>f7d192f98d825d7c77be21b0531a91cff101ad35e418fe9d7e07c5d0f769f974</t>
        </is>
      </c>
      <c r="BH151" s="24" t="inlineStr">
        <is>
          <t>2026-09-17T22:05:05.151360Z</t>
        </is>
      </c>
      <c r="BI151" s="24" t="inlineStr">
        <is>
          <t>["same_event","same_team_same_day","same_league_same_day"]</t>
        </is>
      </c>
      <c r="BJ151" s="25" t="n">
        <v>15.5</v>
      </c>
      <c r="BK151" s="26" t="n">
        <v>127</v>
      </c>
      <c r="BL151" s="27" t="n">
        <v>2.27</v>
      </c>
      <c r="BM151" s="28" t="n">
        <v>0.440529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inlineStr">
        <is>
          <t>2026-09-17T22:05:05.151360Z</t>
        </is>
      </c>
      <c r="CZ151" s="24" t="inlineStr">
        <is>
          <t>True</t>
        </is>
      </c>
      <c r="DA151" s="24" t="inlineStr">
        <is>
          <t>polymarket_us</t>
        </is>
      </c>
      <c r="DB151" s="24" t="inlineStr">
        <is>
          <t>decision_time_executable_quote</t>
        </is>
      </c>
      <c r="DC151" s="24" t="inlineStr">
        <is>
          <t>False</t>
        </is>
      </c>
      <c r="DD151" s="24" t="inlineStr">
        <is>
          <t>8acc2026b51dce48dfddaf021884742ce64b1d1d5ba51bc578abffc2907d499a</t>
        </is>
      </c>
      <c r="DE151" s="24" t="inlineStr">
        <is>
          <t>/Users/vincentc9002/model-prediction/data/odds/wnba/2026-09-17/polymarket_snapshots.jsonl</t>
        </is>
      </c>
      <c r="DF151" s="24" t="inlineStr">
        <is>
          <t>8acc2026b51dce48dfddaf021884742ce64b1d1d5ba51bc578abffc2907d499a</t>
        </is>
      </c>
      <c r="DG151" s="24" t="n"/>
      <c r="DH151" s="24" t="n"/>
      <c r="DI151" s="24" t="n"/>
      <c r="DJ151" s="24" t="inlineStr">
        <is>
          <t>0.440529</t>
        </is>
      </c>
      <c r="DK151" s="24" t="n"/>
      <c r="DL151" s="24" t="n"/>
      <c r="DM151" s="24" t="n"/>
      <c r="DN151" s="24" t="n"/>
      <c r="DO151" s="24" t="n"/>
      <c r="DP151" s="24" t="n"/>
      <c r="DQ151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"401857190", "event_start_utc": "2026-09-17T23:30Z", "features": {"away_points_hl10": 81.59, "elo_away": 1327.2, "elo_home": 1609.7, "elo_margin": 12.23, "expected_margin": 10.42, "expected_total": 170.04, "history_games": 916, "home_points_hl10": 88.45, "rest_diff": 0.2, "trend_margin": 9.13}, "historical_source_observation_times_verified": false, "inference_inputs": {"line": 15.5, "mean": 10.423265264095878, "sd": 13.37}, "model_version": "wnba-spread-margin-v2", "observed_at_utc": "2026-09-17T22:08:36.817818+00:00", "replay_scope": "Exact final classifier/distribution inputs and artifact. Upstream historical feature construction not certified.", "schema": "scalar-artifact-replay-v1", "snapshot_hash": "780c67d9912b2075455e536a7de35d5b0c44d5e234583d3838d3b074ae3e2753"}</t>
        </is>
      </c>
    </row>
    <row r="152" ht="36" customHeight="1">
      <c r="A152" s="24" t="inlineStr">
        <is>
          <t>fda2399d49c84b8b</t>
        </is>
      </c>
      <c r="B152" s="24" t="inlineStr">
        <is>
          <t>2026-09-17T22:08:37.370685Z</t>
        </is>
      </c>
      <c r="C152" s="24" t="inlineStr">
        <is>
          <t>2026-09-18T00:00Z</t>
        </is>
      </c>
      <c r="D152" s="24" t="inlineStr">
        <is>
          <t>401857191</t>
        </is>
      </c>
      <c r="E152" s="24" t="inlineStr">
        <is>
          <t>WNBA</t>
        </is>
      </c>
      <c r="F152" s="24" t="inlineStr">
        <is>
          <t>Washington Mystics</t>
        </is>
      </c>
      <c r="G152" s="24" t="inlineStr">
        <is>
          <t>Chicago Sky</t>
        </is>
      </c>
      <c r="H152" s="24" t="inlineStr">
        <is>
          <t>spread</t>
        </is>
      </c>
      <c r="I152" s="24" t="inlineStr">
        <is>
          <t>away</t>
        </is>
      </c>
      <c r="J152" s="25" t="n">
        <v>-1.5</v>
      </c>
      <c r="K152" s="24" t="inlineStr">
        <is>
          <t>polymarket_us</t>
        </is>
      </c>
      <c r="L152" s="26" t="n">
        <v>100</v>
      </c>
      <c r="M152" s="27" t="n">
        <v>2</v>
      </c>
      <c r="N152" s="28" t="n">
        <v>0.5</v>
      </c>
      <c r="O152" s="28" t="n">
        <v>0.510039</v>
      </c>
      <c r="P152" s="28" t="n">
        <v>0.03</v>
      </c>
      <c r="Q152" s="28" t="n">
        <v>0.010039</v>
      </c>
      <c r="R152" s="26" t="n">
        <v>37</v>
      </c>
      <c r="S152" s="29" t="n">
        <v>1</v>
      </c>
      <c r="T152" s="24" t="inlineStr">
        <is>
          <t>wnba-spread-margin-v2</t>
        </is>
      </c>
      <c r="U152" s="24" t="inlineStr">
        <is>
          <t>settled</t>
        </is>
      </c>
      <c r="V152" s="24" t="inlineStr">
        <is>
          <t>win</t>
        </is>
      </c>
      <c r="W152" s="26" t="n">
        <v>110</v>
      </c>
      <c r="X152" s="26" t="n">
        <v>80</v>
      </c>
      <c r="Y152" s="25" t="n"/>
      <c r="Z152" s="26" t="n"/>
      <c r="AA152" s="28" t="n"/>
      <c r="AB152" s="28" t="n"/>
      <c r="AC152" s="30" t="n">
        <v>1</v>
      </c>
      <c r="AD152" s="24" t="inlineStr">
        <is>
          <t>2026-09-18T04:57:56.930993Z</t>
        </is>
      </c>
      <c r="AE152" s="31" t="inlineStr">
        <is>
          <t>Projected margin -1.8 (home), sd 13.4. Executable ask 0.5000 (asc-wnba-wsh-chi-2026-09-17-neg-1pt5).</t>
        </is>
      </c>
      <c r="AF152" s="31" t="inlineStr">
        <is>
          <t>Point-in-time composite Elo + trend + rest margin-normal spread model.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4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wnba-was</t>
        </is>
      </c>
      <c r="AQ152" s="24" t="inlineStr">
        <is>
          <t>Washington Mystics</t>
        </is>
      </c>
      <c r="AR152" s="24" t="inlineStr">
        <is>
          <t>Washington Mystics</t>
        </is>
      </c>
      <c r="AS152" s="24" t="inlineStr">
        <is>
          <t>wnba-chi</t>
        </is>
      </c>
      <c r="AT152" s="24" t="inlineStr">
        <is>
          <t>Chicago Sky</t>
        </is>
      </c>
      <c r="AU152" s="24" t="inlineStr">
        <is>
          <t>Chicago Sky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f7d192f98d825d7c77be21b0531a91cff101ad35e418fe9d7e07c5d0f769f974</t>
        </is>
      </c>
      <c r="BB152" s="24" t="inlineStr">
        <is>
          <t>margin_normal</t>
        </is>
      </c>
      <c r="BC152" s="24" t="inlineStr">
        <is>
          <t>wnba-spread-margin-v2</t>
        </is>
      </c>
      <c r="BD152" s="24" t="inlineStr">
        <is>
          <t>f7d192f98d825d7c77be21b0531a91cff101ad35e418fe9d7e07c5d0f769f974</t>
        </is>
      </c>
      <c r="BE152" s="24" t="inlineStr">
        <is>
          <t>wnba-spread-margin-v2</t>
        </is>
      </c>
      <c r="BF152" s="24" t="inlineStr">
        <is>
          <t>1</t>
        </is>
      </c>
      <c r="BG152" s="24" t="inlineStr">
        <is>
          <t>f7d192f98d825d7c77be21b0531a91cff101ad35e418fe9d7e07c5d0f769f974</t>
        </is>
      </c>
      <c r="BH152" s="24" t="inlineStr">
        <is>
          <t>2026-09-17T22:05:05.301092Z</t>
        </is>
      </c>
      <c r="BI152" s="24" t="inlineStr">
        <is>
          <t>["same_event","same_team_same_day","same_league_same_day"]</t>
        </is>
      </c>
      <c r="BJ152" s="25" t="n">
        <v>-1.5</v>
      </c>
      <c r="BK152" s="26" t="n">
        <v>100</v>
      </c>
      <c r="BL152" s="27" t="n">
        <v>2</v>
      </c>
      <c r="BM152" s="28" t="n">
        <v>0.5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inlineStr">
        <is>
          <t>2026-09-17T22:05:05.301092Z</t>
        </is>
      </c>
      <c r="CZ152" s="24" t="inlineStr">
        <is>
          <t>True</t>
        </is>
      </c>
      <c r="DA152" s="24" t="inlineStr">
        <is>
          <t>polymarket_us</t>
        </is>
      </c>
      <c r="DB152" s="24" t="inlineStr">
        <is>
          <t>decision_time_executable_quote</t>
        </is>
      </c>
      <c r="DC152" s="24" t="inlineStr">
        <is>
          <t>False</t>
        </is>
      </c>
      <c r="DD152" s="24" t="inlineStr">
        <is>
          <t>1bc42e3fe06b60847ab91d68c908b0d33aa08542bc6c85e3b4360a60b87f5f7c</t>
        </is>
      </c>
      <c r="DE152" s="24" t="inlineStr">
        <is>
          <t>/Users/vincentc9002/model-prediction/data/odds/wnba/2026-09-17/polymarket_snapshots.jsonl</t>
        </is>
      </c>
      <c r="DF152" s="24" t="inlineStr">
        <is>
          <t>1bc42e3fe06b60847ab91d68c908b0d33aa08542bc6c85e3b4360a60b87f5f7c</t>
        </is>
      </c>
      <c r="DG152" s="24" t="n"/>
      <c r="DH152" s="24" t="n"/>
      <c r="DI152" s="24" t="n"/>
      <c r="DJ152" s="24" t="inlineStr">
        <is>
          <t>0.5</t>
        </is>
      </c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"401857191", "event_start_utc": "2026-09-18T00:00Z", "features": {"away_points_hl10": 85.66, "elo_away": 1564.2, "elo_home": 1406.5, "elo_margin": -3.49, "expected_margin": -1.84, "expected_total": 169.29, "history_games": 916, "home_points_hl10": 83.63, "rest_diff": -0.6, "trend_margin": 0.24}, "historical_source_observation_times_verified": false, "inference_inputs": {"line": -1.5, "mean": -1.8364877206255037, "sd": 13.37}, "model_version": "wnba-spread-margin-v2", "observed_at_utc": "2026-09-17T22:08:36.817818+00:00", "replay_scope": "Exact final classifier/distribution inputs and artifact. Upstream historical feature construction not certified.", "schema": "scalar-artifact-replay-v1", "snapshot_hash": "3d3e54475c3d2571856115c4428854985b81cbdfce302b7efdb3da0e3ed1e5f6"}</t>
        </is>
      </c>
    </row>
    <row r="153" ht="36" customHeight="1">
      <c r="A153" s="24" t="inlineStr">
        <is>
          <t>8a8edc7fbb0a43c0</t>
        </is>
      </c>
      <c r="B153" s="24" t="inlineStr">
        <is>
          <t>2026-09-17T22:08:37.370685Z</t>
        </is>
      </c>
      <c r="C153" s="24" t="inlineStr">
        <is>
          <t>2026-09-18T00:00Z</t>
        </is>
      </c>
      <c r="D153" s="24" t="inlineStr">
        <is>
          <t>401857192</t>
        </is>
      </c>
      <c r="E153" s="24" t="inlineStr">
        <is>
          <t>WNBA</t>
        </is>
      </c>
      <c r="F153" s="24" t="inlineStr">
        <is>
          <t>Los Angeles Sparks</t>
        </is>
      </c>
      <c r="G153" s="24" t="inlineStr">
        <is>
          <t>Dallas Wings</t>
        </is>
      </c>
      <c r="H153" s="24" t="inlineStr">
        <is>
          <t>spread</t>
        </is>
      </c>
      <c r="I153" s="24" t="inlineStr">
        <is>
          <t>away</t>
        </is>
      </c>
      <c r="J153" s="25" t="n">
        <v>14.5</v>
      </c>
      <c r="K153" s="24" t="inlineStr">
        <is>
          <t>polymarket_us</t>
        </is>
      </c>
      <c r="L153" s="26" t="n">
        <v>-257</v>
      </c>
      <c r="M153" s="27" t="n">
        <v>1.389105</v>
      </c>
      <c r="N153" s="28" t="n">
        <v>0.719888</v>
      </c>
      <c r="O153" s="28" t="n">
        <v>0.718589</v>
      </c>
      <c r="P153" s="28" t="n">
        <v>0.03</v>
      </c>
      <c r="Q153" s="28" t="n">
        <v>-0.001299</v>
      </c>
      <c r="R153" s="26" t="n">
        <v>31</v>
      </c>
      <c r="S153" s="29" t="n">
        <v>1</v>
      </c>
      <c r="T153" s="24" t="inlineStr">
        <is>
          <t>wnba-spread-margin-v2</t>
        </is>
      </c>
      <c r="U153" s="24" t="inlineStr">
        <is>
          <t>settled</t>
        </is>
      </c>
      <c r="V153" s="24" t="inlineStr">
        <is>
          <t>loss</t>
        </is>
      </c>
      <c r="W153" s="26" t="n">
        <v>77</v>
      </c>
      <c r="X153" s="26" t="n">
        <v>97</v>
      </c>
      <c r="Y153" s="25" t="n"/>
      <c r="Z153" s="26" t="n"/>
      <c r="AA153" s="28" t="n"/>
      <c r="AB153" s="28" t="n"/>
      <c r="AC153" s="30" t="n">
        <v>-1</v>
      </c>
      <c r="AD153" s="24" t="inlineStr">
        <is>
          <t>2026-09-18T04:57:57.489695Z</t>
        </is>
      </c>
      <c r="AE153" s="31" t="inlineStr">
        <is>
          <t>Projected margin +6.8 (home), sd 13.4. Executable ask 0.7200 (asc-wnba-la-dal-2026-09-17-pos-14pt5).</t>
        </is>
      </c>
      <c r="AF153" s="31" t="inlineStr">
        <is>
          <t>Point-in-time composite Elo + trend + rest margin-normal spread model.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4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wnba-las</t>
        </is>
      </c>
      <c r="AQ153" s="24" t="inlineStr">
        <is>
          <t>Los Angeles Sparks</t>
        </is>
      </c>
      <c r="AR153" s="24" t="inlineStr">
        <is>
          <t>Los Angeles Sparks</t>
        </is>
      </c>
      <c r="AS153" s="24" t="inlineStr">
        <is>
          <t>wnba-dal</t>
        </is>
      </c>
      <c r="AT153" s="24" t="inlineStr">
        <is>
          <t>Dallas Wings</t>
        </is>
      </c>
      <c r="AU153" s="24" t="inlineStr">
        <is>
          <t>Dallas Wings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f7d192f98d825d7c77be21b0531a91cff101ad35e418fe9d7e07c5d0f769f974</t>
        </is>
      </c>
      <c r="BB153" s="24" t="inlineStr">
        <is>
          <t>margin_normal</t>
        </is>
      </c>
      <c r="BC153" s="24" t="inlineStr">
        <is>
          <t>wnba-spread-margin-v2</t>
        </is>
      </c>
      <c r="BD153" s="24" t="inlineStr">
        <is>
          <t>f7d192f98d825d7c77be21b0531a91cff101ad35e418fe9d7e07c5d0f769f974</t>
        </is>
      </c>
      <c r="BE153" s="24" t="inlineStr">
        <is>
          <t>wnba-spread-margin-v2</t>
        </is>
      </c>
      <c r="BF153" s="24" t="inlineStr">
        <is>
          <t>1</t>
        </is>
      </c>
      <c r="BG153" s="24" t="inlineStr">
        <is>
          <t>f7d192f98d825d7c77be21b0531a91cff101ad35e418fe9d7e07c5d0f769f974</t>
        </is>
      </c>
      <c r="BH153" s="24" t="inlineStr">
        <is>
          <t>2026-09-17T16:04:49.109661Z</t>
        </is>
      </c>
      <c r="BI153" s="24" t="inlineStr">
        <is>
          <t>["same_event","same_team_same_day","same_league_same_day"]</t>
        </is>
      </c>
      <c r="BJ153" s="25" t="n">
        <v>14.5</v>
      </c>
      <c r="BK153" s="26" t="n">
        <v>-257</v>
      </c>
      <c r="BL153" s="27" t="n">
        <v>1.389105</v>
      </c>
      <c r="BM153" s="28" t="n">
        <v>0.719888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False</t>
        </is>
      </c>
      <c r="CT153" s="24" t="n"/>
      <c r="CU153" s="24" t="n"/>
      <c r="CV153" s="24" t="n"/>
      <c r="CW153" s="24" t="n"/>
      <c r="CX153" s="24" t="n"/>
      <c r="CY153" s="24" t="inlineStr">
        <is>
          <t>2026-09-17T16:04:49.109661Z</t>
        </is>
      </c>
      <c r="CZ153" s="24" t="inlineStr">
        <is>
          <t>True</t>
        </is>
      </c>
      <c r="DA153" s="24" t="inlineStr">
        <is>
          <t>polymarket_us</t>
        </is>
      </c>
      <c r="DB153" s="24" t="inlineStr">
        <is>
          <t>decision_time_executable_quote</t>
        </is>
      </c>
      <c r="DC153" s="24" t="inlineStr">
        <is>
          <t>False</t>
        </is>
      </c>
      <c r="DD153" s="24" t="inlineStr">
        <is>
          <t>e4b3355bd82f85b1edc53849d19fb79b11108434b8a579a5089458dc73985c02</t>
        </is>
      </c>
      <c r="DE153" s="24" t="inlineStr">
        <is>
          <t>/Users/vincentc9002/model-prediction/data/odds/wnba/2026-09-17/polymarket_snapshots.jsonl</t>
        </is>
      </c>
      <c r="DF153" s="24" t="inlineStr">
        <is>
          <t>e4b3355bd82f85b1edc53849d19fb79b11108434b8a579a5089458dc73985c02</t>
        </is>
      </c>
      <c r="DG153" s="24" t="n"/>
      <c r="DH153" s="24" t="n"/>
      <c r="DI153" s="24" t="n"/>
      <c r="DJ153" s="24" t="inlineStr">
        <is>
          <t>0.719888</t>
        </is>
      </c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"401857192", "event_start_utc": "2026-09-18T00:00Z", "features": {"away_points_hl10": 85.4, "elo_away": 1427.2, "elo_home": 1598.7, "elo_margin": 8.26, "expected_margin": 6.76, "expected_total": 174.22, "history_games": 916, "home_points_hl10": 88.81, "rest_diff": -0.1, "trend_margin": 5.67}, "historical_source_observation_times_verified": false, "inference_inputs": {"line": 14.5, "mean": 6.763387554953229, "sd": 13.37}, "model_version": "wnba-spread-margin-v2", "observed_at_utc": "2026-09-17T22:08:36.817818+00:00", "replay_scope": "Exact final classifier/distribution inputs and artifact. Upstream historical feature construction not certified.", "schema": "scalar-artifact-replay-v1", "snapshot_hash": "798d48435829ca1d0f6afb3472b5c7304fd56e49e4e23c37cffcd45c4348ae02"}</t>
        </is>
      </c>
    </row>
    <row r="154" ht="36" customHeight="1">
      <c r="A154" s="24" t="inlineStr">
        <is>
          <t>3788ff319c354c54</t>
        </is>
      </c>
      <c r="B154" s="24" t="inlineStr">
        <is>
          <t>2026-09-17T22:08:37.370685Z</t>
        </is>
      </c>
      <c r="C154" s="24" t="inlineStr">
        <is>
          <t>2026-09-18T02:00Z</t>
        </is>
      </c>
      <c r="D154" s="24" t="inlineStr">
        <is>
          <t>401857193</t>
        </is>
      </c>
      <c r="E154" s="24" t="inlineStr">
        <is>
          <t>WNBA</t>
        </is>
      </c>
      <c r="F154" s="24" t="inlineStr">
        <is>
          <t>Phoenix Mercury</t>
        </is>
      </c>
      <c r="G154" s="24" t="inlineStr">
        <is>
          <t>Portland Fire</t>
        </is>
      </c>
      <c r="H154" s="24" t="inlineStr">
        <is>
          <t>spread</t>
        </is>
      </c>
      <c r="I154" s="24" t="inlineStr">
        <is>
          <t>home</t>
        </is>
      </c>
      <c r="J154" s="25" t="n">
        <v>7.5</v>
      </c>
      <c r="K154" s="24" t="inlineStr">
        <is>
          <t>polymarket_us</t>
        </is>
      </c>
      <c r="L154" s="26" t="n">
        <v>-488</v>
      </c>
      <c r="M154" s="27" t="n">
        <v>1.204918</v>
      </c>
      <c r="N154" s="28" t="n">
        <v>0.829932</v>
      </c>
      <c r="O154" s="28" t="n">
        <v>0.784582</v>
      </c>
      <c r="P154" s="28" t="n">
        <v>0.03</v>
      </c>
      <c r="Q154" s="28" t="n">
        <v>-0.04535</v>
      </c>
      <c r="R154" s="26" t="n">
        <v>9</v>
      </c>
      <c r="S154" s="29" t="n">
        <v>1</v>
      </c>
      <c r="T154" s="24" t="inlineStr">
        <is>
          <t>wnba-spread-margin-v2</t>
        </is>
      </c>
      <c r="U154" s="24" t="inlineStr">
        <is>
          <t>settled</t>
        </is>
      </c>
      <c r="V154" s="24" t="inlineStr">
        <is>
          <t>win</t>
        </is>
      </c>
      <c r="W154" s="26" t="n">
        <v>94</v>
      </c>
      <c r="X154" s="26" t="n">
        <v>91</v>
      </c>
      <c r="Y154" s="25" t="n"/>
      <c r="Z154" s="26" t="n"/>
      <c r="AA154" s="28" t="n"/>
      <c r="AB154" s="28" t="n"/>
      <c r="AC154" s="30" t="n">
        <v>0.2049</v>
      </c>
      <c r="AD154" s="24" t="inlineStr">
        <is>
          <t>2026-09-18T04:57:58.002668Z</t>
        </is>
      </c>
      <c r="AE154" s="31" t="inlineStr">
        <is>
          <t>Projected margin +3.0 (home), sd 13.4. Executable ask 0.8300 (asc-wnba-phx-por-2026-09-17-neg-7pt5).</t>
        </is>
      </c>
      <c r="AF154" s="31" t="inlineStr">
        <is>
          <t>Point-in-time composite Elo + trend + rest margin-normal spread model.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PAPER_CALL_STALE_DATA</t>
        </is>
      </c>
      <c r="AP154" s="24" t="inlineStr">
        <is>
          <t>wnba-phx</t>
        </is>
      </c>
      <c r="AQ154" s="24" t="inlineStr">
        <is>
          <t>Phoenix Mercury</t>
        </is>
      </c>
      <c r="AR154" s="24" t="inlineStr">
        <is>
          <t>Phoenix Mercury</t>
        </is>
      </c>
      <c r="AS154" s="24" t="inlineStr">
        <is>
          <t>wnba-por</t>
        </is>
      </c>
      <c r="AT154" s="24" t="inlineStr">
        <is>
          <t>Portland Fire</t>
        </is>
      </c>
      <c r="AU154" s="24" t="inlineStr">
        <is>
          <t>Portland Fire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f7d192f98d825d7c77be21b0531a91cff101ad35e418fe9d7e07c5d0f769f974</t>
        </is>
      </c>
      <c r="BB154" s="24" t="inlineStr">
        <is>
          <t>margin_normal</t>
        </is>
      </c>
      <c r="BC154" s="24" t="inlineStr">
        <is>
          <t>wnba-spread-margin-v2</t>
        </is>
      </c>
      <c r="BD154" s="24" t="inlineStr">
        <is>
          <t>f7d192f98d825d7c77be21b0531a91cff101ad35e418fe9d7e07c5d0f769f974</t>
        </is>
      </c>
      <c r="BE154" s="24" t="inlineStr">
        <is>
          <t>wnba-spread-margin-v2</t>
        </is>
      </c>
      <c r="BF154" s="24" t="inlineStr">
        <is>
          <t>1</t>
        </is>
      </c>
      <c r="BG154" s="24" t="inlineStr">
        <is>
          <t>f7d192f98d825d7c77be21b0531a91cff101ad35e418fe9d7e07c5d0f769f974</t>
        </is>
      </c>
      <c r="BH154" s="24" t="inlineStr">
        <is>
          <t>2026-09-17T10:03:35.064520Z</t>
        </is>
      </c>
      <c r="BI154" s="24" t="inlineStr">
        <is>
          <t>["same_event","same_team_same_day","same_league_same_day"]</t>
        </is>
      </c>
      <c r="BJ154" s="25" t="n">
        <v>7.5</v>
      </c>
      <c r="BK154" s="26" t="n">
        <v>-488</v>
      </c>
      <c r="BL154" s="27" t="n">
        <v>1.204918</v>
      </c>
      <c r="BM154" s="28" t="n">
        <v>0.829932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>
        <v>1</v>
      </c>
      <c r="BY154" s="27" t="n">
        <v>0.204918</v>
      </c>
      <c r="BZ154" s="24" t="inlineStr">
        <is>
          <t>2026-09-18T04:57:58.002668Z</t>
        </is>
      </c>
      <c r="CA154" s="31" t="inlineStr">
        <is>
          <t>fixed one-unit hypothetical scoring; no real exposure or execution</t>
        </is>
      </c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  <c r="CT154" s="24" t="n"/>
      <c r="CU154" s="24" t="n"/>
      <c r="CV154" s="24" t="n"/>
      <c r="CW154" s="24" t="n"/>
      <c r="CX154" s="24" t="n"/>
      <c r="CY154" s="24" t="inlineStr">
        <is>
          <t>2026-09-17T10:03:35.064520Z</t>
        </is>
      </c>
      <c r="CZ154" s="24" t="inlineStr">
        <is>
          <t>True</t>
        </is>
      </c>
      <c r="DA154" s="24" t="inlineStr">
        <is>
          <t>polymarket_us</t>
        </is>
      </c>
      <c r="DB154" s="24" t="inlineStr">
        <is>
          <t>decision_time_executable_quote</t>
        </is>
      </c>
      <c r="DC154" s="24" t="inlineStr">
        <is>
          <t>False</t>
        </is>
      </c>
      <c r="DD154" s="24" t="inlineStr">
        <is>
          <t>6a9fbc28e17a5f56d6ff4dec5b3831642cc5a4a993171c17bae7c1d561ed397c</t>
        </is>
      </c>
      <c r="DE154" s="24" t="inlineStr">
        <is>
          <t>/Users/vincentc9002/model-prediction/data/odds/wnba/2026-09-17/polymarket_snapshots.jsonl</t>
        </is>
      </c>
      <c r="DF154" s="24" t="inlineStr">
        <is>
          <t>6a9fbc28e17a5f56d6ff4dec5b3831642cc5a4a993171c17bae7c1d561ed397c</t>
        </is>
      </c>
      <c r="DG154" s="24" t="n"/>
      <c r="DH154" s="24" t="n"/>
      <c r="DI154" s="24" t="n"/>
      <c r="DJ154" s="24" t="inlineStr">
        <is>
          <t>0.829932</t>
        </is>
      </c>
      <c r="DK154" s="24" t="n"/>
      <c r="DL154" s="24" t="n"/>
      <c r="DM154" s="24" t="n"/>
      <c r="DN154" s="24" t="n"/>
      <c r="DO154" s="24" t="n"/>
      <c r="DP154" s="24" t="n"/>
      <c r="DQ154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"401857193", "event_start_utc": "2026-09-18T02:00Z", "features": {"away_points_hl10": 86.99, "elo_away": 1390.4, "elo_home": 1446.5, "elo_margin": 4.15, "expected_margin": 3.03, "expected_total": 174.1, "history_games": 916, "home_points_hl10": 87.12, "rest_diff": -0.9, "trend_margin": 2.39}, "historical_source_observation_times_verified": false, "inference_inputs": {"line": -7.5, "mean": 3.0323950312827863, "sd": 13.37}, "model_version": "wnba-spread-margin-v2", "observed_at_utc": "2026-09-17T22:08:36.817818+00:00", "replay_scope": "Exact final classifier/distribution inputs and artifact. Upstream historical feature construction not certified.", "schema": "scalar-artifact-replay-v1", "snapshot_hash": "d823fd7b5d702316b870881b19badb922b6301ee81acbf28362d9e735e42bc8f"}</t>
        </is>
      </c>
    </row>
    <row r="155" ht="36" customHeight="1">
      <c r="A155" s="24" t="inlineStr">
        <is>
          <t>45e1408850004039</t>
        </is>
      </c>
      <c r="B155" s="24" t="inlineStr">
        <is>
          <t>2026-09-17T22:08:37.370685Z</t>
        </is>
      </c>
      <c r="C155" s="24" t="inlineStr">
        <is>
          <t>2026-09-18T02:00Z</t>
        </is>
      </c>
      <c r="D155" s="24" t="inlineStr">
        <is>
          <t>401857194</t>
        </is>
      </c>
      <c r="E155" s="24" t="inlineStr">
        <is>
          <t>WNBA</t>
        </is>
      </c>
      <c r="F155" s="24" t="inlineStr">
        <is>
          <t>Las Vegas Aces</t>
        </is>
      </c>
      <c r="G155" s="24" t="inlineStr">
        <is>
          <t>Seattle Storm</t>
        </is>
      </c>
      <c r="H155" s="24" t="inlineStr">
        <is>
          <t>spread</t>
        </is>
      </c>
      <c r="I155" s="24" t="inlineStr">
        <is>
          <t>home</t>
        </is>
      </c>
      <c r="J155" s="25" t="n">
        <v>9.5</v>
      </c>
      <c r="K155" s="24" t="inlineStr">
        <is>
          <t>polymarket_us</t>
        </is>
      </c>
      <c r="L155" s="26" t="n">
        <v>113</v>
      </c>
      <c r="M155" s="27" t="n">
        <v>2.13</v>
      </c>
      <c r="N155" s="28" t="n">
        <v>0.469484</v>
      </c>
      <c r="O155" s="28" t="n">
        <v>0.614937</v>
      </c>
      <c r="P155" s="28" t="n">
        <v>0.03</v>
      </c>
      <c r="Q155" s="28" t="n">
        <v>0.145453</v>
      </c>
      <c r="R155" s="26" t="n">
        <v>100</v>
      </c>
      <c r="S155" s="29" t="n">
        <v>1.75</v>
      </c>
      <c r="T155" s="24" t="inlineStr">
        <is>
          <t>wnba-spread-margin-v2</t>
        </is>
      </c>
      <c r="U155" s="24" t="inlineStr">
        <is>
          <t>settled</t>
        </is>
      </c>
      <c r="V155" s="24" t="inlineStr">
        <is>
          <t>loss</t>
        </is>
      </c>
      <c r="W155" s="26" t="n">
        <v>114</v>
      </c>
      <c r="X155" s="26" t="n">
        <v>77</v>
      </c>
      <c r="Y155" s="25" t="n"/>
      <c r="Z155" s="26" t="n"/>
      <c r="AA155" s="28" t="n"/>
      <c r="AB155" s="28" t="n"/>
      <c r="AC155" s="30" t="n">
        <v>-1.75</v>
      </c>
      <c r="AD155" s="24" t="inlineStr">
        <is>
          <t>2026-09-18T05:13:23.895410Z</t>
        </is>
      </c>
      <c r="AE155" s="31" t="inlineStr">
        <is>
          <t>Projected margin -5.6 (home), sd 13.4. Executable ask 0.4700 (asc-wnba-lv-sea-2026-09-17-neg-9pt5).</t>
        </is>
      </c>
      <c r="AF155" s="31" t="inlineStr">
        <is>
          <t>Point-in-time composite Elo + trend + rest margin-normal spread model.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wnba-lva</t>
        </is>
      </c>
      <c r="AQ155" s="24" t="inlineStr">
        <is>
          <t>Las Vegas Aces</t>
        </is>
      </c>
      <c r="AR155" s="24" t="inlineStr">
        <is>
          <t>Las Vegas Aces</t>
        </is>
      </c>
      <c r="AS155" s="24" t="inlineStr">
        <is>
          <t>wnba-sea</t>
        </is>
      </c>
      <c r="AT155" s="24" t="inlineStr">
        <is>
          <t>Seattle Storm</t>
        </is>
      </c>
      <c r="AU155" s="24" t="inlineStr">
        <is>
          <t>Seattle Storm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f7d192f98d825d7c77be21b0531a91cff101ad35e418fe9d7e07c5d0f769f974</t>
        </is>
      </c>
      <c r="BB155" s="24" t="inlineStr">
        <is>
          <t>margin_normal</t>
        </is>
      </c>
      <c r="BC155" s="24" t="inlineStr">
        <is>
          <t>wnba-spread-margin-v2</t>
        </is>
      </c>
      <c r="BD155" s="24" t="inlineStr">
        <is>
          <t>f7d192f98d825d7c77be21b0531a91cff101ad35e418fe9d7e07c5d0f769f974</t>
        </is>
      </c>
      <c r="BE155" s="24" t="inlineStr">
        <is>
          <t>wnba-spread-margin-v2</t>
        </is>
      </c>
      <c r="BF155" s="24" t="inlineStr">
        <is>
          <t>1</t>
        </is>
      </c>
      <c r="BG155" s="24" t="inlineStr">
        <is>
          <t>f7d192f98d825d7c77be21b0531a91cff101ad35e418fe9d7e07c5d0f769f974</t>
        </is>
      </c>
      <c r="BH155" s="24" t="inlineStr">
        <is>
          <t>2026-09-17T16:05:00.501758Z</t>
        </is>
      </c>
      <c r="BI155" s="24" t="inlineStr">
        <is>
          <t>["same_event","same_team_same_day","same_league_same_day"]</t>
        </is>
      </c>
      <c r="BJ155" s="25" t="n">
        <v>9.5</v>
      </c>
      <c r="BK155" s="26" t="n">
        <v>113</v>
      </c>
      <c r="BL155" s="27" t="n">
        <v>2.13</v>
      </c>
      <c r="BM155" s="28" t="n">
        <v>0.469484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inlineStr">
        <is>
          <t>2026-09-17T16:05:00.501758Z</t>
        </is>
      </c>
      <c r="CZ155" s="24" t="inlineStr">
        <is>
          <t>True</t>
        </is>
      </c>
      <c r="DA155" s="24" t="inlineStr">
        <is>
          <t>polymarket_us</t>
        </is>
      </c>
      <c r="DB155" s="24" t="inlineStr">
        <is>
          <t>decision_time_executable_quote</t>
        </is>
      </c>
      <c r="DC155" s="24" t="inlineStr">
        <is>
          <t>False</t>
        </is>
      </c>
      <c r="DD155" s="24" t="inlineStr">
        <is>
          <t>d8716d10e1371033adb581908f1179d457f1a1d9867fa91ff8d3489a44843db0</t>
        </is>
      </c>
      <c r="DE155" s="24" t="inlineStr">
        <is>
          <t>/Users/vincentc9002/model-prediction/data/odds/wnba/2026-09-17/polymarket_snapshots.jsonl</t>
        </is>
      </c>
      <c r="DF155" s="24" t="inlineStr">
        <is>
          <t>d8716d10e1371033adb581908f1179d457f1a1d9867fa91ff8d3489a44843db0</t>
        </is>
      </c>
      <c r="DG155" s="24" t="n"/>
      <c r="DH155" s="24" t="n"/>
      <c r="DI155" s="24" t="n"/>
      <c r="DJ155" s="24" t="inlineStr">
        <is>
          <t>0.469484</t>
        </is>
      </c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"401857194", "event_start_utc": "2026-09-18T02:00Z", "features": {"away_points_hl10": 88.34, "elo_away": 1605.7, "elo_home": 1312.5, "elo_margin": -8.33, "expected_margin": -5.59, "expected_total": 172.37, "history_games": 916, "home_points_hl10": 84.03, "rest_diff": -1.8, "trend_margin": -2.05}, "historical_source_observation_times_verified": false, "inference_inputs": {"line": -9.5, "mean": -5.593165935695947, "sd": 13.37}, "model_version": "wnba-spread-margin-v2", "observed_at_utc": "2026-09-17T22:08:36.817818+00:00", "replay_scope": "Exact final classifier/distribution inputs and artifact. Upstream historical feature construction not certified.", "schema": "scalar-artifact-replay-v1", "snapshot_hash": "12634e09da8b0e40381e8bd5b87b1d435d63eea6acdb2f5e255f2be73aca0236"}</t>
        </is>
      </c>
    </row>
    <row r="156" ht="36" customHeight="1">
      <c r="A156" s="24" t="inlineStr">
        <is>
          <t>3ef568e936a54d5f</t>
        </is>
      </c>
      <c r="B156" s="24" t="inlineStr">
        <is>
          <t>2026-09-18T22:07:59.541283Z</t>
        </is>
      </c>
      <c r="C156" s="24" t="inlineStr">
        <is>
          <t>2026-09-18T19:30:00-0400</t>
        </is>
      </c>
      <c r="D156" s="24" t="inlineStr">
        <is>
          <t>401857195</t>
        </is>
      </c>
      <c r="E156" s="24" t="inlineStr">
        <is>
          <t>WNBA</t>
        </is>
      </c>
      <c r="F156" s="24" t="inlineStr">
        <is>
          <t>Indiana Fever</t>
        </is>
      </c>
      <c r="G156" s="24" t="inlineStr">
        <is>
          <t>Toronto Tempo</t>
        </is>
      </c>
      <c r="H156" s="24" t="inlineStr">
        <is>
          <t>moneyline</t>
        </is>
      </c>
      <c r="I156" s="24" t="inlineStr">
        <is>
          <t>away</t>
        </is>
      </c>
      <c r="J156" s="25" t="n"/>
      <c r="K156" s="24" t="inlineStr">
        <is>
          <t>model_opinion_no_executable_quote</t>
        </is>
      </c>
      <c r="L156" s="26" t="n">
        <v>-110</v>
      </c>
      <c r="M156" s="27" t="n">
        <v>1.909091</v>
      </c>
      <c r="N156" s="28" t="n">
        <v>0.52381</v>
      </c>
      <c r="O156" s="28" t="n">
        <v>0.756675</v>
      </c>
      <c r="P156" s="28" t="n"/>
      <c r="Q156" s="28" t="n">
        <v>0.232865</v>
      </c>
      <c r="R156" s="26" t="n">
        <v>100</v>
      </c>
      <c r="S156" s="29" t="n">
        <v>2</v>
      </c>
      <c r="T156" s="24" t="inlineStr">
        <is>
          <t>wnba-elo-trend-lr-v4</t>
        </is>
      </c>
      <c r="U156" s="24" t="inlineStr">
        <is>
          <t>settled</t>
        </is>
      </c>
      <c r="V156" s="24" t="inlineStr">
        <is>
          <t>win</t>
        </is>
      </c>
      <c r="W156" s="26" t="n">
        <v>103</v>
      </c>
      <c r="X156" s="26" t="n">
        <v>85</v>
      </c>
      <c r="Y156" s="25" t="n"/>
      <c r="Z156" s="26" t="n"/>
      <c r="AA156" s="28" t="n"/>
      <c r="AB156" s="28" t="n"/>
      <c r="AC156" s="30" t="n">
        <v>1.8182</v>
      </c>
      <c r="AD156" s="24" t="inlineStr">
        <is>
          <t>2026-09-19T04:30:24.858977Z</t>
        </is>
      </c>
      <c r="AE156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56" s="31" t="inlineStr">
        <is>
          <t>Learned model; shadow-qualified via operator override.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paper_call</t>
        </is>
      </c>
      <c r="AL156" s="26" t="n">
        <v>4</v>
      </c>
      <c r="AM156" s="24" t="inlineStr">
        <is>
          <t>RESEARCH_OBSERVATION</t>
        </is>
      </c>
      <c r="AN156" s="24" t="inlineStr">
        <is>
          <t>CALL</t>
        </is>
      </c>
      <c r="AO156" s="24" t="inlineStr">
        <is>
          <t>PAPER_CALL_MARKET_UNAVAILABLE</t>
        </is>
      </c>
      <c r="AP156" s="24" t="inlineStr">
        <is>
          <t>wnba-ind</t>
        </is>
      </c>
      <c r="AQ156" s="24" t="inlineStr">
        <is>
          <t>Indiana Fever</t>
        </is>
      </c>
      <c r="AR156" s="24" t="inlineStr">
        <is>
          <t>Indiana Fever</t>
        </is>
      </c>
      <c r="AS156" s="24" t="inlineStr">
        <is>
          <t>wnba-tor</t>
        </is>
      </c>
      <c r="AT156" s="24" t="inlineStr">
        <is>
          <t>Toronto Tempo</t>
        </is>
      </c>
      <c r="AU156" s="24" t="inlineStr">
        <is>
          <t>Toronto Tempo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7afd5274214b58b7efd7f7febc7be3ab33b92351cda5cc6403c0a39faea0cc8c</t>
        </is>
      </c>
      <c r="BB156" s="24" t="inlineStr">
        <is>
          <t>learned_lr</t>
        </is>
      </c>
      <c r="BC156" s="24" t="inlineStr">
        <is>
          <t>wnba-elo-trend-lr-v4</t>
        </is>
      </c>
      <c r="BD156" s="24" t="inlineStr">
        <is>
          <t>7afd5274214b58b7efd7f7febc7be3ab33b92351cda5cc6403c0a39faea0cc8c</t>
        </is>
      </c>
      <c r="BE156" s="24" t="inlineStr">
        <is>
          <t>95c53f38edd03893</t>
        </is>
      </c>
      <c r="BF156" s="24" t="inlineStr">
        <is>
          <t>1</t>
        </is>
      </c>
      <c r="BG156" s="24" t="inlineStr">
        <is>
          <t>wnba-elo-trend-lr-v4</t>
        </is>
      </c>
      <c r="BH156" s="24" t="inlineStr">
        <is>
          <t>2026-09-18T22:07:59.541283Z</t>
        </is>
      </c>
      <c r="BI156" s="24" t="inlineStr">
        <is>
          <t>["same_event","same_team_same_day","same_league_same_day"]</t>
        </is>
      </c>
      <c r="BJ156" s="25" t="n"/>
      <c r="BK156" s="26" t="n">
        <v>-110</v>
      </c>
      <c r="BL156" s="27" t="n">
        <v>1.909091</v>
      </c>
      <c r="BM156" s="28" t="n">
        <v>0.52381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>
        <v>1</v>
      </c>
      <c r="BY156" s="27" t="n">
        <v>0.909091</v>
      </c>
      <c r="BZ156" s="24" t="inlineStr">
        <is>
          <t>2026-09-19T04:30:24.858977Z</t>
        </is>
      </c>
      <c r="CA156" s="31" t="inlineStr">
        <is>
          <t>fixed one-unit hypothetical scoring; no real exposure or execution</t>
        </is>
      </c>
      <c r="CB156" s="24" t="n"/>
      <c r="CC156" s="24" t="inlineStr">
        <is>
          <t>0.1171191846</t>
        </is>
      </c>
      <c r="CD156" s="24" t="inlineStr">
        <is>
          <t>-12.890132</t>
        </is>
      </c>
      <c r="CE156" s="24" t="n"/>
      <c r="CF156" s="24" t="n"/>
      <c r="CG156" s="24" t="n"/>
      <c r="CH156" s="24" t="n"/>
      <c r="CI156" s="24" t="inlineStr">
        <is>
          <t>NO_CALL_AVAILABILITY_SOURCE_CONFLICT,executable_quote_missing_or_unmatched</t>
        </is>
      </c>
      <c r="CJ156" s="24" t="inlineStr">
        <is>
          <t>5.769566</t>
        </is>
      </c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0.52381</t>
        </is>
      </c>
      <c r="DK156" s="24" t="n"/>
      <c r="DL156" s="24" t="n"/>
      <c r="DM156" s="24" t="n"/>
      <c r="DN156" s="24" t="n"/>
      <c r="DO156" s="24" t="n"/>
      <c r="DP156" s="24" t="n"/>
      <c r="DQ156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0.24332454010842214, "event_id": "401857195", "event_start_utc": "2026-09-18T23:30:00+00:00", "features": {"defensive_trend_gap": 5.769566, "elo_probability": 0.11711918458954111, "trend_gap": -12.890132000000001}, "historical_source_observation_times_verified": false, "model_version": "wnba-elo-trend-lr-v4", "observed_at_utc": "2026-09-18T22:07:59.541283+00:00", "schema": "learned-moneyline-replay-v1", "served_home_probability": 0.24332454010842214, "snapshot_hash": "81728dcc0cd47a7278e56bfd4f2a775967d938da052682099042de82911b0457"}</t>
        </is>
      </c>
    </row>
    <row r="157" ht="36" customHeight="1">
      <c r="A157" s="24" t="inlineStr">
        <is>
          <t>93ebf3dad58d42a6</t>
        </is>
      </c>
      <c r="B157" s="24" t="inlineStr">
        <is>
          <t>2026-09-18T22:07:59.541283Z</t>
        </is>
      </c>
      <c r="C157" s="24" t="inlineStr">
        <is>
          <t>2026-09-18T19:30:00-0400</t>
        </is>
      </c>
      <c r="D157" s="24" t="inlineStr">
        <is>
          <t>401857196</t>
        </is>
      </c>
      <c r="E157" s="24" t="inlineStr">
        <is>
          <t>WNBA</t>
        </is>
      </c>
      <c r="F157" s="24" t="inlineStr">
        <is>
          <t>New York Liberty</t>
        </is>
      </c>
      <c r="G157" s="24" t="inlineStr">
        <is>
          <t>Minnesota Lynx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model_opinion_no_executable_quote</t>
        </is>
      </c>
      <c r="L157" s="26" t="n">
        <v>-110</v>
      </c>
      <c r="M157" s="27" t="n">
        <v>1.909091</v>
      </c>
      <c r="N157" s="28" t="n">
        <v>0.52381</v>
      </c>
      <c r="O157" s="28" t="n">
        <v>0.684078</v>
      </c>
      <c r="P157" s="28" t="n"/>
      <c r="Q157" s="28" t="n">
        <v>0.160268</v>
      </c>
      <c r="R157" s="26" t="n">
        <v>100</v>
      </c>
      <c r="S157" s="29" t="n">
        <v>1.75</v>
      </c>
      <c r="T157" s="24" t="inlineStr">
        <is>
          <t>wnba-elo-trend-lr-v4</t>
        </is>
      </c>
      <c r="U157" s="24" t="inlineStr">
        <is>
          <t>settled</t>
        </is>
      </c>
      <c r="V157" s="24" t="inlineStr">
        <is>
          <t>loss</t>
        </is>
      </c>
      <c r="W157" s="26" t="n">
        <v>93</v>
      </c>
      <c r="X157" s="26" t="n">
        <v>81</v>
      </c>
      <c r="Y157" s="25" t="n"/>
      <c r="Z157" s="26" t="n"/>
      <c r="AA157" s="28" t="n"/>
      <c r="AB157" s="28" t="n"/>
      <c r="AC157" s="30" t="n">
        <v>-1.75</v>
      </c>
      <c r="AD157" s="24" t="inlineStr">
        <is>
          <t>2026-09-19T04:30:25.323669Z</t>
        </is>
      </c>
      <c r="AE157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7" s="31" t="inlineStr">
        <is>
          <t>Learned model; shadow-qualified via operator override.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4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PAPER_CALL_MARKET_UNAVAILABLE</t>
        </is>
      </c>
      <c r="AP157" s="24" t="inlineStr">
        <is>
          <t>wnba-nyl</t>
        </is>
      </c>
      <c r="AQ157" s="24" t="inlineStr">
        <is>
          <t>New York Liberty</t>
        </is>
      </c>
      <c r="AR157" s="24" t="inlineStr">
        <is>
          <t>New York Liberty</t>
        </is>
      </c>
      <c r="AS157" s="24" t="inlineStr">
        <is>
          <t>wnba-min</t>
        </is>
      </c>
      <c r="AT157" s="24" t="inlineStr">
        <is>
          <t>Minnesota Lynx</t>
        </is>
      </c>
      <c r="AU157" s="24" t="inlineStr">
        <is>
          <t>Minnesota Lynx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7afd5274214b58b7efd7f7febc7be3ab33b92351cda5cc6403c0a39faea0cc8c</t>
        </is>
      </c>
      <c r="BB157" s="24" t="inlineStr">
        <is>
          <t>learned_lr</t>
        </is>
      </c>
      <c r="BC157" s="24" t="inlineStr">
        <is>
          <t>wnba-elo-trend-lr-v4</t>
        </is>
      </c>
      <c r="BD157" s="24" t="inlineStr">
        <is>
          <t>7afd5274214b58b7efd7f7febc7be3ab33b92351cda5cc6403c0a39faea0cc8c</t>
        </is>
      </c>
      <c r="BE157" s="24" t="inlineStr">
        <is>
          <t>2667b6b3c45f8f93</t>
        </is>
      </c>
      <c r="BF157" s="24" t="inlineStr">
        <is>
          <t>1</t>
        </is>
      </c>
      <c r="BG157" s="24" t="inlineStr">
        <is>
          <t>wnba-elo-trend-lr-v4</t>
        </is>
      </c>
      <c r="BH157" s="24" t="inlineStr">
        <is>
          <t>2026-09-18T22:07:59.541283Z</t>
        </is>
      </c>
      <c r="BI157" s="24" t="inlineStr">
        <is>
          <t>["same_event","same_team_same_day","same_league_same_day"]</t>
        </is>
      </c>
      <c r="BJ157" s="25" t="n"/>
      <c r="BK157" s="26" t="n">
        <v>-110</v>
      </c>
      <c r="BL157" s="27" t="n">
        <v>1.909091</v>
      </c>
      <c r="BM157" s="28" t="n">
        <v>0.52381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>
        <v>1</v>
      </c>
      <c r="BY157" s="27" t="n">
        <v>-1</v>
      </c>
      <c r="BZ157" s="24" t="inlineStr">
        <is>
          <t>2026-09-19T04:30:25.323669Z</t>
        </is>
      </c>
      <c r="CA157" s="31" t="inlineStr">
        <is>
          <t>fixed one-unit hypothetical scoring; no real exposure or execution</t>
        </is>
      </c>
      <c r="CB157" s="24" t="n"/>
      <c r="CC157" s="24" t="inlineStr">
        <is>
          <t>0.74408741</t>
        </is>
      </c>
      <c r="CD157" s="24" t="inlineStr">
        <is>
          <t>-0.788058</t>
        </is>
      </c>
      <c r="CE157" s="24" t="n"/>
      <c r="CF157" s="24" t="n"/>
      <c r="CG157" s="24" t="n"/>
      <c r="CH157" s="24" t="n"/>
      <c r="CI157" s="24" t="inlineStr">
        <is>
          <t>executable_quote_missing_or_unmatched</t>
        </is>
      </c>
      <c r="CJ157" s="24" t="inlineStr">
        <is>
          <t>-2.308021</t>
        </is>
      </c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0.52381</t>
        </is>
      </c>
      <c r="DK157" s="24" t="n"/>
      <c r="DL157" s="24" t="n"/>
      <c r="DM157" s="24" t="n"/>
      <c r="DN157" s="24" t="n"/>
      <c r="DO157" s="24" t="n"/>
      <c r="DP157" s="24" t="n"/>
      <c r="DQ157" s="24" t="inlineStr">
        <is>
          <t>{"adjustment": {"applied": false, "availability": {"availability_points_gap": 0.0, "availability_report_age_hours": 0.1332059119, "availability_source_conflict_count": 0, "availability_source_conflicts": [], "availability_uncertainty": 0.0, "away_available_minutes_share": 0.999999995, "home_available_minutes_share": 0.98698274, "source_evidence": {"espn_observed_at_utc": "2026-09-18T22:02:24.425054+00:00", "espn_snapshot_hash": "bdc98401bc383671821e74c3e7b4d46433a4e9f135d53ca07e4c404c89c76cdc", "official_observed_at_utc": "2026-09-18T22:02:23.570989+00:00", "official_report_at_utc": "2026-09-18T22:00:00+00:00", "official_snapshot_hash": "95b9cfcce6a39280ea8a449c43b6a191c5ca1a557f952c47e697f70233f75909", "prior_hash": "8b258e26092491dd48002f372e36da552c1fdb07e03ea8aa642d469171e97ce4", "prior_observed_at_utc": "2026-09-18T22:02:23.475754+00:00"}}, "margin_sigma": 14.63524846894278, "method": "wnba_probit_v1", "minimum_delta": 0.05, "points_gap": 0.0},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0.6840775891092734, "event_id": "401857196", "event_start_utc": "2026-09-18T23:30:00+00:00", "features": {"defensive_trend_gap": -2.308021, "elo_probability": 0.744087410011505, "trend_gap": -0.7880579999999999}, "historical_source_observation_times_verified": false, "model_version": "wnba-elo-trend-lr-v4", "observed_at_utc": "2026-09-18T22:07:59.541283+00:00", "schema": "learned-moneyline-replay-v1", "served_home_probability": 0.6840775891092734, "snapshot_hash": "3cf9f8c86b4eadbebb22fd4f1bca536a0145ae6964dda9c9dc1553a34331b686"}</t>
        </is>
      </c>
    </row>
    <row r="158" ht="36" customHeight="1">
      <c r="A158" s="24" t="inlineStr">
        <is>
          <t>a903a0d28aad471c</t>
        </is>
      </c>
      <c r="B158" s="24" t="inlineStr">
        <is>
          <t>2026-09-18T22:07:59.541283Z</t>
        </is>
      </c>
      <c r="C158" s="24" t="inlineStr">
        <is>
          <t>2026-09-18T22:00:00-0400</t>
        </is>
      </c>
      <c r="D158" s="24" t="inlineStr">
        <is>
          <t>401857197</t>
        </is>
      </c>
      <c r="E158" s="24" t="inlineStr">
        <is>
          <t>WNBA</t>
        </is>
      </c>
      <c r="F158" s="24" t="inlineStr">
        <is>
          <t>Portland Fire</t>
        </is>
      </c>
      <c r="G158" s="24" t="inlineStr">
        <is>
          <t>Golden State Valkyries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-733</v>
      </c>
      <c r="M158" s="27" t="n">
        <v>1.136426</v>
      </c>
      <c r="N158" s="28" t="n">
        <v>0.879952</v>
      </c>
      <c r="O158" s="28" t="n">
        <v>0.777197</v>
      </c>
      <c r="P158" s="28" t="n"/>
      <c r="Q158" s="28" t="n">
        <v>-0.102755</v>
      </c>
      <c r="R158" s="26" t="n">
        <v>0</v>
      </c>
      <c r="S158" s="29" t="n">
        <v>1</v>
      </c>
      <c r="T158" s="24" t="inlineStr">
        <is>
          <t>wnba-elo-trend-lr-v4</t>
        </is>
      </c>
      <c r="U158" s="24" t="inlineStr">
        <is>
          <t>settled</t>
        </is>
      </c>
      <c r="V158" s="24" t="inlineStr">
        <is>
          <t>win</t>
        </is>
      </c>
      <c r="W158" s="26" t="n">
        <v>66</v>
      </c>
      <c r="X158" s="26" t="n">
        <v>82</v>
      </c>
      <c r="Y158" s="25" t="n"/>
      <c r="Z158" s="26" t="n">
        <v>-733</v>
      </c>
      <c r="AA158" s="28" t="n">
        <v>0.88</v>
      </c>
      <c r="AB158" s="28" t="n">
        <v>4.8e-05</v>
      </c>
      <c r="AC158" s="30" t="n">
        <v>0.1364</v>
      </c>
      <c r="AD158" s="24" t="inlineStr">
        <is>
          <t>2026-09-19T04:30:25.708054Z</t>
        </is>
      </c>
      <c r="AE158" s="31" t="inlineStr">
        <is>
          <t>Learned LR call at threshold 0.5001; executable ask 0.8800 (aec-wnba-por-gsv-2026-09-18); model edge vs ask -0.1028. NOTE: NO_CALL_AVAILABILITY_SOURCE_CONFLICT unavailable for this game — defaulted to neutral, other features used normally.</t>
        </is>
      </c>
      <c r="AF158" s="31" t="inlineStr">
        <is>
          <t>Learned model; shadow-qualified via operator override.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model_qualified</t>
        </is>
      </c>
      <c r="AL158" s="26" t="n">
        <v>4</v>
      </c>
      <c r="AM158" s="24" t="inlineStr">
        <is>
          <t>QUALIFIED_SHADOW_CALL</t>
        </is>
      </c>
      <c r="AN158" s="24" t="inlineStr">
        <is>
          <t>CALL</t>
        </is>
      </c>
      <c r="AO158" s="24" t="inlineStr">
        <is>
          <t>QUALIFIED</t>
        </is>
      </c>
      <c r="AP158" s="24" t="inlineStr">
        <is>
          <t>wnba-por</t>
        </is>
      </c>
      <c r="AQ158" s="24" t="inlineStr">
        <is>
          <t>Portland Fire</t>
        </is>
      </c>
      <c r="AR158" s="24" t="inlineStr">
        <is>
          <t>Portland Fire</t>
        </is>
      </c>
      <c r="AS158" s="24" t="inlineStr">
        <is>
          <t>wnba-gsv</t>
        </is>
      </c>
      <c r="AT158" s="24" t="inlineStr">
        <is>
          <t>Golden State Valkyries</t>
        </is>
      </c>
      <c r="AU158" s="24" t="inlineStr">
        <is>
          <t>Golden State Valkyries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7afd5274214b58b7efd7f7febc7be3ab33b92351cda5cc6403c0a39faea0cc8c</t>
        </is>
      </c>
      <c r="BB158" s="24" t="inlineStr">
        <is>
          <t>learned_lr</t>
        </is>
      </c>
      <c r="BC158" s="24" t="inlineStr">
        <is>
          <t>wnba-elo-trend-lr-v4</t>
        </is>
      </c>
      <c r="BD158" s="24" t="inlineStr">
        <is>
          <t>7afd5274214b58b7efd7f7febc7be3ab33b92351cda5cc6403c0a39faea0cc8c</t>
        </is>
      </c>
      <c r="BE158" s="24" t="inlineStr">
        <is>
          <t>e1b328a437297fcd</t>
        </is>
      </c>
      <c r="BF158" s="24" t="inlineStr">
        <is>
          <t>1</t>
        </is>
      </c>
      <c r="BG158" s="24" t="inlineStr">
        <is>
          <t>wnba-elo-trend-lr-v4</t>
        </is>
      </c>
      <c r="BH158" s="24" t="inlineStr">
        <is>
          <t>2026-09-18T22:03:41.736921Z</t>
        </is>
      </c>
      <c r="BI158" s="24" t="inlineStr">
        <is>
          <t>["same_event","same_team_same_day","same_league_same_day"]</t>
        </is>
      </c>
      <c r="BJ158" s="25" t="n"/>
      <c r="BK158" s="26" t="n">
        <v>-733</v>
      </c>
      <c r="BL158" s="27" t="n">
        <v>1.136426</v>
      </c>
      <c r="BM158" s="28" t="n">
        <v>0.879952</v>
      </c>
      <c r="BN158" s="28" t="n">
        <v>0.871287</v>
      </c>
      <c r="BO158" s="28" t="n"/>
      <c r="BP158" s="25" t="n"/>
      <c r="BQ158" s="27" t="n">
        <v>1.136426</v>
      </c>
      <c r="BR158" s="28" t="n">
        <v>0.88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inlineStr">
        <is>
          <t>0.9045480364</t>
        </is>
      </c>
      <c r="CD158" s="24" t="inlineStr">
        <is>
          <t>-0.152855</t>
        </is>
      </c>
      <c r="CE158" s="24" t="n"/>
      <c r="CF158" s="24" t="n"/>
      <c r="CG158" s="24" t="n"/>
      <c r="CH158" s="24" t="n"/>
      <c r="CI158" s="24" t="inlineStr">
        <is>
          <t>NO_CALL_AVAILABILITY_SOURCE_CONFLICT</t>
        </is>
      </c>
      <c r="CJ158" s="24" t="inlineStr">
        <is>
          <t>5.118926</t>
        </is>
      </c>
      <c r="CK158" s="24" t="n"/>
      <c r="CL158" s="24" t="n"/>
      <c r="CM158" s="24" t="n"/>
      <c r="CN158" s="24" t="n"/>
      <c r="CO158" s="24" t="n"/>
      <c r="CP158" s="24" t="n"/>
      <c r="CQ158" s="24" t="n"/>
      <c r="CR158" s="24" t="inlineStr">
        <is>
          <t>0.777197</t>
        </is>
      </c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inlineStr">
        <is>
          <t>2026-09-18T22:03:41.736921Z</t>
        </is>
      </c>
      <c r="CZ158" s="24" t="inlineStr">
        <is>
          <t>True</t>
        </is>
      </c>
      <c r="DA158" s="24" t="inlineStr">
        <is>
          <t>polymarket_us</t>
        </is>
      </c>
      <c r="DB158" s="24" t="inlineStr">
        <is>
          <t>decision_time_executable_quote</t>
        </is>
      </c>
      <c r="DC158" s="24" t="inlineStr">
        <is>
          <t>False</t>
        </is>
      </c>
      <c r="DD158" s="24" t="inlineStr">
        <is>
          <t>4c280f818eea130c609546e2d91c832b9a562a1b6e67c2439ab5858f19ef1a09</t>
        </is>
      </c>
      <c r="DE158" s="24" t="inlineStr">
        <is>
          <t>/Users/vincentc9002/model-prediction/data/odds/wnba/2026-09-18/polymarket_snapshots.jsonl</t>
        </is>
      </c>
      <c r="DF158" s="24" t="inlineStr">
        <is>
          <t>4c280f818eea130c609546e2d91c832b9a562a1b6e67c2439ab5858f19ef1a09</t>
        </is>
      </c>
      <c r="DG158" s="24" t="n"/>
      <c r="DH158" s="24" t="n"/>
      <c r="DI158" s="24" t="n"/>
      <c r="DJ158" s="24" t="inlineStr">
        <is>
          <t>0.879952</t>
        </is>
      </c>
      <c r="DK158" s="24" t="n"/>
      <c r="DL158" s="24" t="n"/>
      <c r="DM158" s="24" t="n"/>
      <c r="DN158" s="24" t="n"/>
      <c r="DO158" s="24" t="n"/>
      <c r="DP158" s="24" t="n"/>
      <c r="DQ158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0.7771974801929878, "event_id": "401857197", "event_start_utc": "2026-09-19T02:00:00+00:00", "features": {"defensive_trend_gap": 5.118926, "elo_probability": 0.9045480363522749, "trend_gap": -0.15285500000000002}, "historical_source_observation_times_verified": false, "model_version": "wnba-elo-trend-lr-v4", "observed_at_utc": "2026-09-18T22:07:59.541283+00:00", "schema": "learned-moneyline-replay-v1", "served_home_probability": 0.7771974801929878, "snapshot_hash": "0a21bf08d7c560406d29ae224182f2aff581744d4599f3c6a917acc762b0abf6"}</t>
        </is>
      </c>
    </row>
    <row r="159" ht="36" customHeight="1">
      <c r="A159" s="24" t="inlineStr">
        <is>
          <t>989a83c464754f98</t>
        </is>
      </c>
      <c r="B159" s="24" t="inlineStr">
        <is>
          <t>2026-09-18T22:08:31.056482Z</t>
        </is>
      </c>
      <c r="C159" s="24" t="inlineStr">
        <is>
          <t>2026-09-18T23:30Z</t>
        </is>
      </c>
      <c r="D159" s="24" t="inlineStr">
        <is>
          <t>401857195</t>
        </is>
      </c>
      <c r="E159" s="24" t="inlineStr">
        <is>
          <t>WNBA</t>
        </is>
      </c>
      <c r="F159" s="24" t="inlineStr">
        <is>
          <t>Indiana Fever</t>
        </is>
      </c>
      <c r="G159" s="24" t="inlineStr">
        <is>
          <t>Toronto Tempo</t>
        </is>
      </c>
      <c r="H159" s="24" t="inlineStr">
        <is>
          <t>spread</t>
        </is>
      </c>
      <c r="I159" s="24" t="inlineStr">
        <is>
          <t>home</t>
        </is>
      </c>
      <c r="J159" s="25" t="n">
        <v>19.5</v>
      </c>
      <c r="K159" s="24" t="inlineStr">
        <is>
          <t>polymarket_us</t>
        </is>
      </c>
      <c r="L159" s="26" t="n">
        <v>-170</v>
      </c>
      <c r="M159" s="27" t="n">
        <v>1.588235</v>
      </c>
      <c r="N159" s="28" t="n">
        <v>0.62963</v>
      </c>
      <c r="O159" s="28" t="n">
        <v>0.789961</v>
      </c>
      <c r="P159" s="28" t="n">
        <v>0.03</v>
      </c>
      <c r="Q159" s="28" t="n">
        <v>0.160331</v>
      </c>
      <c r="R159" s="26" t="n">
        <v>100</v>
      </c>
      <c r="S159" s="29" t="n">
        <v>1.75</v>
      </c>
      <c r="T159" s="24" t="inlineStr">
        <is>
          <t>wnba-spread-margin-v2</t>
        </is>
      </c>
      <c r="U159" s="24" t="inlineStr">
        <is>
          <t>settled</t>
        </is>
      </c>
      <c r="V159" s="24" t="inlineStr">
        <is>
          <t>win</t>
        </is>
      </c>
      <c r="W159" s="26" t="n">
        <v>103</v>
      </c>
      <c r="X159" s="26" t="n">
        <v>85</v>
      </c>
      <c r="Y159" s="25" t="n"/>
      <c r="Z159" s="26" t="n"/>
      <c r="AA159" s="28" t="n"/>
      <c r="AB159" s="28" t="n"/>
      <c r="AC159" s="30" t="n">
        <v>1.0294</v>
      </c>
      <c r="AD159" s="24" t="inlineStr">
        <is>
          <t>2026-09-19T04:31:03.265475Z</t>
        </is>
      </c>
      <c r="AE159" s="31" t="inlineStr">
        <is>
          <t>Projected margin -8.7 (home), sd 13.4. Executable ask 0.6300 (asc-wnba-ind-tor-2026-09-18-neg-19pt5).</t>
        </is>
      </c>
      <c r="AF159" s="31" t="inlineStr">
        <is>
          <t>Point-in-time composite Elo + trend + rest margin-normal spread model.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4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wnba-ind</t>
        </is>
      </c>
      <c r="AQ159" s="24" t="inlineStr">
        <is>
          <t>Indiana Fever</t>
        </is>
      </c>
      <c r="AR159" s="24" t="inlineStr">
        <is>
          <t>Indiana Fever</t>
        </is>
      </c>
      <c r="AS159" s="24" t="inlineStr">
        <is>
          <t>wnba-tor</t>
        </is>
      </c>
      <c r="AT159" s="24" t="inlineStr">
        <is>
          <t>Toronto Tempo</t>
        </is>
      </c>
      <c r="AU159" s="24" t="inlineStr">
        <is>
          <t>Toronto Tempo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f7d192f98d825d7c77be21b0531a91cff101ad35e418fe9d7e07c5d0f769f974</t>
        </is>
      </c>
      <c r="BB159" s="24" t="inlineStr">
        <is>
          <t>margin_normal</t>
        </is>
      </c>
      <c r="BC159" s="24" t="inlineStr">
        <is>
          <t>wnba-spread-margin-v2</t>
        </is>
      </c>
      <c r="BD159" s="24" t="inlineStr">
        <is>
          <t>f7d192f98d825d7c77be21b0531a91cff101ad35e418fe9d7e07c5d0f769f974</t>
        </is>
      </c>
      <c r="BE159" s="24" t="inlineStr">
        <is>
          <t>wnba-spread-margin-v2</t>
        </is>
      </c>
      <c r="BF159" s="24" t="inlineStr">
        <is>
          <t>1</t>
        </is>
      </c>
      <c r="BG159" s="24" t="inlineStr">
        <is>
          <t>f7d192f98d825d7c77be21b0531a91cff101ad35e418fe9d7e07c5d0f769f974</t>
        </is>
      </c>
      <c r="BH159" s="24" t="inlineStr">
        <is>
          <t>2026-09-18T22:03:29.682954Z</t>
        </is>
      </c>
      <c r="BI159" s="24" t="inlineStr">
        <is>
          <t>["same_event","same_team_same_day","same_league_same_day"]</t>
        </is>
      </c>
      <c r="BJ159" s="25" t="n">
        <v>19.5</v>
      </c>
      <c r="BK159" s="26" t="n">
        <v>-170</v>
      </c>
      <c r="BL159" s="27" t="n">
        <v>1.588235</v>
      </c>
      <c r="BM159" s="28" t="n">
        <v>0.62963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inlineStr">
        <is>
          <t>2026-09-18T22:03:29.682954Z</t>
        </is>
      </c>
      <c r="CZ159" s="24" t="inlineStr">
        <is>
          <t>True</t>
        </is>
      </c>
      <c r="DA159" s="24" t="inlineStr">
        <is>
          <t>polymarket_us</t>
        </is>
      </c>
      <c r="DB159" s="24" t="inlineStr">
        <is>
          <t>decision_time_executable_quote</t>
        </is>
      </c>
      <c r="DC159" s="24" t="inlineStr">
        <is>
          <t>False</t>
        </is>
      </c>
      <c r="DD159" s="24" t="inlineStr">
        <is>
          <t>036d47face37a5359aa4d0334c5b9ccaae42bfb371f847deeb0e76b7b495be41</t>
        </is>
      </c>
      <c r="DE159" s="24" t="inlineStr">
        <is>
          <t>/Users/vincentc9002/model-prediction/data/odds/wnba/2026-09-18/polymarket_snapshots.jsonl</t>
        </is>
      </c>
      <c r="DF159" s="24" t="inlineStr">
        <is>
          <t>036d47face37a5359aa4d0334c5b9ccaae42bfb371f847deeb0e76b7b495be41</t>
        </is>
      </c>
      <c r="DG159" s="24" t="n"/>
      <c r="DH159" s="24" t="n"/>
      <c r="DI159" s="24" t="n"/>
      <c r="DJ159" s="24" t="inlineStr">
        <is>
          <t>0.62963</t>
        </is>
      </c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"401857195", "event_start_utc": "2026-09-18T23:30Z", "features": {"away_points_hl10": 94.19, "elo_away": 1669.5, "elo_home": 1258.6, "elo_margin": -12.53, "expected_margin": -8.72, "expected_total": 181.62, "history_games": 921, "home_points_hl10": 87.42, "rest_diff": -1.1, "trend_margin": -4.51}, "historical_source_observation_times_verified": false, "inference_inputs": {"line": -19.5, "mean": -8.719954360693972, "sd": 13.37}, "model_version": "wnba-spread-margin-v2", "observed_at_utc": "2026-09-18T22:08:30.702786+00:00", "replay_scope": "Exact final classifier/distribution inputs and artifact. Upstream historical feature construction not certified.", "schema": "scalar-artifact-replay-v1", "snapshot_hash": "d97d0f8d06fedc71fe4091c92cf65c9fcdaf8e256c73c87f91dc53b020f01e59"}</t>
        </is>
      </c>
    </row>
    <row r="160" ht="36" customHeight="1">
      <c r="A160" s="24" t="inlineStr">
        <is>
          <t>8e1a57ad8e3847b5</t>
        </is>
      </c>
      <c r="B160" s="24" t="inlineStr">
        <is>
          <t>2026-09-18T22:08:31.056482Z</t>
        </is>
      </c>
      <c r="C160" s="24" t="inlineStr">
        <is>
          <t>2026-09-19T02:00Z</t>
        </is>
      </c>
      <c r="D160" s="24" t="inlineStr">
        <is>
          <t>401857197</t>
        </is>
      </c>
      <c r="E160" s="24" t="inlineStr">
        <is>
          <t>WNBA</t>
        </is>
      </c>
      <c r="F160" s="24" t="inlineStr">
        <is>
          <t>Portland Fire</t>
        </is>
      </c>
      <c r="G160" s="24" t="inlineStr">
        <is>
          <t>Golden State Valkyries</t>
        </is>
      </c>
      <c r="H160" s="24" t="inlineStr">
        <is>
          <t>spread</t>
        </is>
      </c>
      <c r="I160" s="24" t="inlineStr">
        <is>
          <t>home</t>
        </is>
      </c>
      <c r="J160" s="25" t="n">
        <v>11.5</v>
      </c>
      <c r="K160" s="24" t="inlineStr">
        <is>
          <t>polymarket_us</t>
        </is>
      </c>
      <c r="L160" s="26" t="n">
        <v>-9900</v>
      </c>
      <c r="M160" s="27" t="n">
        <v>1.010101</v>
      </c>
      <c r="N160" s="28" t="n">
        <v>0.99</v>
      </c>
      <c r="O160" s="28" t="n">
        <v>0.956367</v>
      </c>
      <c r="P160" s="28" t="n">
        <v>0.03</v>
      </c>
      <c r="Q160" s="28" t="n">
        <v>-0.033633</v>
      </c>
      <c r="R160" s="26" t="n">
        <v>15</v>
      </c>
      <c r="S160" s="29" t="n">
        <v>1</v>
      </c>
      <c r="T160" s="24" t="inlineStr">
        <is>
          <t>wnba-spread-margin-v2</t>
        </is>
      </c>
      <c r="U160" s="24" t="inlineStr">
        <is>
          <t>settled</t>
        </is>
      </c>
      <c r="V160" s="24" t="inlineStr">
        <is>
          <t>win</t>
        </is>
      </c>
      <c r="W160" s="26" t="n">
        <v>66</v>
      </c>
      <c r="X160" s="26" t="n">
        <v>82</v>
      </c>
      <c r="Y160" s="25" t="n"/>
      <c r="Z160" s="26" t="n"/>
      <c r="AA160" s="28" t="n"/>
      <c r="AB160" s="28" t="n"/>
      <c r="AC160" s="30" t="n">
        <v>0.0101</v>
      </c>
      <c r="AD160" s="24" t="inlineStr">
        <is>
          <t>2026-09-19T04:31:03.515791Z</t>
        </is>
      </c>
      <c r="AE160" s="31" t="inlineStr">
        <is>
          <t>Projected margin +11.4 (home), sd 13.4. Executable ask 0.9900 (asc-wnba-por-gsv-2026-09-18-neg-11pt5).</t>
        </is>
      </c>
      <c r="AF160" s="31" t="inlineStr">
        <is>
          <t>Point-in-time composite Elo + trend + rest margin-normal spread model.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4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PAPER_CALL_STALE_DATA</t>
        </is>
      </c>
      <c r="AP160" s="24" t="inlineStr">
        <is>
          <t>wnba-por</t>
        </is>
      </c>
      <c r="AQ160" s="24" t="inlineStr">
        <is>
          <t>Portland Fire</t>
        </is>
      </c>
      <c r="AR160" s="24" t="inlineStr">
        <is>
          <t>Portland Fire</t>
        </is>
      </c>
      <c r="AS160" s="24" t="inlineStr">
        <is>
          <t>wnba-gsv</t>
        </is>
      </c>
      <c r="AT160" s="24" t="inlineStr">
        <is>
          <t>Golden State Valkyries</t>
        </is>
      </c>
      <c r="AU160" s="24" t="inlineStr">
        <is>
          <t>Golden State Valkyries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f7d192f98d825d7c77be21b0531a91cff101ad35e418fe9d7e07c5d0f769f974</t>
        </is>
      </c>
      <c r="BB160" s="24" t="inlineStr">
        <is>
          <t>margin_normal</t>
        </is>
      </c>
      <c r="BC160" s="24" t="inlineStr">
        <is>
          <t>wnba-spread-margin-v2</t>
        </is>
      </c>
      <c r="BD160" s="24" t="inlineStr">
        <is>
          <t>f7d192f98d825d7c77be21b0531a91cff101ad35e418fe9d7e07c5d0f769f974</t>
        </is>
      </c>
      <c r="BE160" s="24" t="inlineStr">
        <is>
          <t>wnba-spread-margin-v2</t>
        </is>
      </c>
      <c r="BF160" s="24" t="inlineStr">
        <is>
          <t>1</t>
        </is>
      </c>
      <c r="BG160" s="24" t="inlineStr">
        <is>
          <t>f7d192f98d825d7c77be21b0531a91cff101ad35e418fe9d7e07c5d0f769f974</t>
        </is>
      </c>
      <c r="BH160" s="24" t="inlineStr">
        <is>
          <t>2026-09-18T07:18:45.075992Z</t>
        </is>
      </c>
      <c r="BI160" s="24" t="inlineStr">
        <is>
          <t>["same_event","same_team_same_day","same_league_same_day"]</t>
        </is>
      </c>
      <c r="BJ160" s="25" t="n">
        <v>11.5</v>
      </c>
      <c r="BK160" s="26" t="n">
        <v>-9900</v>
      </c>
      <c r="BL160" s="27" t="n">
        <v>1.010101</v>
      </c>
      <c r="BM160" s="28" t="n">
        <v>0.99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>
        <v>1</v>
      </c>
      <c r="BY160" s="27" t="n">
        <v>0.010101</v>
      </c>
      <c r="BZ160" s="24" t="inlineStr">
        <is>
          <t>2026-09-19T04:31:03.515791Z</t>
        </is>
      </c>
      <c r="CA160" s="31" t="inlineStr">
        <is>
          <t>fixed one-unit hypothetical scoring; no real exposure or execution</t>
        </is>
      </c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inlineStr">
        <is>
          <t>2026-09-18T07:18:45.075992Z</t>
        </is>
      </c>
      <c r="CZ160" s="24" t="inlineStr">
        <is>
          <t>True</t>
        </is>
      </c>
      <c r="DA160" s="24" t="inlineStr">
        <is>
          <t>polymarket_us</t>
        </is>
      </c>
      <c r="DB160" s="24" t="inlineStr">
        <is>
          <t>decision_time_executable_quote</t>
        </is>
      </c>
      <c r="DC160" s="24" t="inlineStr">
        <is>
          <t>False</t>
        </is>
      </c>
      <c r="DD160" s="24" t="inlineStr">
        <is>
          <t>31f25a7e2b59ca1072ab8bfa8b2d6f72a1e535ab79faf385c1676174d822f712</t>
        </is>
      </c>
      <c r="DE160" s="24" t="inlineStr">
        <is>
          <t>/Users/vincentc9002/model-prediction/data/odds/wnba/2026-09-18/polymarket_snapshots.jsonl</t>
        </is>
      </c>
      <c r="DF160" s="24" t="inlineStr">
        <is>
          <t>31f25a7e2b59ca1072ab8bfa8b2d6f72a1e535ab79faf385c1676174d822f712</t>
        </is>
      </c>
      <c r="DG160" s="24" t="n"/>
      <c r="DH160" s="24" t="n"/>
      <c r="DI160" s="24" t="n"/>
      <c r="DJ160" s="24" t="inlineStr">
        <is>
          <t>0.99</t>
        </is>
      </c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"401857197", "event_start_utc": "2026-09-19T02:00Z", "features": {"away_points_hl10": 80.61, "elo_away": 1427.2, "elo_home": 1757.9, "elo_margin": 13.95, "expected_margin": 11.36, "expected_total": 166.01, "history_games": 921, "home_points_hl10": 85.41, "rest_diff": 5.0, "trend_margin": 7.06}, "historical_source_observation_times_verified": false, "inference_inputs": {"line": -11.5, "mean": 11.362660676584309, "sd": 13.37}, "model_version": "wnba-spread-margin-v2", "observed_at_utc": "2026-09-18T22:08:30.702786+00:00", "replay_scope": "Exact final classifier/distribution inputs and artifact. Upstream historical feature construction not certified.", "schema": "scalar-artifact-replay-v1", "snapshot_hash": "5a05084290e362f4c2e6261dc8a78350690657e3aab3dd2fb057c1ccbc97bc68"}</t>
        </is>
      </c>
    </row>
    <row r="161" ht="36" customHeight="1">
      <c r="A161" s="24" t="inlineStr">
        <is>
          <t>58fff2ef16e94267</t>
        </is>
      </c>
      <c r="B161" s="24" t="inlineStr">
        <is>
          <t>2026-09-18T22:08:31.064484Z</t>
        </is>
      </c>
      <c r="C161" s="24" t="inlineStr">
        <is>
          <t>2026-09-18T23:30Z</t>
        </is>
      </c>
      <c r="D161" s="24" t="inlineStr">
        <is>
          <t>401857195</t>
        </is>
      </c>
      <c r="E161" s="24" t="inlineStr">
        <is>
          <t>WNBA</t>
        </is>
      </c>
      <c r="F161" s="24" t="inlineStr">
        <is>
          <t>Indiana Fever</t>
        </is>
      </c>
      <c r="G161" s="24" t="inlineStr">
        <is>
          <t>Toronto Tempo</t>
        </is>
      </c>
      <c r="H161" s="24" t="inlineStr">
        <is>
          <t>total</t>
        </is>
      </c>
      <c r="I161" s="24" t="inlineStr">
        <is>
          <t>under</t>
        </is>
      </c>
      <c r="J161" s="25" t="n">
        <v>189.5</v>
      </c>
      <c r="K161" s="24" t="inlineStr">
        <is>
          <t>polymarket_us</t>
        </is>
      </c>
      <c r="L161" s="26" t="n">
        <v>-133</v>
      </c>
      <c r="M161" s="27" t="n">
        <v>1.75188</v>
      </c>
      <c r="N161" s="28" t="n">
        <v>0.570815</v>
      </c>
      <c r="O161" s="28" t="n">
        <v>0.672539</v>
      </c>
      <c r="P161" s="28" t="n">
        <v>0.03</v>
      </c>
      <c r="Q161" s="28" t="n">
        <v>0.101724</v>
      </c>
      <c r="R161" s="26" t="n">
        <v>83</v>
      </c>
      <c r="S161" s="29" t="n">
        <v>1.5</v>
      </c>
      <c r="T161" s="24" t="inlineStr">
        <is>
          <t>wnba-total-margin-v2</t>
        </is>
      </c>
      <c r="U161" s="24" t="inlineStr">
        <is>
          <t>settled</t>
        </is>
      </c>
      <c r="V161" s="24" t="inlineStr">
        <is>
          <t>win</t>
        </is>
      </c>
      <c r="W161" s="26" t="n">
        <v>103</v>
      </c>
      <c r="X161" s="26" t="n">
        <v>85</v>
      </c>
      <c r="Y161" s="25" t="n"/>
      <c r="Z161" s="26" t="n">
        <v>-133</v>
      </c>
      <c r="AA161" s="28" t="n">
        <v>0.57</v>
      </c>
      <c r="AB161" s="28" t="n">
        <v>-0.000815</v>
      </c>
      <c r="AC161" s="30" t="n">
        <v>1.1278</v>
      </c>
      <c r="AD161" s="24" t="inlineStr">
        <is>
          <t>2026-09-19T04:31:03.764111Z</t>
        </is>
      </c>
      <c r="AE161" s="31" t="inlineStr">
        <is>
          <t>Projected total 182.3, sd 16.0. Executable ask 0.5700 (tsc-wnba-ind-tor-2026-09-18-189pt5).</t>
        </is>
      </c>
      <c r="AF161" s="31" t="inlineStr">
        <is>
          <t>Research-baseline total model; not yet locked-holdout qualified.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4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wnba-ind</t>
        </is>
      </c>
      <c r="AQ161" s="24" t="inlineStr">
        <is>
          <t>Indiana Fever</t>
        </is>
      </c>
      <c r="AR161" s="24" t="inlineStr">
        <is>
          <t>Indiana Fever</t>
        </is>
      </c>
      <c r="AS161" s="24" t="inlineStr">
        <is>
          <t>wnba-tor</t>
        </is>
      </c>
      <c r="AT161" s="24" t="inlineStr">
        <is>
          <t>Toronto Tempo</t>
        </is>
      </c>
      <c r="AU161" s="24" t="inlineStr">
        <is>
          <t>Toronto Tempo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research</t>
        </is>
      </c>
      <c r="BA161" s="24" t="inlineStr">
        <is>
          <t>9c9b767590bbbb9a7b333eaf9def066d65bf813e735ed73aa27cfb2c609a4ca5</t>
        </is>
      </c>
      <c r="BB161" s="24" t="inlineStr">
        <is>
          <t>total_normal</t>
        </is>
      </c>
      <c r="BC161" s="24" t="inlineStr">
        <is>
          <t>wnba-total-margin-v2</t>
        </is>
      </c>
      <c r="BD161" s="24" t="inlineStr">
        <is>
          <t>9c9b767590bbbb9a7b333eaf9def066d65bf813e735ed73aa27cfb2c609a4ca5</t>
        </is>
      </c>
      <c r="BE161" s="24" t="inlineStr">
        <is>
          <t>wnba-total-margin-v2</t>
        </is>
      </c>
      <c r="BF161" s="24" t="inlineStr">
        <is>
          <t>1</t>
        </is>
      </c>
      <c r="BG161" s="24" t="inlineStr">
        <is>
          <t>9c9b767590bbbb9a7b333eaf9def066d65bf813e735ed73aa27cfb2c609a4ca5</t>
        </is>
      </c>
      <c r="BH161" s="24" t="inlineStr">
        <is>
          <t>2026-09-18T22:03:29.625874Z</t>
        </is>
      </c>
      <c r="BI161" s="24" t="inlineStr">
        <is>
          <t>["same_event","same_team_same_day","same_league_same_day"]</t>
        </is>
      </c>
      <c r="BJ161" s="25" t="n">
        <v>189.5</v>
      </c>
      <c r="BK161" s="26" t="n">
        <v>-133</v>
      </c>
      <c r="BL161" s="27" t="n">
        <v>1.75188</v>
      </c>
      <c r="BM161" s="28" t="n">
        <v>0.570815</v>
      </c>
      <c r="BN161" s="28" t="n"/>
      <c r="BO161" s="28" t="n"/>
      <c r="BP161" s="25" t="n"/>
      <c r="BQ161" s="27" t="n">
        <v>1.75188</v>
      </c>
      <c r="BR161" s="28" t="n">
        <v>0.57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inlineStr">
        <is>
          <t>2026-09-18T22:03:29.625874Z</t>
        </is>
      </c>
      <c r="CZ161" s="24" t="inlineStr">
        <is>
          <t>True</t>
        </is>
      </c>
      <c r="DA161" s="24" t="inlineStr">
        <is>
          <t>polymarket_us</t>
        </is>
      </c>
      <c r="DB161" s="24" t="inlineStr">
        <is>
          <t>decision_time_executable_quote</t>
        </is>
      </c>
      <c r="DC161" s="24" t="inlineStr">
        <is>
          <t>False</t>
        </is>
      </c>
      <c r="DD161" s="24" t="inlineStr">
        <is>
          <t>b3a69f6dd81a305afffe846ad6c2fb2d921e2acc09ae06cf9b13a81624290928</t>
        </is>
      </c>
      <c r="DE161" s="24" t="inlineStr">
        <is>
          <t>/Users/vincentc9002/model-prediction/data/odds/wnba/2026-09-18/polymarket_snapshots.jsonl</t>
        </is>
      </c>
      <c r="DF161" s="24" t="inlineStr">
        <is>
          <t>b3a69f6dd81a305afffe846ad6c2fb2d921e2acc09ae06cf9b13a81624290928</t>
        </is>
      </c>
      <c r="DG161" s="24" t="n"/>
      <c r="DH161" s="24" t="n"/>
      <c r="DI161" s="24" t="n"/>
      <c r="DJ161" s="24" t="inlineStr">
        <is>
          <t>0.570815</t>
        </is>
      </c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"401857195", "event_start_utc": "2026-09-18T23:30Z", "features": {"away_points_hl10": 94.19, "elo_away": 1669.5, "elo_home": 1258.6, "elo_margin": -12.53, "expected_margin": -4.77, "expected_total": 182.35, "history_games": 921, "home_points_hl10": 87.42, "rest_diff": 0.0, "trend_margin": -4.77}, "historical_source_observation_times_verified": false, "inference_inputs": {"line": 189.5, "mean": 182.3490276, "sd": 16.0}, "model_version": "wnba-total-margin-v2", "observed_at_utc": "2026-09-18T22:08:30.702718+00:00", "replay_scope": "Exact final classifier/distribution inputs and artifact. Upstream historical feature construction not certified.", "schema": "scalar-artifact-replay-v1", "snapshot_hash": "1d82b7643e21000b3e6142ca674ef713b76e053d7d084bd3f97a934b305cdfc8"}</t>
        </is>
      </c>
    </row>
    <row r="162" ht="36" customHeight="1">
      <c r="A162" s="24" t="inlineStr">
        <is>
          <t>51540afa52754976</t>
        </is>
      </c>
      <c r="B162" s="24" t="inlineStr">
        <is>
          <t>2026-09-18T22:08:31.064484Z</t>
        </is>
      </c>
      <c r="C162" s="24" t="inlineStr">
        <is>
          <t>2026-09-18T23:30Z</t>
        </is>
      </c>
      <c r="D162" s="24" t="inlineStr">
        <is>
          <t>401857196</t>
        </is>
      </c>
      <c r="E162" s="24" t="inlineStr">
        <is>
          <t>WNBA</t>
        </is>
      </c>
      <c r="F162" s="24" t="inlineStr">
        <is>
          <t>New York Liberty</t>
        </is>
      </c>
      <c r="G162" s="24" t="inlineStr">
        <is>
          <t>Minnesota Lynx</t>
        </is>
      </c>
      <c r="H162" s="24" t="inlineStr">
        <is>
          <t>total</t>
        </is>
      </c>
      <c r="I162" s="24" t="inlineStr">
        <is>
          <t>over</t>
        </is>
      </c>
      <c r="J162" s="25" t="n">
        <v>171.5</v>
      </c>
      <c r="K162" s="24" t="inlineStr">
        <is>
          <t>polymarket_us</t>
        </is>
      </c>
      <c r="L162" s="26" t="n">
        <v>-203</v>
      </c>
      <c r="M162" s="27" t="n">
        <v>1.492611</v>
      </c>
      <c r="N162" s="28" t="n">
        <v>0.669967</v>
      </c>
      <c r="O162" s="28" t="n">
        <v>0.561505</v>
      </c>
      <c r="P162" s="28" t="n">
        <v>0.03</v>
      </c>
      <c r="Q162" s="28" t="n">
        <v>-0.108462</v>
      </c>
      <c r="R162" s="26" t="n">
        <v>0</v>
      </c>
      <c r="S162" s="29" t="n">
        <v>1</v>
      </c>
      <c r="T162" s="24" t="inlineStr">
        <is>
          <t>wnba-total-margin-v2</t>
        </is>
      </c>
      <c r="U162" s="24" t="inlineStr">
        <is>
          <t>settled</t>
        </is>
      </c>
      <c r="V162" s="24" t="inlineStr">
        <is>
          <t>win</t>
        </is>
      </c>
      <c r="W162" s="26" t="n">
        <v>93</v>
      </c>
      <c r="X162" s="26" t="n">
        <v>81</v>
      </c>
      <c r="Y162" s="25" t="n"/>
      <c r="Z162" s="26" t="n">
        <v>-203</v>
      </c>
      <c r="AA162" s="28" t="n">
        <v>0.67</v>
      </c>
      <c r="AB162" s="28" t="n">
        <v>3.3e-05</v>
      </c>
      <c r="AC162" s="30" t="n">
        <v>0.4926</v>
      </c>
      <c r="AD162" s="24" t="inlineStr">
        <is>
          <t>2026-09-19T04:31:04.040391Z</t>
        </is>
      </c>
      <c r="AE162" s="31" t="inlineStr">
        <is>
          <t>Projected total 174.0, sd 16.0. Executable ask 0.6700 (tsc-wnba-ny-min-2026-09-18-171pt5).</t>
        </is>
      </c>
      <c r="AF162" s="31" t="inlineStr">
        <is>
          <t>Research-baseline total model; not yet locked-holdout qualified.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PAPER_CALL_STALE_DATA</t>
        </is>
      </c>
      <c r="AP162" s="24" t="inlineStr">
        <is>
          <t>wnba-nyl</t>
        </is>
      </c>
      <c r="AQ162" s="24" t="inlineStr">
        <is>
          <t>New York Liberty</t>
        </is>
      </c>
      <c r="AR162" s="24" t="inlineStr">
        <is>
          <t>New York Liberty</t>
        </is>
      </c>
      <c r="AS162" s="24" t="inlineStr">
        <is>
          <t>wnba-min</t>
        </is>
      </c>
      <c r="AT162" s="24" t="inlineStr">
        <is>
          <t>Minnesota Lynx</t>
        </is>
      </c>
      <c r="AU162" s="24" t="inlineStr">
        <is>
          <t>Minnesota Lynx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research</t>
        </is>
      </c>
      <c r="BA162" s="24" t="inlineStr">
        <is>
          <t>9c9b767590bbbb9a7b333eaf9def066d65bf813e735ed73aa27cfb2c609a4ca5</t>
        </is>
      </c>
      <c r="BB162" s="24" t="inlineStr">
        <is>
          <t>total_normal</t>
        </is>
      </c>
      <c r="BC162" s="24" t="inlineStr">
        <is>
          <t>wnba-total-margin-v2</t>
        </is>
      </c>
      <c r="BD162" s="24" t="inlineStr">
        <is>
          <t>9c9b767590bbbb9a7b333eaf9def066d65bf813e735ed73aa27cfb2c609a4ca5</t>
        </is>
      </c>
      <c r="BE162" s="24" t="inlineStr">
        <is>
          <t>wnba-total-margin-v2</t>
        </is>
      </c>
      <c r="BF162" s="24" t="inlineStr">
        <is>
          <t>1</t>
        </is>
      </c>
      <c r="BG162" s="24" t="inlineStr">
        <is>
          <t>9c9b767590bbbb9a7b333eaf9def066d65bf813e735ed73aa27cfb2c609a4ca5</t>
        </is>
      </c>
      <c r="BH162" s="24" t="inlineStr">
        <is>
          <t>2026-09-18T07:18:34.306023Z</t>
        </is>
      </c>
      <c r="BI162" s="24" t="inlineStr">
        <is>
          <t>["same_event","same_team_same_day","same_league_same_day"]</t>
        </is>
      </c>
      <c r="BJ162" s="25" t="n">
        <v>171.5</v>
      </c>
      <c r="BK162" s="26" t="n">
        <v>-203</v>
      </c>
      <c r="BL162" s="27" t="n">
        <v>1.492611</v>
      </c>
      <c r="BM162" s="28" t="n">
        <v>0.669967</v>
      </c>
      <c r="BN162" s="28" t="n"/>
      <c r="BO162" s="28" t="n"/>
      <c r="BP162" s="25" t="n"/>
      <c r="BQ162" s="27" t="n">
        <v>1.492611</v>
      </c>
      <c r="BR162" s="28" t="n">
        <v>0.67</v>
      </c>
      <c r="BS162" s="28" t="n"/>
      <c r="BT162" s="28" t="n"/>
      <c r="BU162" s="25" t="n"/>
      <c r="BV162" s="29" t="n"/>
      <c r="BW162" s="24" t="n"/>
      <c r="BX162" s="30" t="n">
        <v>1</v>
      </c>
      <c r="BY162" s="27" t="n">
        <v>0.492611</v>
      </c>
      <c r="BZ162" s="24" t="inlineStr">
        <is>
          <t>2026-09-19T04:31:04.040391Z</t>
        </is>
      </c>
      <c r="CA162" s="31" t="inlineStr">
        <is>
          <t>fixed one-unit hypothetical scoring; no real exposure or execution</t>
        </is>
      </c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  <c r="CT162" s="24" t="n"/>
      <c r="CU162" s="24" t="n"/>
      <c r="CV162" s="24" t="n"/>
      <c r="CW162" s="24" t="n"/>
      <c r="CX162" s="24" t="n"/>
      <c r="CY162" s="24" t="inlineStr">
        <is>
          <t>2026-09-18T07:18:34.306023Z</t>
        </is>
      </c>
      <c r="CZ162" s="24" t="inlineStr">
        <is>
          <t>True</t>
        </is>
      </c>
      <c r="DA162" s="24" t="inlineStr">
        <is>
          <t>polymarket_us</t>
        </is>
      </c>
      <c r="DB162" s="24" t="inlineStr">
        <is>
          <t>decision_time_executable_quote</t>
        </is>
      </c>
      <c r="DC162" s="24" t="inlineStr">
        <is>
          <t>False</t>
        </is>
      </c>
      <c r="DD162" s="24" t="inlineStr">
        <is>
          <t>7d65e9f0b2349acee457d74ed66c9695a0ca765ce1e448a4de1e8771f19f8759</t>
        </is>
      </c>
      <c r="DE162" s="24" t="inlineStr">
        <is>
          <t>/Users/vincentc9002/model-prediction/data/odds/wnba/2026-09-18/polymarket_snapshots.jsonl</t>
        </is>
      </c>
      <c r="DF162" s="24" t="inlineStr">
        <is>
          <t>7d65e9f0b2349acee457d74ed66c9695a0ca765ce1e448a4de1e8771f19f8759</t>
        </is>
      </c>
      <c r="DG162" s="24" t="n"/>
      <c r="DH162" s="24" t="n"/>
      <c r="DI162" s="24" t="n"/>
      <c r="DJ162" s="24" t="inlineStr">
        <is>
          <t>0.669967</t>
        </is>
      </c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"401857196", "event_start_utc": "2026-09-18T23:30Z", "features": {"away_points_hl10": 86.33, "elo_away": 1590.0, "elo_home": 1715.4, "elo_margin": 6.62, "expected_margin": 3.36, "expected_total": 173.98, "history_games": 921, "home_points_hl10": 87.69, "rest_diff": 0.0, "trend_margin": 3.36}, "historical_source_observation_times_verified": false, "inference_inputs": {"line": 171.5, "mean": 173.97658760000002, "sd": 16.0}, "model_version": "wnba-total-margin-v2", "observed_at_utc": "2026-09-18T22:08:30.702718+00:00", "replay_scope": "Exact final classifier/distribution inputs and artifact. Upstream historical feature construction not certified.", "schema": "scalar-artifact-replay-v1", "snapshot_hash": "d95f850b9641c1fde45b7354fd6adf161f2d8a7825f1c0b92ccd48521bad36e6"}</t>
        </is>
      </c>
    </row>
    <row r="163" ht="36" customHeight="1">
      <c r="A163" s="24" t="inlineStr">
        <is>
          <t>b927570fbd8b44ae</t>
        </is>
      </c>
      <c r="B163" s="24" t="inlineStr">
        <is>
          <t>2026-09-18T22:08:31.064484Z</t>
        </is>
      </c>
      <c r="C163" s="24" t="inlineStr">
        <is>
          <t>2026-09-19T02:00Z</t>
        </is>
      </c>
      <c r="D163" s="24" t="inlineStr">
        <is>
          <t>401857197</t>
        </is>
      </c>
      <c r="E163" s="24" t="inlineStr">
        <is>
          <t>WNBA</t>
        </is>
      </c>
      <c r="F163" s="24" t="inlineStr">
        <is>
          <t>Portland Fire</t>
        </is>
      </c>
      <c r="G163" s="24" t="inlineStr">
        <is>
          <t>Golden State Valkyries</t>
        </is>
      </c>
      <c r="H163" s="24" t="inlineStr">
        <is>
          <t>total</t>
        </is>
      </c>
      <c r="I163" s="24" t="inlineStr">
        <is>
          <t>under</t>
        </is>
      </c>
      <c r="J163" s="25" t="n">
        <v>166.5</v>
      </c>
      <c r="K163" s="24" t="inlineStr">
        <is>
          <t>polymarket_us</t>
        </is>
      </c>
      <c r="L163" s="26" t="n">
        <v>-194</v>
      </c>
      <c r="M163" s="27" t="n">
        <v>1.515464</v>
      </c>
      <c r="N163" s="28" t="n">
        <v>0.659864</v>
      </c>
      <c r="O163" s="28" t="n">
        <v>0.530672</v>
      </c>
      <c r="P163" s="28" t="n">
        <v>0.03</v>
      </c>
      <c r="Q163" s="28" t="n">
        <v>-0.129192</v>
      </c>
      <c r="R163" s="26" t="n">
        <v>0</v>
      </c>
      <c r="S163" s="29" t="n">
        <v>1</v>
      </c>
      <c r="T163" s="24" t="inlineStr">
        <is>
          <t>wnba-total-margin-v2</t>
        </is>
      </c>
      <c r="U163" s="24" t="inlineStr">
        <is>
          <t>settled</t>
        </is>
      </c>
      <c r="V163" s="24" t="inlineStr">
        <is>
          <t>win</t>
        </is>
      </c>
      <c r="W163" s="26" t="n">
        <v>66</v>
      </c>
      <c r="X163" s="26" t="n">
        <v>82</v>
      </c>
      <c r="Y163" s="25" t="n"/>
      <c r="Z163" s="26" t="n">
        <v>-194</v>
      </c>
      <c r="AA163" s="28" t="n">
        <v>0.66</v>
      </c>
      <c r="AB163" s="28" t="n">
        <v>0.000136</v>
      </c>
      <c r="AC163" s="30" t="n">
        <v>0.5155</v>
      </c>
      <c r="AD163" s="24" t="inlineStr">
        <is>
          <t>2026-09-19T04:31:04.313414Z</t>
        </is>
      </c>
      <c r="AE163" s="31" t="inlineStr">
        <is>
          <t>Projected total 165.3, sd 16.0. Executable ask 0.6600 (tsc-wnba-por-gsv-2026-09-18-166pt5).</t>
        </is>
      </c>
      <c r="AF163" s="31" t="inlineStr">
        <is>
          <t>Research-baseline total model; not yet locked-holdout qualified.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model_qualified</t>
        </is>
      </c>
      <c r="AL163" s="26" t="n">
        <v>4</v>
      </c>
      <c r="AM163" s="24" t="inlineStr">
        <is>
          <t>QUALIFIED_SHADOW_CALL</t>
        </is>
      </c>
      <c r="AN163" s="24" t="inlineStr">
        <is>
          <t>CALL</t>
        </is>
      </c>
      <c r="AO163" s="24" t="inlineStr">
        <is>
          <t>QUALIFIED</t>
        </is>
      </c>
      <c r="AP163" s="24" t="inlineStr">
        <is>
          <t>wnba-por</t>
        </is>
      </c>
      <c r="AQ163" s="24" t="inlineStr">
        <is>
          <t>Portland Fire</t>
        </is>
      </c>
      <c r="AR163" s="24" t="inlineStr">
        <is>
          <t>Portland Fire</t>
        </is>
      </c>
      <c r="AS163" s="24" t="inlineStr">
        <is>
          <t>wnba-gsv</t>
        </is>
      </c>
      <c r="AT163" s="24" t="inlineStr">
        <is>
          <t>Golden State Valkyries</t>
        </is>
      </c>
      <c r="AU163" s="24" t="inlineStr">
        <is>
          <t>Golden State Valkyries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research</t>
        </is>
      </c>
      <c r="BA163" s="24" t="inlineStr">
        <is>
          <t>9c9b767590bbbb9a7b333eaf9def066d65bf813e735ed73aa27cfb2c609a4ca5</t>
        </is>
      </c>
      <c r="BB163" s="24" t="inlineStr">
        <is>
          <t>total_normal</t>
        </is>
      </c>
      <c r="BC163" s="24" t="inlineStr">
        <is>
          <t>wnba-total-margin-v2</t>
        </is>
      </c>
      <c r="BD163" s="24" t="inlineStr">
        <is>
          <t>9c9b767590bbbb9a7b333eaf9def066d65bf813e735ed73aa27cfb2c609a4ca5</t>
        </is>
      </c>
      <c r="BE163" s="24" t="inlineStr">
        <is>
          <t>wnba-total-margin-v2</t>
        </is>
      </c>
      <c r="BF163" s="24" t="inlineStr">
        <is>
          <t>1</t>
        </is>
      </c>
      <c r="BG163" s="24" t="inlineStr">
        <is>
          <t>9c9b767590bbbb9a7b333eaf9def066d65bf813e735ed73aa27cfb2c609a4ca5</t>
        </is>
      </c>
      <c r="BH163" s="24" t="inlineStr">
        <is>
          <t>2026-09-18T22:03:41.665603Z</t>
        </is>
      </c>
      <c r="BI163" s="24" t="inlineStr">
        <is>
          <t>["same_event","same_team_same_day","same_league_same_day"]</t>
        </is>
      </c>
      <c r="BJ163" s="25" t="n">
        <v>166.5</v>
      </c>
      <c r="BK163" s="26" t="n">
        <v>-194</v>
      </c>
      <c r="BL163" s="27" t="n">
        <v>1.515464</v>
      </c>
      <c r="BM163" s="28" t="n">
        <v>0.659864</v>
      </c>
      <c r="BN163" s="28" t="n"/>
      <c r="BO163" s="28" t="n"/>
      <c r="BP163" s="25" t="n"/>
      <c r="BQ163" s="27" t="n">
        <v>1.515464</v>
      </c>
      <c r="BR163" s="28" t="n">
        <v>0.66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inlineStr">
        <is>
          <t>2026-09-18T22:03:41.665603Z</t>
        </is>
      </c>
      <c r="CZ163" s="24" t="inlineStr">
        <is>
          <t>True</t>
        </is>
      </c>
      <c r="DA163" s="24" t="inlineStr">
        <is>
          <t>polymarket_us</t>
        </is>
      </c>
      <c r="DB163" s="24" t="inlineStr">
        <is>
          <t>decision_time_executable_quote</t>
        </is>
      </c>
      <c r="DC163" s="24" t="inlineStr">
        <is>
          <t>False</t>
        </is>
      </c>
      <c r="DD163" s="24" t="inlineStr">
        <is>
          <t>cab1ab213df791c2b568be4d932e14ad41f402207ec8949386fd92910298a94c</t>
        </is>
      </c>
      <c r="DE163" s="24" t="inlineStr">
        <is>
          <t>/Users/vincentc9002/model-prediction/data/odds/wnba/2026-09-18/polymarket_snapshots.jsonl</t>
        </is>
      </c>
      <c r="DF163" s="24" t="inlineStr">
        <is>
          <t>cab1ab213df791c2b568be4d932e14ad41f402207ec8949386fd92910298a94c</t>
        </is>
      </c>
      <c r="DG163" s="24" t="n"/>
      <c r="DH163" s="24" t="n"/>
      <c r="DI163" s="24" t="n"/>
      <c r="DJ163" s="24" t="inlineStr">
        <is>
          <t>0.659864</t>
        </is>
      </c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"401857197", "event_start_utc": "2026-09-19T02:00Z", "features": {"away_points_hl10": 80.61, "elo_away": 1427.2, "elo_home": 1757.9, "elo_margin": 13.95, "expected_margin": 6.8, "expected_total": 165.27, "history_games": 921, "home_points_hl10": 85.41, "rest_diff": 0.0, "trend_margin": 6.8}, "historical_source_observation_times_verified": false, "inference_inputs": {"line": 166.5, "mean": 165.26867, "sd": 16.0}, "model_version": "wnba-total-margin-v2", "observed_at_utc": "2026-09-18T22:08:30.702718+00:00", "replay_scope": "Exact final classifier/distribution inputs and artifact. Upstream historical feature construction not certified.", "schema": "scalar-artifact-replay-v1", "snapshot_hash": "b2a8be1b81d7cdad623afeb21ef423dcd375d851c51007b160a4a71ece613274"}</t>
        </is>
      </c>
    </row>
    <row r="164" ht="36" customHeight="1">
      <c r="A164" s="24" t="inlineStr">
        <is>
          <t>d5b6fea8ce7b4004</t>
        </is>
      </c>
      <c r="B164" s="24" t="inlineStr">
        <is>
          <t>2026-09-19T11:12:21.379330Z</t>
        </is>
      </c>
      <c r="C164" s="24" t="inlineStr">
        <is>
          <t>2026-09-19T13:00:00-0400</t>
        </is>
      </c>
      <c r="D164" s="24" t="inlineStr">
        <is>
          <t>401857198</t>
        </is>
      </c>
      <c r="E164" s="24" t="inlineStr">
        <is>
          <t>WNBA</t>
        </is>
      </c>
      <c r="F164" s="24" t="inlineStr">
        <is>
          <t>Phoenix Mercury</t>
        </is>
      </c>
      <c r="G164" s="24" t="inlineStr">
        <is>
          <t>Dallas Wings</t>
        </is>
      </c>
      <c r="H164" s="24" t="inlineStr">
        <is>
          <t>moneyline</t>
        </is>
      </c>
      <c r="I164" s="24" t="inlineStr">
        <is>
          <t>home</t>
        </is>
      </c>
      <c r="J164" s="25" t="n"/>
      <c r="K164" s="24" t="inlineStr">
        <is>
          <t>model_opinion_no_executable_quote</t>
        </is>
      </c>
      <c r="L164" s="26" t="n">
        <v>-110</v>
      </c>
      <c r="M164" s="27" t="n">
        <v>1.909091</v>
      </c>
      <c r="N164" s="28" t="n">
        <v>0.52381</v>
      </c>
      <c r="O164" s="28" t="n">
        <v>0.722987</v>
      </c>
      <c r="P164" s="28" t="n"/>
      <c r="Q164" s="28" t="n">
        <v>0.199177</v>
      </c>
      <c r="R164" s="26" t="n">
        <v>100</v>
      </c>
      <c r="S164" s="29" t="n">
        <v>2</v>
      </c>
      <c r="T164" s="24" t="inlineStr">
        <is>
          <t>wnba-elo-trend-lr-v4</t>
        </is>
      </c>
      <c r="U164" s="24" t="inlineStr">
        <is>
          <t>settled</t>
        </is>
      </c>
      <c r="V164" s="24" t="inlineStr">
        <is>
          <t>win</t>
        </is>
      </c>
      <c r="W164" s="26" t="n">
        <v>82</v>
      </c>
      <c r="X164" s="26" t="n">
        <v>87</v>
      </c>
      <c r="Y164" s="25" t="n"/>
      <c r="Z164" s="26" t="n"/>
      <c r="AA164" s="28" t="n"/>
      <c r="AB164" s="28" t="n"/>
      <c r="AC164" s="30" t="n">
        <v>1.8182</v>
      </c>
      <c r="AD164" s="24" t="inlineStr">
        <is>
          <t>2026-09-19T22:00:09.561303Z</t>
        </is>
      </c>
      <c r="AE164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64" s="31" t="inlineStr">
        <is>
          <t>Learned model; shadow-qualified via operator override.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4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PAPER_CALL_MARKET_UNAVAILABLE</t>
        </is>
      </c>
      <c r="AP164" s="24" t="inlineStr">
        <is>
          <t>wnba-phx</t>
        </is>
      </c>
      <c r="AQ164" s="24" t="inlineStr">
        <is>
          <t>Phoenix Mercury</t>
        </is>
      </c>
      <c r="AR164" s="24" t="inlineStr">
        <is>
          <t>Phoenix Mercury</t>
        </is>
      </c>
      <c r="AS164" s="24" t="inlineStr">
        <is>
          <t>wnba-dal</t>
        </is>
      </c>
      <c r="AT164" s="24" t="inlineStr">
        <is>
          <t>Dallas Wings</t>
        </is>
      </c>
      <c r="AU164" s="24" t="inlineStr">
        <is>
          <t>Dallas Wings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7afd5274214b58b7efd7f7febc7be3ab33b92351cda5cc6403c0a39faea0cc8c</t>
        </is>
      </c>
      <c r="BB164" s="24" t="inlineStr">
        <is>
          <t>learned_lr</t>
        </is>
      </c>
      <c r="BC164" s="24" t="inlineStr">
        <is>
          <t>wnba-elo-trend-lr-v4</t>
        </is>
      </c>
      <c r="BD164" s="24" t="inlineStr">
        <is>
          <t>7afd5274214b58b7efd7f7febc7be3ab33b92351cda5cc6403c0a39faea0cc8c</t>
        </is>
      </c>
      <c r="BE164" s="24" t="inlineStr">
        <is>
          <t>d548f95c3a8dff64</t>
        </is>
      </c>
      <c r="BF164" s="24" t="inlineStr">
        <is>
          <t>1</t>
        </is>
      </c>
      <c r="BG164" s="24" t="inlineStr">
        <is>
          <t>wnba-elo-trend-lr-v4</t>
        </is>
      </c>
      <c r="BH164" s="24" t="inlineStr">
        <is>
          <t>2026-09-19T11:12:21.379330Z</t>
        </is>
      </c>
      <c r="BI164" s="24" t="inlineStr">
        <is>
          <t>["same_event","same_team_same_day","same_league_same_day"]</t>
        </is>
      </c>
      <c r="BJ164" s="25" t="n"/>
      <c r="BK164" s="26" t="n">
        <v>-110</v>
      </c>
      <c r="BL164" s="27" t="n">
        <v>1.909091</v>
      </c>
      <c r="BM164" s="28" t="n">
        <v>0.52381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>
        <v>1</v>
      </c>
      <c r="BY164" s="27" t="n">
        <v>0.909091</v>
      </c>
      <c r="BZ164" s="24" t="inlineStr">
        <is>
          <t>2026-09-19T22:00:09.561303Z</t>
        </is>
      </c>
      <c r="CA164" s="31" t="inlineStr">
        <is>
          <t>fixed one-unit hypothetical scoring; no real exposure or execution</t>
        </is>
      </c>
      <c r="CB164" s="24" t="n"/>
      <c r="CC164" s="24" t="inlineStr">
        <is>
          <t>0.8174160454</t>
        </is>
      </c>
      <c r="CD164" s="24" t="inlineStr">
        <is>
          <t>1.825941</t>
        </is>
      </c>
      <c r="CE164" s="24" t="n"/>
      <c r="CF164" s="24" t="n"/>
      <c r="CG164" s="24" t="n"/>
      <c r="CH164" s="24" t="n"/>
      <c r="CI164" s="24" t="inlineStr">
        <is>
          <t>NO_CALL_AVAILABILITY_SOURCE_CONFLICT,executable_quote_missing_or_unmatched</t>
        </is>
      </c>
      <c r="CJ164" s="24" t="inlineStr">
        <is>
          <t>6.348823</t>
        </is>
      </c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0.52381</t>
        </is>
      </c>
      <c r="DK164" s="24" t="n"/>
      <c r="DL164" s="24" t="n"/>
      <c r="DM164" s="24" t="n"/>
      <c r="DN164" s="24" t="n"/>
      <c r="DO164" s="24" t="n"/>
      <c r="DP164" s="24" t="n"/>
      <c r="DQ164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0.7229867514767399, "event_id": "401857198", "event_start_utc": "2026-09-19T17:00:00+00:00", "features": {"defensive_trend_gap": 6.348823, "elo_probability": 0.8174160454467667, "trend_gap": 1.8259409999999998}, "historical_source_observation_times_verified": false, "model_version": "wnba-elo-trend-lr-v4", "observed_at_utc": "2026-09-19T11:12:21.379330+00:00", "schema": "learned-moneyline-replay-v1", "served_home_probability": 0.7229867514767399, "snapshot_hash": "fc26773b064799e09e6a63bf0bb42159ed36379c59a930c4f69eb6f2f88d9c60"}</t>
        </is>
      </c>
    </row>
    <row r="165" ht="36" customHeight="1">
      <c r="A165" s="24" t="inlineStr">
        <is>
          <t>fc88a701cc3942c5</t>
        </is>
      </c>
      <c r="B165" s="24" t="inlineStr">
        <is>
          <t>2026-09-19T11:12:56.253127Z</t>
        </is>
      </c>
      <c r="C165" s="24" t="inlineStr">
        <is>
          <t>2026-09-19T17:00Z</t>
        </is>
      </c>
      <c r="D165" s="24" t="inlineStr">
        <is>
          <t>401857198</t>
        </is>
      </c>
      <c r="E165" s="24" t="inlineStr">
        <is>
          <t>WNBA</t>
        </is>
      </c>
      <c r="F165" s="24" t="inlineStr">
        <is>
          <t>Phoenix Mercury</t>
        </is>
      </c>
      <c r="G165" s="24" t="inlineStr">
        <is>
          <t>Dallas Wings</t>
        </is>
      </c>
      <c r="H165" s="24" t="inlineStr">
        <is>
          <t>total</t>
        </is>
      </c>
      <c r="I165" s="24" t="inlineStr">
        <is>
          <t>under</t>
        </is>
      </c>
      <c r="J165" s="25" t="n">
        <v>184.5</v>
      </c>
      <c r="K165" s="24" t="inlineStr">
        <is>
          <t>polymarket_us</t>
        </is>
      </c>
      <c r="L165" s="26" t="n">
        <v>-614</v>
      </c>
      <c r="M165" s="27" t="n">
        <v>1.162866</v>
      </c>
      <c r="N165" s="28" t="n">
        <v>0.859944</v>
      </c>
      <c r="O165" s="28" t="n">
        <v>0.772132</v>
      </c>
      <c r="P165" s="28" t="n">
        <v>0.03</v>
      </c>
      <c r="Q165" s="28" t="n">
        <v>-0.087812</v>
      </c>
      <c r="R165" s="26" t="n">
        <v>0</v>
      </c>
      <c r="S165" s="29" t="n">
        <v>1</v>
      </c>
      <c r="T165" s="24" t="inlineStr">
        <is>
          <t>wnba-total-margin-v2</t>
        </is>
      </c>
      <c r="U165" s="24" t="inlineStr">
        <is>
          <t>settled</t>
        </is>
      </c>
      <c r="V165" s="24" t="inlineStr">
        <is>
          <t>win</t>
        </is>
      </c>
      <c r="W165" s="26" t="n">
        <v>82</v>
      </c>
      <c r="X165" s="26" t="n">
        <v>87</v>
      </c>
      <c r="Y165" s="25" t="n"/>
      <c r="Z165" s="26" t="n">
        <v>-614</v>
      </c>
      <c r="AA165" s="28" t="n">
        <v>0.86</v>
      </c>
      <c r="AB165" s="28" t="n">
        <v>5.6e-05</v>
      </c>
      <c r="AC165" s="30" t="n">
        <v>0.1629</v>
      </c>
      <c r="AD165" s="24" t="inlineStr">
        <is>
          <t>2026-09-19T22:00:10.035839Z</t>
        </is>
      </c>
      <c r="AE165" s="31" t="inlineStr">
        <is>
          <t>Projected total 172.6, sd 16.0. Executable ask 0.8600 (tsc-wnba-phx-dal-2026-09-19-184pt5).</t>
        </is>
      </c>
      <c r="AF165" s="31" t="inlineStr">
        <is>
          <t>Research-baseline total model; not yet locked-holdout qualified.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4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wnba-phx</t>
        </is>
      </c>
      <c r="AQ165" s="24" t="inlineStr">
        <is>
          <t>Phoenix Mercury</t>
        </is>
      </c>
      <c r="AR165" s="24" t="inlineStr">
        <is>
          <t>Phoenix Mercury</t>
        </is>
      </c>
      <c r="AS165" s="24" t="inlineStr">
        <is>
          <t>wnba-dal</t>
        </is>
      </c>
      <c r="AT165" s="24" t="inlineStr">
        <is>
          <t>Dallas Wings</t>
        </is>
      </c>
      <c r="AU165" s="24" t="inlineStr">
        <is>
          <t>Dallas Wings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research</t>
        </is>
      </c>
      <c r="BA165" s="24" t="inlineStr">
        <is>
          <t>9c9b767590bbbb9a7b333eaf9def066d65bf813e735ed73aa27cfb2c609a4ca5</t>
        </is>
      </c>
      <c r="BB165" s="24" t="inlineStr">
        <is>
          <t>total_normal</t>
        </is>
      </c>
      <c r="BC165" s="24" t="inlineStr">
        <is>
          <t>wnba-total-margin-v2</t>
        </is>
      </c>
      <c r="BD165" s="24" t="inlineStr">
        <is>
          <t>9c9b767590bbbb9a7b333eaf9def066d65bf813e735ed73aa27cfb2c609a4ca5</t>
        </is>
      </c>
      <c r="BE165" s="24" t="inlineStr">
        <is>
          <t>wnba-total-margin-v2</t>
        </is>
      </c>
      <c r="BF165" s="24" t="inlineStr">
        <is>
          <t>1</t>
        </is>
      </c>
      <c r="BG165" s="24" t="inlineStr">
        <is>
          <t>9c9b767590bbbb9a7b333eaf9def066d65bf813e735ed73aa27cfb2c609a4ca5</t>
        </is>
      </c>
      <c r="BH165" s="24" t="inlineStr">
        <is>
          <t>2026-09-19T04:35:20.055474Z</t>
        </is>
      </c>
      <c r="BI165" s="24" t="inlineStr">
        <is>
          <t>["same_event","same_team_same_day","same_league_same_day"]</t>
        </is>
      </c>
      <c r="BJ165" s="25" t="n">
        <v>184.5</v>
      </c>
      <c r="BK165" s="26" t="n">
        <v>-614</v>
      </c>
      <c r="BL165" s="27" t="n">
        <v>1.162866</v>
      </c>
      <c r="BM165" s="28" t="n">
        <v>0.859944</v>
      </c>
      <c r="BN165" s="28" t="n"/>
      <c r="BO165" s="28" t="n"/>
      <c r="BP165" s="25" t="n"/>
      <c r="BQ165" s="27" t="n">
        <v>1.162866</v>
      </c>
      <c r="BR165" s="28" t="n">
        <v>0.86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False</t>
        </is>
      </c>
      <c r="CT165" s="24" t="n"/>
      <c r="CU165" s="24" t="n"/>
      <c r="CV165" s="24" t="n"/>
      <c r="CW165" s="24" t="n"/>
      <c r="CX165" s="24" t="n"/>
      <c r="CY165" s="24" t="inlineStr">
        <is>
          <t>2026-09-19T04:35:20.055474Z</t>
        </is>
      </c>
      <c r="CZ165" s="24" t="inlineStr">
        <is>
          <t>True</t>
        </is>
      </c>
      <c r="DA165" s="24" t="inlineStr">
        <is>
          <t>polymarket_us</t>
        </is>
      </c>
      <c r="DB165" s="24" t="inlineStr">
        <is>
          <t>decision_time_executable_quote</t>
        </is>
      </c>
      <c r="DC165" s="24" t="inlineStr">
        <is>
          <t>False</t>
        </is>
      </c>
      <c r="DD165" s="24" t="inlineStr">
        <is>
          <t>c89031f72a2e9b134f25705edd2f77a69d18b46cd0a66a775e0e43f229cd02b7</t>
        </is>
      </c>
      <c r="DE165" s="24" t="inlineStr">
        <is>
          <t>/Users/vincentc9002/model-prediction/data/odds/wnba/2026-09-19/polymarket_snapshots.jsonl</t>
        </is>
      </c>
      <c r="DF165" s="24" t="inlineStr">
        <is>
          <t>c89031f72a2e9b134f25705edd2f77a69d18b46cd0a66a775e0e43f229cd02b7</t>
        </is>
      </c>
      <c r="DG165" s="24" t="n"/>
      <c r="DH165" s="24" t="n"/>
      <c r="DI165" s="24" t="n"/>
      <c r="DJ165" s="24" t="inlineStr">
        <is>
          <t>0.859944</t>
        </is>
      </c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"401857198", "event_start_utc": "2026-09-19T17:00Z", "features": {"away_points_hl10": 84.45, "elo_away": 1409.8, "elo_home": 1610.2, "elo_margin": 9.3, "expected_margin": 5.53, "expected_total": 172.57, "history_games": 924, "home_points_hl10": 87.99, "rest_diff": 0.0, "trend_margin": 5.53}, "historical_source_observation_times_verified": false, "inference_inputs": {"line": 184.5, "mean": 172.5658429, "sd": 16.0}, "model_version": "wnba-total-margin-v2", "observed_at_utc": "2026-09-19T11:12:55.941237+00:00", "replay_scope": "Exact final classifier/distribution inputs and artifact. Upstream historical feature construction not certified.", "schema": "scalar-artifact-replay-v1", "snapshot_hash": "4979a41a2acb21131eff7f7fc09e7f1ed0d02ce3ba569b1992cd47c1b61a8f5a"}</t>
        </is>
      </c>
    </row>
    <row r="166" ht="36" customHeight="1">
      <c r="A166" s="24" t="inlineStr">
        <is>
          <t>93a0e1ad9b9f4c7a</t>
        </is>
      </c>
      <c r="B166" s="24" t="inlineStr">
        <is>
          <t>2026-09-19T11:12:56.253651Z</t>
        </is>
      </c>
      <c r="C166" s="24" t="inlineStr">
        <is>
          <t>2026-09-19T17:00Z</t>
        </is>
      </c>
      <c r="D166" s="24" t="inlineStr">
        <is>
          <t>401857198</t>
        </is>
      </c>
      <c r="E166" s="24" t="inlineStr">
        <is>
          <t>WNBA</t>
        </is>
      </c>
      <c r="F166" s="24" t="inlineStr">
        <is>
          <t>Phoenix Mercury</t>
        </is>
      </c>
      <c r="G166" s="24" t="inlineStr">
        <is>
          <t>Dallas Wings</t>
        </is>
      </c>
      <c r="H166" s="24" t="inlineStr">
        <is>
          <t>spread</t>
        </is>
      </c>
      <c r="I166" s="24" t="inlineStr">
        <is>
          <t>away</t>
        </is>
      </c>
      <c r="J166" s="25" t="n">
        <v>12.5</v>
      </c>
      <c r="K166" s="24" t="inlineStr">
        <is>
          <t>polymarket_us</t>
        </is>
      </c>
      <c r="L166" s="26" t="n">
        <v>-163</v>
      </c>
      <c r="M166" s="27" t="n">
        <v>1.613497</v>
      </c>
      <c r="N166" s="28" t="n">
        <v>0.619772</v>
      </c>
      <c r="O166" s="28" t="n">
        <v>0.648502</v>
      </c>
      <c r="P166" s="28" t="n">
        <v>0.03</v>
      </c>
      <c r="Q166" s="28" t="n">
        <v>0.02873</v>
      </c>
      <c r="R166" s="26" t="n">
        <v>46</v>
      </c>
      <c r="S166" s="29" t="n">
        <v>1</v>
      </c>
      <c r="T166" s="24" t="inlineStr">
        <is>
          <t>wnba-spread-margin-v2</t>
        </is>
      </c>
      <c r="U166" s="24" t="inlineStr">
        <is>
          <t>settled</t>
        </is>
      </c>
      <c r="V166" s="24" t="inlineStr">
        <is>
          <t>win</t>
        </is>
      </c>
      <c r="W166" s="26" t="n">
        <v>82</v>
      </c>
      <c r="X166" s="26" t="n">
        <v>87</v>
      </c>
      <c r="Y166" s="25" t="n"/>
      <c r="Z166" s="26" t="n"/>
      <c r="AA166" s="28" t="n"/>
      <c r="AB166" s="28" t="n"/>
      <c r="AC166" s="30" t="n">
        <v>0.6135</v>
      </c>
      <c r="AD166" s="24" t="inlineStr">
        <is>
          <t>2026-09-19T22:00:10.314870Z</t>
        </is>
      </c>
      <c r="AE166" s="31" t="inlineStr">
        <is>
          <t>Projected margin +7.4 (home), sd 13.4. Executable ask 0.6200 (asc-wnba-phx-dal-2026-09-19-pos-12pt5).</t>
        </is>
      </c>
      <c r="AF166" s="31" t="inlineStr">
        <is>
          <t>Point-in-time composite Elo + trend + rest margin-normal spread model.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4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wnba-phx</t>
        </is>
      </c>
      <c r="AQ166" s="24" t="inlineStr">
        <is>
          <t>Phoenix Mercury</t>
        </is>
      </c>
      <c r="AR166" s="24" t="inlineStr">
        <is>
          <t>Phoenix Mercury</t>
        </is>
      </c>
      <c r="AS166" s="24" t="inlineStr">
        <is>
          <t>wnba-dal</t>
        </is>
      </c>
      <c r="AT166" s="24" t="inlineStr">
        <is>
          <t>Dallas Wings</t>
        </is>
      </c>
      <c r="AU166" s="24" t="inlineStr">
        <is>
          <t>Dallas Wings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f7d192f98d825d7c77be21b0531a91cff101ad35e418fe9d7e07c5d0f769f974</t>
        </is>
      </c>
      <c r="BB166" s="24" t="inlineStr">
        <is>
          <t>margin_normal</t>
        </is>
      </c>
      <c r="BC166" s="24" t="inlineStr">
        <is>
          <t>wnba-spread-margin-v2</t>
        </is>
      </c>
      <c r="BD166" s="24" t="inlineStr">
        <is>
          <t>f7d192f98d825d7c77be21b0531a91cff101ad35e418fe9d7e07c5d0f769f974</t>
        </is>
      </c>
      <c r="BE166" s="24" t="inlineStr">
        <is>
          <t>wnba-spread-margin-v2</t>
        </is>
      </c>
      <c r="BF166" s="24" t="inlineStr">
        <is>
          <t>1</t>
        </is>
      </c>
      <c r="BG166" s="24" t="inlineStr">
        <is>
          <t>f7d192f98d825d7c77be21b0531a91cff101ad35e418fe9d7e07c5d0f769f974</t>
        </is>
      </c>
      <c r="BH166" s="24" t="inlineStr">
        <is>
          <t>2026-09-19T10:03:52.185573Z</t>
        </is>
      </c>
      <c r="BI166" s="24" t="inlineStr">
        <is>
          <t>["same_event","same_team_same_day","same_league_same_day"]</t>
        </is>
      </c>
      <c r="BJ166" s="25" t="n">
        <v>12.5</v>
      </c>
      <c r="BK166" s="26" t="n">
        <v>-163</v>
      </c>
      <c r="BL166" s="27" t="n">
        <v>1.613497</v>
      </c>
      <c r="BM166" s="28" t="n">
        <v>0.619772</v>
      </c>
      <c r="BN166" s="28" t="n"/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inlineStr">
        <is>
          <t>2026-09-19T10:03:52.185573Z</t>
        </is>
      </c>
      <c r="CZ166" s="24" t="inlineStr">
        <is>
          <t>True</t>
        </is>
      </c>
      <c r="DA166" s="24" t="inlineStr">
        <is>
          <t>polymarket_us</t>
        </is>
      </c>
      <c r="DB166" s="24" t="inlineStr">
        <is>
          <t>decision_time_executable_quote</t>
        </is>
      </c>
      <c r="DC166" s="24" t="inlineStr">
        <is>
          <t>False</t>
        </is>
      </c>
      <c r="DD166" s="24" t="inlineStr">
        <is>
          <t>f99406fd3df6a19651488249ab3d04108363bf3787d99d124ab319f49e46218d</t>
        </is>
      </c>
      <c r="DE166" s="24" t="inlineStr">
        <is>
          <t>/Users/vincentc9002/model-prediction/data/odds/wnba/2026-09-19/polymarket_snapshots.jsonl</t>
        </is>
      </c>
      <c r="DF166" s="24" t="inlineStr">
        <is>
          <t>f99406fd3df6a19651488249ab3d04108363bf3787d99d124ab319f49e46218d</t>
        </is>
      </c>
      <c r="DG166" s="24" t="n"/>
      <c r="DH166" s="24" t="n"/>
      <c r="DI166" s="24" t="n"/>
      <c r="DJ166" s="24" t="inlineStr">
        <is>
          <t>0.619772</t>
        </is>
      </c>
      <c r="DK166" s="24" t="n"/>
      <c r="DL166" s="24" t="n"/>
      <c r="DM166" s="24" t="n"/>
      <c r="DN166" s="24" t="n"/>
      <c r="DO166" s="24" t="n"/>
      <c r="DP166" s="24" t="n"/>
      <c r="DQ166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"401857198", "event_start_utc": "2026-09-19T17:00Z", "features": {"away_points_hl10": 84.45, "elo_away": 1409.8, "elo_home": 1610.2, "elo_margin": 9.3, "expected_margin": 7.4, "expected_total": 172.44, "history_games": 924, "home_points_hl10": 87.99, "rest_diff": 0.1, "trend_margin": 5.79}, "historical_source_observation_times_verified": false, "inference_inputs": {"line": 12.5, "mean": 7.402300395612209, "sd": 13.37}, "model_version": "wnba-spread-margin-v2", "observed_at_utc": "2026-09-19T11:12:55.940973+00:00", "replay_scope": "Exact final classifier/distribution inputs and artifact. Upstream historical feature construction not certified.", "schema": "scalar-artifact-replay-v1", "snapshot_hash": "a2f25b32a5618b06800da27118983e3766d4ad0dcf055cac5ec2bad04a0558f0"}</t>
        </is>
      </c>
    </row>
    <row r="167" ht="36" customHeight="1">
      <c r="A167" s="24" t="inlineStr">
        <is>
          <t>3c87f46ded224816</t>
        </is>
      </c>
      <c r="B167" s="24" t="inlineStr">
        <is>
          <t>2026-09-19T22:46:01.242773Z</t>
        </is>
      </c>
      <c r="C167" s="24" t="inlineStr">
        <is>
          <t>2026-09-19T19:00:00-0400</t>
        </is>
      </c>
      <c r="D167" s="24" t="inlineStr">
        <is>
          <t>401857199</t>
        </is>
      </c>
      <c r="E167" s="24" t="inlineStr">
        <is>
          <t>WNBA</t>
        </is>
      </c>
      <c r="F167" s="24" t="inlineStr">
        <is>
          <t>Chicago Sky</t>
        </is>
      </c>
      <c r="G167" s="24" t="inlineStr">
        <is>
          <t>Atlanta Dream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model_opinion_no_executable_quote</t>
        </is>
      </c>
      <c r="L167" s="26" t="n">
        <v>-110</v>
      </c>
      <c r="M167" s="27" t="n">
        <v>1.909091</v>
      </c>
      <c r="N167" s="28" t="n">
        <v>0.52381</v>
      </c>
      <c r="O167" s="28" t="n">
        <v>0.734123</v>
      </c>
      <c r="P167" s="28" t="n"/>
      <c r="Q167" s="28" t="n">
        <v>0.210313</v>
      </c>
      <c r="R167" s="26" t="n">
        <v>100</v>
      </c>
      <c r="S167" s="29" t="n">
        <v>2</v>
      </c>
      <c r="T167" s="24" t="inlineStr">
        <is>
          <t>wnba-elo-trend-lr-v4</t>
        </is>
      </c>
      <c r="U167" s="24" t="inlineStr">
        <is>
          <t>settled</t>
        </is>
      </c>
      <c r="V167" s="24" t="inlineStr">
        <is>
          <t>win</t>
        </is>
      </c>
      <c r="W167" s="26" t="n">
        <v>81</v>
      </c>
      <c r="X167" s="26" t="n">
        <v>106</v>
      </c>
      <c r="Y167" s="25" t="n"/>
      <c r="Z167" s="26" t="n"/>
      <c r="AA167" s="28" t="n"/>
      <c r="AB167" s="28" t="n"/>
      <c r="AC167" s="30" t="n">
        <v>1.8182</v>
      </c>
      <c r="AD167" s="24" t="inlineStr">
        <is>
          <t>2026-09-20T04:31:11.215239Z</t>
        </is>
      </c>
      <c r="AE167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NO_CALL_AVAILABILITY_PLAYER_UNMAPPED, executable_quote_missing_or_unmatched unavailable for this game — defaulted to neutral, other features used normally.</t>
        </is>
      </c>
      <c r="AF167" s="31" t="inlineStr">
        <is>
          <t>Learned model; shadow-qualified via operator override.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paper_call</t>
        </is>
      </c>
      <c r="AL167" s="26" t="n">
        <v>4</v>
      </c>
      <c r="AM167" s="24" t="inlineStr">
        <is>
          <t>RESEARCH_OBSERVATION</t>
        </is>
      </c>
      <c r="AN167" s="24" t="inlineStr">
        <is>
          <t>CALL</t>
        </is>
      </c>
      <c r="AO167" s="24" t="inlineStr">
        <is>
          <t>PAPER_CALL_MARKET_UNAVAILABLE</t>
        </is>
      </c>
      <c r="AP167" s="24" t="inlineStr">
        <is>
          <t>wnba-chi</t>
        </is>
      </c>
      <c r="AQ167" s="24" t="inlineStr">
        <is>
          <t>Chicago Sky</t>
        </is>
      </c>
      <c r="AR167" s="24" t="inlineStr">
        <is>
          <t>Chicago Sky</t>
        </is>
      </c>
      <c r="AS167" s="24" t="inlineStr">
        <is>
          <t>wnba-atl</t>
        </is>
      </c>
      <c r="AT167" s="24" t="inlineStr">
        <is>
          <t>Atlanta Dream</t>
        </is>
      </c>
      <c r="AU167" s="24" t="inlineStr">
        <is>
          <t>Atlanta Dream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7afd5274214b58b7efd7f7febc7be3ab33b92351cda5cc6403c0a39faea0cc8c</t>
        </is>
      </c>
      <c r="BB167" s="24" t="inlineStr">
        <is>
          <t>learned_lr</t>
        </is>
      </c>
      <c r="BC167" s="24" t="inlineStr">
        <is>
          <t>wnba-elo-trend-lr-v4</t>
        </is>
      </c>
      <c r="BD167" s="24" t="inlineStr">
        <is>
          <t>7afd5274214b58b7efd7f7febc7be3ab33b92351cda5cc6403c0a39faea0cc8c</t>
        </is>
      </c>
      <c r="BE167" s="24" t="inlineStr">
        <is>
          <t>2bc5452908b6f029</t>
        </is>
      </c>
      <c r="BF167" s="24" t="inlineStr">
        <is>
          <t>1</t>
        </is>
      </c>
      <c r="BG167" s="24" t="inlineStr">
        <is>
          <t>wnba-elo-trend-lr-v4</t>
        </is>
      </c>
      <c r="BH167" s="24" t="inlineStr">
        <is>
          <t>2026-09-19T22:46:01.242773Z</t>
        </is>
      </c>
      <c r="BI167" s="24" t="inlineStr">
        <is>
          <t>["same_event","same_team_same_day","same_league_same_day"]</t>
        </is>
      </c>
      <c r="BJ167" s="25" t="n"/>
      <c r="BK167" s="26" t="n">
        <v>-110</v>
      </c>
      <c r="BL167" s="27" t="n">
        <v>1.909091</v>
      </c>
      <c r="BM167" s="28" t="n">
        <v>0.52381</v>
      </c>
      <c r="BN167" s="28" t="n"/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>
        <v>1</v>
      </c>
      <c r="BY167" s="27" t="n">
        <v>0.909091</v>
      </c>
      <c r="BZ167" s="24" t="inlineStr">
        <is>
          <t>2026-09-20T04:31:11.215239Z</t>
        </is>
      </c>
      <c r="CA167" s="31" t="inlineStr">
        <is>
          <t>fixed one-unit hypothetical scoring; no real exposure or execution</t>
        </is>
      </c>
      <c r="CB167" s="24" t="n"/>
      <c r="CC167" s="24" t="inlineStr">
        <is>
          <t>0.8454204356</t>
        </is>
      </c>
      <c r="CD167" s="24" t="inlineStr">
        <is>
          <t>6.147666</t>
        </is>
      </c>
      <c r="CE167" s="24" t="n"/>
      <c r="CF167" s="24" t="n"/>
      <c r="CG167" s="24" t="n"/>
      <c r="CH167" s="24" t="n"/>
      <c r="CI167" s="24" t="inlineStr">
        <is>
          <t>NO_CALL_AVAILABILITY_PLAYER_UNMAPPED,executable_quote_missing_or_unmatched</t>
        </is>
      </c>
      <c r="CJ167" s="24" t="inlineStr">
        <is>
          <t>7.119717</t>
        </is>
      </c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0.52381</t>
        </is>
      </c>
      <c r="DK167" s="24" t="n"/>
      <c r="DL167" s="24" t="n"/>
      <c r="DM167" s="24" t="n"/>
      <c r="DN167" s="24" t="n"/>
      <c r="DO167" s="24" t="n"/>
      <c r="DP167" s="24" t="n"/>
      <c r="DQ167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0.7341227485440941, "event_id": "401857199", "event_start_utc": "2026-09-19T23:00:00+00:00", "features": {"defensive_trend_gap": 7.119717, "elo_probability": 0.845420435568948, "trend_gap": 6.147666}, "historical_source_observation_times_verified": false, "model_version": "wnba-elo-trend-lr-v4", "observed_at_utc": "2026-09-19T22:46:01.242773+00:00", "schema": "learned-moneyline-replay-v1", "served_home_probability": 0.7341227485440941, "snapshot_hash": "7133ff936282f428dc520911909874fa6f4bcab857b51ecb9046b4958dcdc9f9"}</t>
        </is>
      </c>
    </row>
    <row r="168" ht="36" customHeight="1">
      <c r="A168" s="24" t="inlineStr">
        <is>
          <t>2087cbbea233460d</t>
        </is>
      </c>
      <c r="B168" s="24" t="inlineStr">
        <is>
          <t>2026-09-19T22:46:01.242773Z</t>
        </is>
      </c>
      <c r="C168" s="24" t="inlineStr">
        <is>
          <t>2026-09-19T21:00:00-0400</t>
        </is>
      </c>
      <c r="D168" s="24" t="inlineStr">
        <is>
          <t>401857200</t>
        </is>
      </c>
      <c r="E168" s="24" t="inlineStr">
        <is>
          <t>WNBA</t>
        </is>
      </c>
      <c r="F168" s="24" t="inlineStr">
        <is>
          <t>Seattle Storm</t>
        </is>
      </c>
      <c r="G168" s="24" t="inlineStr">
        <is>
          <t>Golden State Valkyries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-733</v>
      </c>
      <c r="M168" s="27" t="n">
        <v>1.136426</v>
      </c>
      <c r="N168" s="28" t="n">
        <v>0.879952</v>
      </c>
      <c r="O168" s="28" t="n">
        <v>0.7964560000000001</v>
      </c>
      <c r="P168" s="28" t="n"/>
      <c r="Q168" s="28" t="n">
        <v>-0.083496</v>
      </c>
      <c r="R168" s="26" t="n">
        <v>0</v>
      </c>
      <c r="S168" s="29" t="n">
        <v>1</v>
      </c>
      <c r="T168" s="24" t="inlineStr">
        <is>
          <t>wnba-elo-trend-lr-v4</t>
        </is>
      </c>
      <c r="U168" s="24" t="inlineStr">
        <is>
          <t>settled</t>
        </is>
      </c>
      <c r="V168" s="24" t="inlineStr">
        <is>
          <t>win</t>
        </is>
      </c>
      <c r="W168" s="26" t="n">
        <v>57</v>
      </c>
      <c r="X168" s="26" t="n">
        <v>70</v>
      </c>
      <c r="Y168" s="25" t="n"/>
      <c r="Z168" s="26" t="n">
        <v>-733</v>
      </c>
      <c r="AA168" s="28" t="n">
        <v>0.88</v>
      </c>
      <c r="AB168" s="28" t="n">
        <v>4.8e-05</v>
      </c>
      <c r="AC168" s="30" t="n">
        <v>0.1364</v>
      </c>
      <c r="AD168" s="24" t="inlineStr">
        <is>
          <t>2026-09-20T04:31:11.609072Z</t>
        </is>
      </c>
      <c r="AE168" s="31" t="inlineStr">
        <is>
          <t>Learned LR call at threshold 0.5001; executable ask 0.8800 (aec-wnba-sea-gsv-2026-09-19); model edge vs ask -0.0835. NOTE: NO_CALL_AVAILABILITY_SOURCE_CONFLICT unavailable for this game — defaulted to neutral, other features used normally.</t>
        </is>
      </c>
      <c r="AF168" s="31" t="inlineStr">
        <is>
          <t>Learned model; shadow-qualified via operator override.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wnba-sea</t>
        </is>
      </c>
      <c r="AQ168" s="24" t="inlineStr">
        <is>
          <t>Seattle Storm</t>
        </is>
      </c>
      <c r="AR168" s="24" t="inlineStr">
        <is>
          <t>Seattle Storm</t>
        </is>
      </c>
      <c r="AS168" s="24" t="inlineStr">
        <is>
          <t>wnba-gsv</t>
        </is>
      </c>
      <c r="AT168" s="24" t="inlineStr">
        <is>
          <t>Golden State Valkyries</t>
        </is>
      </c>
      <c r="AU168" s="24" t="inlineStr">
        <is>
          <t>Golden State Valkyries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7afd5274214b58b7efd7f7febc7be3ab33b92351cda5cc6403c0a39faea0cc8c</t>
        </is>
      </c>
      <c r="BB168" s="24" t="inlineStr">
        <is>
          <t>learned_lr</t>
        </is>
      </c>
      <c r="BC168" s="24" t="inlineStr">
        <is>
          <t>wnba-elo-trend-lr-v4</t>
        </is>
      </c>
      <c r="BD168" s="24" t="inlineStr">
        <is>
          <t>7afd5274214b58b7efd7f7febc7be3ab33b92351cda5cc6403c0a39faea0cc8c</t>
        </is>
      </c>
      <c r="BE168" s="24" t="inlineStr">
        <is>
          <t>90ffc74e76bfdc44</t>
        </is>
      </c>
      <c r="BF168" s="24" t="inlineStr">
        <is>
          <t>1</t>
        </is>
      </c>
      <c r="BG168" s="24" t="inlineStr">
        <is>
          <t>wnba-elo-trend-lr-v4</t>
        </is>
      </c>
      <c r="BH168" s="24" t="inlineStr">
        <is>
          <t>2026-09-19T16:03:53.227936Z</t>
        </is>
      </c>
      <c r="BI168" s="24" t="inlineStr">
        <is>
          <t>["same_event","same_team_same_day","same_league_same_day"]</t>
        </is>
      </c>
      <c r="BJ168" s="25" t="n"/>
      <c r="BK168" s="26" t="n">
        <v>-733</v>
      </c>
      <c r="BL168" s="27" t="n">
        <v>1.136426</v>
      </c>
      <c r="BM168" s="28" t="n">
        <v>0.879952</v>
      </c>
      <c r="BN168" s="28" t="n">
        <v>0.871287</v>
      </c>
      <c r="BO168" s="28" t="n"/>
      <c r="BP168" s="25" t="n"/>
      <c r="BQ168" s="27" t="n">
        <v>1.136426</v>
      </c>
      <c r="BR168" s="28" t="n">
        <v>0.88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inlineStr">
        <is>
          <t>0.9532099394</t>
        </is>
      </c>
      <c r="CD168" s="24" t="inlineStr">
        <is>
          <t>2.938619</t>
        </is>
      </c>
      <c r="CE168" s="24" t="n"/>
      <c r="CF168" s="24" t="n"/>
      <c r="CG168" s="24" t="n"/>
      <c r="CH168" s="24" t="n"/>
      <c r="CI168" s="24" t="inlineStr">
        <is>
          <t>NO_CALL_AVAILABILITY_SOURCE_CONFLICT</t>
        </is>
      </c>
      <c r="CJ168" s="24" t="inlineStr">
        <is>
          <t>10.825131</t>
        </is>
      </c>
      <c r="CK168" s="24" t="n"/>
      <c r="CL168" s="24" t="n"/>
      <c r="CM168" s="24" t="n"/>
      <c r="CN168" s="24" t="n"/>
      <c r="CO168" s="24" t="n"/>
      <c r="CP168" s="24" t="n"/>
      <c r="CQ168" s="24" t="n"/>
      <c r="CR168" s="24" t="inlineStr">
        <is>
          <t>0.796456</t>
        </is>
      </c>
      <c r="CS168" s="24" t="inlineStr">
        <is>
          <t>False</t>
        </is>
      </c>
      <c r="CT168" s="24" t="n"/>
      <c r="CU168" s="24" t="n"/>
      <c r="CV168" s="24" t="n"/>
      <c r="CW168" s="24" t="n"/>
      <c r="CX168" s="24" t="n"/>
      <c r="CY168" s="24" t="inlineStr">
        <is>
          <t>2026-09-19T16:03:53.227936Z</t>
        </is>
      </c>
      <c r="CZ168" s="24" t="inlineStr">
        <is>
          <t>True</t>
        </is>
      </c>
      <c r="DA168" s="24" t="inlineStr">
        <is>
          <t>polymarket_us</t>
        </is>
      </c>
      <c r="DB168" s="24" t="inlineStr">
        <is>
          <t>decision_time_executable_quote</t>
        </is>
      </c>
      <c r="DC168" s="24" t="inlineStr">
        <is>
          <t>False</t>
        </is>
      </c>
      <c r="DD168" s="24" t="inlineStr">
        <is>
          <t>84b20ead4329a88f697308b38e23731393e57340af952f20d83d0ba056fca02d</t>
        </is>
      </c>
      <c r="DE168" s="24" t="inlineStr">
        <is>
          <t>/Users/vincentc9002/model-prediction/data/odds/wnba/2026-09-19/polymarket_snapshots.jsonl</t>
        </is>
      </c>
      <c r="DF168" s="24" t="inlineStr">
        <is>
          <t>84b20ead4329a88f697308b38e23731393e57340af952f20d83d0ba056fca02d</t>
        </is>
      </c>
      <c r="DG168" s="24" t="n"/>
      <c r="DH168" s="24" t="n"/>
      <c r="DI168" s="24" t="n"/>
      <c r="DJ168" s="24" t="inlineStr">
        <is>
          <t>0.879952</t>
        </is>
      </c>
      <c r="DK168" s="24" t="n"/>
      <c r="DL168" s="24" t="n"/>
      <c r="DM168" s="24" t="n"/>
      <c r="DN168" s="24" t="n"/>
      <c r="DO168" s="24" t="n"/>
      <c r="DP168" s="24" t="n"/>
      <c r="DQ168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0.7964555207891735, "event_id": "401857200", "event_start_utc": "2026-09-20T01:00:00+00:00", "features": {"defensive_trend_gap": 10.825130999999999, "elo_probability": 0.9532099393726365, "trend_gap": 2.938619}, "historical_source_observation_times_verified": false, "model_version": "wnba-elo-trend-lr-v4", "observed_at_utc": "2026-09-19T22:46:01.242773+00:00", "schema": "learned-moneyline-replay-v1", "served_home_probability": 0.7964555207891735, "snapshot_hash": "8468820261ceb3557869889389842be3e2369619cc0391f7665a9408f212f6e0"}</t>
        </is>
      </c>
    </row>
    <row r="169" ht="36" customHeight="1">
      <c r="A169" s="24" t="inlineStr">
        <is>
          <t>202b22d4171d4542</t>
        </is>
      </c>
      <c r="B169" s="24" t="inlineStr">
        <is>
          <t>2026-09-19T22:46:23.491815Z</t>
        </is>
      </c>
      <c r="C169" s="24" t="inlineStr">
        <is>
          <t>2026-09-19T23:00Z</t>
        </is>
      </c>
      <c r="D169" s="24" t="inlineStr">
        <is>
          <t>401857199</t>
        </is>
      </c>
      <c r="E169" s="24" t="inlineStr">
        <is>
          <t>WNBA</t>
        </is>
      </c>
      <c r="F169" s="24" t="inlineStr">
        <is>
          <t>Chicago Sky</t>
        </is>
      </c>
      <c r="G169" s="24" t="inlineStr">
        <is>
          <t>Atlanta Dream</t>
        </is>
      </c>
      <c r="H169" s="24" t="inlineStr">
        <is>
          <t>spread</t>
        </is>
      </c>
      <c r="I169" s="24" t="inlineStr">
        <is>
          <t>away</t>
        </is>
      </c>
      <c r="J169" s="25" t="n">
        <v>12.5</v>
      </c>
      <c r="K169" s="24" t="inlineStr">
        <is>
          <t>polymarket_us</t>
        </is>
      </c>
      <c r="L169" s="26" t="n">
        <v>127</v>
      </c>
      <c r="M169" s="27" t="n">
        <v>2.27</v>
      </c>
      <c r="N169" s="28" t="n">
        <v>0.440529</v>
      </c>
      <c r="O169" s="28" t="n">
        <v>0.5982150000000001</v>
      </c>
      <c r="P169" s="28" t="n">
        <v>0.03</v>
      </c>
      <c r="Q169" s="28" t="n">
        <v>0.157686</v>
      </c>
      <c r="R169" s="26" t="n">
        <v>100</v>
      </c>
      <c r="S169" s="29" t="n">
        <v>1.75</v>
      </c>
      <c r="T169" s="24" t="inlineStr">
        <is>
          <t>wnba-spread-margin-v2</t>
        </is>
      </c>
      <c r="U169" s="24" t="inlineStr">
        <is>
          <t>settled</t>
        </is>
      </c>
      <c r="V169" s="24" t="inlineStr">
        <is>
          <t>loss</t>
        </is>
      </c>
      <c r="W169" s="26" t="n">
        <v>81</v>
      </c>
      <c r="X169" s="26" t="n">
        <v>106</v>
      </c>
      <c r="Y169" s="25" t="n"/>
      <c r="Z169" s="26" t="n"/>
      <c r="AA169" s="28" t="n"/>
      <c r="AB169" s="28" t="n"/>
      <c r="AC169" s="30" t="n">
        <v>-1.75</v>
      </c>
      <c r="AD169" s="24" t="inlineStr">
        <is>
          <t>2026-09-20T04:31:28.974644Z</t>
        </is>
      </c>
      <c r="AE169" s="31" t="inlineStr">
        <is>
          <t>Projected margin +9.2 (home), sd 13.4. Executable ask 0.4400 (asc-wnba-chi-atl-2026-09-19-pos-12pt5).</t>
        </is>
      </c>
      <c r="AF169" s="31" t="inlineStr">
        <is>
          <t>Point-in-time composite Elo + trend + rest margin-normal spread model.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4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wnba-chi</t>
        </is>
      </c>
      <c r="AQ169" s="24" t="inlineStr">
        <is>
          <t>Chicago Sky</t>
        </is>
      </c>
      <c r="AR169" s="24" t="inlineStr">
        <is>
          <t>Chicago Sky</t>
        </is>
      </c>
      <c r="AS169" s="24" t="inlineStr">
        <is>
          <t>wnba-atl</t>
        </is>
      </c>
      <c r="AT169" s="24" t="inlineStr">
        <is>
          <t>Atlanta Dream</t>
        </is>
      </c>
      <c r="AU169" s="24" t="inlineStr">
        <is>
          <t>Atlanta Dream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f7d192f98d825d7c77be21b0531a91cff101ad35e418fe9d7e07c5d0f769f974</t>
        </is>
      </c>
      <c r="BB169" s="24" t="inlineStr">
        <is>
          <t>margin_normal</t>
        </is>
      </c>
      <c r="BC169" s="24" t="inlineStr">
        <is>
          <t>wnba-spread-margin-v2</t>
        </is>
      </c>
      <c r="BD169" s="24" t="inlineStr">
        <is>
          <t>f7d192f98d825d7c77be21b0531a91cff101ad35e418fe9d7e07c5d0f769f974</t>
        </is>
      </c>
      <c r="BE169" s="24" t="inlineStr">
        <is>
          <t>wnba-spread-margin-v2</t>
        </is>
      </c>
      <c r="BF169" s="24" t="inlineStr">
        <is>
          <t>1</t>
        </is>
      </c>
      <c r="BG169" s="24" t="inlineStr">
        <is>
          <t>f7d192f98d825d7c77be21b0531a91cff101ad35e418fe9d7e07c5d0f769f974</t>
        </is>
      </c>
      <c r="BH169" s="24" t="inlineStr">
        <is>
          <t>2026-09-19T22:04:13.047855Z</t>
        </is>
      </c>
      <c r="BI169" s="24" t="inlineStr">
        <is>
          <t>["same_event","same_team_same_day","same_league_same_day"]</t>
        </is>
      </c>
      <c r="BJ169" s="25" t="n">
        <v>12.5</v>
      </c>
      <c r="BK169" s="26" t="n">
        <v>127</v>
      </c>
      <c r="BL169" s="27" t="n">
        <v>2.27</v>
      </c>
      <c r="BM169" s="28" t="n">
        <v>0.440529</v>
      </c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inlineStr">
        <is>
          <t>2026-09-19T22:04:13.047855Z</t>
        </is>
      </c>
      <c r="CZ169" s="24" t="inlineStr">
        <is>
          <t>True</t>
        </is>
      </c>
      <c r="DA169" s="24" t="inlineStr">
        <is>
          <t>polymarket_us</t>
        </is>
      </c>
      <c r="DB169" s="24" t="inlineStr">
        <is>
          <t>decision_time_executable_quote</t>
        </is>
      </c>
      <c r="DC169" s="24" t="inlineStr">
        <is>
          <t>False</t>
        </is>
      </c>
      <c r="DD169" s="24" t="inlineStr">
        <is>
          <t>ddf31a214940e1caf390f13a7438e75b759fb0b851dc6fa533a9c1ddaba44f89</t>
        </is>
      </c>
      <c r="DE169" s="24" t="inlineStr">
        <is>
          <t>/Users/vincentc9002/model-prediction/data/odds/wnba/2026-09-19/polymarket_snapshots.jsonl</t>
        </is>
      </c>
      <c r="DF169" s="24" t="inlineStr">
        <is>
          <t>ddf31a214940e1caf390f13a7438e75b759fb0b851dc6fa533a9c1ddaba44f89</t>
        </is>
      </c>
      <c r="DG169" s="24" t="n"/>
      <c r="DH169" s="24" t="n"/>
      <c r="DI169" s="24" t="n"/>
      <c r="DJ169" s="24" t="inlineStr">
        <is>
          <t>0.440529</t>
        </is>
      </c>
      <c r="DK169" s="24" t="n"/>
      <c r="DL169" s="24" t="n"/>
      <c r="DM169" s="24" t="n"/>
      <c r="DN169" s="24" t="n"/>
      <c r="DO169" s="24" t="n"/>
      <c r="DP169" s="24" t="n"/>
      <c r="DQ169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"401857199", "event_start_utc": "2026-09-19T23:00Z", "features": {"away_points_hl10": 84.53, "elo_away": 1382.6, "elo_home": 1617.8, "elo_margin": 10.54, "expected_margin": 9.17, "expected_total": 175.19, "history_games": 924, "home_points_hl10": 90.66, "rest_diff": 0.0, "trend_margin": 8.38}, "historical_source_observation_times_verified": false, "inference_inputs": {"line": 12.5, "mean": 9.174487734411658, "sd": 13.37}, "model_version": "wnba-spread-margin-v2", "observed_at_utc": "2026-09-19T22:46:23.011382+00:00", "replay_scope": "Exact final classifier/distribution inputs and artifact. Upstream historical feature construction not certified.", "schema": "scalar-artifact-replay-v1", "snapshot_hash": "e6eb85a698bedace3923dff7944933f468082f886ba7fc193f04ca2e83f473bb"}</t>
        </is>
      </c>
    </row>
    <row r="170" ht="36" customHeight="1">
      <c r="A170" s="24" t="inlineStr">
        <is>
          <t>4a3162ae5183499b</t>
        </is>
      </c>
      <c r="B170" s="24" t="inlineStr">
        <is>
          <t>2026-09-19T22:46:23.491815Z</t>
        </is>
      </c>
      <c r="C170" s="24" t="inlineStr">
        <is>
          <t>2026-09-20T01:00Z</t>
        </is>
      </c>
      <c r="D170" s="24" t="inlineStr">
        <is>
          <t>401857200</t>
        </is>
      </c>
      <c r="E170" s="24" t="inlineStr">
        <is>
          <t>WNBA</t>
        </is>
      </c>
      <c r="F170" s="24" t="inlineStr">
        <is>
          <t>Seattle Storm</t>
        </is>
      </c>
      <c r="G170" s="24" t="inlineStr">
        <is>
          <t>Golden State Valkyries</t>
        </is>
      </c>
      <c r="H170" s="24" t="inlineStr">
        <is>
          <t>spread</t>
        </is>
      </c>
      <c r="I170" s="24" t="inlineStr">
        <is>
          <t>home</t>
        </is>
      </c>
      <c r="J170" s="25" t="n">
        <v>-13.5</v>
      </c>
      <c r="K170" s="24" t="inlineStr">
        <is>
          <t>polymarket_us</t>
        </is>
      </c>
      <c r="L170" s="26" t="n">
        <v>117</v>
      </c>
      <c r="M170" s="27" t="n">
        <v>2.17</v>
      </c>
      <c r="N170" s="28" t="n">
        <v>0.460829</v>
      </c>
      <c r="O170" s="28" t="n">
        <v>0.502658</v>
      </c>
      <c r="P170" s="28" t="n">
        <v>0.03</v>
      </c>
      <c r="Q170" s="28" t="n">
        <v>0.041829</v>
      </c>
      <c r="R170" s="26" t="n">
        <v>53</v>
      </c>
      <c r="S170" s="29" t="n">
        <v>1</v>
      </c>
      <c r="T170" s="24" t="inlineStr">
        <is>
          <t>wnba-spread-margin-v2</t>
        </is>
      </c>
      <c r="U170" s="24" t="inlineStr">
        <is>
          <t>settled</t>
        </is>
      </c>
      <c r="V170" s="24" t="inlineStr">
        <is>
          <t>loss</t>
        </is>
      </c>
      <c r="W170" s="26" t="n">
        <v>57</v>
      </c>
      <c r="X170" s="26" t="n">
        <v>70</v>
      </c>
      <c r="Y170" s="25" t="n"/>
      <c r="Z170" s="26" t="n"/>
      <c r="AA170" s="28" t="n"/>
      <c r="AB170" s="28" t="n"/>
      <c r="AC170" s="30" t="n">
        <v>-1</v>
      </c>
      <c r="AD170" s="24" t="inlineStr">
        <is>
          <t>2026-09-20T04:31:29.231276Z</t>
        </is>
      </c>
      <c r="AE170" s="31" t="inlineStr">
        <is>
          <t>Projected margin +13.6 (home), sd 13.4. Executable ask 0.4600 (asc-wnba-sea-gsv-2026-09-19-pos-13pt5).</t>
        </is>
      </c>
      <c r="AF170" s="31" t="inlineStr">
        <is>
          <t>Point-in-time composite Elo + trend + rest margin-normal spread model.</t>
        </is>
      </c>
      <c r="AG170" s="24" t="inlineStr">
        <is>
          <t>review_required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4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PAPER_CALL_STALE_DATA</t>
        </is>
      </c>
      <c r="AP170" s="24" t="inlineStr">
        <is>
          <t>wnba-sea</t>
        </is>
      </c>
      <c r="AQ170" s="24" t="inlineStr">
        <is>
          <t>Seattle Storm</t>
        </is>
      </c>
      <c r="AR170" s="24" t="inlineStr">
        <is>
          <t>Seattle Storm</t>
        </is>
      </c>
      <c r="AS170" s="24" t="inlineStr">
        <is>
          <t>wnba-gsv</t>
        </is>
      </c>
      <c r="AT170" s="24" t="inlineStr">
        <is>
          <t>Golden State Valkyries</t>
        </is>
      </c>
      <c r="AU170" s="24" t="inlineStr">
        <is>
          <t>Golden State Valkyries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f7d192f98d825d7c77be21b0531a91cff101ad35e418fe9d7e07c5d0f769f974</t>
        </is>
      </c>
      <c r="BB170" s="24" t="inlineStr">
        <is>
          <t>margin_normal</t>
        </is>
      </c>
      <c r="BC170" s="24" t="inlineStr">
        <is>
          <t>wnba-spread-margin-v2</t>
        </is>
      </c>
      <c r="BD170" s="24" t="inlineStr">
        <is>
          <t>f7d192f98d825d7c77be21b0531a91cff101ad35e418fe9d7e07c5d0f769f974</t>
        </is>
      </c>
      <c r="BE170" s="24" t="inlineStr">
        <is>
          <t>wnba-spread-margin-v2</t>
        </is>
      </c>
      <c r="BF170" s="24" t="inlineStr">
        <is>
          <t>1</t>
        </is>
      </c>
      <c r="BG170" s="24" t="inlineStr">
        <is>
          <t>f7d192f98d825d7c77be21b0531a91cff101ad35e418fe9d7e07c5d0f769f974</t>
        </is>
      </c>
      <c r="BH170" s="24" t="inlineStr">
        <is>
          <t>2026-09-19T10:04:03.099646Z</t>
        </is>
      </c>
      <c r="BI170" s="24" t="inlineStr">
        <is>
          <t>["same_event","same_team_same_day","same_league_same_day"]</t>
        </is>
      </c>
      <c r="BJ170" s="25" t="n">
        <v>-13.5</v>
      </c>
      <c r="BK170" s="26" t="n">
        <v>117</v>
      </c>
      <c r="BL170" s="27" t="n">
        <v>2.17</v>
      </c>
      <c r="BM170" s="28" t="n">
        <v>0.460829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>
        <v>1</v>
      </c>
      <c r="BY170" s="27" t="n">
        <v>-1</v>
      </c>
      <c r="BZ170" s="24" t="inlineStr">
        <is>
          <t>2026-09-20T04:31:29.231276Z</t>
        </is>
      </c>
      <c r="CA170" s="31" t="inlineStr">
        <is>
          <t>fixed one-unit hypothetical scoring; no real exposure or execution</t>
        </is>
      </c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  <c r="CT170" s="24" t="n"/>
      <c r="CU170" s="24" t="n"/>
      <c r="CV170" s="24" t="n"/>
      <c r="CW170" s="24" t="n"/>
      <c r="CX170" s="24" t="n"/>
      <c r="CY170" s="24" t="inlineStr">
        <is>
          <t>2026-09-19T10:04:03.099646Z</t>
        </is>
      </c>
      <c r="CZ170" s="24" t="inlineStr">
        <is>
          <t>True</t>
        </is>
      </c>
      <c r="DA170" s="24" t="inlineStr">
        <is>
          <t>polymarket_us</t>
        </is>
      </c>
      <c r="DB170" s="24" t="inlineStr">
        <is>
          <t>decision_time_executable_quote</t>
        </is>
      </c>
      <c r="DC170" s="24" t="inlineStr">
        <is>
          <t>False</t>
        </is>
      </c>
      <c r="DD170" s="24" t="inlineStr">
        <is>
          <t>a3330f71170a818576f59b87e3d3587fca4ce82489d1a6f0848dd10b0fa0fd6a</t>
        </is>
      </c>
      <c r="DE170" s="24" t="inlineStr">
        <is>
          <t>/Users/vincentc9002/model-prediction/data/odds/wnba/2026-09-19/polymarket_snapshots.jsonl</t>
        </is>
      </c>
      <c r="DF170" s="24" t="inlineStr">
        <is>
          <t>a3330f71170a818576f59b87e3d3587fca4ce82489d1a6f0848dd10b0fa0fd6a</t>
        </is>
      </c>
      <c r="DG170" s="24" t="n"/>
      <c r="DH170" s="24" t="n"/>
      <c r="DI170" s="24" t="n"/>
      <c r="DJ170" s="24" t="inlineStr">
        <is>
          <t>0.460829</t>
        </is>
      </c>
      <c r="DK170" s="24" t="n"/>
      <c r="DL170" s="24" t="n"/>
      <c r="DM170" s="24" t="n"/>
      <c r="DN170" s="24" t="n"/>
      <c r="DO170" s="24" t="n"/>
      <c r="DP170" s="24" t="n"/>
      <c r="DQ17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"401857200", "event_start_utc": "2026-09-20T01:00Z", "features": {"away_points_hl10": 78.22, "elo_away": 1298.8, "elo_home": 1762.4, "elo_margin": 18.7, "expected_margin": 13.59, "expected_total": 163.41, "history_games": 924, "home_points_hl10": 85.19, "rest_diff": -1.0, "trend_margin": 9.24}, "historical_source_observation_times_verified": false, "inference_inputs": {"line": 13.5, "mean": 13.589091420365863, "sd": 13.37}, "model_version": "wnba-spread-margin-v2", "observed_at_utc": "2026-09-19T22:46:23.011382+00:00", "replay_scope": "Exact final classifier/distribution inputs and artifact. Upstream historical feature construction not certified.", "schema": "scalar-artifact-replay-v1", "snapshot_hash": "e2b1f6a28dc8d2324cae789b7d31e6969d52a450c4b675ac6a36afb10fde586b"}</t>
        </is>
      </c>
    </row>
    <row r="171" ht="36" customHeight="1">
      <c r="A171" s="24" t="inlineStr">
        <is>
          <t>971c9a79b16e4d1c</t>
        </is>
      </c>
      <c r="B171" s="24" t="inlineStr">
        <is>
          <t>2026-09-19T22:46:23.494267Z</t>
        </is>
      </c>
      <c r="C171" s="24" t="inlineStr">
        <is>
          <t>2026-09-19T23:00Z</t>
        </is>
      </c>
      <c r="D171" s="24" t="inlineStr">
        <is>
          <t>401857199</t>
        </is>
      </c>
      <c r="E171" s="24" t="inlineStr">
        <is>
          <t>WNBA</t>
        </is>
      </c>
      <c r="F171" s="24" t="inlineStr">
        <is>
          <t>Chicago Sky</t>
        </is>
      </c>
      <c r="G171" s="24" t="inlineStr">
        <is>
          <t>Atlanta Dream</t>
        </is>
      </c>
      <c r="H171" s="24" t="inlineStr">
        <is>
          <t>total</t>
        </is>
      </c>
      <c r="I171" s="24" t="inlineStr">
        <is>
          <t>under</t>
        </is>
      </c>
      <c r="J171" s="25" t="n">
        <v>180.5</v>
      </c>
      <c r="K171" s="24" t="inlineStr">
        <is>
          <t>polymarket_us</t>
        </is>
      </c>
      <c r="L171" s="26" t="n">
        <v>-150</v>
      </c>
      <c r="M171" s="27" t="n">
        <v>1.666667</v>
      </c>
      <c r="N171" s="28" t="n">
        <v>0.6</v>
      </c>
      <c r="O171" s="28" t="n">
        <v>0.620417</v>
      </c>
      <c r="P171" s="28" t="n">
        <v>0.03</v>
      </c>
      <c r="Q171" s="28" t="n">
        <v>0.020417</v>
      </c>
      <c r="R171" s="26" t="n">
        <v>42</v>
      </c>
      <c r="S171" s="29" t="n">
        <v>1</v>
      </c>
      <c r="T171" s="24" t="inlineStr">
        <is>
          <t>wnba-total-margin-v2</t>
        </is>
      </c>
      <c r="U171" s="24" t="inlineStr">
        <is>
          <t>settled</t>
        </is>
      </c>
      <c r="V171" s="24" t="inlineStr">
        <is>
          <t>loss</t>
        </is>
      </c>
      <c r="W171" s="26" t="n">
        <v>81</v>
      </c>
      <c r="X171" s="26" t="n">
        <v>106</v>
      </c>
      <c r="Y171" s="25" t="n"/>
      <c r="Z171" s="26" t="n">
        <v>-150</v>
      </c>
      <c r="AA171" s="28" t="n">
        <v>0.6</v>
      </c>
      <c r="AB171" s="28" t="n">
        <v>0</v>
      </c>
      <c r="AC171" s="30" t="n">
        <v>-1</v>
      </c>
      <c r="AD171" s="24" t="inlineStr">
        <is>
          <t>2026-09-20T04:31:29.483494Z</t>
        </is>
      </c>
      <c r="AE171" s="31" t="inlineStr">
        <is>
          <t>Projected total 175.6, sd 16.0. Executable ask 0.6000 (tsc-wnba-chi-atl-2026-09-19-180pt5).</t>
        </is>
      </c>
      <c r="AF171" s="31" t="inlineStr">
        <is>
          <t>Research-baseline total model; not yet locked-holdout qualified.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model_qualified</t>
        </is>
      </c>
      <c r="AL171" s="26" t="n">
        <v>4</v>
      </c>
      <c r="AM171" s="24" t="inlineStr">
        <is>
          <t>QUALIFIED_SHADOW_CALL</t>
        </is>
      </c>
      <c r="AN171" s="24" t="inlineStr">
        <is>
          <t>CALL</t>
        </is>
      </c>
      <c r="AO171" s="24" t="inlineStr">
        <is>
          <t>QUALIFIED</t>
        </is>
      </c>
      <c r="AP171" s="24" t="inlineStr">
        <is>
          <t>wnba-chi</t>
        </is>
      </c>
      <c r="AQ171" s="24" t="inlineStr">
        <is>
          <t>Chicago Sky</t>
        </is>
      </c>
      <c r="AR171" s="24" t="inlineStr">
        <is>
          <t>Chicago Sky</t>
        </is>
      </c>
      <c r="AS171" s="24" t="inlineStr">
        <is>
          <t>wnba-atl</t>
        </is>
      </c>
      <c r="AT171" s="24" t="inlineStr">
        <is>
          <t>Atlanta Dream</t>
        </is>
      </c>
      <c r="AU171" s="24" t="inlineStr">
        <is>
          <t>Atlanta Dream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research</t>
        </is>
      </c>
      <c r="BA171" s="24" t="inlineStr">
        <is>
          <t>9c9b767590bbbb9a7b333eaf9def066d65bf813e735ed73aa27cfb2c609a4ca5</t>
        </is>
      </c>
      <c r="BB171" s="24" t="inlineStr">
        <is>
          <t>total_normal</t>
        </is>
      </c>
      <c r="BC171" s="24" t="inlineStr">
        <is>
          <t>wnba-total-margin-v2</t>
        </is>
      </c>
      <c r="BD171" s="24" t="inlineStr">
        <is>
          <t>9c9b767590bbbb9a7b333eaf9def066d65bf813e735ed73aa27cfb2c609a4ca5</t>
        </is>
      </c>
      <c r="BE171" s="24" t="inlineStr">
        <is>
          <t>wnba-total-margin-v2</t>
        </is>
      </c>
      <c r="BF171" s="24" t="inlineStr">
        <is>
          <t>1</t>
        </is>
      </c>
      <c r="BG171" s="24" t="inlineStr">
        <is>
          <t>9c9b767590bbbb9a7b333eaf9def066d65bf813e735ed73aa27cfb2c609a4ca5</t>
        </is>
      </c>
      <c r="BH171" s="24" t="inlineStr">
        <is>
          <t>2026-09-19T22:04:13.106076Z</t>
        </is>
      </c>
      <c r="BI171" s="24" t="inlineStr">
        <is>
          <t>["same_event","same_team_same_day","same_league_same_day"]</t>
        </is>
      </c>
      <c r="BJ171" s="25" t="n">
        <v>180.5</v>
      </c>
      <c r="BK171" s="26" t="n">
        <v>-150</v>
      </c>
      <c r="BL171" s="27" t="n">
        <v>1.666667</v>
      </c>
      <c r="BM171" s="28" t="n">
        <v>0.6</v>
      </c>
      <c r="BN171" s="28" t="n"/>
      <c r="BO171" s="28" t="n"/>
      <c r="BP171" s="25" t="n"/>
      <c r="BQ171" s="27" t="n">
        <v>1.666667</v>
      </c>
      <c r="BR171" s="28" t="n">
        <v>0.6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True</t>
        </is>
      </c>
      <c r="CT171" s="24" t="n"/>
      <c r="CU171" s="24" t="n"/>
      <c r="CV171" s="24" t="n"/>
      <c r="CW171" s="24" t="n"/>
      <c r="CX171" s="24" t="n"/>
      <c r="CY171" s="24" t="inlineStr">
        <is>
          <t>2026-09-19T22:04:13.106076Z</t>
        </is>
      </c>
      <c r="CZ171" s="24" t="inlineStr">
        <is>
          <t>True</t>
        </is>
      </c>
      <c r="DA171" s="24" t="inlineStr">
        <is>
          <t>polymarket_us</t>
        </is>
      </c>
      <c r="DB171" s="24" t="inlineStr">
        <is>
          <t>decision_time_executable_quote</t>
        </is>
      </c>
      <c r="DC171" s="24" t="inlineStr">
        <is>
          <t>False</t>
        </is>
      </c>
      <c r="DD171" s="24" t="inlineStr">
        <is>
          <t>f0e562206b17f5fc62201f9a218b4a3f73915ef217f78135cfef69bf11342e89</t>
        </is>
      </c>
      <c r="DE171" s="24" t="inlineStr">
        <is>
          <t>/Users/vincentc9002/model-prediction/data/odds/wnba/2026-09-19/polymarket_snapshots.jsonl</t>
        </is>
      </c>
      <c r="DF171" s="24" t="inlineStr">
        <is>
          <t>f0e562206b17f5fc62201f9a218b4a3f73915ef217f78135cfef69bf11342e89</t>
        </is>
      </c>
      <c r="DG171" s="24" t="n"/>
      <c r="DH171" s="24" t="n"/>
      <c r="DI171" s="24" t="n"/>
      <c r="DJ171" s="24" t="inlineStr">
        <is>
          <t>0.6</t>
        </is>
      </c>
      <c r="DK171" s="24" t="n"/>
      <c r="DL171" s="24" t="n"/>
      <c r="DM171" s="24" t="n"/>
      <c r="DN171" s="24" t="n"/>
      <c r="DO171" s="24" t="n"/>
      <c r="DP171" s="24" t="n"/>
      <c r="DQ171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"401857199", "event_start_utc": "2026-09-19T23:00Z", "features": {"away_points_hl10": 84.53, "elo_away": 1382.6, "elo_home": 1617.8, "elo_margin": 10.54, "expected_margin": 8.12, "expected_total": 175.59, "history_games": 924, "home_points_hl10": 90.66, "rest_diff": 0.0, "trend_margin": 8.12}, "historical_source_observation_times_verified": false, "inference_inputs": {"line": 180.5, "mean": 175.5947884, "sd": 16.0}, "model_version": "wnba-total-margin-v2", "observed_at_utc": "2026-09-19T22:46:23.018202+00:00", "replay_scope": "Exact final classifier/distribution inputs and artifact. Upstream historical feature construction not certified.", "schema": "scalar-artifact-replay-v1", "snapshot_hash": "019e9c5f29ea04b37b1780775c6f69142cbd75b24b15d6a0589d390076de5d64"}</t>
        </is>
      </c>
    </row>
    <row r="172" ht="36" customHeight="1">
      <c r="A172" s="24" t="inlineStr">
        <is>
          <t>167c813dce634cf5</t>
        </is>
      </c>
      <c r="B172" s="24" t="inlineStr">
        <is>
          <t>2026-09-19T22:46:23.494267Z</t>
        </is>
      </c>
      <c r="C172" s="24" t="inlineStr">
        <is>
          <t>2026-09-20T01:00Z</t>
        </is>
      </c>
      <c r="D172" s="24" t="inlineStr">
        <is>
          <t>401857200</t>
        </is>
      </c>
      <c r="E172" s="24" t="inlineStr">
        <is>
          <t>WNBA</t>
        </is>
      </c>
      <c r="F172" s="24" t="inlineStr">
        <is>
          <t>Seattle Storm</t>
        </is>
      </c>
      <c r="G172" s="24" t="inlineStr">
        <is>
          <t>Golden State Valkyries</t>
        </is>
      </c>
      <c r="H172" s="24" t="inlineStr">
        <is>
          <t>total</t>
        </is>
      </c>
      <c r="I172" s="24" t="inlineStr">
        <is>
          <t>over</t>
        </is>
      </c>
      <c r="J172" s="25" t="n">
        <v>161.5</v>
      </c>
      <c r="K172" s="24" t="inlineStr">
        <is>
          <t>polymarket_us</t>
        </is>
      </c>
      <c r="L172" s="26" t="n">
        <v>133</v>
      </c>
      <c r="M172" s="27" t="n">
        <v>2.33</v>
      </c>
      <c r="N172" s="28" t="n">
        <v>0.429185</v>
      </c>
      <c r="O172" s="28" t="n">
        <v>0.536493</v>
      </c>
      <c r="P172" s="28" t="n">
        <v>0.03</v>
      </c>
      <c r="Q172" s="28" t="n">
        <v>0.107308</v>
      </c>
      <c r="R172" s="26" t="n">
        <v>86</v>
      </c>
      <c r="S172" s="29" t="n">
        <v>1.5</v>
      </c>
      <c r="T172" s="24" t="inlineStr">
        <is>
          <t>wnba-total-margin-v2</t>
        </is>
      </c>
      <c r="U172" s="24" t="inlineStr">
        <is>
          <t>settled</t>
        </is>
      </c>
      <c r="V172" s="24" t="inlineStr">
        <is>
          <t>loss</t>
        </is>
      </c>
      <c r="W172" s="26" t="n">
        <v>57</v>
      </c>
      <c r="X172" s="26" t="n">
        <v>70</v>
      </c>
      <c r="Y172" s="25" t="n"/>
      <c r="Z172" s="26" t="n">
        <v>133</v>
      </c>
      <c r="AA172" s="28" t="n">
        <v>0.43</v>
      </c>
      <c r="AB172" s="28" t="n">
        <v>0.000815</v>
      </c>
      <c r="AC172" s="30" t="n">
        <v>-1.5</v>
      </c>
      <c r="AD172" s="24" t="inlineStr">
        <is>
          <t>2026-09-20T04:31:29.778014Z</t>
        </is>
      </c>
      <c r="AE172" s="31" t="inlineStr">
        <is>
          <t>Projected total 163.0, sd 16.0. Executable ask 0.4300 (tsc-wnba-sea-gsv-2026-09-19-161pt5).</t>
        </is>
      </c>
      <c r="AF172" s="31" t="inlineStr">
        <is>
          <t>Research-baseline total model; not yet locked-holdout qualified.</t>
        </is>
      </c>
      <c r="AG172" s="24" t="inlineStr">
        <is>
          <t>review_required</t>
        </is>
      </c>
      <c r="AH172" s="24" t="n"/>
      <c r="AI172" s="31" t="n"/>
      <c r="AJ172" s="31" t="n"/>
      <c r="AK172" s="24" t="inlineStr">
        <is>
          <t>model_qualified</t>
        </is>
      </c>
      <c r="AL172" s="26" t="n">
        <v>4</v>
      </c>
      <c r="AM172" s="24" t="inlineStr">
        <is>
          <t>QUALIFIED_SHADOW_CALL</t>
        </is>
      </c>
      <c r="AN172" s="24" t="inlineStr">
        <is>
          <t>CALL</t>
        </is>
      </c>
      <c r="AO172" s="24" t="inlineStr">
        <is>
          <t>QUALIFIED</t>
        </is>
      </c>
      <c r="AP172" s="24" t="inlineStr">
        <is>
          <t>wnba-sea</t>
        </is>
      </c>
      <c r="AQ172" s="24" t="inlineStr">
        <is>
          <t>Seattle Storm</t>
        </is>
      </c>
      <c r="AR172" s="24" t="inlineStr">
        <is>
          <t>Seattle Storm</t>
        </is>
      </c>
      <c r="AS172" s="24" t="inlineStr">
        <is>
          <t>wnba-gsv</t>
        </is>
      </c>
      <c r="AT172" s="24" t="inlineStr">
        <is>
          <t>Golden State Valkyries</t>
        </is>
      </c>
      <c r="AU172" s="24" t="inlineStr">
        <is>
          <t>Golden State Valkyries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research</t>
        </is>
      </c>
      <c r="BA172" s="24" t="inlineStr">
        <is>
          <t>9c9b767590bbbb9a7b333eaf9def066d65bf813e735ed73aa27cfb2c609a4ca5</t>
        </is>
      </c>
      <c r="BB172" s="24" t="inlineStr">
        <is>
          <t>total_normal</t>
        </is>
      </c>
      <c r="BC172" s="24" t="inlineStr">
        <is>
          <t>wnba-total-margin-v2</t>
        </is>
      </c>
      <c r="BD172" s="24" t="inlineStr">
        <is>
          <t>9c9b767590bbbb9a7b333eaf9def066d65bf813e735ed73aa27cfb2c609a4ca5</t>
        </is>
      </c>
      <c r="BE172" s="24" t="inlineStr">
        <is>
          <t>wnba-total-margin-v2</t>
        </is>
      </c>
      <c r="BF172" s="24" t="inlineStr">
        <is>
          <t>1</t>
        </is>
      </c>
      <c r="BG172" s="24" t="inlineStr">
        <is>
          <t>9c9b767590bbbb9a7b333eaf9def066d65bf813e735ed73aa27cfb2c609a4ca5</t>
        </is>
      </c>
      <c r="BH172" s="24" t="inlineStr">
        <is>
          <t>2026-09-19T16:03:53.112509Z</t>
        </is>
      </c>
      <c r="BI172" s="24" t="inlineStr">
        <is>
          <t>["same_event","same_team_same_day","same_league_same_day"]</t>
        </is>
      </c>
      <c r="BJ172" s="25" t="n">
        <v>161.5</v>
      </c>
      <c r="BK172" s="26" t="n">
        <v>133</v>
      </c>
      <c r="BL172" s="27" t="n">
        <v>2.33</v>
      </c>
      <c r="BM172" s="28" t="n">
        <v>0.429185</v>
      </c>
      <c r="BN172" s="28" t="n"/>
      <c r="BO172" s="28" t="n"/>
      <c r="BP172" s="25" t="n"/>
      <c r="BQ172" s="27" t="n">
        <v>2.33</v>
      </c>
      <c r="BR172" s="28" t="n">
        <v>0.43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inlineStr">
        <is>
          <t>2026-09-19T16:03:53.112509Z</t>
        </is>
      </c>
      <c r="CZ172" s="24" t="inlineStr">
        <is>
          <t>True</t>
        </is>
      </c>
      <c r="DA172" s="24" t="inlineStr">
        <is>
          <t>polymarket_us</t>
        </is>
      </c>
      <c r="DB172" s="24" t="inlineStr">
        <is>
          <t>decision_time_executable_quote</t>
        </is>
      </c>
      <c r="DC172" s="24" t="inlineStr">
        <is>
          <t>False</t>
        </is>
      </c>
      <c r="DD172" s="24" t="inlineStr">
        <is>
          <t>5c870e95238c6aeb783f6dd0b3262b503bd432fccf3d839385e41281abdc52ba</t>
        </is>
      </c>
      <c r="DE172" s="24" t="inlineStr">
        <is>
          <t>/Users/vincentc9002/model-prediction/data/odds/wnba/2026-09-19/polymarket_snapshots.jsonl</t>
        </is>
      </c>
      <c r="DF172" s="24" t="inlineStr">
        <is>
          <t>5c870e95238c6aeb783f6dd0b3262b503bd432fccf3d839385e41281abdc52ba</t>
        </is>
      </c>
      <c r="DG172" s="24" t="n"/>
      <c r="DH172" s="24" t="n"/>
      <c r="DI172" s="24" t="n"/>
      <c r="DJ172" s="24" t="inlineStr">
        <is>
          <t>0.429185</t>
        </is>
      </c>
      <c r="DK172" s="24" t="n"/>
      <c r="DL172" s="24" t="n"/>
      <c r="DM172" s="24" t="n"/>
      <c r="DN172" s="24" t="n"/>
      <c r="DO172" s="24" t="n"/>
      <c r="DP172" s="24" t="n"/>
      <c r="DQ172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"401857200", "event_start_utc": "2026-09-20T01:00Z", "features": {"away_points_hl10": 78.22, "elo_away": 1298.8, "elo_home": 1762.4, "elo_margin": 18.7, "expected_margin": 8.98, "expected_total": 162.97, "history_games": 924, "home_points_hl10": 85.19, "rest_diff": 0.0, "trend_margin": 8.98}, "historical_source_observation_times_verified": false, "inference_inputs": {"line": 161.5, "mean": 162.9656202, "sd": 16.0}, "model_version": "wnba-total-margin-v2", "observed_at_utc": "2026-09-19T22:46:23.018202+00:00", "replay_scope": "Exact final classifier/distribution inputs and artifact. Upstream historical feature construction not certified.", "schema": "scalar-artifact-replay-v1", "snapshot_hash": "3927caccbe8adefdab3853d5403a96d2214950ee2da6e33802e5c5881ce1a79f"}</t>
        </is>
      </c>
    </row>
    <row r="173" ht="36" customHeight="1">
      <c r="A173" s="24" t="inlineStr">
        <is>
          <t>9a6b121e39e04b28</t>
        </is>
      </c>
      <c r="B173" s="24" t="inlineStr">
        <is>
          <t>2026-09-20T16:25:38.245887Z</t>
        </is>
      </c>
      <c r="C173" s="24" t="inlineStr">
        <is>
          <t>2026-09-20T13:00:00-0400</t>
        </is>
      </c>
      <c r="D173" s="24" t="inlineStr">
        <is>
          <t>401857201</t>
        </is>
      </c>
      <c r="E173" s="24" t="inlineStr">
        <is>
          <t>WNBA</t>
        </is>
      </c>
      <c r="F173" s="24" t="inlineStr">
        <is>
          <t>Minnesota Lynx</t>
        </is>
      </c>
      <c r="G173" s="24" t="inlineStr">
        <is>
          <t>Connecticut Sun</t>
        </is>
      </c>
      <c r="H173" s="24" t="inlineStr">
        <is>
          <t>moneyline</t>
        </is>
      </c>
      <c r="I173" s="24" t="inlineStr">
        <is>
          <t>away</t>
        </is>
      </c>
      <c r="J173" s="25" t="n"/>
      <c r="K173" s="24" t="inlineStr">
        <is>
          <t>polymarket_us</t>
        </is>
      </c>
      <c r="L173" s="26" t="n">
        <v>-1567</v>
      </c>
      <c r="M173" s="27" t="n">
        <v>1.063816</v>
      </c>
      <c r="N173" s="28" t="n">
        <v>0.940012</v>
      </c>
      <c r="O173" s="28" t="n">
        <v>0.742569</v>
      </c>
      <c r="P173" s="28" t="n"/>
      <c r="Q173" s="28" t="n">
        <v>-0.197443</v>
      </c>
      <c r="R173" s="26" t="n">
        <v>0</v>
      </c>
      <c r="S173" s="29" t="n">
        <v>1</v>
      </c>
      <c r="T173" s="24" t="inlineStr">
        <is>
          <t>wnba-elo-trend-lr-v4</t>
        </is>
      </c>
      <c r="U173" s="24" t="inlineStr">
        <is>
          <t>settled</t>
        </is>
      </c>
      <c r="V173" s="24" t="inlineStr">
        <is>
          <t>win</t>
        </is>
      </c>
      <c r="W173" s="26" t="n">
        <v>101</v>
      </c>
      <c r="X173" s="26" t="n">
        <v>89</v>
      </c>
      <c r="Y173" s="25" t="n"/>
      <c r="Z173" s="26" t="n">
        <v>-1567</v>
      </c>
      <c r="AA173" s="28" t="n">
        <v>0.9399999999999999</v>
      </c>
      <c r="AB173" s="28" t="n">
        <v>-1.2e-05</v>
      </c>
      <c r="AC173" s="30" t="n">
        <v>0.0638</v>
      </c>
      <c r="AD173" s="24" t="inlineStr">
        <is>
          <t>2026-09-20T22:00:26.211050Z</t>
        </is>
      </c>
      <c r="AE173" s="31" t="inlineStr">
        <is>
          <t>Learned LR call at threshold 0.5001; executable ask 0.9400 (aec-wnba-min-conn-2026-09-20); model edge vs ask -0.1974. NOTE: NO_CALL_AVAILABILITY_SOURCE_CONFLICT unavailable for this game — defaulted to neutral, other features used normally.</t>
        </is>
      </c>
      <c r="AF173" s="31" t="inlineStr">
        <is>
          <t>Learned model; shadow-qualified via operator override.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4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wnba-min</t>
        </is>
      </c>
      <c r="AQ173" s="24" t="inlineStr">
        <is>
          <t>Minnesota Lynx</t>
        </is>
      </c>
      <c r="AR173" s="24" t="inlineStr">
        <is>
          <t>Minnesota Lynx</t>
        </is>
      </c>
      <c r="AS173" s="24" t="inlineStr">
        <is>
          <t>wnba-con</t>
        </is>
      </c>
      <c r="AT173" s="24" t="inlineStr">
        <is>
          <t>Connecticut Sun</t>
        </is>
      </c>
      <c r="AU173" s="24" t="inlineStr">
        <is>
          <t>Connecticut Sun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7afd5274214b58b7efd7f7febc7be3ab33b92351cda5cc6403c0a39faea0cc8c</t>
        </is>
      </c>
      <c r="BB173" s="24" t="inlineStr">
        <is>
          <t>learned_lr</t>
        </is>
      </c>
      <c r="BC173" s="24" t="inlineStr">
        <is>
          <t>wnba-elo-trend-lr-v4</t>
        </is>
      </c>
      <c r="BD173" s="24" t="inlineStr">
        <is>
          <t>7afd5274214b58b7efd7f7febc7be3ab33b92351cda5cc6403c0a39faea0cc8c</t>
        </is>
      </c>
      <c r="BE173" s="24" t="inlineStr">
        <is>
          <t>1a49968d122673c0</t>
        </is>
      </c>
      <c r="BF173" s="24" t="inlineStr">
        <is>
          <t>1</t>
        </is>
      </c>
      <c r="BG173" s="24" t="inlineStr">
        <is>
          <t>wnba-elo-trend-lr-v4</t>
        </is>
      </c>
      <c r="BH173" s="24" t="inlineStr">
        <is>
          <t>2026-09-20T04:37:01.597811Z</t>
        </is>
      </c>
      <c r="BI173" s="24" t="inlineStr">
        <is>
          <t>["same_event","same_team_same_day","same_league_same_day"]</t>
        </is>
      </c>
      <c r="BJ173" s="25" t="n"/>
      <c r="BK173" s="26" t="n">
        <v>-1567</v>
      </c>
      <c r="BL173" s="27" t="n">
        <v>1.063816</v>
      </c>
      <c r="BM173" s="28" t="n">
        <v>0.940012</v>
      </c>
      <c r="BN173" s="28" t="n">
        <v>0.930693</v>
      </c>
      <c r="BO173" s="28" t="n"/>
      <c r="BP173" s="25" t="n"/>
      <c r="BQ173" s="27" t="n">
        <v>1.063816</v>
      </c>
      <c r="BR173" s="28" t="n">
        <v>0.9399999999999999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inlineStr">
        <is>
          <t>0.1550396177</t>
        </is>
      </c>
      <c r="CD173" s="24" t="inlineStr">
        <is>
          <t>-2.140082</t>
        </is>
      </c>
      <c r="CE173" s="24" t="n"/>
      <c r="CF173" s="24" t="n"/>
      <c r="CG173" s="24" t="n"/>
      <c r="CH173" s="24" t="n"/>
      <c r="CI173" s="24" t="inlineStr">
        <is>
          <t>NO_CALL_AVAILABILITY_SOURCE_CONFLICT</t>
        </is>
      </c>
      <c r="CJ173" s="24" t="inlineStr">
        <is>
          <t>-4.08211</t>
        </is>
      </c>
      <c r="CK173" s="24" t="n"/>
      <c r="CL173" s="24" t="n"/>
      <c r="CM173" s="24" t="n"/>
      <c r="CN173" s="24" t="n"/>
      <c r="CO173" s="24" t="n"/>
      <c r="CP173" s="24" t="n"/>
      <c r="CQ173" s="24" t="n"/>
      <c r="CR173" s="24" t="inlineStr">
        <is>
          <t>0.742569</t>
        </is>
      </c>
      <c r="CS173" s="24" t="inlineStr">
        <is>
          <t>False</t>
        </is>
      </c>
      <c r="CT173" s="24" t="n"/>
      <c r="CU173" s="24" t="n"/>
      <c r="CV173" s="24" t="n"/>
      <c r="CW173" s="24" t="n"/>
      <c r="CX173" s="24" t="n"/>
      <c r="CY173" s="24" t="inlineStr">
        <is>
          <t>2026-09-20T04:37:01.597811Z</t>
        </is>
      </c>
      <c r="CZ173" s="24" t="inlineStr">
        <is>
          <t>True</t>
        </is>
      </c>
      <c r="DA173" s="24" t="inlineStr">
        <is>
          <t>polymarket_us</t>
        </is>
      </c>
      <c r="DB173" s="24" t="inlineStr">
        <is>
          <t>decision_time_executable_quote</t>
        </is>
      </c>
      <c r="DC173" s="24" t="inlineStr">
        <is>
          <t>False</t>
        </is>
      </c>
      <c r="DD173" s="24" t="inlineStr">
        <is>
          <t>0b8690daea0ccbfbf652933c10e1b592f77443f918e21720353c70037568099f</t>
        </is>
      </c>
      <c r="DE173" s="24" t="inlineStr">
        <is>
          <t>/Users/vincentc9002/model-prediction/data/odds/wnba/2026-09-20/polymarket_snapshots.jsonl</t>
        </is>
      </c>
      <c r="DF173" s="24" t="inlineStr">
        <is>
          <t>0b8690daea0ccbfbf652933c10e1b592f77443f918e21720353c70037568099f</t>
        </is>
      </c>
      <c r="DG173" s="24" t="n"/>
      <c r="DH173" s="24" t="n"/>
      <c r="DI173" s="24" t="n"/>
      <c r="DJ173" s="24" t="inlineStr">
        <is>
          <t>0.940012</t>
        </is>
      </c>
      <c r="DK173" s="24" t="n"/>
      <c r="DL173" s="24" t="n"/>
      <c r="DM173" s="24" t="n"/>
      <c r="DN173" s="24" t="n"/>
      <c r="DO173" s="24" t="n"/>
      <c r="DP173" s="24" t="n"/>
      <c r="DQ173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0.2574306112184285, "event_id": "401857201", "event_start_utc": "2026-09-20T17:00:00+00:00", "features": {"defensive_trend_gap": -4.08211, "elo_probability": 0.155039617654844, "trend_gap": -2.1400819999999996}, "historical_source_observation_times_verified": false, "model_version": "wnba-elo-trend-lr-v4", "observed_at_utc": "2026-09-20T16:25:38.245887+00:00", "schema": "learned-moneyline-replay-v1", "served_home_probability": 0.2574306112184285, "snapshot_hash": "d0cce3949be3ad49fe4d4c43b654ca77b4b33222b07c21aa357c1b947a395619"}</t>
        </is>
      </c>
    </row>
    <row r="174" ht="36" customHeight="1">
      <c r="A174" s="24" t="inlineStr">
        <is>
          <t>b9c82c3927334c1e</t>
        </is>
      </c>
      <c r="B174" s="24" t="inlineStr">
        <is>
          <t>2026-09-20T16:25:38.245887Z</t>
        </is>
      </c>
      <c r="C174" s="24" t="inlineStr">
        <is>
          <t>2026-09-20T15:00:00-0400</t>
        </is>
      </c>
      <c r="D174" s="24" t="inlineStr">
        <is>
          <t>401857202</t>
        </is>
      </c>
      <c r="E174" s="24" t="inlineStr">
        <is>
          <t>WNBA</t>
        </is>
      </c>
      <c r="F174" s="24" t="inlineStr">
        <is>
          <t>New York Liberty</t>
        </is>
      </c>
      <c r="G174" s="24" t="inlineStr">
        <is>
          <t>Toronto Tempo</t>
        </is>
      </c>
      <c r="H174" s="24" t="inlineStr">
        <is>
          <t>moneyline</t>
        </is>
      </c>
      <c r="I174" s="24" t="inlineStr">
        <is>
          <t>away</t>
        </is>
      </c>
      <c r="J174" s="25" t="n"/>
      <c r="K174" s="24" t="inlineStr">
        <is>
          <t>model_opinion_no_executable_quote</t>
        </is>
      </c>
      <c r="L174" s="26" t="n">
        <v>-110</v>
      </c>
      <c r="M174" s="27" t="n">
        <v>1.909091</v>
      </c>
      <c r="N174" s="28" t="n">
        <v>0.52381</v>
      </c>
      <c r="O174" s="28" t="n">
        <v>0.749718</v>
      </c>
      <c r="P174" s="28" t="n"/>
      <c r="Q174" s="28" t="n">
        <v>0.225908</v>
      </c>
      <c r="R174" s="26" t="n">
        <v>100</v>
      </c>
      <c r="S174" s="29" t="n">
        <v>2</v>
      </c>
      <c r="T174" s="24" t="inlineStr">
        <is>
          <t>wnba-elo-trend-lr-v4</t>
        </is>
      </c>
      <c r="U174" s="24" t="inlineStr">
        <is>
          <t>settled</t>
        </is>
      </c>
      <c r="V174" s="24" t="inlineStr">
        <is>
          <t>win</t>
        </is>
      </c>
      <c r="W174" s="26" t="n">
        <v>106</v>
      </c>
      <c r="X174" s="26" t="n">
        <v>69</v>
      </c>
      <c r="Y174" s="25" t="n"/>
      <c r="Z174" s="26" t="n"/>
      <c r="AA174" s="28" t="n"/>
      <c r="AB174" s="28" t="n"/>
      <c r="AC174" s="30" t="n">
        <v>1.8182</v>
      </c>
      <c r="AD174" s="24" t="inlineStr">
        <is>
          <t>2026-09-20T22:00:26.599328Z</t>
        </is>
      </c>
      <c r="AE174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74" s="31" t="inlineStr">
        <is>
          <t>Learned model; shadow-qualified via operator override.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PAPER_CALL_MARKET_UNAVAILABLE</t>
        </is>
      </c>
      <c r="AP174" s="24" t="inlineStr">
        <is>
          <t>wnba-nyl</t>
        </is>
      </c>
      <c r="AQ174" s="24" t="inlineStr">
        <is>
          <t>New York Liberty</t>
        </is>
      </c>
      <c r="AR174" s="24" t="inlineStr">
        <is>
          <t>New York Liberty</t>
        </is>
      </c>
      <c r="AS174" s="24" t="inlineStr">
        <is>
          <t>wnba-tor</t>
        </is>
      </c>
      <c r="AT174" s="24" t="inlineStr">
        <is>
          <t>Toronto Tempo</t>
        </is>
      </c>
      <c r="AU174" s="24" t="inlineStr">
        <is>
          <t>Toronto Tempo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7afd5274214b58b7efd7f7febc7be3ab33b92351cda5cc6403c0a39faea0cc8c</t>
        </is>
      </c>
      <c r="BB174" s="24" t="inlineStr">
        <is>
          <t>learned_lr</t>
        </is>
      </c>
      <c r="BC174" s="24" t="inlineStr">
        <is>
          <t>wnba-elo-trend-lr-v4</t>
        </is>
      </c>
      <c r="BD174" s="24" t="inlineStr">
        <is>
          <t>7afd5274214b58b7efd7f7febc7be3ab33b92351cda5cc6403c0a39faea0cc8c</t>
        </is>
      </c>
      <c r="BE174" s="24" t="inlineStr">
        <is>
          <t>e3e468ac0aed8b7d</t>
        </is>
      </c>
      <c r="BF174" s="24" t="inlineStr">
        <is>
          <t>1</t>
        </is>
      </c>
      <c r="BG174" s="24" t="inlineStr">
        <is>
          <t>wnba-elo-trend-lr-v4</t>
        </is>
      </c>
      <c r="BH174" s="24" t="inlineStr">
        <is>
          <t>2026-09-20T16:25:38.245887Z</t>
        </is>
      </c>
      <c r="BI174" s="24" t="inlineStr">
        <is>
          <t>["same_event","same_team_same_day","same_league_same_day"]</t>
        </is>
      </c>
      <c r="BJ174" s="25" t="n"/>
      <c r="BK174" s="26" t="n">
        <v>-110</v>
      </c>
      <c r="BL174" s="27" t="n">
        <v>1.909091</v>
      </c>
      <c r="BM174" s="28" t="n">
        <v>0.52381</v>
      </c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>
        <v>1</v>
      </c>
      <c r="BY174" s="27" t="n">
        <v>0.909091</v>
      </c>
      <c r="BZ174" s="24" t="inlineStr">
        <is>
          <t>2026-09-20T22:00:26.599328Z</t>
        </is>
      </c>
      <c r="CA174" s="31" t="inlineStr">
        <is>
          <t>fixed one-unit hypothetical scoring; no real exposure or execution</t>
        </is>
      </c>
      <c r="CB174" s="24" t="n"/>
      <c r="CC174" s="24" t="inlineStr">
        <is>
          <t>0.137491407</t>
        </is>
      </c>
      <c r="CD174" s="24" t="inlineStr">
        <is>
          <t>-5.894363</t>
        </is>
      </c>
      <c r="CE174" s="24" t="n"/>
      <c r="CF174" s="24" t="n"/>
      <c r="CG174" s="24" t="n"/>
      <c r="CH174" s="24" t="n"/>
      <c r="CI174" s="24" t="inlineStr">
        <is>
          <t>NO_CALL_AVAILABILITY_SOURCE_CONFLICT,executable_quote_missing_or_unmatched</t>
        </is>
      </c>
      <c r="CJ174" s="24" t="inlineStr">
        <is>
          <t>-1.323594</t>
        </is>
      </c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True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0.52381</t>
        </is>
      </c>
      <c r="DK174" s="24" t="n"/>
      <c r="DL174" s="24" t="n"/>
      <c r="DM174" s="24" t="n"/>
      <c r="DN174" s="24" t="n"/>
      <c r="DO174" s="24" t="n"/>
      <c r="DP174" s="24" t="n"/>
      <c r="DQ174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0.2502819355242051, "event_id": "401857202", "event_start_utc": "2026-09-20T19:00:00+00:00", "features": {"defensive_trend_gap": -1.3235940000000002, "elo_probability": 0.1374914070465862, "trend_gap": -5.894363}, "historical_source_observation_times_verified": false, "model_version": "wnba-elo-trend-lr-v4", "observed_at_utc": "2026-09-20T16:25:38.245887+00:00", "schema": "learned-moneyline-replay-v1", "served_home_probability": 0.2502819355242051, "snapshot_hash": "ee98353007893acfe314f6ec045e1d78317dc63a81d38b3608794e101ee8f53b"}</t>
        </is>
      </c>
    </row>
    <row r="175" ht="36" customHeight="1">
      <c r="A175" s="24" t="inlineStr">
        <is>
          <t>621d31c255ee4ef0</t>
        </is>
      </c>
      <c r="B175" s="24" t="inlineStr">
        <is>
          <t>2026-09-20T16:25:38.245887Z</t>
        </is>
      </c>
      <c r="C175" s="24" t="inlineStr">
        <is>
          <t>2026-09-20T16:00:00-0400</t>
        </is>
      </c>
      <c r="D175" s="24" t="inlineStr">
        <is>
          <t>401857203</t>
        </is>
      </c>
      <c r="E175" s="24" t="inlineStr">
        <is>
          <t>WNBA</t>
        </is>
      </c>
      <c r="F175" s="24" t="inlineStr">
        <is>
          <t>Washington Mystics</t>
        </is>
      </c>
      <c r="G175" s="24" t="inlineStr">
        <is>
          <t>Indiana Fever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-223</v>
      </c>
      <c r="M175" s="27" t="n">
        <v>1.44843</v>
      </c>
      <c r="N175" s="28" t="n">
        <v>0.690402</v>
      </c>
      <c r="O175" s="28" t="n">
        <v>0.653675</v>
      </c>
      <c r="P175" s="28" t="n"/>
      <c r="Q175" s="28" t="n">
        <v>-0.036727</v>
      </c>
      <c r="R175" s="26" t="n">
        <v>5</v>
      </c>
      <c r="S175" s="29" t="n">
        <v>1</v>
      </c>
      <c r="T175" s="24" t="inlineStr">
        <is>
          <t>wnba-elo-trend-lr-v4</t>
        </is>
      </c>
      <c r="U175" s="24" t="inlineStr">
        <is>
          <t>settled</t>
        </is>
      </c>
      <c r="V175" s="24" t="inlineStr">
        <is>
          <t>loss</t>
        </is>
      </c>
      <c r="W175" s="26" t="n">
        <v>93</v>
      </c>
      <c r="X175" s="26" t="n">
        <v>77</v>
      </c>
      <c r="Y175" s="25" t="n"/>
      <c r="Z175" s="26" t="n">
        <v>-223</v>
      </c>
      <c r="AA175" s="28" t="n">
        <v>0.6899999999999999</v>
      </c>
      <c r="AB175" s="28" t="n">
        <v>-0.000402</v>
      </c>
      <c r="AC175" s="30" t="n">
        <v>-1</v>
      </c>
      <c r="AD175" s="24" t="inlineStr">
        <is>
          <t>2026-09-21T04:30:16.718301Z</t>
        </is>
      </c>
      <c r="AE175" s="31" t="inlineStr">
        <is>
          <t>Learned LR call at threshold 0.5001; executable ask 0.6900 (aec-wnba-wsh-ind-2026-09-20); model edge vs ask -0.0363. NOTE: NO_CALL_AVAILABILITY_SOURCE_CONFLICT unavailable for this game — defaulted to neutral, other features used normally.</t>
        </is>
      </c>
      <c r="AF175" s="31" t="inlineStr">
        <is>
          <t>Learned model; shadow-qualified via operator override.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4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wnba-was</t>
        </is>
      </c>
      <c r="AQ175" s="24" t="inlineStr">
        <is>
          <t>Washington Mystics</t>
        </is>
      </c>
      <c r="AR175" s="24" t="inlineStr">
        <is>
          <t>Washington Mystics</t>
        </is>
      </c>
      <c r="AS175" s="24" t="inlineStr">
        <is>
          <t>wnba-ind</t>
        </is>
      </c>
      <c r="AT175" s="24" t="inlineStr">
        <is>
          <t>Indiana Fever</t>
        </is>
      </c>
      <c r="AU175" s="24" t="inlineStr">
        <is>
          <t>Indiana Fever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7afd5274214b58b7efd7f7febc7be3ab33b92351cda5cc6403c0a39faea0cc8c</t>
        </is>
      </c>
      <c r="BB175" s="24" t="inlineStr">
        <is>
          <t>learned_lr</t>
        </is>
      </c>
      <c r="BC175" s="24" t="inlineStr">
        <is>
          <t>wnba-elo-trend-lr-v4</t>
        </is>
      </c>
      <c r="BD175" s="24" t="inlineStr">
        <is>
          <t>7afd5274214b58b7efd7f7febc7be3ab33b92351cda5cc6403c0a39faea0cc8c</t>
        </is>
      </c>
      <c r="BE175" s="24" t="inlineStr">
        <is>
          <t>604586e31241b68f</t>
        </is>
      </c>
      <c r="BF175" s="24" t="inlineStr">
        <is>
          <t>1</t>
        </is>
      </c>
      <c r="BG175" s="24" t="inlineStr">
        <is>
          <t>wnba-elo-trend-lr-v4</t>
        </is>
      </c>
      <c r="BH175" s="24" t="inlineStr">
        <is>
          <t>2026-09-20T16:04:17.047172Z</t>
        </is>
      </c>
      <c r="BI175" s="24" t="inlineStr">
        <is>
          <t>["same_event","same_team_same_day","same_league_same_day"]</t>
        </is>
      </c>
      <c r="BJ175" s="25" t="n"/>
      <c r="BK175" s="26" t="n">
        <v>-223</v>
      </c>
      <c r="BL175" s="27" t="n">
        <v>1.44843</v>
      </c>
      <c r="BM175" s="28" t="n">
        <v>0.690402</v>
      </c>
      <c r="BN175" s="28" t="n">
        <v>0.683168</v>
      </c>
      <c r="BO175" s="28" t="n"/>
      <c r="BP175" s="25" t="n"/>
      <c r="BQ175" s="27" t="n">
        <v>1.44843</v>
      </c>
      <c r="BR175" s="28" t="n">
        <v>0.6899999999999999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inlineStr">
        <is>
          <t>0.7002489716</t>
        </is>
      </c>
      <c r="CD175" s="24" t="inlineStr">
        <is>
          <t>-1.024936</t>
        </is>
      </c>
      <c r="CE175" s="24" t="n"/>
      <c r="CF175" s="24" t="n"/>
      <c r="CG175" s="24" t="n"/>
      <c r="CH175" s="24" t="n"/>
      <c r="CI175" s="24" t="inlineStr">
        <is>
          <t>NO_CALL_AVAILABILITY_SOURCE_CONFLICT</t>
        </is>
      </c>
      <c r="CJ175" s="24" t="inlineStr">
        <is>
          <t>-1.784149</t>
        </is>
      </c>
      <c r="CK175" s="24" t="n"/>
      <c r="CL175" s="24" t="n"/>
      <c r="CM175" s="24" t="n"/>
      <c r="CN175" s="24" t="n"/>
      <c r="CO175" s="24" t="n"/>
      <c r="CP175" s="24" t="n"/>
      <c r="CQ175" s="24" t="n"/>
      <c r="CR175" s="24" t="inlineStr">
        <is>
          <t>0.653675</t>
        </is>
      </c>
      <c r="CS175" s="24" t="inlineStr">
        <is>
          <t>False</t>
        </is>
      </c>
      <c r="CT175" s="24" t="n"/>
      <c r="CU175" s="24" t="n"/>
      <c r="CV175" s="24" t="n"/>
      <c r="CW175" s="24" t="n"/>
      <c r="CX175" s="24" t="n"/>
      <c r="CY175" s="24" t="inlineStr">
        <is>
          <t>2026-09-20T16:04:17.047172Z</t>
        </is>
      </c>
      <c r="CZ175" s="24" t="inlineStr">
        <is>
          <t>True</t>
        </is>
      </c>
      <c r="DA175" s="24" t="inlineStr">
        <is>
          <t>polymarket_us</t>
        </is>
      </c>
      <c r="DB175" s="24" t="inlineStr">
        <is>
          <t>decision_time_executable_quote</t>
        </is>
      </c>
      <c r="DC175" s="24" t="inlineStr">
        <is>
          <t>False</t>
        </is>
      </c>
      <c r="DD175" s="24" t="inlineStr">
        <is>
          <t>66beeb77f3d9a79116cf6742aa011ed9ef514459b9781c2c8971cd2018f76ded</t>
        </is>
      </c>
      <c r="DE175" s="24" t="inlineStr">
        <is>
          <t>/Users/vincentc9002/model-prediction/data/odds/wnba/2026-09-20/polymarket_snapshots.jsonl</t>
        </is>
      </c>
      <c r="DF175" s="24" t="inlineStr">
        <is>
          <t>66beeb77f3d9a79116cf6742aa011ed9ef514459b9781c2c8971cd2018f76ded</t>
        </is>
      </c>
      <c r="DG175" s="24" t="n"/>
      <c r="DH175" s="24" t="n"/>
      <c r="DI175" s="24" t="n"/>
      <c r="DJ175" s="24" t="inlineStr">
        <is>
          <t>0.690402</t>
        </is>
      </c>
      <c r="DK175" s="24" t="n"/>
      <c r="DL175" s="24" t="n"/>
      <c r="DM175" s="24" t="n"/>
      <c r="DN175" s="24" t="n"/>
      <c r="DO175" s="24" t="n"/>
      <c r="DP175" s="24" t="n"/>
      <c r="DQ175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0.6536745920438152, "event_id": "401857203", "event_start_utc": "2026-09-20T20:00:00+00:00", "features": {"defensive_trend_gap": -1.7841490000000002, "elo_probability": 0.7002489715831836, "trend_gap": -1.0249360000000003}, "historical_source_observation_times_verified": false, "model_version": "wnba-elo-trend-lr-v4", "observed_at_utc": "2026-09-20T16:25:38.245887+00:00", "schema": "learned-moneyline-replay-v1", "served_home_probability": 0.6536745920438152, "snapshot_hash": "2e192466da685430998b5678bb3b94462f95dcbc5e75c819f0d340caee34f4b3"}</t>
        </is>
      </c>
    </row>
    <row r="176" ht="36" customHeight="1">
      <c r="A176" s="24" t="inlineStr">
        <is>
          <t>9c6e292e238141d1</t>
        </is>
      </c>
      <c r="B176" s="24" t="inlineStr">
        <is>
          <t>2026-09-20T16:25:38.245887Z</t>
        </is>
      </c>
      <c r="C176" s="24" t="inlineStr">
        <is>
          <t>2026-09-20T19:00:00-0400</t>
        </is>
      </c>
      <c r="D176" s="24" t="inlineStr">
        <is>
          <t>401857204</t>
        </is>
      </c>
      <c r="E176" s="24" t="inlineStr">
        <is>
          <t>WNBA</t>
        </is>
      </c>
      <c r="F176" s="24" t="inlineStr">
        <is>
          <t>Portland Fire</t>
        </is>
      </c>
      <c r="G176" s="24" t="inlineStr">
        <is>
          <t>Los Angeles Sparks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-108</v>
      </c>
      <c r="M176" s="27" t="n">
        <v>1.925926</v>
      </c>
      <c r="N176" s="28" t="n">
        <v>0.519231</v>
      </c>
      <c r="O176" s="28" t="n">
        <v>0.559612</v>
      </c>
      <c r="P176" s="28" t="n"/>
      <c r="Q176" s="28" t="n">
        <v>0.040381</v>
      </c>
      <c r="R176" s="26" t="n">
        <v>42</v>
      </c>
      <c r="S176" s="29" t="n">
        <v>1</v>
      </c>
      <c r="T176" s="24" t="inlineStr">
        <is>
          <t>wnba-elo-trend-lr-v4</t>
        </is>
      </c>
      <c r="U176" s="24" t="inlineStr">
        <is>
          <t>settled</t>
        </is>
      </c>
      <c r="V176" s="24" t="inlineStr">
        <is>
          <t>win</t>
        </is>
      </c>
      <c r="W176" s="26" t="n">
        <v>84</v>
      </c>
      <c r="X176" s="26" t="n">
        <v>105</v>
      </c>
      <c r="Y176" s="25" t="n"/>
      <c r="Z176" s="26" t="n">
        <v>-108</v>
      </c>
      <c r="AA176" s="28" t="n">
        <v>0.52</v>
      </c>
      <c r="AB176" s="28" t="n">
        <v>0.000769</v>
      </c>
      <c r="AC176" s="30" t="n">
        <v>0.9258999999999999</v>
      </c>
      <c r="AD176" s="24" t="inlineStr">
        <is>
          <t>2026-09-21T04:30:17.115418Z</t>
        </is>
      </c>
      <c r="AE176" s="31" t="inlineStr">
        <is>
          <t>Learned LR call at threshold 0.5001; executable ask 0.5200 (aec-wnba-por-la-2026-09-20); model edge vs ask +0.0396. NOTE: NO_CALL_AVAILABILITY_SOURCE_CONFLICT unavailable for this game — defaulted to neutral, other features used normally.</t>
        </is>
      </c>
      <c r="AF176" s="31" t="inlineStr">
        <is>
          <t>Learned model; shadow-qualified via operator override.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4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wnba-por</t>
        </is>
      </c>
      <c r="AQ176" s="24" t="inlineStr">
        <is>
          <t>Portland Fire</t>
        </is>
      </c>
      <c r="AR176" s="24" t="inlineStr">
        <is>
          <t>Portland Fire</t>
        </is>
      </c>
      <c r="AS176" s="24" t="inlineStr">
        <is>
          <t>wnba-las</t>
        </is>
      </c>
      <c r="AT176" s="24" t="inlineStr">
        <is>
          <t>Los Angeles Sparks</t>
        </is>
      </c>
      <c r="AU176" s="24" t="inlineStr">
        <is>
          <t>Los Angeles Sparks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7afd5274214b58b7efd7f7febc7be3ab33b92351cda5cc6403c0a39faea0cc8c</t>
        </is>
      </c>
      <c r="BB176" s="24" t="inlineStr">
        <is>
          <t>learned_lr</t>
        </is>
      </c>
      <c r="BC176" s="24" t="inlineStr">
        <is>
          <t>wnba-elo-trend-lr-v4</t>
        </is>
      </c>
      <c r="BD176" s="24" t="inlineStr">
        <is>
          <t>7afd5274214b58b7efd7f7febc7be3ab33b92351cda5cc6403c0a39faea0cc8c</t>
        </is>
      </c>
      <c r="BE176" s="24" t="inlineStr">
        <is>
          <t>c4741fc71ae51276</t>
        </is>
      </c>
      <c r="BF176" s="24" t="inlineStr">
        <is>
          <t>1</t>
        </is>
      </c>
      <c r="BG176" s="24" t="inlineStr">
        <is>
          <t>wnba-elo-trend-lr-v4</t>
        </is>
      </c>
      <c r="BH176" s="24" t="inlineStr">
        <is>
          <t>2026-09-20T16:04:16.972490Z</t>
        </is>
      </c>
      <c r="BI176" s="24" t="inlineStr">
        <is>
          <t>["same_event","same_team_same_day","same_league_same_day"]</t>
        </is>
      </c>
      <c r="BJ176" s="25" t="n"/>
      <c r="BK176" s="26" t="n">
        <v>-108</v>
      </c>
      <c r="BL176" s="27" t="n">
        <v>1.925926</v>
      </c>
      <c r="BM176" s="28" t="n">
        <v>0.519231</v>
      </c>
      <c r="BN176" s="28" t="n">
        <v>0.5148509999999999</v>
      </c>
      <c r="BO176" s="28" t="n"/>
      <c r="BP176" s="25" t="n"/>
      <c r="BQ176" s="27" t="n">
        <v>1.925926</v>
      </c>
      <c r="BR176" s="28" t="n">
        <v>0.52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inlineStr">
        <is>
          <t>0.5758877892</t>
        </is>
      </c>
      <c r="CD176" s="24" t="inlineStr">
        <is>
          <t>-1.654961</t>
        </is>
      </c>
      <c r="CE176" s="24" t="n"/>
      <c r="CF176" s="24" t="n"/>
      <c r="CG176" s="24" t="n"/>
      <c r="CH176" s="24" t="n"/>
      <c r="CI176" s="24" t="inlineStr">
        <is>
          <t>NO_CALL_AVAILABILITY_SOURCE_CONFLICT</t>
        </is>
      </c>
      <c r="CJ176" s="24" t="inlineStr">
        <is>
          <t>1.656417</t>
        </is>
      </c>
      <c r="CK176" s="24" t="n"/>
      <c r="CL176" s="24" t="n"/>
      <c r="CM176" s="24" t="n"/>
      <c r="CN176" s="24" t="n"/>
      <c r="CO176" s="24" t="n"/>
      <c r="CP176" s="24" t="n"/>
      <c r="CQ176" s="24" t="n"/>
      <c r="CR176" s="24" t="inlineStr">
        <is>
          <t>0.559612</t>
        </is>
      </c>
      <c r="CS176" s="24" t="inlineStr">
        <is>
          <t>True</t>
        </is>
      </c>
      <c r="CT176" s="24" t="n"/>
      <c r="CU176" s="24" t="n"/>
      <c r="CV176" s="24" t="n"/>
      <c r="CW176" s="24" t="n"/>
      <c r="CX176" s="24" t="n"/>
      <c r="CY176" s="24" t="inlineStr">
        <is>
          <t>2026-09-20T16:04:16.972490Z</t>
        </is>
      </c>
      <c r="CZ176" s="24" t="inlineStr">
        <is>
          <t>True</t>
        </is>
      </c>
      <c r="DA176" s="24" t="inlineStr">
        <is>
          <t>polymarket_us</t>
        </is>
      </c>
      <c r="DB176" s="24" t="inlineStr">
        <is>
          <t>decision_time_executable_quote</t>
        </is>
      </c>
      <c r="DC176" s="24" t="inlineStr">
        <is>
          <t>False</t>
        </is>
      </c>
      <c r="DD176" s="24" t="inlineStr">
        <is>
          <t>cb410c54a98828b5ab80bb0cc07520829405f001e4db1e0b411127a6a99a9a46</t>
        </is>
      </c>
      <c r="DE176" s="24" t="inlineStr">
        <is>
          <t>/Users/vincentc9002/model-prediction/data/odds/wnba/2026-09-20/polymarket_snapshots.jsonl</t>
        </is>
      </c>
      <c r="DF176" s="24" t="inlineStr">
        <is>
          <t>cb410c54a98828b5ab80bb0cc07520829405f001e4db1e0b411127a6a99a9a46</t>
        </is>
      </c>
      <c r="DG176" s="24" t="n"/>
      <c r="DH176" s="24" t="n"/>
      <c r="DI176" s="24" t="n"/>
      <c r="DJ176" s="24" t="inlineStr">
        <is>
          <t>0.519231</t>
        </is>
      </c>
      <c r="DK176" s="24" t="n"/>
      <c r="DL176" s="24" t="n"/>
      <c r="DM176" s="24" t="n"/>
      <c r="DN176" s="24" t="n"/>
      <c r="DO176" s="24" t="n"/>
      <c r="DP176" s="24" t="n"/>
      <c r="DQ176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0.5596122477793943, "event_id": "401857204", "event_start_utc": "2026-09-20T23:00:00+00:00", "features": {"defensive_trend_gap": 1.6564169999999998, "elo_probability": 0.5758877892235245, "trend_gap": -1.6549610000000001}, "historical_source_observation_times_verified": false, "model_version": "wnba-elo-trend-lr-v4", "observed_at_utc": "2026-09-20T16:25:38.245887+00:00", "schema": "learned-moneyline-replay-v1", "served_home_probability": 0.5596122477793943, "snapshot_hash": "d76fb6e9b6e80c1a5f43956579d9942c556f648d6f1a0841ef04509de781ed5d"}</t>
        </is>
      </c>
    </row>
    <row r="177" ht="36" customHeight="1">
      <c r="A177" s="24" t="inlineStr">
        <is>
          <t>38f8b8b50096430e</t>
        </is>
      </c>
      <c r="B177" s="24" t="inlineStr">
        <is>
          <t>2026-09-20T16:26:24.867421Z</t>
        </is>
      </c>
      <c r="C177" s="24" t="inlineStr">
        <is>
          <t>2026-09-20T17:00Z</t>
        </is>
      </c>
      <c r="D177" s="24" t="inlineStr">
        <is>
          <t>401857201</t>
        </is>
      </c>
      <c r="E177" s="24" t="inlineStr">
        <is>
          <t>WNBA</t>
        </is>
      </c>
      <c r="F177" s="24" t="inlineStr">
        <is>
          <t>Minnesota Lynx</t>
        </is>
      </c>
      <c r="G177" s="24" t="inlineStr">
        <is>
          <t>Connecticut Sun</t>
        </is>
      </c>
      <c r="H177" s="24" t="inlineStr">
        <is>
          <t>total</t>
        </is>
      </c>
      <c r="I177" s="24" t="inlineStr">
        <is>
          <t>over</t>
        </is>
      </c>
      <c r="J177" s="25" t="n">
        <v>167.5</v>
      </c>
      <c r="K177" s="24" t="inlineStr">
        <is>
          <t>polymarket_us</t>
        </is>
      </c>
      <c r="L177" s="26" t="n">
        <v>104</v>
      </c>
      <c r="M177" s="27" t="n">
        <v>2.04</v>
      </c>
      <c r="N177" s="28" t="n">
        <v>0.490196</v>
      </c>
      <c r="O177" s="28" t="n">
        <v>0.535876</v>
      </c>
      <c r="P177" s="28" t="n">
        <v>0.03</v>
      </c>
      <c r="Q177" s="28" t="n">
        <v>0.04568</v>
      </c>
      <c r="R177" s="26" t="n">
        <v>55</v>
      </c>
      <c r="S177" s="29" t="n">
        <v>1</v>
      </c>
      <c r="T177" s="24" t="inlineStr">
        <is>
          <t>wnba-total-margin-v2</t>
        </is>
      </c>
      <c r="U177" s="24" t="inlineStr">
        <is>
          <t>settled</t>
        </is>
      </c>
      <c r="V177" s="24" t="inlineStr">
        <is>
          <t>win</t>
        </is>
      </c>
      <c r="W177" s="26" t="n">
        <v>101</v>
      </c>
      <c r="X177" s="26" t="n">
        <v>89</v>
      </c>
      <c r="Y177" s="25" t="n"/>
      <c r="Z177" s="26" t="n">
        <v>104</v>
      </c>
      <c r="AA177" s="28" t="n">
        <v>0.49</v>
      </c>
      <c r="AB177" s="28" t="n">
        <v>-0.000196</v>
      </c>
      <c r="AC177" s="30" t="n">
        <v>1.04</v>
      </c>
      <c r="AD177" s="24" t="inlineStr">
        <is>
          <t>2026-09-20T22:00:51.734938Z</t>
        </is>
      </c>
      <c r="AE177" s="31" t="inlineStr">
        <is>
          <t>Projected total 168.9, sd 16.0. Executable ask 0.4900 (tsc-wnba-min-conn-2026-09-20-167pt5).</t>
        </is>
      </c>
      <c r="AF177" s="31" t="inlineStr">
        <is>
          <t>Research-baseline total model; not yet locked-holdout qualified.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4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wnba-min</t>
        </is>
      </c>
      <c r="AQ177" s="24" t="inlineStr">
        <is>
          <t>Minnesota Lynx</t>
        </is>
      </c>
      <c r="AR177" s="24" t="inlineStr">
        <is>
          <t>Minnesota Lynx</t>
        </is>
      </c>
      <c r="AS177" s="24" t="inlineStr">
        <is>
          <t>wnba-con</t>
        </is>
      </c>
      <c r="AT177" s="24" t="inlineStr">
        <is>
          <t>Connecticut Sun</t>
        </is>
      </c>
      <c r="AU177" s="24" t="inlineStr">
        <is>
          <t>Connecticut Sun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9c9b767590bbbb9a7b333eaf9def066d65bf813e735ed73aa27cfb2c609a4ca5</t>
        </is>
      </c>
      <c r="BB177" s="24" t="inlineStr">
        <is>
          <t>total_normal</t>
        </is>
      </c>
      <c r="BC177" s="24" t="inlineStr">
        <is>
          <t>wnba-total-margin-v2</t>
        </is>
      </c>
      <c r="BD177" s="24" t="inlineStr">
        <is>
          <t>9c9b767590bbbb9a7b333eaf9def066d65bf813e735ed73aa27cfb2c609a4ca5</t>
        </is>
      </c>
      <c r="BE177" s="24" t="inlineStr">
        <is>
          <t>wnba-total-margin-v2</t>
        </is>
      </c>
      <c r="BF177" s="24" t="inlineStr">
        <is>
          <t>1</t>
        </is>
      </c>
      <c r="BG177" s="24" t="inlineStr">
        <is>
          <t>9c9b767590bbbb9a7b333eaf9def066d65bf813e735ed73aa27cfb2c609a4ca5</t>
        </is>
      </c>
      <c r="BH177" s="24" t="inlineStr">
        <is>
          <t>2026-09-20T10:04:15.023213Z</t>
        </is>
      </c>
      <c r="BI177" s="24" t="inlineStr">
        <is>
          <t>["same_event","same_team_same_day","same_league_same_day"]</t>
        </is>
      </c>
      <c r="BJ177" s="25" t="n">
        <v>167.5</v>
      </c>
      <c r="BK177" s="26" t="n">
        <v>104</v>
      </c>
      <c r="BL177" s="27" t="n">
        <v>2.04</v>
      </c>
      <c r="BM177" s="28" t="n">
        <v>0.490196</v>
      </c>
      <c r="BN177" s="28" t="n"/>
      <c r="BO177" s="28" t="n"/>
      <c r="BP177" s="25" t="n"/>
      <c r="BQ177" s="27" t="n">
        <v>2.04</v>
      </c>
      <c r="BR177" s="28" t="n">
        <v>0.49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True</t>
        </is>
      </c>
      <c r="CT177" s="24" t="n"/>
      <c r="CU177" s="24" t="n"/>
      <c r="CV177" s="24" t="n"/>
      <c r="CW177" s="24" t="n"/>
      <c r="CX177" s="24" t="n"/>
      <c r="CY177" s="24" t="inlineStr">
        <is>
          <t>2026-09-20T10:04:15.023213Z</t>
        </is>
      </c>
      <c r="CZ177" s="24" t="inlineStr">
        <is>
          <t>True</t>
        </is>
      </c>
      <c r="DA177" s="24" t="inlineStr">
        <is>
          <t>polymarket_us</t>
        </is>
      </c>
      <c r="DB177" s="24" t="inlineStr">
        <is>
          <t>decision_time_executable_quote</t>
        </is>
      </c>
      <c r="DC177" s="24" t="inlineStr">
        <is>
          <t>False</t>
        </is>
      </c>
      <c r="DD177" s="24" t="inlineStr">
        <is>
          <t>c3ba890d674fce8d8b117de63c716aa82ca045980eab34d43bd8ac7e445503a9</t>
        </is>
      </c>
      <c r="DE177" s="24" t="inlineStr">
        <is>
          <t>/Users/vincentc9002/model-prediction/data/odds/wnba/2026-09-20/polymarket_snapshots.jsonl</t>
        </is>
      </c>
      <c r="DF177" s="24" t="inlineStr">
        <is>
          <t>c3ba890d674fce8d8b117de63c716aa82ca045980eab34d43bd8ac7e445503a9</t>
        </is>
      </c>
      <c r="DG177" s="24" t="n"/>
      <c r="DH177" s="24" t="n"/>
      <c r="DI177" s="24" t="n"/>
      <c r="DJ177" s="24" t="inlineStr">
        <is>
          <t>0.490196</t>
        </is>
      </c>
      <c r="DK177" s="24" t="n"/>
      <c r="DL177" s="24" t="n"/>
      <c r="DM177" s="24" t="n"/>
      <c r="DN177" s="24" t="n"/>
      <c r="DO177" s="24" t="n"/>
      <c r="DP177" s="24" t="n"/>
      <c r="DQ17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"401857201", "event_start_utc": "2026-09-20T17:00Z", "features": {"away_points_hl10": 88.26, "elo_away": 1673.7, "elo_home": 1319.2, "elo_margin": -10.52, "expected_margin": -5.42, "expected_total": 168.94, "history_games": 927, "home_points_hl10": 80.84, "rest_diff": 0.0, "trend_margin": -5.42}, "historical_source_observation_times_verified": false, "inference_inputs": {"line": 167.5, "mean": 168.9407845, "sd": 16.0}, "model_version": "wnba-total-margin-v2", "observed_at_utc": "2026-09-20T16:26:24.347506+00:00", "replay_scope": "Exact final classifier/distribution inputs and artifact. Upstream historical feature construction not certified.", "schema": "scalar-artifact-replay-v1", "snapshot_hash": "c76e339153cf56c5924c4c2a915d4c3d7ae9253fe41401110fa9b5b5cf8025cb"}</t>
        </is>
      </c>
    </row>
    <row r="178" ht="36" customHeight="1">
      <c r="A178" s="24" t="inlineStr">
        <is>
          <t>298dab0fbd384c2b</t>
        </is>
      </c>
      <c r="B178" s="24" t="inlineStr">
        <is>
          <t>2026-09-20T16:26:24.867421Z</t>
        </is>
      </c>
      <c r="C178" s="24" t="inlineStr">
        <is>
          <t>2026-09-20T20:00Z</t>
        </is>
      </c>
      <c r="D178" s="24" t="inlineStr">
        <is>
          <t>401857203</t>
        </is>
      </c>
      <c r="E178" s="24" t="inlineStr">
        <is>
          <t>WNBA</t>
        </is>
      </c>
      <c r="F178" s="24" t="inlineStr">
        <is>
          <t>Washington Mystics</t>
        </is>
      </c>
      <c r="G178" s="24" t="inlineStr">
        <is>
          <t>Indiana Fever</t>
        </is>
      </c>
      <c r="H178" s="24" t="inlineStr">
        <is>
          <t>total</t>
        </is>
      </c>
      <c r="I178" s="24" t="inlineStr">
        <is>
          <t>under</t>
        </is>
      </c>
      <c r="J178" s="25" t="n">
        <v>184.5</v>
      </c>
      <c r="K178" s="24" t="inlineStr">
        <is>
          <t>polymarket_us</t>
        </is>
      </c>
      <c r="L178" s="26" t="n">
        <v>-186</v>
      </c>
      <c r="M178" s="27" t="n">
        <v>1.537634</v>
      </c>
      <c r="N178" s="28" t="n">
        <v>0.65035</v>
      </c>
      <c r="O178" s="28" t="n">
        <v>0.640984</v>
      </c>
      <c r="P178" s="28" t="n">
        <v>0.03</v>
      </c>
      <c r="Q178" s="28" t="n">
        <v>-0.009365999999999999</v>
      </c>
      <c r="R178" s="26" t="n">
        <v>27</v>
      </c>
      <c r="S178" s="29" t="n">
        <v>1</v>
      </c>
      <c r="T178" s="24" t="inlineStr">
        <is>
          <t>wnba-total-margin-v2</t>
        </is>
      </c>
      <c r="U178" s="24" t="inlineStr">
        <is>
          <t>settled</t>
        </is>
      </c>
      <c r="V178" s="24" t="inlineStr">
        <is>
          <t>win</t>
        </is>
      </c>
      <c r="W178" s="26" t="n">
        <v>93</v>
      </c>
      <c r="X178" s="26" t="n">
        <v>77</v>
      </c>
      <c r="Y178" s="25" t="n"/>
      <c r="Z178" s="26" t="n">
        <v>-186</v>
      </c>
      <c r="AA178" s="28" t="n">
        <v>0.65</v>
      </c>
      <c r="AB178" s="28" t="n">
        <v>-0.00035</v>
      </c>
      <c r="AC178" s="30" t="n">
        <v>0.5376</v>
      </c>
      <c r="AD178" s="24" t="inlineStr">
        <is>
          <t>2026-09-21T04:30:32.317945Z</t>
        </is>
      </c>
      <c r="AE178" s="31" t="inlineStr">
        <is>
          <t>Projected total 178.7, sd 16.0. Executable ask 0.6500 (tsc-wnba-wsh-ind-2026-09-20-184pt5).</t>
        </is>
      </c>
      <c r="AF178" s="31" t="inlineStr">
        <is>
          <t>Research-baseline total model; not yet locked-holdout qualified.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4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wnba-was</t>
        </is>
      </c>
      <c r="AQ178" s="24" t="inlineStr">
        <is>
          <t>Washington Mystics</t>
        </is>
      </c>
      <c r="AR178" s="24" t="inlineStr">
        <is>
          <t>Washington Mystics</t>
        </is>
      </c>
      <c r="AS178" s="24" t="inlineStr">
        <is>
          <t>wnba-ind</t>
        </is>
      </c>
      <c r="AT178" s="24" t="inlineStr">
        <is>
          <t>Indiana Fever</t>
        </is>
      </c>
      <c r="AU178" s="24" t="inlineStr">
        <is>
          <t>Indiana Fever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9c9b767590bbbb9a7b333eaf9def066d65bf813e735ed73aa27cfb2c609a4ca5</t>
        </is>
      </c>
      <c r="BB178" s="24" t="inlineStr">
        <is>
          <t>total_normal</t>
        </is>
      </c>
      <c r="BC178" s="24" t="inlineStr">
        <is>
          <t>wnba-total-margin-v2</t>
        </is>
      </c>
      <c r="BD178" s="24" t="inlineStr">
        <is>
          <t>9c9b767590bbbb9a7b333eaf9def066d65bf813e735ed73aa27cfb2c609a4ca5</t>
        </is>
      </c>
      <c r="BE178" s="24" t="inlineStr">
        <is>
          <t>wnba-total-margin-v2</t>
        </is>
      </c>
      <c r="BF178" s="24" t="inlineStr">
        <is>
          <t>1</t>
        </is>
      </c>
      <c r="BG178" s="24" t="inlineStr">
        <is>
          <t>9c9b767590bbbb9a7b333eaf9def066d65bf813e735ed73aa27cfb2c609a4ca5</t>
        </is>
      </c>
      <c r="BH178" s="24" t="inlineStr">
        <is>
          <t>2026-09-20T16:04:16.904796Z</t>
        </is>
      </c>
      <c r="BI178" s="24" t="inlineStr">
        <is>
          <t>["same_event","same_team_same_day","same_league_same_day"]</t>
        </is>
      </c>
      <c r="BJ178" s="25" t="n">
        <v>184.5</v>
      </c>
      <c r="BK178" s="26" t="n">
        <v>-186</v>
      </c>
      <c r="BL178" s="27" t="n">
        <v>1.537634</v>
      </c>
      <c r="BM178" s="28" t="n">
        <v>0.65035</v>
      </c>
      <c r="BN178" s="28" t="n"/>
      <c r="BO178" s="28" t="n"/>
      <c r="BP178" s="25" t="n"/>
      <c r="BQ178" s="27" t="n">
        <v>1.537634</v>
      </c>
      <c r="BR178" s="28" t="n">
        <v>0.65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False</t>
        </is>
      </c>
      <c r="CT178" s="24" t="n"/>
      <c r="CU178" s="24" t="n"/>
      <c r="CV178" s="24" t="n"/>
      <c r="CW178" s="24" t="n"/>
      <c r="CX178" s="24" t="n"/>
      <c r="CY178" s="24" t="inlineStr">
        <is>
          <t>2026-09-20T16:04:16.904796Z</t>
        </is>
      </c>
      <c r="CZ178" s="24" t="inlineStr">
        <is>
          <t>True</t>
        </is>
      </c>
      <c r="DA178" s="24" t="inlineStr">
        <is>
          <t>polymarket_us</t>
        </is>
      </c>
      <c r="DB178" s="24" t="inlineStr">
        <is>
          <t>decision_time_executable_quote</t>
        </is>
      </c>
      <c r="DC178" s="24" t="inlineStr">
        <is>
          <t>False</t>
        </is>
      </c>
      <c r="DD178" s="24" t="inlineStr">
        <is>
          <t>9da5b6d162e77ab3d61abfdd4b6ef11589b30749518a1e88de911ba95083e8f9</t>
        </is>
      </c>
      <c r="DE178" s="24" t="inlineStr">
        <is>
          <t>/Users/vincentc9002/model-prediction/data/odds/wnba/2026-09-20/polymarket_snapshots.jsonl</t>
        </is>
      </c>
      <c r="DF178" s="24" t="inlineStr">
        <is>
          <t>9da5b6d162e77ab3d61abfdd4b6ef11589b30749518a1e88de911ba95083e8f9</t>
        </is>
      </c>
      <c r="DG178" s="24" t="n"/>
      <c r="DH178" s="24" t="n"/>
      <c r="DI178" s="24" t="n"/>
      <c r="DJ178" s="24" t="inlineStr">
        <is>
          <t>0.65035</t>
        </is>
      </c>
      <c r="DK178" s="24" t="n"/>
      <c r="DL178" s="24" t="n"/>
      <c r="DM178" s="24" t="n"/>
      <c r="DN178" s="24" t="n"/>
      <c r="DO178" s="24" t="n"/>
      <c r="DP178" s="24" t="n"/>
      <c r="DQ178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"401857203", "event_start_utc": "2026-09-20T20:00Z", "features": {"away_points_hl10": 87.34, "elo_away": 1588.1, "elo_home": 1675.5, "elo_margin": 5.26, "expected_margin": 3.83, "expected_total": 178.72, "history_games": 927, "home_points_hl10": 89.17, "rest_diff": 0.0, "trend_margin": 3.83}, "historical_source_observation_times_verified": false, "inference_inputs": {"line": 184.5, "mean": 178.7225404, "sd": 16.0}, "model_version": "wnba-total-margin-v2", "observed_at_utc": "2026-09-20T16:26:24.347506+00:00", "replay_scope": "Exact final classifier/distribution inputs and artifact. Upstream historical feature construction not certified.", "schema": "scalar-artifact-replay-v1", "snapshot_hash": "3a9279b7b7247e60fd89f826a46aad755f157b3d4602c6a4452d940a9adbcb91"}</t>
        </is>
      </c>
    </row>
    <row r="179" ht="36" customHeight="1">
      <c r="A179" s="24" t="inlineStr">
        <is>
          <t>b24bf526af1940a0</t>
        </is>
      </c>
      <c r="B179" s="24" t="inlineStr">
        <is>
          <t>2026-09-20T16:26:24.867421Z</t>
        </is>
      </c>
      <c r="C179" s="24" t="inlineStr">
        <is>
          <t>2026-09-20T23:00Z</t>
        </is>
      </c>
      <c r="D179" s="24" t="inlineStr">
        <is>
          <t>401857204</t>
        </is>
      </c>
      <c r="E179" s="24" t="inlineStr">
        <is>
          <t>WNBA</t>
        </is>
      </c>
      <c r="F179" s="24" t="inlineStr">
        <is>
          <t>Portland Fire</t>
        </is>
      </c>
      <c r="G179" s="24" t="inlineStr">
        <is>
          <t>Los Angeles Sparks</t>
        </is>
      </c>
      <c r="H179" s="24" t="inlineStr">
        <is>
          <t>total</t>
        </is>
      </c>
      <c r="I179" s="24" t="inlineStr">
        <is>
          <t>under</t>
        </is>
      </c>
      <c r="J179" s="25" t="n">
        <v>177.5</v>
      </c>
      <c r="K179" s="24" t="inlineStr">
        <is>
          <t>polymarket_us</t>
        </is>
      </c>
      <c r="L179" s="26" t="n">
        <v>-117</v>
      </c>
      <c r="M179" s="27" t="n">
        <v>1.854701</v>
      </c>
      <c r="N179" s="28" t="n">
        <v>0.539171</v>
      </c>
      <c r="O179" s="28" t="n">
        <v>0.6117629999999999</v>
      </c>
      <c r="P179" s="28" t="n">
        <v>0.03</v>
      </c>
      <c r="Q179" s="28" t="n">
        <v>0.072592</v>
      </c>
      <c r="R179" s="26" t="n">
        <v>68</v>
      </c>
      <c r="S179" s="29" t="n">
        <v>1.25</v>
      </c>
      <c r="T179" s="24" t="inlineStr">
        <is>
          <t>wnba-total-margin-v2</t>
        </is>
      </c>
      <c r="U179" s="24" t="inlineStr">
        <is>
          <t>settled</t>
        </is>
      </c>
      <c r="V179" s="24" t="inlineStr">
        <is>
          <t>loss</t>
        </is>
      </c>
      <c r="W179" s="26" t="n">
        <v>84</v>
      </c>
      <c r="X179" s="26" t="n">
        <v>105</v>
      </c>
      <c r="Y179" s="25" t="n"/>
      <c r="Z179" s="26" t="n">
        <v>-117</v>
      </c>
      <c r="AA179" s="28" t="n">
        <v>0.54</v>
      </c>
      <c r="AB179" s="28" t="n">
        <v>0.000829</v>
      </c>
      <c r="AC179" s="30" t="n">
        <v>-1.25</v>
      </c>
      <c r="AD179" s="24" t="inlineStr">
        <is>
          <t>2026-09-21T04:30:32.600549Z</t>
        </is>
      </c>
      <c r="AE179" s="31" t="inlineStr">
        <is>
          <t>Projected total 173.0, sd 16.0. Executable ask 0.5400 (tsc-wnba-por-la-2026-09-20-177pt5).</t>
        </is>
      </c>
      <c r="AF179" s="31" t="inlineStr">
        <is>
          <t>Research-baseline total model; not yet locked-holdout qualified.</t>
        </is>
      </c>
      <c r="AG179" s="24" t="inlineStr">
        <is>
          <t>review_required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wnba-por</t>
        </is>
      </c>
      <c r="AQ179" s="24" t="inlineStr">
        <is>
          <t>Portland Fire</t>
        </is>
      </c>
      <c r="AR179" s="24" t="inlineStr">
        <is>
          <t>Portland Fire</t>
        </is>
      </c>
      <c r="AS179" s="24" t="inlineStr">
        <is>
          <t>wnba-las</t>
        </is>
      </c>
      <c r="AT179" s="24" t="inlineStr">
        <is>
          <t>Los Angeles Sparks</t>
        </is>
      </c>
      <c r="AU179" s="24" t="inlineStr">
        <is>
          <t>Los Angeles Sparks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9c9b767590bbbb9a7b333eaf9def066d65bf813e735ed73aa27cfb2c609a4ca5</t>
        </is>
      </c>
      <c r="BB179" s="24" t="inlineStr">
        <is>
          <t>total_normal</t>
        </is>
      </c>
      <c r="BC179" s="24" t="inlineStr">
        <is>
          <t>wnba-total-margin-v2</t>
        </is>
      </c>
      <c r="BD179" s="24" t="inlineStr">
        <is>
          <t>9c9b767590bbbb9a7b333eaf9def066d65bf813e735ed73aa27cfb2c609a4ca5</t>
        </is>
      </c>
      <c r="BE179" s="24" t="inlineStr">
        <is>
          <t>wnba-total-margin-v2</t>
        </is>
      </c>
      <c r="BF179" s="24" t="inlineStr">
        <is>
          <t>1</t>
        </is>
      </c>
      <c r="BG179" s="24" t="inlineStr">
        <is>
          <t>9c9b767590bbbb9a7b333eaf9def066d65bf813e735ed73aa27cfb2c609a4ca5</t>
        </is>
      </c>
      <c r="BH179" s="24" t="inlineStr">
        <is>
          <t>2026-09-20T16:04:17.027327Z</t>
        </is>
      </c>
      <c r="BI179" s="24" t="inlineStr">
        <is>
          <t>["same_event","same_team_same_day","same_league_same_day"]</t>
        </is>
      </c>
      <c r="BJ179" s="25" t="n">
        <v>177.5</v>
      </c>
      <c r="BK179" s="26" t="n">
        <v>-117</v>
      </c>
      <c r="BL179" s="27" t="n">
        <v>1.854701</v>
      </c>
      <c r="BM179" s="28" t="n">
        <v>0.539171</v>
      </c>
      <c r="BN179" s="28" t="n"/>
      <c r="BO179" s="28" t="n"/>
      <c r="BP179" s="25" t="n"/>
      <c r="BQ179" s="27" t="n">
        <v>1.854701</v>
      </c>
      <c r="BR179" s="28" t="n">
        <v>0.54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inlineStr">
        <is>
          <t>2026-09-20T16:04:17.027327Z</t>
        </is>
      </c>
      <c r="CZ179" s="24" t="inlineStr">
        <is>
          <t>True</t>
        </is>
      </c>
      <c r="DA179" s="24" t="inlineStr">
        <is>
          <t>polymarket_us</t>
        </is>
      </c>
      <c r="DB179" s="24" t="inlineStr">
        <is>
          <t>decision_time_executable_quote</t>
        </is>
      </c>
      <c r="DC179" s="24" t="inlineStr">
        <is>
          <t>False</t>
        </is>
      </c>
      <c r="DD179" s="24" t="inlineStr">
        <is>
          <t>06fefd9b00318fa8f54e50db619c2b1bb3846d219bfcfab474537a6a968b24c6</t>
        </is>
      </c>
      <c r="DE179" s="24" t="inlineStr">
        <is>
          <t>/Users/vincentc9002/model-prediction/data/odds/wnba/2026-09-20/polymarket_snapshots.jsonl</t>
        </is>
      </c>
      <c r="DF179" s="24" t="inlineStr">
        <is>
          <t>06fefd9b00318fa8f54e50db619c2b1bb3846d219bfcfab474537a6a968b24c6</t>
        </is>
      </c>
      <c r="DG179" s="24" t="n"/>
      <c r="DH179" s="24" t="n"/>
      <c r="DI179" s="24" t="n"/>
      <c r="DJ179" s="24" t="inlineStr">
        <is>
          <t>0.539171</t>
        </is>
      </c>
      <c r="DK179" s="24" t="n"/>
      <c r="DL179" s="24" t="n"/>
      <c r="DM179" s="24" t="n"/>
      <c r="DN179" s="24" t="n"/>
      <c r="DO179" s="24" t="n"/>
      <c r="DP179" s="24" t="n"/>
      <c r="DQ17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"401857204", "event_start_utc": "2026-09-20T23:00Z", "features": {"away_points_hl10": 87.91, "elo_away": 1422.6, "elo_home": 1415.7, "elo_margin": 1.9, "expected_margin": 1.44, "expected_total": 172.96, "history_games": 927, "home_points_hl10": 87.35, "rest_diff": 0.0, "trend_margin": 1.44}, "historical_source_observation_times_verified": false, "inference_inputs": {"line": 177.5, "mean": 172.9573443, "sd": 16.0}, "model_version": "wnba-total-margin-v2", "observed_at_utc": "2026-09-20T16:26:24.347506+00:00", "replay_scope": "Exact final classifier/distribution inputs and artifact. Upstream historical feature construction not certified.", "schema": "scalar-artifact-replay-v1", "snapshot_hash": "3e9d4f2d732838ead5c84eaebbc5bd14cd24810da5ab1b7f4b63e7c7e0cdf630"}</t>
        </is>
      </c>
    </row>
    <row r="180" ht="36" customHeight="1">
      <c r="A180" s="24" t="inlineStr">
        <is>
          <t>9d832b09e4954b33</t>
        </is>
      </c>
      <c r="B180" s="24" t="inlineStr">
        <is>
          <t>2026-09-20T16:26:24.867760Z</t>
        </is>
      </c>
      <c r="C180" s="24" t="inlineStr">
        <is>
          <t>2026-09-20T17:00Z</t>
        </is>
      </c>
      <c r="D180" s="24" t="inlineStr">
        <is>
          <t>401857201</t>
        </is>
      </c>
      <c r="E180" s="24" t="inlineStr">
        <is>
          <t>WNBA</t>
        </is>
      </c>
      <c r="F180" s="24" t="inlineStr">
        <is>
          <t>Minnesota Lynx</t>
        </is>
      </c>
      <c r="G180" s="24" t="inlineStr">
        <is>
          <t>Connecticut Sun</t>
        </is>
      </c>
      <c r="H180" s="24" t="inlineStr">
        <is>
          <t>spread</t>
        </is>
      </c>
      <c r="I180" s="24" t="inlineStr">
        <is>
          <t>home</t>
        </is>
      </c>
      <c r="J180" s="25" t="n">
        <v>19.5</v>
      </c>
      <c r="K180" s="24" t="inlineStr">
        <is>
          <t>polymarket_us</t>
        </is>
      </c>
      <c r="L180" s="26" t="n">
        <v>-144</v>
      </c>
      <c r="M180" s="27" t="n">
        <v>1.694444</v>
      </c>
      <c r="N180" s="28" t="n">
        <v>0.590164</v>
      </c>
      <c r="O180" s="28" t="n">
        <v>0.814455</v>
      </c>
      <c r="P180" s="28" t="n">
        <v>0.03</v>
      </c>
      <c r="Q180" s="28" t="n">
        <v>0.224291</v>
      </c>
      <c r="R180" s="26" t="n">
        <v>100</v>
      </c>
      <c r="S180" s="29" t="n">
        <v>2</v>
      </c>
      <c r="T180" s="24" t="inlineStr">
        <is>
          <t>wnba-spread-margin-v2</t>
        </is>
      </c>
      <c r="U180" s="24" t="inlineStr">
        <is>
          <t>settled</t>
        </is>
      </c>
      <c r="V180" s="24" t="inlineStr">
        <is>
          <t>win</t>
        </is>
      </c>
      <c r="W180" s="26" t="n">
        <v>101</v>
      </c>
      <c r="X180" s="26" t="n">
        <v>89</v>
      </c>
      <c r="Y180" s="25" t="n"/>
      <c r="Z180" s="26" t="n"/>
      <c r="AA180" s="28" t="n"/>
      <c r="AB180" s="28" t="n"/>
      <c r="AC180" s="30" t="n">
        <v>1.3889</v>
      </c>
      <c r="AD180" s="24" t="inlineStr">
        <is>
          <t>2026-09-20T22:00:52.012467Z</t>
        </is>
      </c>
      <c r="AE180" s="31" t="inlineStr">
        <is>
          <t>Projected margin -7.5 (home), sd 13.4. Executable ask 0.5900 (asc-wnba-min-conn-2026-09-20-neg-19pt5).</t>
        </is>
      </c>
      <c r="AF180" s="31" t="inlineStr">
        <is>
          <t>Point-in-time composite Elo + trend + rest margin-normal spread model.</t>
        </is>
      </c>
      <c r="AG180" s="24" t="inlineStr">
        <is>
          <t>not_applicable</t>
        </is>
      </c>
      <c r="AH180" s="24" t="n"/>
      <c r="AI180" s="31" t="n"/>
      <c r="AJ180" s="31" t="n"/>
      <c r="AK180" s="24" t="inlineStr">
        <is>
          <t>model_qualified</t>
        </is>
      </c>
      <c r="AL180" s="26" t="n">
        <v>4</v>
      </c>
      <c r="AM180" s="24" t="inlineStr">
        <is>
          <t>QUALIFIED_SHADOW_CALL</t>
        </is>
      </c>
      <c r="AN180" s="24" t="inlineStr">
        <is>
          <t>CALL</t>
        </is>
      </c>
      <c r="AO180" s="24" t="inlineStr">
        <is>
          <t>QUALIFIED</t>
        </is>
      </c>
      <c r="AP180" s="24" t="inlineStr">
        <is>
          <t>wnba-min</t>
        </is>
      </c>
      <c r="AQ180" s="24" t="inlineStr">
        <is>
          <t>Minnesota Lynx</t>
        </is>
      </c>
      <c r="AR180" s="24" t="inlineStr">
        <is>
          <t>Minnesota Lynx</t>
        </is>
      </c>
      <c r="AS180" s="24" t="inlineStr">
        <is>
          <t>wnba-con</t>
        </is>
      </c>
      <c r="AT180" s="24" t="inlineStr">
        <is>
          <t>Connecticut Sun</t>
        </is>
      </c>
      <c r="AU180" s="24" t="inlineStr">
        <is>
          <t>Connecticut Sun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f7d192f98d825d7c77be21b0531a91cff101ad35e418fe9d7e07c5d0f769f974</t>
        </is>
      </c>
      <c r="BB180" s="24" t="inlineStr">
        <is>
          <t>margin_normal</t>
        </is>
      </c>
      <c r="BC180" s="24" t="inlineStr">
        <is>
          <t>wnba-spread-margin-v2</t>
        </is>
      </c>
      <c r="BD180" s="24" t="inlineStr">
        <is>
          <t>f7d192f98d825d7c77be21b0531a91cff101ad35e418fe9d7e07c5d0f769f974</t>
        </is>
      </c>
      <c r="BE180" s="24" t="inlineStr">
        <is>
          <t>wnba-spread-margin-v2</t>
        </is>
      </c>
      <c r="BF180" s="24" t="inlineStr">
        <is>
          <t>1</t>
        </is>
      </c>
      <c r="BG180" s="24" t="inlineStr">
        <is>
          <t>f7d192f98d825d7c77be21b0531a91cff101ad35e418fe9d7e07c5d0f769f974</t>
        </is>
      </c>
      <c r="BH180" s="24" t="inlineStr">
        <is>
          <t>2026-09-20T10:04:15.085737Z</t>
        </is>
      </c>
      <c r="BI180" s="24" t="inlineStr">
        <is>
          <t>["same_event","same_team_same_day","same_league_same_day"]</t>
        </is>
      </c>
      <c r="BJ180" s="25" t="n">
        <v>19.5</v>
      </c>
      <c r="BK180" s="26" t="n">
        <v>-144</v>
      </c>
      <c r="BL180" s="27" t="n">
        <v>1.694444</v>
      </c>
      <c r="BM180" s="28" t="n">
        <v>0.590164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n"/>
      <c r="CU180" s="24" t="n"/>
      <c r="CV180" s="24" t="n"/>
      <c r="CW180" s="24" t="n"/>
      <c r="CX180" s="24" t="n"/>
      <c r="CY180" s="24" t="inlineStr">
        <is>
          <t>2026-09-20T10:04:15.085737Z</t>
        </is>
      </c>
      <c r="CZ180" s="24" t="inlineStr">
        <is>
          <t>True</t>
        </is>
      </c>
      <c r="DA180" s="24" t="inlineStr">
        <is>
          <t>polymarket_us</t>
        </is>
      </c>
      <c r="DB180" s="24" t="inlineStr">
        <is>
          <t>decision_time_executable_quote</t>
        </is>
      </c>
      <c r="DC180" s="24" t="inlineStr">
        <is>
          <t>False</t>
        </is>
      </c>
      <c r="DD180" s="24" t="inlineStr">
        <is>
          <t>11827c63f2ca56d2efbb994b67e8604eea9384ff0209d9341f59236c48279e66</t>
        </is>
      </c>
      <c r="DE180" s="24" t="inlineStr">
        <is>
          <t>/Users/vincentc9002/model-prediction/data/odds/wnba/2026-09-20/polymarket_snapshots.jsonl</t>
        </is>
      </c>
      <c r="DF180" s="24" t="inlineStr">
        <is>
          <t>11827c63f2ca56d2efbb994b67e8604eea9384ff0209d9341f59236c48279e66</t>
        </is>
      </c>
      <c r="DG180" s="24" t="n"/>
      <c r="DH180" s="24" t="n"/>
      <c r="DI180" s="24" t="n"/>
      <c r="DJ180" s="24" t="inlineStr">
        <is>
          <t>0.590164</t>
        </is>
      </c>
      <c r="DK180" s="24" t="n"/>
      <c r="DL180" s="24" t="n"/>
      <c r="DM180" s="24" t="n"/>
      <c r="DN180" s="24" t="n"/>
      <c r="DO180" s="24" t="n"/>
      <c r="DP180" s="24" t="n"/>
      <c r="DQ18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"401857201", "event_start_utc": "2026-09-20T17:00Z", "features": {"away_points_hl10": 88.26, "elo_away": 1673.7, "elo_home": 1319.2, "elo_margin": -10.52, "expected_margin": -7.54, "expected_total": 169.1, "history_games": 927, "home_points_hl10": 80.84, "rest_diff": 1.0, "trend_margin": -5.16}, "historical_source_observation_times_verified": false, "inference_inputs": {"line": -19.5, "mean": -7.541434667807628, "sd": 13.37}, "model_version": "wnba-spread-margin-v2", "observed_at_utc": "2026-09-20T16:26:24.345494+00:00", "replay_scope": "Exact final classifier/distribution inputs and artifact. Upstream historical feature construction not certified.", "schema": "scalar-artifact-replay-v1", "snapshot_hash": "ea3e3973ba642796cf67127dc92a991259fb1d49c80cb554e70a151370757967"}</t>
        </is>
      </c>
    </row>
    <row r="181" ht="36" customHeight="1">
      <c r="A181" s="24" t="inlineStr">
        <is>
          <t>921a471280344d3e</t>
        </is>
      </c>
      <c r="B181" s="24" t="inlineStr">
        <is>
          <t>2026-09-20T16:26:24.867760Z</t>
        </is>
      </c>
      <c r="C181" s="24" t="inlineStr">
        <is>
          <t>2026-09-20T20:00Z</t>
        </is>
      </c>
      <c r="D181" s="24" t="inlineStr">
        <is>
          <t>401857203</t>
        </is>
      </c>
      <c r="E181" s="24" t="inlineStr">
        <is>
          <t>WNBA</t>
        </is>
      </c>
      <c r="F181" s="24" t="inlineStr">
        <is>
          <t>Washington Mystics</t>
        </is>
      </c>
      <c r="G181" s="24" t="inlineStr">
        <is>
          <t>Indiana Fever</t>
        </is>
      </c>
      <c r="H181" s="24" t="inlineStr">
        <is>
          <t>spread</t>
        </is>
      </c>
      <c r="I181" s="24" t="inlineStr">
        <is>
          <t>home</t>
        </is>
      </c>
      <c r="J181" s="25" t="n">
        <v>4.5</v>
      </c>
      <c r="K181" s="24" t="inlineStr">
        <is>
          <t>polymarket_us</t>
        </is>
      </c>
      <c r="L181" s="26" t="n">
        <v>-400</v>
      </c>
      <c r="M181" s="27" t="n">
        <v>1.25</v>
      </c>
      <c r="N181" s="28" t="n">
        <v>0.8</v>
      </c>
      <c r="O181" s="28" t="n">
        <v>0.745801</v>
      </c>
      <c r="P181" s="28" t="n">
        <v>0.03</v>
      </c>
      <c r="Q181" s="28" t="n">
        <v>-0.054199</v>
      </c>
      <c r="R181" s="26" t="n">
        <v>5</v>
      </c>
      <c r="S181" s="29" t="n">
        <v>1</v>
      </c>
      <c r="T181" s="24" t="inlineStr">
        <is>
          <t>wnba-spread-margin-v2</t>
        </is>
      </c>
      <c r="U181" s="24" t="inlineStr">
        <is>
          <t>settled</t>
        </is>
      </c>
      <c r="V181" s="24" t="inlineStr">
        <is>
          <t>loss</t>
        </is>
      </c>
      <c r="W181" s="26" t="n">
        <v>93</v>
      </c>
      <c r="X181" s="26" t="n">
        <v>77</v>
      </c>
      <c r="Y181" s="25" t="n"/>
      <c r="Z181" s="26" t="n"/>
      <c r="AA181" s="28" t="n"/>
      <c r="AB181" s="28" t="n"/>
      <c r="AC181" s="30" t="n">
        <v>-1</v>
      </c>
      <c r="AD181" s="24" t="inlineStr">
        <is>
          <t>2026-09-21T04:30:32.882876Z</t>
        </is>
      </c>
      <c r="AE181" s="31" t="inlineStr">
        <is>
          <t>Projected margin +4.3 (home), sd 13.4. Executable ask 0.8000 (asc-wnba-wsh-ind-2026-09-20-neg-4pt5).</t>
        </is>
      </c>
      <c r="AF181" s="31" t="inlineStr">
        <is>
          <t>Point-in-time composite Elo + trend + rest margin-normal spread model.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wnba-was</t>
        </is>
      </c>
      <c r="AQ181" s="24" t="inlineStr">
        <is>
          <t>Washington Mystics</t>
        </is>
      </c>
      <c r="AR181" s="24" t="inlineStr">
        <is>
          <t>Washington Mystics</t>
        </is>
      </c>
      <c r="AS181" s="24" t="inlineStr">
        <is>
          <t>wnba-ind</t>
        </is>
      </c>
      <c r="AT181" s="24" t="inlineStr">
        <is>
          <t>Indiana Fever</t>
        </is>
      </c>
      <c r="AU181" s="24" t="inlineStr">
        <is>
          <t>Indiana Fever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f7d192f98d825d7c77be21b0531a91cff101ad35e418fe9d7e07c5d0f769f974</t>
        </is>
      </c>
      <c r="BB181" s="24" t="inlineStr">
        <is>
          <t>margin_normal</t>
        </is>
      </c>
      <c r="BC181" s="24" t="inlineStr">
        <is>
          <t>wnba-spread-margin-v2</t>
        </is>
      </c>
      <c r="BD181" s="24" t="inlineStr">
        <is>
          <t>f7d192f98d825d7c77be21b0531a91cff101ad35e418fe9d7e07c5d0f769f974</t>
        </is>
      </c>
      <c r="BE181" s="24" t="inlineStr">
        <is>
          <t>wnba-spread-margin-v2</t>
        </is>
      </c>
      <c r="BF181" s="24" t="inlineStr">
        <is>
          <t>1</t>
        </is>
      </c>
      <c r="BG181" s="24" t="inlineStr">
        <is>
          <t>f7d192f98d825d7c77be21b0531a91cff101ad35e418fe9d7e07c5d0f769f974</t>
        </is>
      </c>
      <c r="BH181" s="24" t="inlineStr">
        <is>
          <t>2026-09-20T10:04:26.510250Z</t>
        </is>
      </c>
      <c r="BI181" s="24" t="inlineStr">
        <is>
          <t>["same_event","same_team_same_day","same_league_same_day"]</t>
        </is>
      </c>
      <c r="BJ181" s="25" t="n">
        <v>4.5</v>
      </c>
      <c r="BK181" s="26" t="n">
        <v>-400</v>
      </c>
      <c r="BL181" s="27" t="n">
        <v>1.25</v>
      </c>
      <c r="BM181" s="28" t="n">
        <v>0.8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False</t>
        </is>
      </c>
      <c r="CT181" s="24" t="n"/>
      <c r="CU181" s="24" t="n"/>
      <c r="CV181" s="24" t="n"/>
      <c r="CW181" s="24" t="n"/>
      <c r="CX181" s="24" t="n"/>
      <c r="CY181" s="24" t="inlineStr">
        <is>
          <t>2026-09-20T10:04:26.510250Z</t>
        </is>
      </c>
      <c r="CZ181" s="24" t="inlineStr">
        <is>
          <t>True</t>
        </is>
      </c>
      <c r="DA181" s="24" t="inlineStr">
        <is>
          <t>polymarket_us</t>
        </is>
      </c>
      <c r="DB181" s="24" t="inlineStr">
        <is>
          <t>decision_time_executable_quote</t>
        </is>
      </c>
      <c r="DC181" s="24" t="inlineStr">
        <is>
          <t>False</t>
        </is>
      </c>
      <c r="DD181" s="24" t="inlineStr">
        <is>
          <t>22e62e6c5b2e47b3ee69e06ad67eba33d92f12f393ce39f818e85f3a100410c2</t>
        </is>
      </c>
      <c r="DE181" s="24" t="inlineStr">
        <is>
          <t>/Users/vincentc9002/model-prediction/data/odds/wnba/2026-09-20/polymarket_snapshots.jsonl</t>
        </is>
      </c>
      <c r="DF181" s="24" t="inlineStr">
        <is>
          <t>22e62e6c5b2e47b3ee69e06ad67eba33d92f12f393ce39f818e85f3a100410c2</t>
        </is>
      </c>
      <c r="DG181" s="24" t="n"/>
      <c r="DH181" s="24" t="n"/>
      <c r="DI181" s="24" t="n"/>
      <c r="DJ181" s="24" t="inlineStr">
        <is>
          <t>0.8</t>
        </is>
      </c>
      <c r="DK181" s="24" t="n"/>
      <c r="DL181" s="24" t="n"/>
      <c r="DM181" s="24" t="n"/>
      <c r="DN181" s="24" t="n"/>
      <c r="DO181" s="24" t="n"/>
      <c r="DP181" s="24" t="n"/>
      <c r="DQ181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"401857203", "event_start_utc": "2026-09-20T20:00Z", "features": {"away_points_hl10": 87.34, "elo_away": 1588.1, "elo_home": 1675.5, "elo_margin": 5.26, "expected_margin": 4.34, "expected_total": 176.5, "history_games": 927, "home_points_hl10": 89.17, "rest_diff": -1.0, "trend_margin": 4.09}, "historical_source_observation_times_verified": false, "inference_inputs": {"line": -4.5, "mean": 4.3420319080313465, "sd": 13.37}, "model_version": "wnba-spread-margin-v2", "observed_at_utc": "2026-09-20T16:26:24.345494+00:00", "replay_scope": "Exact final classifier/distribution inputs and artifact. Upstream historical feature construction not certified.", "schema": "scalar-artifact-replay-v1", "snapshot_hash": "6608a44ab4851e2af3d1fbb0c965c8f99a5647de160447976332c588e0764eba"}</t>
        </is>
      </c>
    </row>
    <row r="182" ht="36" customHeight="1">
      <c r="A182" s="24" t="inlineStr">
        <is>
          <t>778f5daa43ee47e8</t>
        </is>
      </c>
      <c r="B182" s="24" t="inlineStr">
        <is>
          <t>2026-09-20T16:26:24.867760Z</t>
        </is>
      </c>
      <c r="C182" s="24" t="inlineStr">
        <is>
          <t>2026-09-20T23:00Z</t>
        </is>
      </c>
      <c r="D182" s="24" t="inlineStr">
        <is>
          <t>401857204</t>
        </is>
      </c>
      <c r="E182" s="24" t="inlineStr">
        <is>
          <t>WNBA</t>
        </is>
      </c>
      <c r="F182" s="24" t="inlineStr">
        <is>
          <t>Portland Fire</t>
        </is>
      </c>
      <c r="G182" s="24" t="inlineStr">
        <is>
          <t>Los Angeles Sparks</t>
        </is>
      </c>
      <c r="H182" s="24" t="inlineStr">
        <is>
          <t>spread</t>
        </is>
      </c>
      <c r="I182" s="24" t="inlineStr">
        <is>
          <t>home</t>
        </is>
      </c>
      <c r="J182" s="25" t="n">
        <v>-1.5</v>
      </c>
      <c r="K182" s="24" t="inlineStr">
        <is>
          <t>polymarket_us</t>
        </is>
      </c>
      <c r="L182" s="26" t="n">
        <v>-104</v>
      </c>
      <c r="M182" s="27" t="n">
        <v>1.961538</v>
      </c>
      <c r="N182" s="28" t="n">
        <v>0.509804</v>
      </c>
      <c r="O182" s="28" t="n">
        <v>0.513447</v>
      </c>
      <c r="P182" s="28" t="n">
        <v>0.03</v>
      </c>
      <c r="Q182" s="28" t="n">
        <v>0.003643</v>
      </c>
      <c r="R182" s="26" t="n">
        <v>34</v>
      </c>
      <c r="S182" s="29" t="n">
        <v>1</v>
      </c>
      <c r="T182" s="24" t="inlineStr">
        <is>
          <t>wnba-spread-margin-v2</t>
        </is>
      </c>
      <c r="U182" s="24" t="inlineStr">
        <is>
          <t>settled</t>
        </is>
      </c>
      <c r="V182" s="24" t="inlineStr">
        <is>
          <t>win</t>
        </is>
      </c>
      <c r="W182" s="26" t="n">
        <v>84</v>
      </c>
      <c r="X182" s="26" t="n">
        <v>105</v>
      </c>
      <c r="Y182" s="25" t="n"/>
      <c r="Z182" s="26" t="n"/>
      <c r="AA182" s="28" t="n"/>
      <c r="AB182" s="28" t="n"/>
      <c r="AC182" s="30" t="n">
        <v>0.9615</v>
      </c>
      <c r="AD182" s="24" t="inlineStr">
        <is>
          <t>2026-09-21T04:30:33.151856Z</t>
        </is>
      </c>
      <c r="AE182" s="31" t="inlineStr">
        <is>
          <t>Projected margin +2.0 (home), sd 13.4. Executable ask 0.5100 (asc-wnba-por-la-2026-09-20-pos-1pt5).</t>
        </is>
      </c>
      <c r="AF182" s="31" t="inlineStr">
        <is>
          <t>Point-in-time composite Elo + trend + rest margin-normal spread model.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model_qualified</t>
        </is>
      </c>
      <c r="AL182" s="26" t="n">
        <v>4</v>
      </c>
      <c r="AM182" s="24" t="inlineStr">
        <is>
          <t>QUALIFIED_SHADOW_CALL</t>
        </is>
      </c>
      <c r="AN182" s="24" t="inlineStr">
        <is>
          <t>CALL</t>
        </is>
      </c>
      <c r="AO182" s="24" t="inlineStr">
        <is>
          <t>QUALIFIED</t>
        </is>
      </c>
      <c r="AP182" s="24" t="inlineStr">
        <is>
          <t>wnba-por</t>
        </is>
      </c>
      <c r="AQ182" s="24" t="inlineStr">
        <is>
          <t>Portland Fire</t>
        </is>
      </c>
      <c r="AR182" s="24" t="inlineStr">
        <is>
          <t>Portland Fire</t>
        </is>
      </c>
      <c r="AS182" s="24" t="inlineStr">
        <is>
          <t>wnba-las</t>
        </is>
      </c>
      <c r="AT182" s="24" t="inlineStr">
        <is>
          <t>Los Angeles Sparks</t>
        </is>
      </c>
      <c r="AU182" s="24" t="inlineStr">
        <is>
          <t>Los Angeles Sparks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f7d192f98d825d7c77be21b0531a91cff101ad35e418fe9d7e07c5d0f769f974</t>
        </is>
      </c>
      <c r="BB182" s="24" t="inlineStr">
        <is>
          <t>margin_normal</t>
        </is>
      </c>
      <c r="BC182" s="24" t="inlineStr">
        <is>
          <t>wnba-spread-margin-v2</t>
        </is>
      </c>
      <c r="BD182" s="24" t="inlineStr">
        <is>
          <t>f7d192f98d825d7c77be21b0531a91cff101ad35e418fe9d7e07c5d0f769f974</t>
        </is>
      </c>
      <c r="BE182" s="24" t="inlineStr">
        <is>
          <t>wnba-spread-margin-v2</t>
        </is>
      </c>
      <c r="BF182" s="24" t="inlineStr">
        <is>
          <t>1</t>
        </is>
      </c>
      <c r="BG182" s="24" t="inlineStr">
        <is>
          <t>f7d192f98d825d7c77be21b0531a91cff101ad35e418fe9d7e07c5d0f769f974</t>
        </is>
      </c>
      <c r="BH182" s="24" t="inlineStr">
        <is>
          <t>2026-09-20T04:37:12.796964Z</t>
        </is>
      </c>
      <c r="BI182" s="24" t="inlineStr">
        <is>
          <t>["same_event","same_team_same_day","same_league_same_day"]</t>
        </is>
      </c>
      <c r="BJ182" s="25" t="n">
        <v>-1.5</v>
      </c>
      <c r="BK182" s="26" t="n">
        <v>-104</v>
      </c>
      <c r="BL182" s="27" t="n">
        <v>1.961538</v>
      </c>
      <c r="BM182" s="28" t="n">
        <v>0.509804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inlineStr">
        <is>
          <t>2026-09-20T04:37:12.796964Z</t>
        </is>
      </c>
      <c r="CZ182" s="24" t="inlineStr">
        <is>
          <t>True</t>
        </is>
      </c>
      <c r="DA182" s="24" t="inlineStr">
        <is>
          <t>polymarket_us</t>
        </is>
      </c>
      <c r="DB182" s="24" t="inlineStr">
        <is>
          <t>decision_time_executable_quote</t>
        </is>
      </c>
      <c r="DC182" s="24" t="inlineStr">
        <is>
          <t>False</t>
        </is>
      </c>
      <c r="DD182" s="24" t="inlineStr">
        <is>
          <t>e9e89ec2670cb9b225d0967c01340c4fd483503d5a9df5fc8a4690489d6867fb</t>
        </is>
      </c>
      <c r="DE182" s="24" t="inlineStr">
        <is>
          <t>/Users/vincentc9002/model-prediction/data/odds/wnba/2026-09-20/polymarket_snapshots.jsonl</t>
        </is>
      </c>
      <c r="DF182" s="24" t="inlineStr">
        <is>
          <t>e9e89ec2670cb9b225d0967c01340c4fd483503d5a9df5fc8a4690489d6867fb</t>
        </is>
      </c>
      <c r="DG182" s="24" t="n"/>
      <c r="DH182" s="24" t="n"/>
      <c r="DI182" s="24" t="n"/>
      <c r="DJ182" s="24" t="inlineStr">
        <is>
          <t>0.509804</t>
        </is>
      </c>
      <c r="DK182" s="24" t="n"/>
      <c r="DL182" s="24" t="n"/>
      <c r="DM182" s="24" t="n"/>
      <c r="DN182" s="24" t="n"/>
      <c r="DO182" s="24" t="n"/>
      <c r="DP182" s="24" t="n"/>
      <c r="DQ182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"401857204", "event_start_utc": "2026-09-20T23:00Z", "features": {"away_points_hl10": 87.91, "elo_away": 1422.6, "elo_home": 1415.7, "elo_margin": 1.9, "expected_margin": 1.95, "expected_total": 175.26, "history_games": 927, "home_points_hl10": 87.35, "rest_diff": 1.1, "trend_margin": 1.7}, "historical_source_observation_times_verified": false, "inference_inputs": {"line": 1.5, "mean": 1.950731895762157, "sd": 13.37}, "model_version": "wnba-spread-margin-v2", "observed_at_utc": "2026-09-20T16:26:24.345494+00:00", "replay_scope": "Exact final classifier/distribution inputs and artifact. Upstream historical feature construction not certified.", "schema": "scalar-artifact-replay-v1", "snapshot_hash": "285a6fa12c4ed2c86534c21c74d0f4811a84668d0980c86e6713cb95db1fa4c6"}</t>
        </is>
      </c>
    </row>
    <row r="183" ht="36" customHeight="1">
      <c r="A183" s="24" t="inlineStr">
        <is>
          <t>fd4768d569fc457d</t>
        </is>
      </c>
      <c r="B183" s="24" t="inlineStr">
        <is>
          <t>2026-09-20T23:08:58.759691Z</t>
        </is>
      </c>
      <c r="C183" s="24" t="inlineStr">
        <is>
          <t>2026-09-20T21:00:00-0400</t>
        </is>
      </c>
      <c r="D183" s="24" t="inlineStr">
        <is>
          <t>401857205</t>
        </is>
      </c>
      <c r="E183" s="24" t="inlineStr">
        <is>
          <t>WNBA</t>
        </is>
      </c>
      <c r="F183" s="24" t="inlineStr">
        <is>
          <t>Seattle Storm</t>
        </is>
      </c>
      <c r="G183" s="24" t="inlineStr">
        <is>
          <t>Las Vegas Aces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model_opinion_no_executable_quote</t>
        </is>
      </c>
      <c r="L183" s="26" t="n">
        <v>-110</v>
      </c>
      <c r="M183" s="27" t="n">
        <v>1.909091</v>
      </c>
      <c r="N183" s="28" t="n">
        <v>0.52381</v>
      </c>
      <c r="O183" s="28" t="n">
        <v>0.763489</v>
      </c>
      <c r="P183" s="28" t="n"/>
      <c r="Q183" s="28" t="n">
        <v>0.239679</v>
      </c>
      <c r="R183" s="26" t="n">
        <v>100</v>
      </c>
      <c r="S183" s="29" t="n">
        <v>2</v>
      </c>
      <c r="T183" s="24" t="inlineStr">
        <is>
          <t>wnba-elo-trend-lr-v4</t>
        </is>
      </c>
      <c r="U183" s="24" t="inlineStr">
        <is>
          <t>settled</t>
        </is>
      </c>
      <c r="V183" s="24" t="inlineStr">
        <is>
          <t>win</t>
        </is>
      </c>
      <c r="W183" s="26" t="n">
        <v>77</v>
      </c>
      <c r="X183" s="26" t="n">
        <v>98</v>
      </c>
      <c r="Y183" s="25" t="n"/>
      <c r="Z183" s="26" t="n"/>
      <c r="AA183" s="28" t="n"/>
      <c r="AB183" s="28" t="n"/>
      <c r="AC183" s="30" t="n">
        <v>1.8182</v>
      </c>
      <c r="AD183" s="24" t="inlineStr">
        <is>
          <t>2026-09-21T04:30:37.312735Z</t>
        </is>
      </c>
      <c r="AE183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NO_CALL_AVAILABILITY_REPORT_INCOMPLETE, executable_quote_missing_or_unmatched unavailable for this game — defaulted to neutral, other features used normally.</t>
        </is>
      </c>
      <c r="AF183" s="31" t="inlineStr">
        <is>
          <t>Learned model; shadow-qualified via operator override.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PAPER_CALL_MARKET_UNAVAILABLE</t>
        </is>
      </c>
      <c r="AP183" s="24" t="inlineStr">
        <is>
          <t>wnba-sea</t>
        </is>
      </c>
      <c r="AQ183" s="24" t="inlineStr">
        <is>
          <t>Seattle Storm</t>
        </is>
      </c>
      <c r="AR183" s="24" t="inlineStr">
        <is>
          <t>Seattle Storm</t>
        </is>
      </c>
      <c r="AS183" s="24" t="inlineStr">
        <is>
          <t>wnba-lva</t>
        </is>
      </c>
      <c r="AT183" s="24" t="inlineStr">
        <is>
          <t>Las Vegas Aces</t>
        </is>
      </c>
      <c r="AU183" s="24" t="inlineStr">
        <is>
          <t>Las Vegas Aces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7afd5274214b58b7efd7f7febc7be3ab33b92351cda5cc6403c0a39faea0cc8c</t>
        </is>
      </c>
      <c r="BB183" s="24" t="inlineStr">
        <is>
          <t>learned_lr</t>
        </is>
      </c>
      <c r="BC183" s="24" t="inlineStr">
        <is>
          <t>wnba-elo-trend-lr-v4</t>
        </is>
      </c>
      <c r="BD183" s="24" t="inlineStr">
        <is>
          <t>7afd5274214b58b7efd7f7febc7be3ab33b92351cda5cc6403c0a39faea0cc8c</t>
        </is>
      </c>
      <c r="BE183" s="24" t="inlineStr">
        <is>
          <t>4cec000d7a92193d</t>
        </is>
      </c>
      <c r="BF183" s="24" t="inlineStr">
        <is>
          <t>1</t>
        </is>
      </c>
      <c r="BG183" s="24" t="inlineStr">
        <is>
          <t>wnba-elo-trend-lr-v4</t>
        </is>
      </c>
      <c r="BH183" s="24" t="inlineStr">
        <is>
          <t>2026-09-20T23:08:58.759691Z</t>
        </is>
      </c>
      <c r="BI183" s="24" t="inlineStr">
        <is>
          <t>["same_event","same_team_same_day","same_league_same_day"]</t>
        </is>
      </c>
      <c r="BJ183" s="25" t="n"/>
      <c r="BK183" s="26" t="n">
        <v>-110</v>
      </c>
      <c r="BL183" s="27" t="n">
        <v>1.909091</v>
      </c>
      <c r="BM183" s="28" t="n">
        <v>0.52381</v>
      </c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>
        <v>1</v>
      </c>
      <c r="BY183" s="27" t="n">
        <v>0.909091</v>
      </c>
      <c r="BZ183" s="24" t="inlineStr">
        <is>
          <t>2026-09-21T04:30:37.312735Z</t>
        </is>
      </c>
      <c r="CA183" s="31" t="inlineStr">
        <is>
          <t>fixed one-unit hypothetical scoring; no real exposure or execution</t>
        </is>
      </c>
      <c r="CB183" s="24" t="n"/>
      <c r="CC183" s="24" t="inlineStr">
        <is>
          <t>0.9003882803</t>
        </is>
      </c>
      <c r="CD183" s="24" t="inlineStr">
        <is>
          <t>9.757846</t>
        </is>
      </c>
      <c r="CE183" s="24" t="n"/>
      <c r="CF183" s="24" t="n"/>
      <c r="CG183" s="24" t="n"/>
      <c r="CH183" s="24" t="n"/>
      <c r="CI183" s="24" t="inlineStr">
        <is>
          <t>NO_CALL_AVAILABILITY_REPORT_INCOMPLETE,executable_quote_missing_or_unmatched</t>
        </is>
      </c>
      <c r="CJ183" s="24" t="inlineStr">
        <is>
          <t>4.272983</t>
        </is>
      </c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True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0.52381</t>
        </is>
      </c>
      <c r="DK183" s="24" t="n"/>
      <c r="DL183" s="24" t="n"/>
      <c r="DM183" s="24" t="n"/>
      <c r="DN183" s="24" t="n"/>
      <c r="DO183" s="24" t="n"/>
      <c r="DP183" s="24" t="n"/>
      <c r="DQ183" s="24" t="inlineStr">
        <is>
          <t>{"adjustment": {"applied": false, "method": "identity", "reason": "NO_CALL_AVAILABILITY_REPORT_INCOMPLETE"},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0.7634889383724922, "event_id": "401857205", "event_start_utc": "2026-09-21T01:00:00+00:00", "features": {"defensive_trend_gap": 4.272983, "elo_probability": 0.9003882803433808, "trend_gap": 9.757846}, "historical_source_observation_times_verified": false, "model_version": "wnba-elo-trend-lr-v4", "observed_at_utc": "2026-09-20T23:08:58.759691+00:00", "schema": "learned-moneyline-replay-v1", "served_home_probability": 0.7634889383724922, "snapshot_hash": "4098b98f44d3f0d2e147d692978b5e0f4b93ecc8368d656828f7813677fe51cd"}</t>
        </is>
      </c>
    </row>
    <row r="184" ht="36" customHeight="1">
      <c r="A184" s="24" t="inlineStr">
        <is>
          <t>d41ad500587b492b</t>
        </is>
      </c>
      <c r="B184" s="24" t="inlineStr">
        <is>
          <t>2026-09-20T23:09:08.346726Z</t>
        </is>
      </c>
      <c r="C184" s="24" t="inlineStr">
        <is>
          <t>2026-09-21T01:00Z</t>
        </is>
      </c>
      <c r="D184" s="24" t="inlineStr">
        <is>
          <t>401857205</t>
        </is>
      </c>
      <c r="E184" s="24" t="inlineStr">
        <is>
          <t>WNBA</t>
        </is>
      </c>
      <c r="F184" s="24" t="inlineStr">
        <is>
          <t>Seattle Storm</t>
        </is>
      </c>
      <c r="G184" s="24" t="inlineStr">
        <is>
          <t>Las Vegas Aces</t>
        </is>
      </c>
      <c r="H184" s="24" t="inlineStr">
        <is>
          <t>total</t>
        </is>
      </c>
      <c r="I184" s="24" t="inlineStr">
        <is>
          <t>under</t>
        </is>
      </c>
      <c r="J184" s="25" t="n">
        <v>176.5</v>
      </c>
      <c r="K184" s="24" t="inlineStr">
        <is>
          <t>polymarket_us</t>
        </is>
      </c>
      <c r="L184" s="26" t="n">
        <v>-108</v>
      </c>
      <c r="M184" s="27" t="n">
        <v>1.925926</v>
      </c>
      <c r="N184" s="28" t="n">
        <v>0.519231</v>
      </c>
      <c r="O184" s="28" t="n">
        <v>0.603415</v>
      </c>
      <c r="P184" s="28" t="n">
        <v>0.03</v>
      </c>
      <c r="Q184" s="28" t="n">
        <v>0.08418399999999999</v>
      </c>
      <c r="R184" s="26" t="n">
        <v>74</v>
      </c>
      <c r="S184" s="29" t="n">
        <v>1.25</v>
      </c>
      <c r="T184" s="24" t="inlineStr">
        <is>
          <t>wnba-total-margin-v2</t>
        </is>
      </c>
      <c r="U184" s="24" t="inlineStr">
        <is>
          <t>settled</t>
        </is>
      </c>
      <c r="V184" s="24" t="inlineStr">
        <is>
          <t>win</t>
        </is>
      </c>
      <c r="W184" s="26" t="n">
        <v>77</v>
      </c>
      <c r="X184" s="26" t="n">
        <v>98</v>
      </c>
      <c r="Y184" s="25" t="n"/>
      <c r="Z184" s="26" t="n">
        <v>-108</v>
      </c>
      <c r="AA184" s="28" t="n">
        <v>0.52</v>
      </c>
      <c r="AB184" s="28" t="n">
        <v>0.000769</v>
      </c>
      <c r="AC184" s="30" t="n">
        <v>1.1574</v>
      </c>
      <c r="AD184" s="24" t="inlineStr">
        <is>
          <t>2026-09-21T04:30:40.674491Z</t>
        </is>
      </c>
      <c r="AE184" s="31" t="inlineStr">
        <is>
          <t>Projected total 172.3, sd 16.0. Executable ask 0.5200 (tsc-wnba-sea-lv-2026-09-20-176pt5).</t>
        </is>
      </c>
      <c r="AF184" s="31" t="inlineStr">
        <is>
          <t>Research-baseline total model; not yet locked-holdout qualified.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model_qualified</t>
        </is>
      </c>
      <c r="AL184" s="26" t="n">
        <v>4</v>
      </c>
      <c r="AM184" s="24" t="inlineStr">
        <is>
          <t>QUALIFIED_SHADOW_CALL</t>
        </is>
      </c>
      <c r="AN184" s="24" t="inlineStr">
        <is>
          <t>CALL</t>
        </is>
      </c>
      <c r="AO184" s="24" t="inlineStr">
        <is>
          <t>QUALIFIED</t>
        </is>
      </c>
      <c r="AP184" s="24" t="inlineStr">
        <is>
          <t>wnba-sea</t>
        </is>
      </c>
      <c r="AQ184" s="24" t="inlineStr">
        <is>
          <t>Seattle Storm</t>
        </is>
      </c>
      <c r="AR184" s="24" t="inlineStr">
        <is>
          <t>Seattle Storm</t>
        </is>
      </c>
      <c r="AS184" s="24" t="inlineStr">
        <is>
          <t>wnba-lva</t>
        </is>
      </c>
      <c r="AT184" s="24" t="inlineStr">
        <is>
          <t>Las Vegas Aces</t>
        </is>
      </c>
      <c r="AU184" s="24" t="inlineStr">
        <is>
          <t>Las Vegas Aces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research</t>
        </is>
      </c>
      <c r="BA184" s="24" t="inlineStr">
        <is>
          <t>9c9b767590bbbb9a7b333eaf9def066d65bf813e735ed73aa27cfb2c609a4ca5</t>
        </is>
      </c>
      <c r="BB184" s="24" t="inlineStr">
        <is>
          <t>total_normal</t>
        </is>
      </c>
      <c r="BC184" s="24" t="inlineStr">
        <is>
          <t>wnba-total-margin-v2</t>
        </is>
      </c>
      <c r="BD184" s="24" t="inlineStr">
        <is>
          <t>9c9b767590bbbb9a7b333eaf9def066d65bf813e735ed73aa27cfb2c609a4ca5</t>
        </is>
      </c>
      <c r="BE184" s="24" t="inlineStr">
        <is>
          <t>wnba-total-margin-v2</t>
        </is>
      </c>
      <c r="BF184" s="24" t="inlineStr">
        <is>
          <t>1</t>
        </is>
      </c>
      <c r="BG184" s="24" t="inlineStr">
        <is>
          <t>9c9b767590bbbb9a7b333eaf9def066d65bf813e735ed73aa27cfb2c609a4ca5</t>
        </is>
      </c>
      <c r="BH184" s="24" t="inlineStr">
        <is>
          <t>2026-09-20T22:52:09.289411Z</t>
        </is>
      </c>
      <c r="BI184" s="24" t="inlineStr">
        <is>
          <t>["same_event","same_team_same_day","same_league_same_day"]</t>
        </is>
      </c>
      <c r="BJ184" s="25" t="n">
        <v>176.5</v>
      </c>
      <c r="BK184" s="26" t="n">
        <v>-108</v>
      </c>
      <c r="BL184" s="27" t="n">
        <v>1.925926</v>
      </c>
      <c r="BM184" s="28" t="n">
        <v>0.519231</v>
      </c>
      <c r="BN184" s="28" t="n"/>
      <c r="BO184" s="28" t="n"/>
      <c r="BP184" s="25" t="n"/>
      <c r="BQ184" s="27" t="n">
        <v>1.925926</v>
      </c>
      <c r="BR184" s="28" t="n">
        <v>0.52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inlineStr">
        <is>
          <t>2026-09-20T22:52:09.289411Z</t>
        </is>
      </c>
      <c r="CZ184" s="24" t="inlineStr">
        <is>
          <t>True</t>
        </is>
      </c>
      <c r="DA184" s="24" t="inlineStr">
        <is>
          <t>polymarket_us</t>
        </is>
      </c>
      <c r="DB184" s="24" t="inlineStr">
        <is>
          <t>decision_time_executable_quote</t>
        </is>
      </c>
      <c r="DC184" s="24" t="inlineStr">
        <is>
          <t>False</t>
        </is>
      </c>
      <c r="DD184" s="24" t="inlineStr">
        <is>
          <t>fcae2b777197e915940df93294730b37a95e53906adf07a4d082da3d00871b2f</t>
        </is>
      </c>
      <c r="DE184" s="24" t="inlineStr">
        <is>
          <t>/Users/vincentc9002/model-prediction/data/odds/wnba/2026-09-20/polymarket_snapshots.jsonl</t>
        </is>
      </c>
      <c r="DF184" s="24" t="inlineStr">
        <is>
          <t>fcae2b777197e915940df93294730b37a95e53906adf07a4d082da3d00871b2f</t>
        </is>
      </c>
      <c r="DG184" s="24" t="n"/>
      <c r="DH184" s="24" t="n"/>
      <c r="DI184" s="24" t="n"/>
      <c r="DJ184" s="24" t="inlineStr">
        <is>
          <t>0.519231</t>
        </is>
      </c>
      <c r="DK184" s="24" t="n"/>
      <c r="DL184" s="24" t="n"/>
      <c r="DM184" s="24" t="n"/>
      <c r="DN184" s="24" t="n"/>
      <c r="DO184" s="24" t="n"/>
      <c r="DP184" s="24" t="n"/>
      <c r="DQ184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"401857205", "event_start_utc": "2026-09-21T01:00Z", "features": {"away_points_hl10": 83.06, "elo_away": 1296.8, "elo_home": 1619.3, "elo_margin": 13.66, "expected_margin": 8.26, "expected_total": 172.3, "history_games": 927, "home_points_hl10": 89.32, "rest_diff": 0.0, "trend_margin": 8.26}, "historical_source_observation_times_verified": false, "inference_inputs": {"line": 176.5, "mean": 172.3048389, "sd": 16.0}, "model_version": "wnba-total-margin-v2", "observed_at_utc": "2026-09-20T23:09:07.901531+00:00", "replay_scope": "Exact final classifier/distribution inputs and artifact. Upstream historical feature construction not certified.", "schema": "scalar-artifact-replay-v1", "snapshot_hash": "dc56541faf84310a1ae57a1559b670c1cc7fa29b72e1307086707edc629f8807"}</t>
        </is>
      </c>
    </row>
    <row r="185" ht="36" customHeight="1">
      <c r="A185" s="24" t="inlineStr">
        <is>
          <t>5f2a8bff142a4331</t>
        </is>
      </c>
      <c r="B185" s="24" t="inlineStr">
        <is>
          <t>2026-09-20T23:09:08.352173Z</t>
        </is>
      </c>
      <c r="C185" s="24" t="inlineStr">
        <is>
          <t>2026-09-21T01:00Z</t>
        </is>
      </c>
      <c r="D185" s="24" t="inlineStr">
        <is>
          <t>401857205</t>
        </is>
      </c>
      <c r="E185" s="24" t="inlineStr">
        <is>
          <t>WNBA</t>
        </is>
      </c>
      <c r="F185" s="24" t="inlineStr">
        <is>
          <t>Seattle Storm</t>
        </is>
      </c>
      <c r="G185" s="24" t="inlineStr">
        <is>
          <t>Las Vegas Aces</t>
        </is>
      </c>
      <c r="H185" s="24" t="inlineStr">
        <is>
          <t>spread</t>
        </is>
      </c>
      <c r="I185" s="24" t="inlineStr">
        <is>
          <t>away</t>
        </is>
      </c>
      <c r="J185" s="25" t="n">
        <v>16.5</v>
      </c>
      <c r="K185" s="24" t="inlineStr">
        <is>
          <t>polymarket_us</t>
        </is>
      </c>
      <c r="L185" s="26" t="n">
        <v>113</v>
      </c>
      <c r="M185" s="27" t="n">
        <v>2.13</v>
      </c>
      <c r="N185" s="28" t="n">
        <v>0.469484</v>
      </c>
      <c r="O185" s="28" t="n">
        <v>0.6529430000000001</v>
      </c>
      <c r="P185" s="28" t="n">
        <v>0.03</v>
      </c>
      <c r="Q185" s="28" t="n">
        <v>0.183459</v>
      </c>
      <c r="R185" s="26" t="n">
        <v>100</v>
      </c>
      <c r="S185" s="29" t="n">
        <v>2</v>
      </c>
      <c r="T185" s="24" t="inlineStr">
        <is>
          <t>wnba-spread-margin-v2</t>
        </is>
      </c>
      <c r="U185" s="24" t="inlineStr">
        <is>
          <t>settled</t>
        </is>
      </c>
      <c r="V185" s="24" t="inlineStr">
        <is>
          <t>loss</t>
        </is>
      </c>
      <c r="W185" s="26" t="n">
        <v>77</v>
      </c>
      <c r="X185" s="26" t="n">
        <v>98</v>
      </c>
      <c r="Y185" s="25" t="n"/>
      <c r="Z185" s="26" t="n"/>
      <c r="AA185" s="28" t="n"/>
      <c r="AB185" s="28" t="n"/>
      <c r="AC185" s="30" t="n">
        <v>-2</v>
      </c>
      <c r="AD185" s="24" t="inlineStr">
        <is>
          <t>2026-09-21T04:30:40.957317Z</t>
        </is>
      </c>
      <c r="AE185" s="31" t="inlineStr">
        <is>
          <t>Projected margin +11.2 (home), sd 13.4. Executable ask 0.4700 (asc-wnba-sea-lv-2026-09-20-pos-16pt5).</t>
        </is>
      </c>
      <c r="AF185" s="31" t="inlineStr">
        <is>
          <t>Point-in-time composite Elo + trend + rest margin-normal spread model.</t>
        </is>
      </c>
      <c r="AG185" s="24" t="inlineStr">
        <is>
          <t>review_required</t>
        </is>
      </c>
      <c r="AH185" s="24" t="n"/>
      <c r="AI185" s="31" t="n"/>
      <c r="AJ185" s="31" t="n"/>
      <c r="AK185" s="24" t="inlineStr">
        <is>
          <t>model_qualified</t>
        </is>
      </c>
      <c r="AL185" s="26" t="n">
        <v>4</v>
      </c>
      <c r="AM185" s="24" t="inlineStr">
        <is>
          <t>QUALIFIED_SHADOW_CALL</t>
        </is>
      </c>
      <c r="AN185" s="24" t="inlineStr">
        <is>
          <t>CALL</t>
        </is>
      </c>
      <c r="AO185" s="24" t="inlineStr">
        <is>
          <t>QUALIFIED</t>
        </is>
      </c>
      <c r="AP185" s="24" t="inlineStr">
        <is>
          <t>wnba-sea</t>
        </is>
      </c>
      <c r="AQ185" s="24" t="inlineStr">
        <is>
          <t>Seattle Storm</t>
        </is>
      </c>
      <c r="AR185" s="24" t="inlineStr">
        <is>
          <t>Seattle Storm</t>
        </is>
      </c>
      <c r="AS185" s="24" t="inlineStr">
        <is>
          <t>wnba-lva</t>
        </is>
      </c>
      <c r="AT185" s="24" t="inlineStr">
        <is>
          <t>Las Vegas Aces</t>
        </is>
      </c>
      <c r="AU185" s="24" t="inlineStr">
        <is>
          <t>Las Vegas Aces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f7d192f98d825d7c77be21b0531a91cff101ad35e418fe9d7e07c5d0f769f974</t>
        </is>
      </c>
      <c r="BB185" s="24" t="inlineStr">
        <is>
          <t>margin_normal</t>
        </is>
      </c>
      <c r="BC185" s="24" t="inlineStr">
        <is>
          <t>wnba-spread-margin-v2</t>
        </is>
      </c>
      <c r="BD185" s="24" t="inlineStr">
        <is>
          <t>f7d192f98d825d7c77be21b0531a91cff101ad35e418fe9d7e07c5d0f769f974</t>
        </is>
      </c>
      <c r="BE185" s="24" t="inlineStr">
        <is>
          <t>wnba-spread-margin-v2</t>
        </is>
      </c>
      <c r="BF185" s="24" t="inlineStr">
        <is>
          <t>1</t>
        </is>
      </c>
      <c r="BG185" s="24" t="inlineStr">
        <is>
          <t>f7d192f98d825d7c77be21b0531a91cff101ad35e418fe9d7e07c5d0f769f974</t>
        </is>
      </c>
      <c r="BH185" s="24" t="inlineStr">
        <is>
          <t>2026-09-20T22:52:09.363734Z</t>
        </is>
      </c>
      <c r="BI185" s="24" t="inlineStr">
        <is>
          <t>["same_event","same_team_same_day","same_league_same_day"]</t>
        </is>
      </c>
      <c r="BJ185" s="25" t="n">
        <v>16.5</v>
      </c>
      <c r="BK185" s="26" t="n">
        <v>113</v>
      </c>
      <c r="BL185" s="27" t="n">
        <v>2.13</v>
      </c>
      <c r="BM185" s="28" t="n">
        <v>0.469484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inlineStr">
        <is>
          <t>2026-09-20T22:52:09.363734Z</t>
        </is>
      </c>
      <c r="CZ185" s="24" t="inlineStr">
        <is>
          <t>True</t>
        </is>
      </c>
      <c r="DA185" s="24" t="inlineStr">
        <is>
          <t>polymarket_us</t>
        </is>
      </c>
      <c r="DB185" s="24" t="inlineStr">
        <is>
          <t>decision_time_executable_quote</t>
        </is>
      </c>
      <c r="DC185" s="24" t="inlineStr">
        <is>
          <t>False</t>
        </is>
      </c>
      <c r="DD185" s="24" t="inlineStr">
        <is>
          <t>3fbd1d63ae481eeb2d2ffb171e2af03e9b064de0e4ade4ff5fcaa40ba4e47fbe</t>
        </is>
      </c>
      <c r="DE185" s="24" t="inlineStr">
        <is>
          <t>/Users/vincentc9002/model-prediction/data/odds/wnba/2026-09-20/polymarket_snapshots.jsonl</t>
        </is>
      </c>
      <c r="DF185" s="24" t="inlineStr">
        <is>
          <t>3fbd1d63ae481eeb2d2ffb171e2af03e9b064de0e4ade4ff5fcaa40ba4e47fbe</t>
        </is>
      </c>
      <c r="DG185" s="24" t="n"/>
      <c r="DH185" s="24" t="n"/>
      <c r="DI185" s="24" t="n"/>
      <c r="DJ185" s="24" t="inlineStr">
        <is>
          <t>0.469484</t>
        </is>
      </c>
      <c r="DK185" s="24" t="n"/>
      <c r="DL185" s="24" t="n"/>
      <c r="DM185" s="24" t="n"/>
      <c r="DN185" s="24" t="n"/>
      <c r="DO185" s="24" t="n"/>
      <c r="DP185" s="24" t="n"/>
      <c r="DQ185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"401857205", "event_start_utc": "2026-09-21T01:00Z", "features": {"away_points_hl10": 83.06, "elo_away": 1296.8, "elo_home": 1619.3, "elo_margin": 13.66, "expected_margin": 11.24, "expected_total": 172.37, "history_games": 927, "home_points_hl10": 89.32, "rest_diff": 2.0, "trend_margin": 8.52}, "historical_source_observation_times_verified": false, "inference_inputs": {"line": 16.5, "mean": 11.241869112922783, "sd": 13.37}, "model_version": "wnba-spread-margin-v2", "observed_at_utc": "2026-09-20T23:09:07.901278+00:00", "replay_scope": "Exact final classifier/distribution inputs and artifact. Upstream historical feature construction not certified.", "schema": "scalar-artifact-replay-v1", "snapshot_hash": "8fd1a6071e11f8606f607ef022f147624c8112ec2b66d91514a4e486e5e4ad21"}</t>
        </is>
      </c>
    </row>
    <row r="186" ht="36" customHeight="1">
      <c r="A186" s="24" t="inlineStr">
        <is>
          <t>1836cac360b140cb</t>
        </is>
      </c>
      <c r="B186" s="24" t="inlineStr">
        <is>
          <t>2026-09-21T22:06:49.753475Z</t>
        </is>
      </c>
      <c r="C186" s="24" t="inlineStr">
        <is>
          <t>2026-09-21T20:00:00-0400</t>
        </is>
      </c>
      <c r="D186" s="24" t="inlineStr">
        <is>
          <t>401857206</t>
        </is>
      </c>
      <c r="E186" s="24" t="inlineStr">
        <is>
          <t>WNBA</t>
        </is>
      </c>
      <c r="F186" s="24" t="inlineStr">
        <is>
          <t>Atlanta Dream</t>
        </is>
      </c>
      <c r="G186" s="24" t="inlineStr">
        <is>
          <t>New York Liberty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113</v>
      </c>
      <c r="M186" s="27" t="n">
        <v>2.13</v>
      </c>
      <c r="N186" s="28" t="n">
        <v>0.469484</v>
      </c>
      <c r="O186" s="28" t="n">
        <v>0.58503</v>
      </c>
      <c r="P186" s="28" t="n"/>
      <c r="Q186" s="28" t="n">
        <v>0.115546</v>
      </c>
      <c r="R186" s="26" t="n">
        <v>100</v>
      </c>
      <c r="S186" s="29" t="n">
        <v>1.5</v>
      </c>
      <c r="T186" s="24" t="inlineStr">
        <is>
          <t>wnba-elo-trend-lr-v4</t>
        </is>
      </c>
      <c r="U186" s="24" t="inlineStr">
        <is>
          <t>settled</t>
        </is>
      </c>
      <c r="V186" s="24" t="inlineStr">
        <is>
          <t>loss</t>
        </is>
      </c>
      <c r="W186" s="26" t="n">
        <v>95</v>
      </c>
      <c r="X186" s="26" t="n">
        <v>84</v>
      </c>
      <c r="Y186" s="25" t="n"/>
      <c r="Z186" s="26" t="n">
        <v>113</v>
      </c>
      <c r="AA186" s="28" t="n">
        <v>0.47</v>
      </c>
      <c r="AB186" s="28" t="n">
        <v>0.000516</v>
      </c>
      <c r="AC186" s="30" t="n">
        <v>-1.5</v>
      </c>
      <c r="AD186" s="24" t="inlineStr">
        <is>
          <t>2026-09-22T04:37:33.529421Z</t>
        </is>
      </c>
      <c r="AE186" s="31" t="inlineStr">
        <is>
          <t>Learned LR call at threshold 0.5001; executable ask 0.4700 (aec-wnba-atl-ny-2026-09-21); model edge vs ask +0.1150. NOTE: NO_CALL_AVAILABILITY_PLAYER_UNMAPPED unavailable for this game — defaulted to neutral, other features used normally.</t>
        </is>
      </c>
      <c r="AF186" s="31" t="inlineStr">
        <is>
          <t>Learned model; shadow-qualified via operator override.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paper_call</t>
        </is>
      </c>
      <c r="AL186" s="26" t="n">
        <v>4</v>
      </c>
      <c r="AM186" s="24" t="inlineStr">
        <is>
          <t>RESEARCH_OBSERVATION</t>
        </is>
      </c>
      <c r="AN186" s="24" t="inlineStr">
        <is>
          <t>CALL</t>
        </is>
      </c>
      <c r="AO186" s="24" t="inlineStr">
        <is>
          <t>PAPER_CALL_STALE_DATA</t>
        </is>
      </c>
      <c r="AP186" s="24" t="inlineStr">
        <is>
          <t>wnba-atl</t>
        </is>
      </c>
      <c r="AQ186" s="24" t="inlineStr">
        <is>
          <t>Atlanta Dream</t>
        </is>
      </c>
      <c r="AR186" s="24" t="inlineStr">
        <is>
          <t>Atlanta Dream</t>
        </is>
      </c>
      <c r="AS186" s="24" t="inlineStr">
        <is>
          <t>wnba-nyl</t>
        </is>
      </c>
      <c r="AT186" s="24" t="inlineStr">
        <is>
          <t>New York Liberty</t>
        </is>
      </c>
      <c r="AU186" s="24" t="inlineStr">
        <is>
          <t>New York Liberty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7afd5274214b58b7efd7f7febc7be3ab33b92351cda5cc6403c0a39faea0cc8c</t>
        </is>
      </c>
      <c r="BB186" s="24" t="inlineStr">
        <is>
          <t>learned_lr</t>
        </is>
      </c>
      <c r="BC186" s="24" t="inlineStr">
        <is>
          <t>wnba-elo-trend-lr-v4</t>
        </is>
      </c>
      <c r="BD186" s="24" t="inlineStr">
        <is>
          <t>7afd5274214b58b7efd7f7febc7be3ab33b92351cda5cc6403c0a39faea0cc8c</t>
        </is>
      </c>
      <c r="BE186" s="24" t="inlineStr">
        <is>
          <t>8701c82c90d70b52</t>
        </is>
      </c>
      <c r="BF186" s="24" t="inlineStr">
        <is>
          <t>1</t>
        </is>
      </c>
      <c r="BG186" s="24" t="inlineStr">
        <is>
          <t>wnba-elo-trend-lr-v4</t>
        </is>
      </c>
      <c r="BH186" s="24" t="inlineStr">
        <is>
          <t>2026-09-21T04:33:39.982216Z</t>
        </is>
      </c>
      <c r="BI186" s="24" t="inlineStr">
        <is>
          <t>["same_event","same_team_same_day","same_league_same_day"]</t>
        </is>
      </c>
      <c r="BJ186" s="25" t="n"/>
      <c r="BK186" s="26" t="n">
        <v>113</v>
      </c>
      <c r="BL186" s="27" t="n">
        <v>2.13</v>
      </c>
      <c r="BM186" s="28" t="n">
        <v>0.469484</v>
      </c>
      <c r="BN186" s="28" t="n">
        <v>0.465347</v>
      </c>
      <c r="BO186" s="28" t="n"/>
      <c r="BP186" s="25" t="n"/>
      <c r="BQ186" s="27" t="n">
        <v>2.13</v>
      </c>
      <c r="BR186" s="28" t="n">
        <v>0.47</v>
      </c>
      <c r="BS186" s="28" t="n"/>
      <c r="BT186" s="28" t="n"/>
      <c r="BU186" s="25" t="n"/>
      <c r="BV186" s="29" t="n"/>
      <c r="BW186" s="24" t="n"/>
      <c r="BX186" s="30" t="n">
        <v>1</v>
      </c>
      <c r="BY186" s="27" t="n">
        <v>-1</v>
      </c>
      <c r="BZ186" s="24" t="inlineStr">
        <is>
          <t>2026-09-22T04:37:33.529421Z</t>
        </is>
      </c>
      <c r="CA186" s="31" t="inlineStr">
        <is>
          <t>fixed one-unit hypothetical scoring; no real exposure or execution</t>
        </is>
      </c>
      <c r="CB186" s="24" t="n"/>
      <c r="CC186" s="24" t="inlineStr">
        <is>
          <t>0.6045687051</t>
        </is>
      </c>
      <c r="CD186" s="24" t="inlineStr">
        <is>
          <t>-4.061756</t>
        </is>
      </c>
      <c r="CE186" s="24" t="n"/>
      <c r="CF186" s="24" t="n"/>
      <c r="CG186" s="24" t="n"/>
      <c r="CH186" s="24" t="n"/>
      <c r="CI186" s="24" t="inlineStr">
        <is>
          <t>NO_CALL_AVAILABILITY_PLAYER_UNMAPPED</t>
        </is>
      </c>
      <c r="CJ186" s="24" t="inlineStr">
        <is>
          <t>2.434636</t>
        </is>
      </c>
      <c r="CK186" s="24" t="n"/>
      <c r="CL186" s="24" t="n"/>
      <c r="CM186" s="24" t="n"/>
      <c r="CN186" s="24" t="n"/>
      <c r="CO186" s="24" t="n"/>
      <c r="CP186" s="24" t="n"/>
      <c r="CQ186" s="24" t="n"/>
      <c r="CR186" s="24" t="inlineStr">
        <is>
          <t>0.58503</t>
        </is>
      </c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inlineStr">
        <is>
          <t>2026-09-21T04:33:39.982216Z</t>
        </is>
      </c>
      <c r="CZ186" s="24" t="inlineStr">
        <is>
          <t>True</t>
        </is>
      </c>
      <c r="DA186" s="24" t="inlineStr">
        <is>
          <t>polymarket_us</t>
        </is>
      </c>
      <c r="DB186" s="24" t="inlineStr">
        <is>
          <t>decision_time_executable_quote</t>
        </is>
      </c>
      <c r="DC186" s="24" t="inlineStr">
        <is>
          <t>False</t>
        </is>
      </c>
      <c r="DD186" s="24" t="inlineStr">
        <is>
          <t>6c841185a4c67031cf47dfb88a97f1f5867840b73a9d634f82ee253e4c20fbba</t>
        </is>
      </c>
      <c r="DE186" s="24" t="inlineStr">
        <is>
          <t>/Users/vincentc9002/model-prediction/data/odds/wnba/2026-09-21/polymarket_snapshots.jsonl</t>
        </is>
      </c>
      <c r="DF186" s="24" t="inlineStr">
        <is>
          <t>6c841185a4c67031cf47dfb88a97f1f5867840b73a9d634f82ee253e4c20fbba</t>
        </is>
      </c>
      <c r="DG186" s="24" t="n"/>
      <c r="DH186" s="24" t="n"/>
      <c r="DI186" s="24" t="n"/>
      <c r="DJ186" s="24" t="inlineStr">
        <is>
          <t>0.469484</t>
        </is>
      </c>
      <c r="DK186" s="24" t="n"/>
      <c r="DL186" s="24" t="n"/>
      <c r="DM186" s="24" t="n"/>
      <c r="DN186" s="24" t="n"/>
      <c r="DO186" s="24" t="n"/>
      <c r="DP186" s="24" t="n"/>
      <c r="DQ186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0.5850302465612311, "event_id": "401857206", "event_start_utc": "2026-09-22T00:00:00+00:00", "features": {"defensive_trend_gap": 2.4346360000000002, "elo_probability": 0.6045687051229948, "trend_gap": -4.061756}, "historical_source_observation_times_verified": false, "model_version": "wnba-elo-trend-lr-v4", "observed_at_utc": "2026-09-21T22:06:49.753475+00:00", "schema": "learned-moneyline-replay-v1", "served_home_probability": 0.5850302465612311, "snapshot_hash": "ac3ac5d084c158558bc79c304df0114d832e064a08fb262d62136c26f4bfad7a"}</t>
        </is>
      </c>
    </row>
    <row r="187" ht="36" customHeight="1">
      <c r="A187" s="24" t="inlineStr">
        <is>
          <t>2555d967734a41e2</t>
        </is>
      </c>
      <c r="B187" s="24" t="inlineStr">
        <is>
          <t>2026-09-21T22:06:49.753475Z</t>
        </is>
      </c>
      <c r="C187" s="24" t="inlineStr">
        <is>
          <t>2026-09-21T22:00:00-0400</t>
        </is>
      </c>
      <c r="D187" s="24" t="inlineStr">
        <is>
          <t>401857207</t>
        </is>
      </c>
      <c r="E187" s="24" t="inlineStr">
        <is>
          <t>WNBA</t>
        </is>
      </c>
      <c r="F187" s="24" t="inlineStr">
        <is>
          <t>Dallas Wings</t>
        </is>
      </c>
      <c r="G187" s="24" t="inlineStr">
        <is>
          <t>Phoenix Mercury</t>
        </is>
      </c>
      <c r="H187" s="24" t="inlineStr">
        <is>
          <t>moneyline</t>
        </is>
      </c>
      <c r="I187" s="24" t="inlineStr">
        <is>
          <t>away</t>
        </is>
      </c>
      <c r="J187" s="25" t="n"/>
      <c r="K187" s="24" t="inlineStr">
        <is>
          <t>model_opinion_no_executable_quote</t>
        </is>
      </c>
      <c r="L187" s="26" t="n">
        <v>-110</v>
      </c>
      <c r="M187" s="27" t="n">
        <v>1.909091</v>
      </c>
      <c r="N187" s="28" t="n">
        <v>0.52381</v>
      </c>
      <c r="O187" s="28" t="n">
        <v>0.649728</v>
      </c>
      <c r="P187" s="28" t="n"/>
      <c r="Q187" s="28" t="n">
        <v>0.125918</v>
      </c>
      <c r="R187" s="26" t="n">
        <v>83</v>
      </c>
      <c r="S187" s="29" t="n">
        <v>1.5</v>
      </c>
      <c r="T187" s="24" t="inlineStr">
        <is>
          <t>wnba-elo-trend-lr-v4</t>
        </is>
      </c>
      <c r="U187" s="24" t="inlineStr">
        <is>
          <t>settled</t>
        </is>
      </c>
      <c r="V187" s="24" t="inlineStr">
        <is>
          <t>loss</t>
        </is>
      </c>
      <c r="W187" s="26" t="n">
        <v>86</v>
      </c>
      <c r="X187" s="26" t="n">
        <v>87</v>
      </c>
      <c r="Y187" s="25" t="n"/>
      <c r="Z187" s="26" t="n"/>
      <c r="AA187" s="28" t="n"/>
      <c r="AB187" s="28" t="n"/>
      <c r="AC187" s="30" t="n">
        <v>-1.5</v>
      </c>
      <c r="AD187" s="24" t="inlineStr">
        <is>
          <t>2026-09-22T04:37:33.939579Z</t>
        </is>
      </c>
      <c r="AE187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87" s="31" t="inlineStr">
        <is>
          <t>Learned model; shadow-qualified via operator override.</t>
        </is>
      </c>
      <c r="AG187" s="24" t="inlineStr">
        <is>
          <t>review_required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PAPER_CALL_MARKET_UNAVAILABLE</t>
        </is>
      </c>
      <c r="AP187" s="24" t="inlineStr">
        <is>
          <t>wnba-dal</t>
        </is>
      </c>
      <c r="AQ187" s="24" t="inlineStr">
        <is>
          <t>Dallas Wings</t>
        </is>
      </c>
      <c r="AR187" s="24" t="inlineStr">
        <is>
          <t>Dallas Wings</t>
        </is>
      </c>
      <c r="AS187" s="24" t="inlineStr">
        <is>
          <t>wnba-phx</t>
        </is>
      </c>
      <c r="AT187" s="24" t="inlineStr">
        <is>
          <t>Phoenix Mercury</t>
        </is>
      </c>
      <c r="AU187" s="24" t="inlineStr">
        <is>
          <t>Phoenix Mercury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7afd5274214b58b7efd7f7febc7be3ab33b92351cda5cc6403c0a39faea0cc8c</t>
        </is>
      </c>
      <c r="BB187" s="24" t="inlineStr">
        <is>
          <t>learned_lr</t>
        </is>
      </c>
      <c r="BC187" s="24" t="inlineStr">
        <is>
          <t>wnba-elo-trend-lr-v4</t>
        </is>
      </c>
      <c r="BD187" s="24" t="inlineStr">
        <is>
          <t>7afd5274214b58b7efd7f7febc7be3ab33b92351cda5cc6403c0a39faea0cc8c</t>
        </is>
      </c>
      <c r="BE187" s="24" t="inlineStr">
        <is>
          <t>9cb733dff1c1d86e</t>
        </is>
      </c>
      <c r="BF187" s="24" t="inlineStr">
        <is>
          <t>1</t>
        </is>
      </c>
      <c r="BG187" s="24" t="inlineStr">
        <is>
          <t>wnba-elo-trend-lr-v4</t>
        </is>
      </c>
      <c r="BH187" s="24" t="inlineStr">
        <is>
          <t>2026-09-21T22:06:49.753475Z</t>
        </is>
      </c>
      <c r="BI187" s="24" t="inlineStr">
        <is>
          <t>["same_event","same_team_same_day","same_league_same_day"]</t>
        </is>
      </c>
      <c r="BJ187" s="25" t="n"/>
      <c r="BK187" s="26" t="n">
        <v>-110</v>
      </c>
      <c r="BL187" s="27" t="n">
        <v>1.909091</v>
      </c>
      <c r="BM187" s="28" t="n">
        <v>0.52381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>
        <v>1</v>
      </c>
      <c r="BY187" s="27" t="n">
        <v>-1</v>
      </c>
      <c r="BZ187" s="24" t="inlineStr">
        <is>
          <t>2026-09-22T04:37:33.939579Z</t>
        </is>
      </c>
      <c r="CA187" s="31" t="inlineStr">
        <is>
          <t>fixed one-unit hypothetical scoring; no real exposure or execution</t>
        </is>
      </c>
      <c r="CB187" s="24" t="n"/>
      <c r="CC187" s="24" t="inlineStr">
        <is>
          <t>0.2941072973</t>
        </is>
      </c>
      <c r="CD187" s="24" t="inlineStr">
        <is>
          <t>-2.360147</t>
        </is>
      </c>
      <c r="CE187" s="24" t="n"/>
      <c r="CF187" s="24" t="n"/>
      <c r="CG187" s="24" t="n"/>
      <c r="CH187" s="24" t="n"/>
      <c r="CI187" s="24" t="inlineStr">
        <is>
          <t>NO_CALL_AVAILABILITY_SOURCE_CONFLICT,executable_quote_missing_or_unmatched</t>
        </is>
      </c>
      <c r="CJ187" s="24" t="inlineStr">
        <is>
          <t>-5.493768</t>
        </is>
      </c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True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0.52381</t>
        </is>
      </c>
      <c r="DK187" s="24" t="n"/>
      <c r="DL187" s="24" t="n"/>
      <c r="DM187" s="24" t="n"/>
      <c r="DN187" s="24" t="n"/>
      <c r="DO187" s="24" t="n"/>
      <c r="DP187" s="24" t="n"/>
      <c r="DQ187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0.35027166991678405, "event_id": "401857207", "event_start_utc": "2026-09-22T02:00:00+00:00", "features": {"defensive_trend_gap": -5.493767999999999, "elo_probability": 0.2941072973345007, "trend_gap": -2.360147}, "historical_source_observation_times_verified": false, "model_version": "wnba-elo-trend-lr-v4", "observed_at_utc": "2026-09-21T22:06:49.753475+00:00", "schema": "learned-moneyline-replay-v1", "served_home_probability": 0.35027166991678405, "snapshot_hash": "1597642405c4a708f39d0f4f3dd799d834d99fa5ce8eb8fc7a5e95b5641142b2"}</t>
        </is>
      </c>
    </row>
    <row r="188" ht="36" customHeight="1">
      <c r="A188" s="24" t="inlineStr">
        <is>
          <t>06567dc955894a7e</t>
        </is>
      </c>
      <c r="B188" s="24" t="inlineStr">
        <is>
          <t>2026-09-21T22:07:18.065458Z</t>
        </is>
      </c>
      <c r="C188" s="24" t="inlineStr">
        <is>
          <t>2026-09-22T00:00Z</t>
        </is>
      </c>
      <c r="D188" s="24" t="inlineStr">
        <is>
          <t>401857206</t>
        </is>
      </c>
      <c r="E188" s="24" t="inlineStr">
        <is>
          <t>WNBA</t>
        </is>
      </c>
      <c r="F188" s="24" t="inlineStr">
        <is>
          <t>Atlanta Dream</t>
        </is>
      </c>
      <c r="G188" s="24" t="inlineStr">
        <is>
          <t>New York Liberty</t>
        </is>
      </c>
      <c r="H188" s="24" t="inlineStr">
        <is>
          <t>spread</t>
        </is>
      </c>
      <c r="I188" s="24" t="inlineStr">
        <is>
          <t>home</t>
        </is>
      </c>
      <c r="J188" s="25" t="n">
        <v>1.5</v>
      </c>
      <c r="K188" s="24" t="inlineStr">
        <is>
          <t>polymarket_us</t>
        </is>
      </c>
      <c r="L188" s="26" t="n">
        <v>-104</v>
      </c>
      <c r="M188" s="27" t="n">
        <v>1.961538</v>
      </c>
      <c r="N188" s="28" t="n">
        <v>0.509804</v>
      </c>
      <c r="O188" s="28" t="n">
        <v>0.589387</v>
      </c>
      <c r="P188" s="28" t="n">
        <v>0.03</v>
      </c>
      <c r="Q188" s="28" t="n">
        <v>0.079583</v>
      </c>
      <c r="R188" s="26" t="n">
        <v>72</v>
      </c>
      <c r="S188" s="29" t="n">
        <v>1.25</v>
      </c>
      <c r="T188" s="24" t="inlineStr">
        <is>
          <t>wnba-spread-margin-v2</t>
        </is>
      </c>
      <c r="U188" s="24" t="inlineStr">
        <is>
          <t>settled</t>
        </is>
      </c>
      <c r="V188" s="24" t="inlineStr">
        <is>
          <t>loss</t>
        </is>
      </c>
      <c r="W188" s="26" t="n">
        <v>95</v>
      </c>
      <c r="X188" s="26" t="n">
        <v>84</v>
      </c>
      <c r="Y188" s="25" t="n"/>
      <c r="Z188" s="26" t="n"/>
      <c r="AA188" s="28" t="n"/>
      <c r="AB188" s="28" t="n"/>
      <c r="AC188" s="30" t="n">
        <v>-1.25</v>
      </c>
      <c r="AD188" s="24" t="inlineStr">
        <is>
          <t>2026-09-22T04:37:43.617035Z</t>
        </is>
      </c>
      <c r="AE188" s="31" t="inlineStr">
        <is>
          <t>Projected margin +1.5 (home), sd 13.4. Executable ask 0.5100 (asc-wnba-atl-ny-2026-09-21-neg-1pt5).</t>
        </is>
      </c>
      <c r="AF188" s="31" t="inlineStr">
        <is>
          <t>Point-in-time composite Elo + trend + rest margin-normal spread model.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PAPER_CALL_STALE_DATA</t>
        </is>
      </c>
      <c r="AP188" s="24" t="inlineStr">
        <is>
          <t>wnba-atl</t>
        </is>
      </c>
      <c r="AQ188" s="24" t="inlineStr">
        <is>
          <t>Atlanta Dream</t>
        </is>
      </c>
      <c r="AR188" s="24" t="inlineStr">
        <is>
          <t>Atlanta Dream</t>
        </is>
      </c>
      <c r="AS188" s="24" t="inlineStr">
        <is>
          <t>wnba-nyl</t>
        </is>
      </c>
      <c r="AT188" s="24" t="inlineStr">
        <is>
          <t>New York Liberty</t>
        </is>
      </c>
      <c r="AU188" s="24" t="inlineStr">
        <is>
          <t>New York Liberty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f7d192f98d825d7c77be21b0531a91cff101ad35e418fe9d7e07c5d0f769f974</t>
        </is>
      </c>
      <c r="BB188" s="24" t="inlineStr">
        <is>
          <t>margin_normal</t>
        </is>
      </c>
      <c r="BC188" s="24" t="inlineStr">
        <is>
          <t>wnba-spread-margin-v2</t>
        </is>
      </c>
      <c r="BD188" s="24" t="inlineStr">
        <is>
          <t>f7d192f98d825d7c77be21b0531a91cff101ad35e418fe9d7e07c5d0f769f974</t>
        </is>
      </c>
      <c r="BE188" s="24" t="inlineStr">
        <is>
          <t>wnba-spread-margin-v2</t>
        </is>
      </c>
      <c r="BF188" s="24" t="inlineStr">
        <is>
          <t>1</t>
        </is>
      </c>
      <c r="BG188" s="24" t="inlineStr">
        <is>
          <t>f7d192f98d825d7c77be21b0531a91cff101ad35e418fe9d7e07c5d0f769f974</t>
        </is>
      </c>
      <c r="BH188" s="24" t="inlineStr">
        <is>
          <t>2026-09-21T04:33:40.036700Z</t>
        </is>
      </c>
      <c r="BI188" s="24" t="inlineStr">
        <is>
          <t>["same_event","same_team_same_day","same_league_same_day"]</t>
        </is>
      </c>
      <c r="BJ188" s="25" t="n">
        <v>1.5</v>
      </c>
      <c r="BK188" s="26" t="n">
        <v>-104</v>
      </c>
      <c r="BL188" s="27" t="n">
        <v>1.961538</v>
      </c>
      <c r="BM188" s="28" t="n">
        <v>0.509804</v>
      </c>
      <c r="BN188" s="28" t="n"/>
      <c r="BO188" s="28" t="n"/>
      <c r="BP188" s="25" t="n"/>
      <c r="BQ188" s="27" t="n"/>
      <c r="BR188" s="28" t="n"/>
      <c r="BS188" s="28" t="n"/>
      <c r="BT188" s="28" t="n"/>
      <c r="BU188" s="25" t="n"/>
      <c r="BV188" s="29" t="n"/>
      <c r="BW188" s="24" t="n"/>
      <c r="BX188" s="30" t="n">
        <v>1</v>
      </c>
      <c r="BY188" s="27" t="n">
        <v>-1</v>
      </c>
      <c r="BZ188" s="24" t="inlineStr">
        <is>
          <t>2026-09-22T04:37:43.617035Z</t>
        </is>
      </c>
      <c r="CA188" s="31" t="inlineStr">
        <is>
          <t>fixed one-unit hypothetical scoring; no real exposure or execution</t>
        </is>
      </c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  <c r="CT188" s="24" t="n"/>
      <c r="CU188" s="24" t="n"/>
      <c r="CV188" s="24" t="n"/>
      <c r="CW188" s="24" t="n"/>
      <c r="CX188" s="24" t="n"/>
      <c r="CY188" s="24" t="inlineStr">
        <is>
          <t>2026-09-21T04:33:40.036700Z</t>
        </is>
      </c>
      <c r="CZ188" s="24" t="inlineStr">
        <is>
          <t>True</t>
        </is>
      </c>
      <c r="DA188" s="24" t="inlineStr">
        <is>
          <t>polymarket_us</t>
        </is>
      </c>
      <c r="DB188" s="24" t="inlineStr">
        <is>
          <t>decision_time_executable_quote</t>
        </is>
      </c>
      <c r="DC188" s="24" t="inlineStr">
        <is>
          <t>False</t>
        </is>
      </c>
      <c r="DD188" s="24" t="inlineStr">
        <is>
          <t>eee141551a543311828caae2f816f49d6faa11a672316a19512f143b76651fcd</t>
        </is>
      </c>
      <c r="DE188" s="24" t="inlineStr">
        <is>
          <t>/Users/vincentc9002/model-prediction/data/odds/wnba/2026-09-21/polymarket_snapshots.jsonl</t>
        </is>
      </c>
      <c r="DF188" s="24" t="inlineStr">
        <is>
          <t>eee141551a543311828caae2f816f49d6faa11a672316a19512f143b76651fcd</t>
        </is>
      </c>
      <c r="DG188" s="24" t="n"/>
      <c r="DH188" s="24" t="n"/>
      <c r="DI188" s="24" t="n"/>
      <c r="DJ188" s="24" t="inlineStr">
        <is>
          <t>0.509804</t>
        </is>
      </c>
      <c r="DK188" s="24" t="n"/>
      <c r="DL188" s="24" t="n"/>
      <c r="DM188" s="24" t="n"/>
      <c r="DN188" s="24" t="n"/>
      <c r="DO188" s="24" t="n"/>
      <c r="DP188" s="24" t="n"/>
      <c r="DQ188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"401857206", "event_start_utc": "2026-09-22T00:00Z", "features": {"away_points_hl10": 88.18, "elo_away": 1626.7, "elo_home": 1640.4, "elo_margin": 2.63, "expected_margin": 1.52, "expected_total": 174.82, "history_games": 932, "home_points_hl10": 86.64, "rest_diff": -0.8, "trend_margin": 0.72}, "historical_source_observation_times_verified": false, "inference_inputs": {"line": -1.5, "mean": 1.5212078101514475, "sd": 13.37}, "model_version": "wnba-spread-margin-v2", "observed_at_utc": "2026-09-21T22:07:17.537786+00:00", "replay_scope": "Exact final classifier/distribution inputs and artifact. Upstream historical feature construction not certified.", "schema": "scalar-artifact-replay-v1", "snapshot_hash": "314f21a77a57e88ded6febbc80ca9901bd97f3a71ab0515fc8ef9db90bb77199"}</t>
        </is>
      </c>
    </row>
    <row r="189" ht="36" customHeight="1">
      <c r="A189" s="24" t="inlineStr">
        <is>
          <t>8dced34ab746498d</t>
        </is>
      </c>
      <c r="B189" s="24" t="inlineStr">
        <is>
          <t>2026-09-21T22:07:18.073133Z</t>
        </is>
      </c>
      <c r="C189" s="24" t="inlineStr">
        <is>
          <t>2026-09-22T00:00Z</t>
        </is>
      </c>
      <c r="D189" s="24" t="inlineStr">
        <is>
          <t>401857206</t>
        </is>
      </c>
      <c r="E189" s="24" t="inlineStr">
        <is>
          <t>WNBA</t>
        </is>
      </c>
      <c r="F189" s="24" t="inlineStr">
        <is>
          <t>Atlanta Dream</t>
        </is>
      </c>
      <c r="G189" s="24" t="inlineStr">
        <is>
          <t>New York Liberty</t>
        </is>
      </c>
      <c r="H189" s="24" t="inlineStr">
        <is>
          <t>total</t>
        </is>
      </c>
      <c r="I189" s="24" t="inlineStr">
        <is>
          <t>over</t>
        </is>
      </c>
      <c r="J189" s="25" t="n">
        <v>172.5</v>
      </c>
      <c r="K189" s="24" t="inlineStr">
        <is>
          <t>polymarket_us</t>
        </is>
      </c>
      <c r="L189" s="26" t="n">
        <v>-170</v>
      </c>
      <c r="M189" s="27" t="n">
        <v>1.588235</v>
      </c>
      <c r="N189" s="28" t="n">
        <v>0.62963</v>
      </c>
      <c r="O189" s="28" t="n">
        <v>0.570205</v>
      </c>
      <c r="P189" s="28" t="n">
        <v>0.03</v>
      </c>
      <c r="Q189" s="28" t="n">
        <v>-0.059425</v>
      </c>
      <c r="R189" s="26" t="n">
        <v>2</v>
      </c>
      <c r="S189" s="29" t="n">
        <v>1</v>
      </c>
      <c r="T189" s="24" t="inlineStr">
        <is>
          <t>wnba-total-margin-v2</t>
        </is>
      </c>
      <c r="U189" s="24" t="inlineStr">
        <is>
          <t>settled</t>
        </is>
      </c>
      <c r="V189" s="24" t="inlineStr">
        <is>
          <t>win</t>
        </is>
      </c>
      <c r="W189" s="26" t="n">
        <v>95</v>
      </c>
      <c r="X189" s="26" t="n">
        <v>84</v>
      </c>
      <c r="Y189" s="25" t="n"/>
      <c r="Z189" s="26" t="n">
        <v>-170</v>
      </c>
      <c r="AA189" s="28" t="n">
        <v>0.63</v>
      </c>
      <c r="AB189" s="28" t="n">
        <v>0.00037</v>
      </c>
      <c r="AC189" s="30" t="n">
        <v>0.5881999999999999</v>
      </c>
      <c r="AD189" s="24" t="inlineStr">
        <is>
          <t>2026-09-22T04:37:43.872328Z</t>
        </is>
      </c>
      <c r="AE189" s="31" t="inlineStr">
        <is>
          <t>Projected total 175.3, sd 16.0. Executable ask 0.6300 (tsc-wnba-atl-ny-2026-09-21-172pt5).</t>
        </is>
      </c>
      <c r="AF189" s="31" t="inlineStr">
        <is>
          <t>Research-baseline total model; not yet locked-holdout qualified.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model_qualified</t>
        </is>
      </c>
      <c r="AL189" s="26" t="n">
        <v>4</v>
      </c>
      <c r="AM189" s="24" t="inlineStr">
        <is>
          <t>QUALIFIED_SHADOW_CALL</t>
        </is>
      </c>
      <c r="AN189" s="24" t="inlineStr">
        <is>
          <t>CALL</t>
        </is>
      </c>
      <c r="AO189" s="24" t="inlineStr">
        <is>
          <t>QUALIFIED</t>
        </is>
      </c>
      <c r="AP189" s="24" t="inlineStr">
        <is>
          <t>wnba-atl</t>
        </is>
      </c>
      <c r="AQ189" s="24" t="inlineStr">
        <is>
          <t>Atlanta Dream</t>
        </is>
      </c>
      <c r="AR189" s="24" t="inlineStr">
        <is>
          <t>Atlanta Dream</t>
        </is>
      </c>
      <c r="AS189" s="24" t="inlineStr">
        <is>
          <t>wnba-nyl</t>
        </is>
      </c>
      <c r="AT189" s="24" t="inlineStr">
        <is>
          <t>New York Liberty</t>
        </is>
      </c>
      <c r="AU189" s="24" t="inlineStr">
        <is>
          <t>New York Liberty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research</t>
        </is>
      </c>
      <c r="BA189" s="24" t="inlineStr">
        <is>
          <t>9c9b767590bbbb9a7b333eaf9def066d65bf813e735ed73aa27cfb2c609a4ca5</t>
        </is>
      </c>
      <c r="BB189" s="24" t="inlineStr">
        <is>
          <t>total_normal</t>
        </is>
      </c>
      <c r="BC189" s="24" t="inlineStr">
        <is>
          <t>wnba-total-margin-v2</t>
        </is>
      </c>
      <c r="BD189" s="24" t="inlineStr">
        <is>
          <t>9c9b767590bbbb9a7b333eaf9def066d65bf813e735ed73aa27cfb2c609a4ca5</t>
        </is>
      </c>
      <c r="BE189" s="24" t="inlineStr">
        <is>
          <t>wnba-total-margin-v2</t>
        </is>
      </c>
      <c r="BF189" s="24" t="inlineStr">
        <is>
          <t>1</t>
        </is>
      </c>
      <c r="BG189" s="24" t="inlineStr">
        <is>
          <t>9c9b767590bbbb9a7b333eaf9def066d65bf813e735ed73aa27cfb2c609a4ca5</t>
        </is>
      </c>
      <c r="BH189" s="24" t="inlineStr">
        <is>
          <t>2026-09-21T22:03:58.677209Z</t>
        </is>
      </c>
      <c r="BI189" s="24" t="inlineStr">
        <is>
          <t>["same_event","same_team_same_day","same_league_same_day"]</t>
        </is>
      </c>
      <c r="BJ189" s="25" t="n">
        <v>172.5</v>
      </c>
      <c r="BK189" s="26" t="n">
        <v>-170</v>
      </c>
      <c r="BL189" s="27" t="n">
        <v>1.588235</v>
      </c>
      <c r="BM189" s="28" t="n">
        <v>0.62963</v>
      </c>
      <c r="BN189" s="28" t="n"/>
      <c r="BO189" s="28" t="n"/>
      <c r="BP189" s="25" t="n"/>
      <c r="BQ189" s="27" t="n">
        <v>1.588235</v>
      </c>
      <c r="BR189" s="28" t="n">
        <v>0.63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False</t>
        </is>
      </c>
      <c r="CT189" s="24" t="n"/>
      <c r="CU189" s="24" t="n"/>
      <c r="CV189" s="24" t="n"/>
      <c r="CW189" s="24" t="n"/>
      <c r="CX189" s="24" t="n"/>
      <c r="CY189" s="24" t="inlineStr">
        <is>
          <t>2026-09-21T22:03:58.677209Z</t>
        </is>
      </c>
      <c r="CZ189" s="24" t="inlineStr">
        <is>
          <t>True</t>
        </is>
      </c>
      <c r="DA189" s="24" t="inlineStr">
        <is>
          <t>polymarket_us</t>
        </is>
      </c>
      <c r="DB189" s="24" t="inlineStr">
        <is>
          <t>decision_time_executable_quote</t>
        </is>
      </c>
      <c r="DC189" s="24" t="inlineStr">
        <is>
          <t>False</t>
        </is>
      </c>
      <c r="DD189" s="24" t="inlineStr">
        <is>
          <t>1d3d1010498e635a81d682943669497972e01c84e38195fa7f4b57d5841de0cf</t>
        </is>
      </c>
      <c r="DE189" s="24" t="inlineStr">
        <is>
          <t>/Users/vincentc9002/model-prediction/data/odds/wnba/2026-09-21/polymarket_snapshots.jsonl</t>
        </is>
      </c>
      <c r="DF189" s="24" t="inlineStr">
        <is>
          <t>1d3d1010498e635a81d682943669497972e01c84e38195fa7f4b57d5841de0cf</t>
        </is>
      </c>
      <c r="DG189" s="24" t="n"/>
      <c r="DH189" s="24" t="n"/>
      <c r="DI189" s="24" t="n"/>
      <c r="DJ189" s="24" t="inlineStr">
        <is>
          <t>0.62963</t>
        </is>
      </c>
      <c r="DK189" s="24" t="n"/>
      <c r="DL189" s="24" t="n"/>
      <c r="DM189" s="24" t="n"/>
      <c r="DN189" s="24" t="n"/>
      <c r="DO189" s="24" t="n"/>
      <c r="DP189" s="24" t="n"/>
      <c r="DQ18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"401857206", "event_start_utc": "2026-09-22T00:00Z", "features": {"away_points_hl10": 88.18, "elo_away": 1626.7, "elo_home": 1640.4, "elo_margin": 2.63, "expected_margin": 0.46, "expected_total": 175.33, "history_games": 932, "home_points_hl10": 86.64, "rest_diff": 0.0, "trend_margin": 0.46}, "historical_source_observation_times_verified": false, "inference_inputs": {"line": 172.5, "mean": 175.33032779999996, "sd": 16.0}, "model_version": "wnba-total-margin-v2", "observed_at_utc": "2026-09-21T22:07:17.614906+00:00", "replay_scope": "Exact final classifier/distribution inputs and artifact. Upstream historical feature construction not certified.", "schema": "scalar-artifact-replay-v1", "snapshot_hash": "ad366f04a33c7e2eabae352c72b48fff53d010ad05348888d233a1698e607d5e"}</t>
        </is>
      </c>
    </row>
    <row r="190" ht="36" customHeight="1">
      <c r="A190" s="24" t="inlineStr">
        <is>
          <t>ce227ad4729a4b45</t>
        </is>
      </c>
      <c r="B190" s="24" t="inlineStr">
        <is>
          <t>2026-09-22T16:06:53.251135Z</t>
        </is>
      </c>
      <c r="C190" s="24" t="inlineStr">
        <is>
          <t>2026-09-22T19:30:00-0400</t>
        </is>
      </c>
      <c r="D190" s="24" t="inlineStr">
        <is>
          <t>401857208</t>
        </is>
      </c>
      <c r="E190" s="24" t="inlineStr">
        <is>
          <t>WNBA</t>
        </is>
      </c>
      <c r="F190" s="24" t="inlineStr">
        <is>
          <t>Connecticut Sun</t>
        </is>
      </c>
      <c r="G190" s="24" t="inlineStr">
        <is>
          <t>Washington Mystics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model_opinion_no_executable_quote</t>
        </is>
      </c>
      <c r="L190" s="26" t="n">
        <v>-110</v>
      </c>
      <c r="M190" s="27" t="n">
        <v>1.909091</v>
      </c>
      <c r="N190" s="28" t="n">
        <v>0.52381</v>
      </c>
      <c r="O190" s="28" t="n">
        <v>0.816368</v>
      </c>
      <c r="P190" s="28" t="n"/>
      <c r="Q190" s="28" t="n">
        <v>0.292558</v>
      </c>
      <c r="R190" s="26" t="n">
        <v>100</v>
      </c>
      <c r="S190" s="29" t="n">
        <v>2</v>
      </c>
      <c r="T190" s="24" t="inlineStr">
        <is>
          <t>wnba-elo-trend-lr-v4</t>
        </is>
      </c>
      <c r="U190" s="24" t="inlineStr">
        <is>
          <t>settled</t>
        </is>
      </c>
      <c r="V190" s="24" t="inlineStr">
        <is>
          <t>win</t>
        </is>
      </c>
      <c r="W190" s="26" t="n">
        <v>69</v>
      </c>
      <c r="X190" s="26" t="n">
        <v>79</v>
      </c>
      <c r="Y190" s="25" t="n"/>
      <c r="Z190" s="26" t="n"/>
      <c r="AA190" s="28" t="n"/>
      <c r="AB190" s="28" t="n"/>
      <c r="AC190" s="30" t="n">
        <v>1.8182</v>
      </c>
      <c r="AD190" s="24" t="inlineStr">
        <is>
          <t>2026-09-23T04:30:28.137501Z</t>
        </is>
      </c>
      <c r="AE190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0" s="31" t="inlineStr">
        <is>
          <t>Learned model; shadow-qualified via operator override.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4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PAPER_CALL_MARKET_UNAVAILABLE</t>
        </is>
      </c>
      <c r="AP190" s="24" t="inlineStr">
        <is>
          <t>wnba-con</t>
        </is>
      </c>
      <c r="AQ190" s="24" t="inlineStr">
        <is>
          <t>Connecticut Sun</t>
        </is>
      </c>
      <c r="AR190" s="24" t="inlineStr">
        <is>
          <t>Connecticut Sun</t>
        </is>
      </c>
      <c r="AS190" s="24" t="inlineStr">
        <is>
          <t>wnba-was</t>
        </is>
      </c>
      <c r="AT190" s="24" t="inlineStr">
        <is>
          <t>Washington Mystics</t>
        </is>
      </c>
      <c r="AU190" s="24" t="inlineStr">
        <is>
          <t>Washington Mystics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7afd5274214b58b7efd7f7febc7be3ab33b92351cda5cc6403c0a39faea0cc8c</t>
        </is>
      </c>
      <c r="BB190" s="24" t="inlineStr">
        <is>
          <t>learned_lr</t>
        </is>
      </c>
      <c r="BC190" s="24" t="inlineStr">
        <is>
          <t>wnba-elo-trend-lr-v4</t>
        </is>
      </c>
      <c r="BD190" s="24" t="inlineStr">
        <is>
          <t>7afd5274214b58b7efd7f7febc7be3ab33b92351cda5cc6403c0a39faea0cc8c</t>
        </is>
      </c>
      <c r="BE190" s="24" t="inlineStr">
        <is>
          <t>5a45b31427c39148</t>
        </is>
      </c>
      <c r="BF190" s="24" t="inlineStr">
        <is>
          <t>1</t>
        </is>
      </c>
      <c r="BG190" s="24" t="inlineStr">
        <is>
          <t>wnba-elo-trend-lr-v4</t>
        </is>
      </c>
      <c r="BH190" s="24" t="inlineStr">
        <is>
          <t>2026-09-22T16:06:53.251135Z</t>
        </is>
      </c>
      <c r="BI190" s="24" t="inlineStr">
        <is>
          <t>["same_event","same_team_same_day","same_league_same_day"]</t>
        </is>
      </c>
      <c r="BJ190" s="25" t="n"/>
      <c r="BK190" s="26" t="n">
        <v>-110</v>
      </c>
      <c r="BL190" s="27" t="n">
        <v>1.909091</v>
      </c>
      <c r="BM190" s="28" t="n">
        <v>0.52381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>
        <v>1</v>
      </c>
      <c r="BY190" s="27" t="n">
        <v>0.909091</v>
      </c>
      <c r="BZ190" s="24" t="inlineStr">
        <is>
          <t>2026-09-23T04:30:28.137501Z</t>
        </is>
      </c>
      <c r="CA190" s="31" t="inlineStr">
        <is>
          <t>fixed one-unit hypothetical scoring; no real exposure or execution</t>
        </is>
      </c>
      <c r="CB190" s="24" t="n"/>
      <c r="CC190" s="24" t="inlineStr">
        <is>
          <t>0.8983153858</t>
        </is>
      </c>
      <c r="CD190" s="24" t="inlineStr">
        <is>
          <t>7.382469</t>
        </is>
      </c>
      <c r="CE190" s="24" t="n"/>
      <c r="CF190" s="24" t="n"/>
      <c r="CG190" s="24" t="n"/>
      <c r="CH190" s="24" t="n"/>
      <c r="CI190" s="24" t="inlineStr">
        <is>
          <t>executable_quote_missing_or_unmatched</t>
        </is>
      </c>
      <c r="CJ190" s="24" t="inlineStr">
        <is>
          <t>7.976096</t>
        </is>
      </c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0.52381</t>
        </is>
      </c>
      <c r="DK190" s="24" t="n"/>
      <c r="DL190" s="24" t="n"/>
      <c r="DM190" s="24" t="n"/>
      <c r="DN190" s="24" t="n"/>
      <c r="DO190" s="24" t="n"/>
      <c r="DP190" s="24" t="n"/>
      <c r="DQ190" s="24" t="inlineStr">
        <is>
          <t>{"adjustment": {"applied": true, "availability": {"availability_points_gap": 2.7157141274, "availability_report_age_hours": 0.1147919819, "availability_source_conflict_count": 0, "availability_source_conflicts": [], "availability_uncertainty": 0.0, "away_available_minutes_share": 0.75440314, "home_available_minutes_share": 1.000000005, "source_evidence": {"espn_observed_at_utc": "2026-09-22T16:03:58.499307+00:00", "espn_snapshot_hash": "44c77467f810989fd51b63f88ac4f3a2831942355975665971c75856df894479", "official_observed_at_utc": "2026-09-22T16:03:57.879642+00:00", "official_report_at_utc": "2026-09-22T16:00:00+00:00", "official_snapshot_hash": "6a49a209ae6f44ada904c8906925d71efdf2492a35511a3cea3228226208da1b", "prior_hash": "4f51dde90f932650da4ab92536b8104bd3b8c1b36cb896c6e8466d4968b26850", "prior_observed_at_utc": "2026-09-22T16:03:57.784409+00:00"}}, "margin_sigma": 14.694146201367223, "method": "wnba_probit_v1", "minimum_delta": 0.05, "points_gap": 2.7157141274},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0.7632490985048624, "event_id": "401857208", "event_start_utc": "2026-09-22T23:30:00+00:00", "features": {"defensive_trend_gap": 7.976096, "elo_probability": 0.8983153858092814, "trend_gap": 7.3824689999999995}, "historical_source_observation_times_verified": false, "model_version": "wnba-elo-trend-lr-v4", "observed_at_utc": "2026-09-22T16:06:53.251135+00:00", "schema": "learned-moneyline-replay-v1", "served_home_probability": 0.8163677226247545, "snapshot_hash": "1f6810f8fbbc64efe917d3752bc9df4f2bf3e1820a5e26b74b541ca558e60236"}</t>
        </is>
      </c>
    </row>
    <row r="191" ht="36" customHeight="1">
      <c r="A191" s="24" t="inlineStr">
        <is>
          <t>465a0607e4d14de1</t>
        </is>
      </c>
      <c r="B191" s="24" t="inlineStr">
        <is>
          <t>2026-09-22T16:06:53.251135Z</t>
        </is>
      </c>
      <c r="C191" s="24" t="inlineStr">
        <is>
          <t>2026-09-22T20:00:00-0400</t>
        </is>
      </c>
      <c r="D191" s="24" t="inlineStr">
        <is>
          <t>401857209</t>
        </is>
      </c>
      <c r="E191" s="24" t="inlineStr">
        <is>
          <t>WNBA</t>
        </is>
      </c>
      <c r="F191" s="24" t="inlineStr">
        <is>
          <t>Minnesota Lynx</t>
        </is>
      </c>
      <c r="G191" s="24" t="inlineStr">
        <is>
          <t>Indiana Fever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model_opinion_no_executable_quote</t>
        </is>
      </c>
      <c r="L191" s="26" t="n">
        <v>-110</v>
      </c>
      <c r="M191" s="27" t="n">
        <v>1.909091</v>
      </c>
      <c r="N191" s="28" t="n">
        <v>0.52381</v>
      </c>
      <c r="O191" s="28" t="n">
        <v>0.510298</v>
      </c>
      <c r="P191" s="28" t="n"/>
      <c r="Q191" s="28" t="n">
        <v>-0.013512</v>
      </c>
      <c r="R191" s="26" t="n">
        <v>13</v>
      </c>
      <c r="S191" s="29" t="n">
        <v>1</v>
      </c>
      <c r="T191" s="24" t="inlineStr">
        <is>
          <t>wnba-elo-trend-lr-v4</t>
        </is>
      </c>
      <c r="U191" s="24" t="inlineStr">
        <is>
          <t>settled</t>
        </is>
      </c>
      <c r="V191" s="24" t="inlineStr">
        <is>
          <t>win</t>
        </is>
      </c>
      <c r="W191" s="26" t="n">
        <v>77</v>
      </c>
      <c r="X191" s="26" t="n">
        <v>96</v>
      </c>
      <c r="Y191" s="25" t="n"/>
      <c r="Z191" s="26" t="n"/>
      <c r="AA191" s="28" t="n"/>
      <c r="AB191" s="28" t="n"/>
      <c r="AC191" s="30" t="n">
        <v>0.9091</v>
      </c>
      <c r="AD191" s="24" t="inlineStr">
        <is>
          <t>2026-09-23T04:30:28.544027Z</t>
        </is>
      </c>
      <c r="AE191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91" s="31" t="inlineStr">
        <is>
          <t>Learned model; shadow-qualified via operator override.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PAPER_CALL_MARKET_UNAVAILABLE</t>
        </is>
      </c>
      <c r="AP191" s="24" t="inlineStr">
        <is>
          <t>wnba-min</t>
        </is>
      </c>
      <c r="AQ191" s="24" t="inlineStr">
        <is>
          <t>Minnesota Lynx</t>
        </is>
      </c>
      <c r="AR191" s="24" t="inlineStr">
        <is>
          <t>Minnesota Lynx</t>
        </is>
      </c>
      <c r="AS191" s="24" t="inlineStr">
        <is>
          <t>wnba-ind</t>
        </is>
      </c>
      <c r="AT191" s="24" t="inlineStr">
        <is>
          <t>Indiana Fever</t>
        </is>
      </c>
      <c r="AU191" s="24" t="inlineStr">
        <is>
          <t>Indiana Fever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7afd5274214b58b7efd7f7febc7be3ab33b92351cda5cc6403c0a39faea0cc8c</t>
        </is>
      </c>
      <c r="BB191" s="24" t="inlineStr">
        <is>
          <t>learned_lr</t>
        </is>
      </c>
      <c r="BC191" s="24" t="inlineStr">
        <is>
          <t>wnba-elo-trend-lr-v4</t>
        </is>
      </c>
      <c r="BD191" s="24" t="inlineStr">
        <is>
          <t>7afd5274214b58b7efd7f7febc7be3ab33b92351cda5cc6403c0a39faea0cc8c</t>
        </is>
      </c>
      <c r="BE191" s="24" t="inlineStr">
        <is>
          <t>42b8003559d1d25e</t>
        </is>
      </c>
      <c r="BF191" s="24" t="inlineStr">
        <is>
          <t>1</t>
        </is>
      </c>
      <c r="BG191" s="24" t="inlineStr">
        <is>
          <t>wnba-elo-trend-lr-v4</t>
        </is>
      </c>
      <c r="BH191" s="24" t="inlineStr">
        <is>
          <t>2026-09-22T16:06:53.251135Z</t>
        </is>
      </c>
      <c r="BI191" s="24" t="inlineStr">
        <is>
          <t>["same_event","same_team_same_day","same_league_same_day"]</t>
        </is>
      </c>
      <c r="BJ191" s="25" t="n"/>
      <c r="BK191" s="26" t="n">
        <v>-110</v>
      </c>
      <c r="BL191" s="27" t="n">
        <v>1.909091</v>
      </c>
      <c r="BM191" s="28" t="n">
        <v>0.52381</v>
      </c>
      <c r="BN191" s="28" t="n"/>
      <c r="BO191" s="28" t="n"/>
      <c r="BP191" s="25" t="n"/>
      <c r="BQ191" s="27" t="n"/>
      <c r="BR191" s="28" t="n"/>
      <c r="BS191" s="28" t="n"/>
      <c r="BT191" s="28" t="n"/>
      <c r="BU191" s="25" t="n"/>
      <c r="BV191" s="29" t="n"/>
      <c r="BW191" s="24" t="n"/>
      <c r="BX191" s="30" t="n">
        <v>1</v>
      </c>
      <c r="BY191" s="27" t="n">
        <v>0.909091</v>
      </c>
      <c r="BZ191" s="24" t="inlineStr">
        <is>
          <t>2026-09-23T04:30:28.544027Z</t>
        </is>
      </c>
      <c r="CA191" s="31" t="inlineStr">
        <is>
          <t>fixed one-unit hypothetical scoring; no real exposure or execution</t>
        </is>
      </c>
      <c r="CB191" s="24" t="n"/>
      <c r="CC191" s="24" t="inlineStr">
        <is>
          <t>0.5175835454</t>
        </is>
      </c>
      <c r="CD191" s="24" t="inlineStr">
        <is>
          <t>1.216241</t>
        </is>
      </c>
      <c r="CE191" s="24" t="n"/>
      <c r="CF191" s="24" t="n"/>
      <c r="CG191" s="24" t="n"/>
      <c r="CH191" s="24" t="n"/>
      <c r="CI191" s="24" t="inlineStr">
        <is>
          <t>NO_CALL_AVAILABILITY_SOURCE_CONFLICT,executable_quote_missing_or_unmatched</t>
        </is>
      </c>
      <c r="CJ191" s="24" t="inlineStr">
        <is>
          <t>0.379703</t>
        </is>
      </c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0.52381</t>
        </is>
      </c>
      <c r="DK191" s="24" t="n"/>
      <c r="DL191" s="24" t="n"/>
      <c r="DM191" s="24" t="n"/>
      <c r="DN191" s="24" t="n"/>
      <c r="DO191" s="24" t="n"/>
      <c r="DP191" s="24" t="n"/>
      <c r="DQ191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0.5102975588955868, "event_id": "401857209", "event_start_utc": "2026-09-23T00:00:00+00:00", "features": {"defensive_trend_gap": 0.3797030000000001, "elo_probability": 0.5175835454324194, "trend_gap": 1.216241}, "historical_source_observation_times_verified": false, "model_version": "wnba-elo-trend-lr-v4", "observed_at_utc": "2026-09-22T16:06:53.251135+00:00", "schema": "learned-moneyline-replay-v1", "served_home_probability": 0.5102975588955868, "snapshot_hash": "a71750bcc1331323dc7b6a95190b92e585039914535e0b58d81b9e8268e57998"}</t>
        </is>
      </c>
    </row>
    <row r="192" ht="36" customHeight="1">
      <c r="A192" s="24" t="inlineStr">
        <is>
          <t>c86788a75fd34d55</t>
        </is>
      </c>
      <c r="B192" s="24" t="inlineStr">
        <is>
          <t>2026-09-22T16:06:53.251135Z</t>
        </is>
      </c>
      <c r="C192" s="24" t="inlineStr">
        <is>
          <t>2026-09-22T20:00:00-0400</t>
        </is>
      </c>
      <c r="D192" s="24" t="inlineStr">
        <is>
          <t>401857210</t>
        </is>
      </c>
      <c r="E192" s="24" t="inlineStr">
        <is>
          <t>WNBA</t>
        </is>
      </c>
      <c r="F192" s="24" t="inlineStr">
        <is>
          <t>Toronto Tempo</t>
        </is>
      </c>
      <c r="G192" s="24" t="inlineStr">
        <is>
          <t>Chicago Sky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-213</v>
      </c>
      <c r="M192" s="27" t="n">
        <v>1.469484</v>
      </c>
      <c r="N192" s="28" t="n">
        <v>0.680511</v>
      </c>
      <c r="O192" s="28" t="n">
        <v>0.681332</v>
      </c>
      <c r="P192" s="28" t="n"/>
      <c r="Q192" s="28" t="n">
        <v>0.000821</v>
      </c>
      <c r="R192" s="26" t="n">
        <v>24</v>
      </c>
      <c r="S192" s="29" t="n">
        <v>1</v>
      </c>
      <c r="T192" s="24" t="inlineStr">
        <is>
          <t>wnba-elo-trend-lr-v4</t>
        </is>
      </c>
      <c r="U192" s="24" t="inlineStr">
        <is>
          <t>settled</t>
        </is>
      </c>
      <c r="V192" s="24" t="inlineStr">
        <is>
          <t>win</t>
        </is>
      </c>
      <c r="W192" s="26" t="n">
        <v>85</v>
      </c>
      <c r="X192" s="26" t="n">
        <v>97</v>
      </c>
      <c r="Y192" s="25" t="n"/>
      <c r="Z192" s="26" t="n">
        <v>-213</v>
      </c>
      <c r="AA192" s="28" t="n">
        <v>0.68</v>
      </c>
      <c r="AB192" s="28" t="n">
        <v>-0.000511</v>
      </c>
      <c r="AC192" s="30" t="n">
        <v>0.4695</v>
      </c>
      <c r="AD192" s="24" t="inlineStr">
        <is>
          <t>2026-09-23T04:30:28.957891Z</t>
        </is>
      </c>
      <c r="AE192" s="31" t="inlineStr">
        <is>
          <t>Learned LR call at threshold 0.5001; executable ask 0.6800 (aec-wnba-tor-chi-2026-09-22); model edge vs ask +0.0013.</t>
        </is>
      </c>
      <c r="AF192" s="31" t="inlineStr">
        <is>
          <t>Learned model; shadow-qualified via operator override.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model_qualified</t>
        </is>
      </c>
      <c r="AL192" s="26" t="n">
        <v>4</v>
      </c>
      <c r="AM192" s="24" t="inlineStr">
        <is>
          <t>QUALIFIED_SHADOW_CALL</t>
        </is>
      </c>
      <c r="AN192" s="24" t="inlineStr">
        <is>
          <t>CALL</t>
        </is>
      </c>
      <c r="AO192" s="24" t="inlineStr">
        <is>
          <t>QUALIFIED</t>
        </is>
      </c>
      <c r="AP192" s="24" t="inlineStr">
        <is>
          <t>wnba-tor</t>
        </is>
      </c>
      <c r="AQ192" s="24" t="inlineStr">
        <is>
          <t>Toronto Tempo</t>
        </is>
      </c>
      <c r="AR192" s="24" t="inlineStr">
        <is>
          <t>Toronto Tempo</t>
        </is>
      </c>
      <c r="AS192" s="24" t="inlineStr">
        <is>
          <t>wnba-chi</t>
        </is>
      </c>
      <c r="AT192" s="24" t="inlineStr">
        <is>
          <t>Chicago Sky</t>
        </is>
      </c>
      <c r="AU192" s="24" t="inlineStr">
        <is>
          <t>Chicago Sky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7afd5274214b58b7efd7f7febc7be3ab33b92351cda5cc6403c0a39faea0cc8c</t>
        </is>
      </c>
      <c r="BB192" s="24" t="inlineStr">
        <is>
          <t>learned_lr</t>
        </is>
      </c>
      <c r="BC192" s="24" t="inlineStr">
        <is>
          <t>wnba-elo-trend-lr-v4</t>
        </is>
      </c>
      <c r="BD192" s="24" t="inlineStr">
        <is>
          <t>7afd5274214b58b7efd7f7febc7be3ab33b92351cda5cc6403c0a39faea0cc8c</t>
        </is>
      </c>
      <c r="BE192" s="24" t="inlineStr">
        <is>
          <t>8798289e6adfd8f8</t>
        </is>
      </c>
      <c r="BF192" s="24" t="inlineStr">
        <is>
          <t>1</t>
        </is>
      </c>
      <c r="BG192" s="24" t="inlineStr">
        <is>
          <t>wnba-elo-trend-lr-v4</t>
        </is>
      </c>
      <c r="BH192" s="24" t="inlineStr">
        <is>
          <t>2026-09-22T04:43:08.252595Z</t>
        </is>
      </c>
      <c r="BI192" s="24" t="inlineStr">
        <is>
          <t>["same_event","same_team_same_day","same_league_same_day"]</t>
        </is>
      </c>
      <c r="BJ192" s="25" t="n"/>
      <c r="BK192" s="26" t="n">
        <v>-213</v>
      </c>
      <c r="BL192" s="27" t="n">
        <v>1.469484</v>
      </c>
      <c r="BM192" s="28" t="n">
        <v>0.680511</v>
      </c>
      <c r="BN192" s="28" t="n">
        <v>0.6732669999999999</v>
      </c>
      <c r="BO192" s="28" t="n"/>
      <c r="BP192" s="25" t="n"/>
      <c r="BQ192" s="27" t="n">
        <v>1.469484</v>
      </c>
      <c r="BR192" s="28" t="n">
        <v>0.68</v>
      </c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inlineStr">
        <is>
          <t>0.7488523284</t>
        </is>
      </c>
      <c r="CD192" s="24" t="inlineStr">
        <is>
          <t>4.64964</t>
        </is>
      </c>
      <c r="CE192" s="24" t="n"/>
      <c r="CF192" s="24" t="n"/>
      <c r="CG192" s="24" t="n"/>
      <c r="CH192" s="24" t="n"/>
      <c r="CI192" s="24" t="n"/>
      <c r="CJ192" s="24" t="inlineStr">
        <is>
          <t>-5.414648</t>
        </is>
      </c>
      <c r="CK192" s="24" t="n"/>
      <c r="CL192" s="24" t="n"/>
      <c r="CM192" s="24" t="n"/>
      <c r="CN192" s="24" t="n"/>
      <c r="CO192" s="24" t="n"/>
      <c r="CP192" s="24" t="n"/>
      <c r="CQ192" s="24" t="n"/>
      <c r="CR192" s="24" t="inlineStr">
        <is>
          <t>0.681332</t>
        </is>
      </c>
      <c r="CS192" s="24" t="inlineStr">
        <is>
          <t>True</t>
        </is>
      </c>
      <c r="CT192" s="24" t="n"/>
      <c r="CU192" s="24" t="n"/>
      <c r="CV192" s="24" t="n"/>
      <c r="CW192" s="24" t="n"/>
      <c r="CX192" s="24" t="n"/>
      <c r="CY192" s="24" t="inlineStr">
        <is>
          <t>2026-09-22T04:43:08.252595Z</t>
        </is>
      </c>
      <c r="CZ192" s="24" t="inlineStr">
        <is>
          <t>True</t>
        </is>
      </c>
      <c r="DA192" s="24" t="inlineStr">
        <is>
          <t>polymarket_us</t>
        </is>
      </c>
      <c r="DB192" s="24" t="inlineStr">
        <is>
          <t>decision_time_executable_quote</t>
        </is>
      </c>
      <c r="DC192" s="24" t="inlineStr">
        <is>
          <t>False</t>
        </is>
      </c>
      <c r="DD192" s="24" t="inlineStr">
        <is>
          <t>ed02d2e9ec8c37da205dc719d5f2be4c8f9923003393a04b833fc744506e4ff4</t>
        </is>
      </c>
      <c r="DE192" s="24" t="inlineStr">
        <is>
          <t>/Users/vincentc9002/model-prediction/data/odds/wnba/2026-09-22/polymarket_snapshots.jsonl</t>
        </is>
      </c>
      <c r="DF192" s="24" t="inlineStr">
        <is>
          <t>ed02d2e9ec8c37da205dc719d5f2be4c8f9923003393a04b833fc744506e4ff4</t>
        </is>
      </c>
      <c r="DG192" s="24" t="n"/>
      <c r="DH192" s="24" t="n"/>
      <c r="DI192" s="24" t="n"/>
      <c r="DJ192" s="24" t="inlineStr">
        <is>
          <t>0.680511</t>
        </is>
      </c>
      <c r="DK192" s="24" t="n"/>
      <c r="DL192" s="24" t="n"/>
      <c r="DM192" s="24" t="n"/>
      <c r="DN192" s="24" t="n"/>
      <c r="DO192" s="24" t="n"/>
      <c r="DP192" s="24" t="n"/>
      <c r="DQ192" s="24" t="inlineStr">
        <is>
          <t>{"adjustment": {"applied": false, "availability": {"availability_points_gap": 0.1254584467, "availability_report_age_hours": 0.1147919819, "availability_source_conflict_count": 0, "availability_source_conflicts": [], "availability_uncertainty": 0.1815832726, "away_available_minutes_share": 0.783400155, "home_available_minutes_share": 0.7299771175, "source_evidence": {"espn_observed_at_utc": "2026-09-22T16:03:58.810449+00:00", "espn_snapshot_hash": "39355079a336027ae04bfac1336cc9839a59d1a6738fb33af334fd3754c91fc6", "official_observed_at_utc": "2026-09-22T16:03:57.879642+00:00", "official_report_at_utc": "2026-09-22T16:00:00+00:00", "official_snapshot_hash": "6a49a209ae6f44ada904c8906925d71efdf2492a35511a3cea3228226208da1b", "prior_hash": "4f51dde90f932650da4ab92536b8104bd3b8c1b36cb896c6e8466d4968b26850", "prior_observed_at_utc": "2026-09-22T16:03:57.784409+00:00"}}, "margin_sigma": 14.694146201367223, "method": "wnba_probit_v1", "minimum_delta": 0.05, "points_gap": 0.1254584467},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0.6813321554534802, "event_id": "401857210", "event_start_utc": "2026-09-23T00:00:00+00:00", "features": {"defensive_trend_gap": -5.414648, "elo_probability": 0.7488523283830866, "trend_gap": 4.64964}, "historical_source_observation_times_verified": false, "model_version": "wnba-elo-trend-lr-v4", "observed_at_utc": "2026-09-22T16:06:53.251135+00:00", "schema": "learned-moneyline-replay-v1", "served_home_probability": 0.6813321554534802, "snapshot_hash": "7b9bec4c022750eb116f82fa5e4d5e5eed5148df40101157cc6d45ffba12eb55"}</t>
        </is>
      </c>
    </row>
    <row r="193" ht="36" customHeight="1">
      <c r="A193" s="24" t="inlineStr">
        <is>
          <t>d7299b7bc0414b7d</t>
        </is>
      </c>
      <c r="B193" s="24" t="inlineStr">
        <is>
          <t>2026-09-22T16:06:53.251135Z</t>
        </is>
      </c>
      <c r="C193" s="24" t="inlineStr">
        <is>
          <t>2026-09-22T22:00:00-0400</t>
        </is>
      </c>
      <c r="D193" s="24" t="inlineStr">
        <is>
          <t>401857211</t>
        </is>
      </c>
      <c r="E193" s="24" t="inlineStr">
        <is>
          <t>WNBA</t>
        </is>
      </c>
      <c r="F193" s="24" t="inlineStr">
        <is>
          <t>Los Angeles Sparks</t>
        </is>
      </c>
      <c r="G193" s="24" t="inlineStr">
        <is>
          <t>Las Vegas Aces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model_opinion_no_executable_quote</t>
        </is>
      </c>
      <c r="L193" s="26" t="n">
        <v>-110</v>
      </c>
      <c r="M193" s="27" t="n">
        <v>1.909091</v>
      </c>
      <c r="N193" s="28" t="n">
        <v>0.52381</v>
      </c>
      <c r="O193" s="28" t="n">
        <v>0.712365</v>
      </c>
      <c r="P193" s="28" t="n"/>
      <c r="Q193" s="28" t="n">
        <v>0.188555</v>
      </c>
      <c r="R193" s="26" t="n">
        <v>100</v>
      </c>
      <c r="S193" s="29" t="n">
        <v>2</v>
      </c>
      <c r="T193" s="24" t="inlineStr">
        <is>
          <t>wnba-elo-trend-lr-v4</t>
        </is>
      </c>
      <c r="U193" s="24" t="inlineStr">
        <is>
          <t>settled</t>
        </is>
      </c>
      <c r="V193" s="24" t="inlineStr">
        <is>
          <t>win</t>
        </is>
      </c>
      <c r="W193" s="26" t="n">
        <v>79</v>
      </c>
      <c r="X193" s="26" t="n">
        <v>89</v>
      </c>
      <c r="Y193" s="25" t="n"/>
      <c r="Z193" s="26" t="n"/>
      <c r="AA193" s="28" t="n"/>
      <c r="AB193" s="28" t="n"/>
      <c r="AC193" s="30" t="n">
        <v>1.8182</v>
      </c>
      <c r="AD193" s="24" t="inlineStr">
        <is>
          <t>2026-09-23T04:30:29.643025Z</t>
        </is>
      </c>
      <c r="AE193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93" s="31" t="inlineStr">
        <is>
          <t>Learned model; shadow-qualified via operator override.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4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PAPER_CALL_MARKET_UNAVAILABLE</t>
        </is>
      </c>
      <c r="AP193" s="24" t="inlineStr">
        <is>
          <t>wnba-las</t>
        </is>
      </c>
      <c r="AQ193" s="24" t="inlineStr">
        <is>
          <t>Los Angeles Sparks</t>
        </is>
      </c>
      <c r="AR193" s="24" t="inlineStr">
        <is>
          <t>Los Angeles Sparks</t>
        </is>
      </c>
      <c r="AS193" s="24" t="inlineStr">
        <is>
          <t>wnba-lva</t>
        </is>
      </c>
      <c r="AT193" s="24" t="inlineStr">
        <is>
          <t>Las Vegas Aces</t>
        </is>
      </c>
      <c r="AU193" s="24" t="inlineStr">
        <is>
          <t>Las Vegas Aces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7afd5274214b58b7efd7f7febc7be3ab33b92351cda5cc6403c0a39faea0cc8c</t>
        </is>
      </c>
      <c r="BB193" s="24" t="inlineStr">
        <is>
          <t>learned_lr</t>
        </is>
      </c>
      <c r="BC193" s="24" t="inlineStr">
        <is>
          <t>wnba-elo-trend-lr-v4</t>
        </is>
      </c>
      <c r="BD193" s="24" t="inlineStr">
        <is>
          <t>7afd5274214b58b7efd7f7febc7be3ab33b92351cda5cc6403c0a39faea0cc8c</t>
        </is>
      </c>
      <c r="BE193" s="24" t="inlineStr">
        <is>
          <t>64a233ec41c1cd81</t>
        </is>
      </c>
      <c r="BF193" s="24" t="inlineStr">
        <is>
          <t>1</t>
        </is>
      </c>
      <c r="BG193" s="24" t="inlineStr">
        <is>
          <t>wnba-elo-trend-lr-v4</t>
        </is>
      </c>
      <c r="BH193" s="24" t="inlineStr">
        <is>
          <t>2026-09-22T16:06:53.251135Z</t>
        </is>
      </c>
      <c r="BI193" s="24" t="inlineStr">
        <is>
          <t>["same_event","same_team_same_day","same_league_same_day"]</t>
        </is>
      </c>
      <c r="BJ193" s="25" t="n"/>
      <c r="BK193" s="26" t="n">
        <v>-110</v>
      </c>
      <c r="BL193" s="27" t="n">
        <v>1.909091</v>
      </c>
      <c r="BM193" s="28" t="n">
        <v>0.52381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>
        <v>1</v>
      </c>
      <c r="BY193" s="27" t="n">
        <v>0.909091</v>
      </c>
      <c r="BZ193" s="24" t="inlineStr">
        <is>
          <t>2026-09-23T04:30:29.643025Z</t>
        </is>
      </c>
      <c r="CA193" s="31" t="inlineStr">
        <is>
          <t>fixed one-unit hypothetical scoring; no real exposure or execution</t>
        </is>
      </c>
      <c r="CB193" s="24" t="n"/>
      <c r="CC193" s="24" t="inlineStr">
        <is>
          <t>0.8021671085</t>
        </is>
      </c>
      <c r="CD193" s="24" t="inlineStr">
        <is>
          <t>5.448231</t>
        </is>
      </c>
      <c r="CE193" s="24" t="n"/>
      <c r="CF193" s="24" t="n"/>
      <c r="CG193" s="24" t="n"/>
      <c r="CH193" s="24" t="n"/>
      <c r="CI193" s="24" t="inlineStr">
        <is>
          <t>NO_CALL_AVAILABILITY_SOURCE_CONFLICT,executable_quote_missing_or_unmatched</t>
        </is>
      </c>
      <c r="CJ193" s="24" t="inlineStr">
        <is>
          <t>-0.404678</t>
        </is>
      </c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0.52381</t>
        </is>
      </c>
      <c r="DK193" s="24" t="n"/>
      <c r="DL193" s="24" t="n"/>
      <c r="DM193" s="24" t="n"/>
      <c r="DN193" s="24" t="n"/>
      <c r="DO193" s="24" t="n"/>
      <c r="DP193" s="24" t="n"/>
      <c r="DQ193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0.7123647979246926, "event_id": "401857211", "event_start_utc": "2026-09-23T02:00:00+00:00", "features": {"defensive_trend_gap": -0.4046780000000001, "elo_probability": 0.8021671084976215, "trend_gap": 5.448231}, "historical_source_observation_times_verified": false, "model_version": "wnba-elo-trend-lr-v4", "observed_at_utc": "2026-09-22T16:06:53.251135+00:00", "schema": "learned-moneyline-replay-v1", "served_home_probability": 0.7123647979246926, "snapshot_hash": "f402d142431dcbbd8980598d84144661284ca6e901d77a795b86a6e17d6681f8"}</t>
        </is>
      </c>
    </row>
    <row r="194" ht="36" customHeight="1">
      <c r="A194" s="24" t="inlineStr">
        <is>
          <t>2f92e4cfbb2b45e6</t>
        </is>
      </c>
      <c r="B194" s="24" t="inlineStr">
        <is>
          <t>2026-09-22T16:06:53.251135Z</t>
        </is>
      </c>
      <c r="C194" s="24" t="inlineStr">
        <is>
          <t>2026-09-22T22:00:00-0400</t>
        </is>
      </c>
      <c r="D194" s="24" t="inlineStr">
        <is>
          <t>401857212</t>
        </is>
      </c>
      <c r="E194" s="24" t="inlineStr">
        <is>
          <t>WNBA</t>
        </is>
      </c>
      <c r="F194" s="24" t="inlineStr">
        <is>
          <t>Golden State Valkyries</t>
        </is>
      </c>
      <c r="G194" s="24" t="inlineStr">
        <is>
          <t>Portland Fire</t>
        </is>
      </c>
      <c r="H194" s="24" t="inlineStr">
        <is>
          <t>moneyline</t>
        </is>
      </c>
      <c r="I194" s="24" t="inlineStr">
        <is>
          <t>away</t>
        </is>
      </c>
      <c r="J194" s="25" t="n"/>
      <c r="K194" s="24" t="inlineStr">
        <is>
          <t>model_opinion_no_executable_quote</t>
        </is>
      </c>
      <c r="L194" s="26" t="n">
        <v>-110</v>
      </c>
      <c r="M194" s="27" t="n">
        <v>1.909091</v>
      </c>
      <c r="N194" s="28" t="n">
        <v>0.52381</v>
      </c>
      <c r="O194" s="28" t="n">
        <v>0.748355</v>
      </c>
      <c r="P194" s="28" t="n"/>
      <c r="Q194" s="28" t="n">
        <v>0.224545</v>
      </c>
      <c r="R194" s="26" t="n">
        <v>100</v>
      </c>
      <c r="S194" s="29" t="n">
        <v>2</v>
      </c>
      <c r="T194" s="24" t="inlineStr">
        <is>
          <t>wnba-elo-trend-lr-v4</t>
        </is>
      </c>
      <c r="U194" s="24" t="inlineStr">
        <is>
          <t>settled</t>
        </is>
      </c>
      <c r="V194" s="24" t="inlineStr">
        <is>
          <t>loss</t>
        </is>
      </c>
      <c r="W194" s="26" t="n">
        <v>82</v>
      </c>
      <c r="X194" s="26" t="n">
        <v>90</v>
      </c>
      <c r="Y194" s="25" t="n"/>
      <c r="Z194" s="26" t="n"/>
      <c r="AA194" s="28" t="n"/>
      <c r="AB194" s="28" t="n"/>
      <c r="AC194" s="30" t="n">
        <v>-2</v>
      </c>
      <c r="AD194" s="24" t="inlineStr">
        <is>
          <t>2026-09-23T10:00:13.382850Z</t>
        </is>
      </c>
      <c r="AE194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194" s="31" t="inlineStr">
        <is>
          <t>Learned model; shadow-qualified via operator override.</t>
        </is>
      </c>
      <c r="AG194" s="24" t="inlineStr">
        <is>
          <t>review_required</t>
        </is>
      </c>
      <c r="AH194" s="24" t="n"/>
      <c r="AI194" s="31" t="n"/>
      <c r="AJ194" s="31" t="n"/>
      <c r="AK194" s="24" t="inlineStr">
        <is>
          <t>paper_call</t>
        </is>
      </c>
      <c r="AL194" s="26" t="n">
        <v>4</v>
      </c>
      <c r="AM194" s="24" t="inlineStr">
        <is>
          <t>RESEARCH_OBSERVATION</t>
        </is>
      </c>
      <c r="AN194" s="24" t="inlineStr">
        <is>
          <t>CALL</t>
        </is>
      </c>
      <c r="AO194" s="24" t="inlineStr">
        <is>
          <t>PAPER_CALL_MARKET_UNAVAILABLE</t>
        </is>
      </c>
      <c r="AP194" s="24" t="inlineStr">
        <is>
          <t>wnba-gsv</t>
        </is>
      </c>
      <c r="AQ194" s="24" t="inlineStr">
        <is>
          <t>Golden State Valkyries</t>
        </is>
      </c>
      <c r="AR194" s="24" t="inlineStr">
        <is>
          <t>Golden State Valkyries</t>
        </is>
      </c>
      <c r="AS194" s="24" t="inlineStr">
        <is>
          <t>wnba-por</t>
        </is>
      </c>
      <c r="AT194" s="24" t="inlineStr">
        <is>
          <t>Portland Fire</t>
        </is>
      </c>
      <c r="AU194" s="24" t="inlineStr">
        <is>
          <t>Portland Fire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7afd5274214b58b7efd7f7febc7be3ab33b92351cda5cc6403c0a39faea0cc8c</t>
        </is>
      </c>
      <c r="BB194" s="24" t="inlineStr">
        <is>
          <t>learned_lr</t>
        </is>
      </c>
      <c r="BC194" s="24" t="inlineStr">
        <is>
          <t>wnba-elo-trend-lr-v4</t>
        </is>
      </c>
      <c r="BD194" s="24" t="inlineStr">
        <is>
          <t>7afd5274214b58b7efd7f7febc7be3ab33b92351cda5cc6403c0a39faea0cc8c</t>
        </is>
      </c>
      <c r="BE194" s="24" t="inlineStr">
        <is>
          <t>ba5b08ae4a397b54</t>
        </is>
      </c>
      <c r="BF194" s="24" t="inlineStr">
        <is>
          <t>1</t>
        </is>
      </c>
      <c r="BG194" s="24" t="inlineStr">
        <is>
          <t>wnba-elo-trend-lr-v4</t>
        </is>
      </c>
      <c r="BH194" s="24" t="inlineStr">
        <is>
          <t>2026-09-22T16:06:53.251135Z</t>
        </is>
      </c>
      <c r="BI194" s="24" t="inlineStr">
        <is>
          <t>["same_event","same_team_same_day","same_league_same_day"]</t>
        </is>
      </c>
      <c r="BJ194" s="25" t="n"/>
      <c r="BK194" s="26" t="n">
        <v>-110</v>
      </c>
      <c r="BL194" s="27" t="n">
        <v>1.909091</v>
      </c>
      <c r="BM194" s="28" t="n">
        <v>0.52381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>
        <v>1</v>
      </c>
      <c r="BY194" s="27" t="n">
        <v>-1</v>
      </c>
      <c r="BZ194" s="24" t="inlineStr">
        <is>
          <t>2026-09-23T10:00:13.382850Z</t>
        </is>
      </c>
      <c r="CA194" s="31" t="inlineStr">
        <is>
          <t>fixed one-unit hypothetical scoring; no real exposure or execution</t>
        </is>
      </c>
      <c r="CB194" s="24" t="n"/>
      <c r="CC194" s="24" t="inlineStr">
        <is>
          <t>0.1455710737</t>
        </is>
      </c>
      <c r="CD194" s="24" t="inlineStr">
        <is>
          <t>-0.210202</t>
        </is>
      </c>
      <c r="CE194" s="24" t="n"/>
      <c r="CF194" s="24" t="n"/>
      <c r="CG194" s="24" t="n"/>
      <c r="CH194" s="24" t="n"/>
      <c r="CI194" s="24" t="inlineStr">
        <is>
          <t>NO_CALL_AVAILABILITY_SOURCE_CONFLICT,executable_quote_missing_or_unmatched</t>
        </is>
      </c>
      <c r="CJ194" s="24" t="inlineStr">
        <is>
          <t>-8.24345</t>
        </is>
      </c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0.52381</t>
        </is>
      </c>
      <c r="DK194" s="24" t="n"/>
      <c r="DL194" s="24" t="n"/>
      <c r="DM194" s="24" t="n"/>
      <c r="DN194" s="24" t="n"/>
      <c r="DO194" s="24" t="n"/>
      <c r="DP194" s="24" t="n"/>
      <c r="DQ194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0.2516450557871256, "event_id": "401857212", "event_start_utc": "2026-09-23T02:00:00+00:00", "features": {"defensive_trend_gap": -8.24345, "elo_probability": 0.14557107373214276, "trend_gap": -0.21020200000000022}, "historical_source_observation_times_verified": false, "model_version": "wnba-elo-trend-lr-v4", "observed_at_utc": "2026-09-22T16:06:53.251135+00:00", "schema": "learned-moneyline-replay-v1", "served_home_probability": 0.2516450557871256, "snapshot_hash": "1dac52aa47dc44642ab6579544c8add0c59a34f2644e82796ea392ca37f51429"}</t>
        </is>
      </c>
    </row>
    <row r="195" ht="36" customHeight="1">
      <c r="A195" s="24" t="inlineStr">
        <is>
          <t>3e17223e5fd04a6d</t>
        </is>
      </c>
      <c r="B195" s="24" t="inlineStr">
        <is>
          <t>2026-09-22T16:07:38.823476Z</t>
        </is>
      </c>
      <c r="C195" s="24" t="inlineStr">
        <is>
          <t>2026-09-23T00:00Z</t>
        </is>
      </c>
      <c r="D195" s="24" t="inlineStr">
        <is>
          <t>401857209</t>
        </is>
      </c>
      <c r="E195" s="24" t="inlineStr">
        <is>
          <t>WNBA</t>
        </is>
      </c>
      <c r="F195" s="24" t="inlineStr">
        <is>
          <t>Minnesota Lynx</t>
        </is>
      </c>
      <c r="G195" s="24" t="inlineStr">
        <is>
          <t>Indiana Fever</t>
        </is>
      </c>
      <c r="H195" s="24" t="inlineStr">
        <is>
          <t>total</t>
        </is>
      </c>
      <c r="I195" s="24" t="inlineStr">
        <is>
          <t>under</t>
        </is>
      </c>
      <c r="J195" s="25" t="n">
        <v>191.5</v>
      </c>
      <c r="K195" s="24" t="inlineStr">
        <is>
          <t>polymarket_us</t>
        </is>
      </c>
      <c r="L195" s="26" t="n">
        <v>-194</v>
      </c>
      <c r="M195" s="27" t="n">
        <v>1.515464</v>
      </c>
      <c r="N195" s="28" t="n">
        <v>0.659864</v>
      </c>
      <c r="O195" s="28" t="n">
        <v>0.7417280000000001</v>
      </c>
      <c r="P195" s="28" t="n">
        <v>0.03</v>
      </c>
      <c r="Q195" s="28" t="n">
        <v>0.08186400000000001</v>
      </c>
      <c r="R195" s="26" t="n">
        <v>73</v>
      </c>
      <c r="S195" s="29" t="n">
        <v>1.25</v>
      </c>
      <c r="T195" s="24" t="inlineStr">
        <is>
          <t>wnba-total-margin-v2</t>
        </is>
      </c>
      <c r="U195" s="24" t="inlineStr">
        <is>
          <t>settled</t>
        </is>
      </c>
      <c r="V195" s="24" t="inlineStr">
        <is>
          <t>win</t>
        </is>
      </c>
      <c r="W195" s="26" t="n">
        <v>77</v>
      </c>
      <c r="X195" s="26" t="n">
        <v>96</v>
      </c>
      <c r="Y195" s="25" t="n"/>
      <c r="Z195" s="26" t="n">
        <v>-194</v>
      </c>
      <c r="AA195" s="28" t="n">
        <v>0.66</v>
      </c>
      <c r="AB195" s="28" t="n">
        <v>0.000136</v>
      </c>
      <c r="AC195" s="30" t="n">
        <v>0.6443</v>
      </c>
      <c r="AD195" s="24" t="inlineStr">
        <is>
          <t>2026-09-23T04:31:06.890675Z</t>
        </is>
      </c>
      <c r="AE195" s="31" t="inlineStr">
        <is>
          <t>Projected total 181.1, sd 16.0. Executable ask 0.6600 (tsc-wnba-min-ind-2026-09-22-191pt5).</t>
        </is>
      </c>
      <c r="AF195" s="31" t="inlineStr">
        <is>
          <t>Research-baseline total model; not yet locked-holdout qualified.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model_qualified</t>
        </is>
      </c>
      <c r="AL195" s="26" t="n">
        <v>4</v>
      </c>
      <c r="AM195" s="24" t="inlineStr">
        <is>
          <t>QUALIFIED_SHADOW_CALL</t>
        </is>
      </c>
      <c r="AN195" s="24" t="inlineStr">
        <is>
          <t>CALL</t>
        </is>
      </c>
      <c r="AO195" s="24" t="inlineStr">
        <is>
          <t>QUALIFIED</t>
        </is>
      </c>
      <c r="AP195" s="24" t="inlineStr">
        <is>
          <t>wnba-min</t>
        </is>
      </c>
      <c r="AQ195" s="24" t="inlineStr">
        <is>
          <t>Minnesota Lynx</t>
        </is>
      </c>
      <c r="AR195" s="24" t="inlineStr">
        <is>
          <t>Minnesota Lynx</t>
        </is>
      </c>
      <c r="AS195" s="24" t="inlineStr">
        <is>
          <t>wnba-ind</t>
        </is>
      </c>
      <c r="AT195" s="24" t="inlineStr">
        <is>
          <t>Indiana Fever</t>
        </is>
      </c>
      <c r="AU195" s="24" t="inlineStr">
        <is>
          <t>Indiana Fever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research</t>
        </is>
      </c>
      <c r="BA195" s="24" t="inlineStr">
        <is>
          <t>9c9b767590bbbb9a7b333eaf9def066d65bf813e735ed73aa27cfb2c609a4ca5</t>
        </is>
      </c>
      <c r="BB195" s="24" t="inlineStr">
        <is>
          <t>total_normal</t>
        </is>
      </c>
      <c r="BC195" s="24" t="inlineStr">
        <is>
          <t>wnba-total-margin-v2</t>
        </is>
      </c>
      <c r="BD195" s="24" t="inlineStr">
        <is>
          <t>9c9b767590bbbb9a7b333eaf9def066d65bf813e735ed73aa27cfb2c609a4ca5</t>
        </is>
      </c>
      <c r="BE195" s="24" t="inlineStr">
        <is>
          <t>wnba-total-margin-v2</t>
        </is>
      </c>
      <c r="BF195" s="24" t="inlineStr">
        <is>
          <t>1</t>
        </is>
      </c>
      <c r="BG195" s="24" t="inlineStr">
        <is>
          <t>9c9b767590bbbb9a7b333eaf9def066d65bf813e735ed73aa27cfb2c609a4ca5</t>
        </is>
      </c>
      <c r="BH195" s="24" t="inlineStr">
        <is>
          <t>2026-09-22T16:05:09.977961Z</t>
        </is>
      </c>
      <c r="BI195" s="24" t="inlineStr">
        <is>
          <t>["same_event","same_team_same_day","same_league_same_day"]</t>
        </is>
      </c>
      <c r="BJ195" s="25" t="n">
        <v>191.5</v>
      </c>
      <c r="BK195" s="26" t="n">
        <v>-194</v>
      </c>
      <c r="BL195" s="27" t="n">
        <v>1.515464</v>
      </c>
      <c r="BM195" s="28" t="n">
        <v>0.659864</v>
      </c>
      <c r="BN195" s="28" t="n"/>
      <c r="BO195" s="28" t="n"/>
      <c r="BP195" s="25" t="n"/>
      <c r="BQ195" s="27" t="n">
        <v>1.515464</v>
      </c>
      <c r="BR195" s="28" t="n">
        <v>0.66</v>
      </c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True</t>
        </is>
      </c>
      <c r="CT195" s="24" t="n"/>
      <c r="CU195" s="24" t="n"/>
      <c r="CV195" s="24" t="n"/>
      <c r="CW195" s="24" t="n"/>
      <c r="CX195" s="24" t="n"/>
      <c r="CY195" s="24" t="inlineStr">
        <is>
          <t>2026-09-22T16:05:09.977961Z</t>
        </is>
      </c>
      <c r="CZ195" s="24" t="inlineStr">
        <is>
          <t>True</t>
        </is>
      </c>
      <c r="DA195" s="24" t="inlineStr">
        <is>
          <t>polymarket_us</t>
        </is>
      </c>
      <c r="DB195" s="24" t="inlineStr">
        <is>
          <t>decision_time_executable_quote</t>
        </is>
      </c>
      <c r="DC195" s="24" t="inlineStr">
        <is>
          <t>False</t>
        </is>
      </c>
      <c r="DD195" s="24" t="inlineStr">
        <is>
          <t>97cfc5c567974257666cddb1d228ca2e2d00394e1cc9b7fe9bd2302ac043c7cb</t>
        </is>
      </c>
      <c r="DE195" s="24" t="inlineStr">
        <is>
          <t>/Users/vincentc9002/model-prediction/data/odds/wnba/2026-09-22/polymarket_snapshots.jsonl</t>
        </is>
      </c>
      <c r="DF195" s="24" t="inlineStr">
        <is>
          <t>97cfc5c567974257666cddb1d228ca2e2d00394e1cc9b7fe9bd2302ac043c7cb</t>
        </is>
      </c>
      <c r="DG195" s="24" t="n"/>
      <c r="DH195" s="24" t="n"/>
      <c r="DI195" s="24" t="n"/>
      <c r="DJ195" s="24" t="inlineStr">
        <is>
          <t>0.659864</t>
        </is>
      </c>
      <c r="DK195" s="24" t="n"/>
      <c r="DL195" s="24" t="n"/>
      <c r="DM195" s="24" t="n"/>
      <c r="DN195" s="24" t="n"/>
      <c r="DO195" s="24" t="n"/>
      <c r="DP195" s="24" t="n"/>
      <c r="DQ195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"401857209", "event_start_utc": "2026-09-23T00:00Z", "features": {"away_points_hl10": 90.3, "elo_away": 1680.7, "elo_home": 1632.9, "elo_margin": 0.44, "expected_margin": 1.97, "expected_total": 181.12, "history_games": 934, "home_points_hl10": 90.27, "rest_diff": 0.0, "trend_margin": 1.97}, "historical_source_observation_times_verified": false, "inference_inputs": {"line": 191.5, "mean": 181.1211078, "sd": 16.0}, "model_version": "wnba-total-margin-v2", "observed_at_utc": "2026-09-22T16:07:38.501618+00:00", "replay_scope": "Exact final classifier/distribution inputs and artifact. Upstream historical feature construction not certified.", "schema": "scalar-artifact-replay-v1", "snapshot_hash": "312b25bfac1ac59f13b24c92c3011d06805231142704fc89840d3d8264253a21"}</t>
        </is>
      </c>
    </row>
    <row r="196" ht="36" customHeight="1">
      <c r="A196" s="24" t="inlineStr">
        <is>
          <t>756eba2e96b848b2</t>
        </is>
      </c>
      <c r="B196" s="24" t="inlineStr">
        <is>
          <t>2026-09-22T16:07:38.823476Z</t>
        </is>
      </c>
      <c r="C196" s="24" t="inlineStr">
        <is>
          <t>2026-09-23T00:00Z</t>
        </is>
      </c>
      <c r="D196" s="24" t="inlineStr">
        <is>
          <t>401857210</t>
        </is>
      </c>
      <c r="E196" s="24" t="inlineStr">
        <is>
          <t>WNBA</t>
        </is>
      </c>
      <c r="F196" s="24" t="inlineStr">
        <is>
          <t>Toronto Tempo</t>
        </is>
      </c>
      <c r="G196" s="24" t="inlineStr">
        <is>
          <t>Chicago Sky</t>
        </is>
      </c>
      <c r="H196" s="24" t="inlineStr">
        <is>
          <t>total</t>
        </is>
      </c>
      <c r="I196" s="24" t="inlineStr">
        <is>
          <t>under</t>
        </is>
      </c>
      <c r="J196" s="25" t="n">
        <v>178.5</v>
      </c>
      <c r="K196" s="24" t="inlineStr">
        <is>
          <t>polymarket_us</t>
        </is>
      </c>
      <c r="L196" s="26" t="n">
        <v>104</v>
      </c>
      <c r="M196" s="27" t="n">
        <v>2.04</v>
      </c>
      <c r="N196" s="28" t="n">
        <v>0.490196</v>
      </c>
      <c r="O196" s="28" t="n">
        <v>0.583194</v>
      </c>
      <c r="P196" s="28" t="n">
        <v>0.03</v>
      </c>
      <c r="Q196" s="28" t="n">
        <v>0.092998</v>
      </c>
      <c r="R196" s="26" t="n">
        <v>78</v>
      </c>
      <c r="S196" s="29" t="n">
        <v>1.5</v>
      </c>
      <c r="T196" s="24" t="inlineStr">
        <is>
          <t>wnba-total-margin-v2</t>
        </is>
      </c>
      <c r="U196" s="24" t="inlineStr">
        <is>
          <t>settled</t>
        </is>
      </c>
      <c r="V196" s="24" t="inlineStr">
        <is>
          <t>loss</t>
        </is>
      </c>
      <c r="W196" s="26" t="n">
        <v>85</v>
      </c>
      <c r="X196" s="26" t="n">
        <v>97</v>
      </c>
      <c r="Y196" s="25" t="n"/>
      <c r="Z196" s="26" t="n">
        <v>104</v>
      </c>
      <c r="AA196" s="28" t="n">
        <v>0.49</v>
      </c>
      <c r="AB196" s="28" t="n">
        <v>-0.000196</v>
      </c>
      <c r="AC196" s="30" t="n">
        <v>-1.5</v>
      </c>
      <c r="AD196" s="24" t="inlineStr">
        <is>
          <t>2026-09-23T04:31:07.181019Z</t>
        </is>
      </c>
      <c r="AE196" s="31" t="inlineStr">
        <is>
          <t>Projected total 175.1, sd 16.0. Executable ask 0.4900 (tsc-wnba-tor-chi-2026-09-22-178pt5).</t>
        </is>
      </c>
      <c r="AF196" s="31" t="inlineStr">
        <is>
          <t>Research-baseline total model; not yet locked-holdout qualified.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model_qualified</t>
        </is>
      </c>
      <c r="AL196" s="26" t="n">
        <v>4</v>
      </c>
      <c r="AM196" s="24" t="inlineStr">
        <is>
          <t>QUALIFIED_SHADOW_CALL</t>
        </is>
      </c>
      <c r="AN196" s="24" t="inlineStr">
        <is>
          <t>CALL</t>
        </is>
      </c>
      <c r="AO196" s="24" t="inlineStr">
        <is>
          <t>QUALIFIED</t>
        </is>
      </c>
      <c r="AP196" s="24" t="inlineStr">
        <is>
          <t>wnba-tor</t>
        </is>
      </c>
      <c r="AQ196" s="24" t="inlineStr">
        <is>
          <t>Toronto Tempo</t>
        </is>
      </c>
      <c r="AR196" s="24" t="inlineStr">
        <is>
          <t>Toronto Tempo</t>
        </is>
      </c>
      <c r="AS196" s="24" t="inlineStr">
        <is>
          <t>wnba-chi</t>
        </is>
      </c>
      <c r="AT196" s="24" t="inlineStr">
        <is>
          <t>Chicago Sky</t>
        </is>
      </c>
      <c r="AU196" s="24" t="inlineStr">
        <is>
          <t>Chicago Sky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research</t>
        </is>
      </c>
      <c r="BA196" s="24" t="inlineStr">
        <is>
          <t>9c9b767590bbbb9a7b333eaf9def066d65bf813e735ed73aa27cfb2c609a4ca5</t>
        </is>
      </c>
      <c r="BB196" s="24" t="inlineStr">
        <is>
          <t>total_normal</t>
        </is>
      </c>
      <c r="BC196" s="24" t="inlineStr">
        <is>
          <t>wnba-total-margin-v2</t>
        </is>
      </c>
      <c r="BD196" s="24" t="inlineStr">
        <is>
          <t>9c9b767590bbbb9a7b333eaf9def066d65bf813e735ed73aa27cfb2c609a4ca5</t>
        </is>
      </c>
      <c r="BE196" s="24" t="inlineStr">
        <is>
          <t>wnba-total-margin-v2</t>
        </is>
      </c>
      <c r="BF196" s="24" t="inlineStr">
        <is>
          <t>1</t>
        </is>
      </c>
      <c r="BG196" s="24" t="inlineStr">
        <is>
          <t>9c9b767590bbbb9a7b333eaf9def066d65bf813e735ed73aa27cfb2c609a4ca5</t>
        </is>
      </c>
      <c r="BH196" s="24" t="inlineStr">
        <is>
          <t>2026-09-22T10:04:24.544210Z</t>
        </is>
      </c>
      <c r="BI196" s="24" t="inlineStr">
        <is>
          <t>["same_event","same_team_same_day","same_league_same_day"]</t>
        </is>
      </c>
      <c r="BJ196" s="25" t="n">
        <v>178.5</v>
      </c>
      <c r="BK196" s="26" t="n">
        <v>104</v>
      </c>
      <c r="BL196" s="27" t="n">
        <v>2.04</v>
      </c>
      <c r="BM196" s="28" t="n">
        <v>0.490196</v>
      </c>
      <c r="BN196" s="28" t="n"/>
      <c r="BO196" s="28" t="n"/>
      <c r="BP196" s="25" t="n"/>
      <c r="BQ196" s="27" t="n">
        <v>2.04</v>
      </c>
      <c r="BR196" s="28" t="n">
        <v>0.49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  <c r="CT196" s="24" t="n"/>
      <c r="CU196" s="24" t="n"/>
      <c r="CV196" s="24" t="n"/>
      <c r="CW196" s="24" t="n"/>
      <c r="CX196" s="24" t="n"/>
      <c r="CY196" s="24" t="inlineStr">
        <is>
          <t>2026-09-22T10:04:24.544210Z</t>
        </is>
      </c>
      <c r="CZ196" s="24" t="inlineStr">
        <is>
          <t>True</t>
        </is>
      </c>
      <c r="DA196" s="24" t="inlineStr">
        <is>
          <t>polymarket_us</t>
        </is>
      </c>
      <c r="DB196" s="24" t="inlineStr">
        <is>
          <t>decision_time_executable_quote</t>
        </is>
      </c>
      <c r="DC196" s="24" t="inlineStr">
        <is>
          <t>False</t>
        </is>
      </c>
      <c r="DD196" s="24" t="inlineStr">
        <is>
          <t>8f733e5d1130444638752a705b57612dbbc9405023fa8445dccc9bcc92841f95</t>
        </is>
      </c>
      <c r="DE196" s="24" t="inlineStr">
        <is>
          <t>/Users/vincentc9002/model-prediction/data/odds/wnba/2026-09-22/polymarket_snapshots.jsonl</t>
        </is>
      </c>
      <c r="DF196" s="24" t="inlineStr">
        <is>
          <t>8f733e5d1130444638752a705b57612dbbc9405023fa8445dccc9bcc92841f95</t>
        </is>
      </c>
      <c r="DG196" s="24" t="n"/>
      <c r="DH196" s="24" t="n"/>
      <c r="DI196" s="24" t="n"/>
      <c r="DJ196" s="24" t="inlineStr">
        <is>
          <t>0.490196</t>
        </is>
      </c>
      <c r="DK196" s="24" t="n"/>
      <c r="DL196" s="24" t="n"/>
      <c r="DM196" s="24" t="n"/>
      <c r="DN196" s="24" t="n"/>
      <c r="DO196" s="24" t="n"/>
      <c r="DP196" s="24" t="n"/>
      <c r="DQ19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"401857210", "event_start_utc": "2026-09-23T00:00Z", "features": {"away_points_hl10": 87.17, "elo_away": 1243.9, "elo_home": 1373.7, "elo_margin": 6.78, "expected_margin": 3.65, "expected_total": 175.14, "history_games": 934, "home_points_hl10": 88.83, "rest_diff": 0.0, "trend_margin": 3.65}, "historical_source_observation_times_verified": false, "inference_inputs": {"line": 178.5, "mean": 175.1388465, "sd": 16.0}, "model_version": "wnba-total-margin-v2", "observed_at_utc": "2026-09-22T16:07:38.501618+00:00", "replay_scope": "Exact final classifier/distribution inputs and artifact. Upstream historical feature construction not certified.", "schema": "scalar-artifact-replay-v1", "snapshot_hash": "f87ce6ae5d6e3d1e453d66702d0c111091cc4218df18b704d57464fd3a879caa"}</t>
        </is>
      </c>
    </row>
    <row r="197" ht="36" customHeight="1">
      <c r="A197" s="24" t="inlineStr">
        <is>
          <t>d9b98271e9f141a5</t>
        </is>
      </c>
      <c r="B197" s="24" t="inlineStr">
        <is>
          <t>2026-09-22T16:07:38.823476Z</t>
        </is>
      </c>
      <c r="C197" s="24" t="inlineStr">
        <is>
          <t>2026-09-23T02:00Z</t>
        </is>
      </c>
      <c r="D197" s="24" t="inlineStr">
        <is>
          <t>401857212</t>
        </is>
      </c>
      <c r="E197" s="24" t="inlineStr">
        <is>
          <t>WNBA</t>
        </is>
      </c>
      <c r="F197" s="24" t="inlineStr">
        <is>
          <t>Golden State Valkyries</t>
        </is>
      </c>
      <c r="G197" s="24" t="inlineStr">
        <is>
          <t>Portland Fire</t>
        </is>
      </c>
      <c r="H197" s="24" t="inlineStr">
        <is>
          <t>total</t>
        </is>
      </c>
      <c r="I197" s="24" t="inlineStr">
        <is>
          <t>under</t>
        </is>
      </c>
      <c r="J197" s="25" t="n">
        <v>163.5</v>
      </c>
      <c r="K197" s="24" t="inlineStr">
        <is>
          <t>polymarket_us</t>
        </is>
      </c>
      <c r="L197" s="26" t="n">
        <v>-186</v>
      </c>
      <c r="M197" s="27" t="n">
        <v>1.537634</v>
      </c>
      <c r="N197" s="28" t="n">
        <v>0.65035</v>
      </c>
      <c r="O197" s="28" t="n">
        <v>0.517346</v>
      </c>
      <c r="P197" s="28" t="n">
        <v>0.03</v>
      </c>
      <c r="Q197" s="28" t="n">
        <v>-0.133004</v>
      </c>
      <c r="R197" s="26" t="n">
        <v>0</v>
      </c>
      <c r="S197" s="29" t="n">
        <v>1</v>
      </c>
      <c r="T197" s="24" t="inlineStr">
        <is>
          <t>wnba-total-margin-v2</t>
        </is>
      </c>
      <c r="U197" s="24" t="inlineStr">
        <is>
          <t>settled</t>
        </is>
      </c>
      <c r="V197" s="24" t="inlineStr">
        <is>
          <t>loss</t>
        </is>
      </c>
      <c r="W197" s="26" t="n">
        <v>82</v>
      </c>
      <c r="X197" s="26" t="n">
        <v>90</v>
      </c>
      <c r="Y197" s="25" t="n"/>
      <c r="Z197" s="26" t="n">
        <v>-186</v>
      </c>
      <c r="AA197" s="28" t="n">
        <v>0.65</v>
      </c>
      <c r="AB197" s="28" t="n">
        <v>-0.00035</v>
      </c>
      <c r="AC197" s="30" t="n">
        <v>-1</v>
      </c>
      <c r="AD197" s="24" t="inlineStr">
        <is>
          <t>2026-09-23T10:00:19.989259Z</t>
        </is>
      </c>
      <c r="AE197" s="31" t="inlineStr">
        <is>
          <t>Projected total 162.8, sd 16.0. Executable ask 0.6500 (tsc-wnba-gsv-por-2026-09-22-163pt5).</t>
        </is>
      </c>
      <c r="AF197" s="31" t="inlineStr">
        <is>
          <t>Research-baseline total model; not yet locked-holdout qualified.</t>
        </is>
      </c>
      <c r="AG197" s="24" t="inlineStr">
        <is>
          <t>review_required</t>
        </is>
      </c>
      <c r="AH197" s="24" t="n"/>
      <c r="AI197" s="31" t="n"/>
      <c r="AJ197" s="31" t="n"/>
      <c r="AK197" s="24" t="inlineStr">
        <is>
          <t>model_qualified</t>
        </is>
      </c>
      <c r="AL197" s="26" t="n">
        <v>4</v>
      </c>
      <c r="AM197" s="24" t="inlineStr">
        <is>
          <t>QUALIFIED_SHADOW_CALL</t>
        </is>
      </c>
      <c r="AN197" s="24" t="inlineStr">
        <is>
          <t>CALL</t>
        </is>
      </c>
      <c r="AO197" s="24" t="inlineStr">
        <is>
          <t>QUALIFIED</t>
        </is>
      </c>
      <c r="AP197" s="24" t="inlineStr">
        <is>
          <t>wnba-gsv</t>
        </is>
      </c>
      <c r="AQ197" s="24" t="inlineStr">
        <is>
          <t>Golden State Valkyries</t>
        </is>
      </c>
      <c r="AR197" s="24" t="inlineStr">
        <is>
          <t>Golden State Valkyries</t>
        </is>
      </c>
      <c r="AS197" s="24" t="inlineStr">
        <is>
          <t>wnba-por</t>
        </is>
      </c>
      <c r="AT197" s="24" t="inlineStr">
        <is>
          <t>Portland Fire</t>
        </is>
      </c>
      <c r="AU197" s="24" t="inlineStr">
        <is>
          <t>Portland Fire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research</t>
        </is>
      </c>
      <c r="BA197" s="24" t="inlineStr">
        <is>
          <t>9c9b767590bbbb9a7b333eaf9def066d65bf813e735ed73aa27cfb2c609a4ca5</t>
        </is>
      </c>
      <c r="BB197" s="24" t="inlineStr">
        <is>
          <t>total_normal</t>
        </is>
      </c>
      <c r="BC197" s="24" t="inlineStr">
        <is>
          <t>wnba-total-margin-v2</t>
        </is>
      </c>
      <c r="BD197" s="24" t="inlineStr">
        <is>
          <t>9c9b767590bbbb9a7b333eaf9def066d65bf813e735ed73aa27cfb2c609a4ca5</t>
        </is>
      </c>
      <c r="BE197" s="24" t="inlineStr">
        <is>
          <t>wnba-total-margin-v2</t>
        </is>
      </c>
      <c r="BF197" s="24" t="inlineStr">
        <is>
          <t>1</t>
        </is>
      </c>
      <c r="BG197" s="24" t="inlineStr">
        <is>
          <t>9c9b767590bbbb9a7b333eaf9def066d65bf813e735ed73aa27cfb2c609a4ca5</t>
        </is>
      </c>
      <c r="BH197" s="24" t="inlineStr">
        <is>
          <t>2026-09-22T16:05:21.559964Z</t>
        </is>
      </c>
      <c r="BI197" s="24" t="inlineStr">
        <is>
          <t>["same_event","same_team_same_day","same_league_same_day"]</t>
        </is>
      </c>
      <c r="BJ197" s="25" t="n">
        <v>163.5</v>
      </c>
      <c r="BK197" s="26" t="n">
        <v>-186</v>
      </c>
      <c r="BL197" s="27" t="n">
        <v>1.537634</v>
      </c>
      <c r="BM197" s="28" t="n">
        <v>0.65035</v>
      </c>
      <c r="BN197" s="28" t="n"/>
      <c r="BO197" s="28" t="n"/>
      <c r="BP197" s="25" t="n"/>
      <c r="BQ197" s="27" t="n">
        <v>1.537634</v>
      </c>
      <c r="BR197" s="28" t="n">
        <v>0.65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False</t>
        </is>
      </c>
      <c r="CT197" s="24" t="n"/>
      <c r="CU197" s="24" t="n"/>
      <c r="CV197" s="24" t="n"/>
      <c r="CW197" s="24" t="n"/>
      <c r="CX197" s="24" t="n"/>
      <c r="CY197" s="24" t="inlineStr">
        <is>
          <t>2026-09-22T16:05:21.559964Z</t>
        </is>
      </c>
      <c r="CZ197" s="24" t="inlineStr">
        <is>
          <t>True</t>
        </is>
      </c>
      <c r="DA197" s="24" t="inlineStr">
        <is>
          <t>polymarket_us</t>
        </is>
      </c>
      <c r="DB197" s="24" t="inlineStr">
        <is>
          <t>decision_time_executable_quote</t>
        </is>
      </c>
      <c r="DC197" s="24" t="inlineStr">
        <is>
          <t>False</t>
        </is>
      </c>
      <c r="DD197" s="24" t="inlineStr">
        <is>
          <t>a0b33589cec5354e4585b89a1ecf802db8e58337506bb21be9eda63b1d733b5c</t>
        </is>
      </c>
      <c r="DE197" s="24" t="inlineStr">
        <is>
          <t>/Users/vincentc9002/model-prediction/data/odds/wnba/2026-09-22/polymarket_snapshots.jsonl</t>
        </is>
      </c>
      <c r="DF197" s="24" t="inlineStr">
        <is>
          <t>a0b33589cec5354e4585b89a1ecf802db8e58337506bb21be9eda63b1d733b5c</t>
        </is>
      </c>
      <c r="DG197" s="24" t="n"/>
      <c r="DH197" s="24" t="n"/>
      <c r="DI197" s="24" t="n"/>
      <c r="DJ197" s="24" t="inlineStr">
        <is>
          <t>0.65035</t>
        </is>
      </c>
      <c r="DK197" s="24" t="n"/>
      <c r="DL197" s="24" t="n"/>
      <c r="DM197" s="24" t="n"/>
      <c r="DN197" s="24" t="n"/>
      <c r="DO197" s="24" t="n"/>
      <c r="DP197" s="24" t="n"/>
      <c r="DQ19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"401857212", "event_start_utc": "2026-09-23T02:00Z", "features": {"away_points_hl10": 85.21, "elo_away": 1764.4, "elo_home": 1397.0, "elo_margin": -10.98, "expected_margin": -3.89, "expected_total": 162.8, "history_games": 934, "home_points_hl10": 79.33, "rest_diff": 0.0, "trend_margin": -3.89}, "historical_source_observation_times_verified": false, "inference_inputs": {"line": 163.5, "mean": 162.8040822, "sd": 16.0}, "model_version": "wnba-total-margin-v2", "observed_at_utc": "2026-09-22T16:07:38.501618+00:00", "replay_scope": "Exact final classifier/distribution inputs and artifact. Upstream historical feature construction not certified.", "schema": "scalar-artifact-replay-v1", "snapshot_hash": "5970237cd57d7923d32c897178fed47875970165c8ccf6a38e6bc2a34d47d6c5"}</t>
        </is>
      </c>
    </row>
    <row r="198" ht="36" customHeight="1">
      <c r="A198" s="24" t="inlineStr">
        <is>
          <t>93e693ecd3cc41e1</t>
        </is>
      </c>
      <c r="B198" s="24" t="inlineStr">
        <is>
          <t>2026-09-22T16:07:38.869318Z</t>
        </is>
      </c>
      <c r="C198" s="24" t="inlineStr">
        <is>
          <t>2026-09-23T00:00Z</t>
        </is>
      </c>
      <c r="D198" s="24" t="inlineStr">
        <is>
          <t>401857209</t>
        </is>
      </c>
      <c r="E198" s="24" t="inlineStr">
        <is>
          <t>WNBA</t>
        </is>
      </c>
      <c r="F198" s="24" t="inlineStr">
        <is>
          <t>Minnesota Lynx</t>
        </is>
      </c>
      <c r="G198" s="24" t="inlineStr">
        <is>
          <t>Indiana Fever</t>
        </is>
      </c>
      <c r="H198" s="24" t="inlineStr">
        <is>
          <t>spread</t>
        </is>
      </c>
      <c r="I198" s="24" t="inlineStr">
        <is>
          <t>home</t>
        </is>
      </c>
      <c r="J198" s="25" t="n">
        <v>7.5</v>
      </c>
      <c r="K198" s="24" t="inlineStr">
        <is>
          <t>polymarket_us</t>
        </is>
      </c>
      <c r="L198" s="26" t="n">
        <v>-270</v>
      </c>
      <c r="M198" s="27" t="n">
        <v>1.37037</v>
      </c>
      <c r="N198" s="28" t="n">
        <v>0.72973</v>
      </c>
      <c r="O198" s="28" t="n">
        <v>0.7419790000000001</v>
      </c>
      <c r="P198" s="28" t="n">
        <v>0.03</v>
      </c>
      <c r="Q198" s="28" t="n">
        <v>0.012249</v>
      </c>
      <c r="R198" s="26" t="n">
        <v>38</v>
      </c>
      <c r="S198" s="29" t="n">
        <v>1</v>
      </c>
      <c r="T198" s="24" t="inlineStr">
        <is>
          <t>wnba-spread-margin-v2</t>
        </is>
      </c>
      <c r="U198" s="24" t="inlineStr">
        <is>
          <t>settled</t>
        </is>
      </c>
      <c r="V198" s="24" t="inlineStr">
        <is>
          <t>win</t>
        </is>
      </c>
      <c r="W198" s="26" t="n">
        <v>77</v>
      </c>
      <c r="X198" s="26" t="n">
        <v>96</v>
      </c>
      <c r="Y198" s="25" t="n"/>
      <c r="Z198" s="26" t="n"/>
      <c r="AA198" s="28" t="n"/>
      <c r="AB198" s="28" t="n"/>
      <c r="AC198" s="30" t="n">
        <v>0.3704</v>
      </c>
      <c r="AD198" s="24" t="inlineStr">
        <is>
          <t>2026-09-23T04:31:07.537678Z</t>
        </is>
      </c>
      <c r="AE198" s="31" t="inlineStr">
        <is>
          <t>Projected margin +1.2 (home), sd 13.4. Executable ask 0.7300 (asc-wnba-min-ind-2026-09-22-neg-7pt5).</t>
        </is>
      </c>
      <c r="AF198" s="31" t="inlineStr">
        <is>
          <t>Point-in-time composite Elo + trend + rest margin-normal spread model.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model_qualified</t>
        </is>
      </c>
      <c r="AL198" s="26" t="n">
        <v>4</v>
      </c>
      <c r="AM198" s="24" t="inlineStr">
        <is>
          <t>QUALIFIED_SHADOW_CALL</t>
        </is>
      </c>
      <c r="AN198" s="24" t="inlineStr">
        <is>
          <t>CALL</t>
        </is>
      </c>
      <c r="AO198" s="24" t="inlineStr">
        <is>
          <t>QUALIFIED</t>
        </is>
      </c>
      <c r="AP198" s="24" t="inlineStr">
        <is>
          <t>wnba-min</t>
        </is>
      </c>
      <c r="AQ198" s="24" t="inlineStr">
        <is>
          <t>Minnesota Lynx</t>
        </is>
      </c>
      <c r="AR198" s="24" t="inlineStr">
        <is>
          <t>Minnesota Lynx</t>
        </is>
      </c>
      <c r="AS198" s="24" t="inlineStr">
        <is>
          <t>wnba-ind</t>
        </is>
      </c>
      <c r="AT198" s="24" t="inlineStr">
        <is>
          <t>Indiana Fever</t>
        </is>
      </c>
      <c r="AU198" s="24" t="inlineStr">
        <is>
          <t>Indiana Fever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f7d192f98d825d7c77be21b0531a91cff101ad35e418fe9d7e07c5d0f769f974</t>
        </is>
      </c>
      <c r="BB198" s="24" t="inlineStr">
        <is>
          <t>margin_normal</t>
        </is>
      </c>
      <c r="BC198" s="24" t="inlineStr">
        <is>
          <t>wnba-spread-margin-v2</t>
        </is>
      </c>
      <c r="BD198" s="24" t="inlineStr">
        <is>
          <t>f7d192f98d825d7c77be21b0531a91cff101ad35e418fe9d7e07c5d0f769f974</t>
        </is>
      </c>
      <c r="BE198" s="24" t="inlineStr">
        <is>
          <t>wnba-spread-margin-v2</t>
        </is>
      </c>
      <c r="BF198" s="24" t="inlineStr">
        <is>
          <t>1</t>
        </is>
      </c>
      <c r="BG198" s="24" t="inlineStr">
        <is>
          <t>f7d192f98d825d7c77be21b0531a91cff101ad35e418fe9d7e07c5d0f769f974</t>
        </is>
      </c>
      <c r="BH198" s="24" t="inlineStr">
        <is>
          <t>2026-09-22T16:05:10.055510Z</t>
        </is>
      </c>
      <c r="BI198" s="24" t="inlineStr">
        <is>
          <t>["same_event","same_team_same_day","same_league_same_day"]</t>
        </is>
      </c>
      <c r="BJ198" s="25" t="n">
        <v>7.5</v>
      </c>
      <c r="BK198" s="26" t="n">
        <v>-270</v>
      </c>
      <c r="BL198" s="27" t="n">
        <v>1.37037</v>
      </c>
      <c r="BM198" s="28" t="n">
        <v>0.72973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True</t>
        </is>
      </c>
      <c r="CT198" s="24" t="n"/>
      <c r="CU198" s="24" t="n"/>
      <c r="CV198" s="24" t="n"/>
      <c r="CW198" s="24" t="n"/>
      <c r="CX198" s="24" t="n"/>
      <c r="CY198" s="24" t="inlineStr">
        <is>
          <t>2026-09-22T16:05:10.055510Z</t>
        </is>
      </c>
      <c r="CZ198" s="24" t="inlineStr">
        <is>
          <t>True</t>
        </is>
      </c>
      <c r="DA198" s="24" t="inlineStr">
        <is>
          <t>polymarket_us</t>
        </is>
      </c>
      <c r="DB198" s="24" t="inlineStr">
        <is>
          <t>decision_time_executable_quote</t>
        </is>
      </c>
      <c r="DC198" s="24" t="inlineStr">
        <is>
          <t>False</t>
        </is>
      </c>
      <c r="DD198" s="24" t="inlineStr">
        <is>
          <t>38e8fcf4e9c748ccf6176ee17b89feb90716c3310b1745ed78b4832217f5c082</t>
        </is>
      </c>
      <c r="DE198" s="24" t="inlineStr">
        <is>
          <t>/Users/vincentc9002/model-prediction/data/odds/wnba/2026-09-22/polymarket_snapshots.jsonl</t>
        </is>
      </c>
      <c r="DF198" s="24" t="inlineStr">
        <is>
          <t>38e8fcf4e9c748ccf6176ee17b89feb90716c3310b1745ed78b4832217f5c082</t>
        </is>
      </c>
      <c r="DG198" s="24" t="n"/>
      <c r="DH198" s="24" t="n"/>
      <c r="DI198" s="24" t="n"/>
      <c r="DJ198" s="24" t="inlineStr">
        <is>
          <t>0.72973</t>
        </is>
      </c>
      <c r="DK198" s="24" t="n"/>
      <c r="DL198" s="24" t="n"/>
      <c r="DM198" s="24" t="n"/>
      <c r="DN198" s="24" t="n"/>
      <c r="DO198" s="24" t="n"/>
      <c r="DP198" s="24" t="n"/>
      <c r="DQ198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"401857209", "event_start_utc": "2026-09-23T00:00Z", "features": {"away_points_hl10": 90.3, "elo_away": 1680.7, "elo_home": 1632.9, "elo_margin": 0.44, "expected_margin": 1.18, "expected_total": 180.57, "history_games": 934, "home_points_hl10": 90.27, "rest_diff": -0.1, "trend_margin": 2.23}, "historical_source_observation_times_verified": false, "inference_inputs": {"line": -7.5, "mean": 1.1832532752313238, "sd": 13.37}, "model_version": "wnba-spread-margin-v2", "observed_at_utc": "2026-09-22T16:07:38.486622+00:00", "replay_scope": "Exact final classifier/distribution inputs and artifact. Upstream historical feature construction not certified.", "schema": "scalar-artifact-replay-v1", "snapshot_hash": "37cd9d18e11f9302e9fe7b6acb5dee829055b97744e7ee3c8101d1f0c2daa7d5"}</t>
        </is>
      </c>
    </row>
    <row r="199" ht="36" customHeight="1">
      <c r="A199" s="24" t="inlineStr">
        <is>
          <t>efab4cff3f6c4f3f</t>
        </is>
      </c>
      <c r="B199" s="24" t="inlineStr">
        <is>
          <t>2026-09-22T16:07:38.869318Z</t>
        </is>
      </c>
      <c r="C199" s="24" t="inlineStr">
        <is>
          <t>2026-09-23T00:00Z</t>
        </is>
      </c>
      <c r="D199" s="24" t="inlineStr">
        <is>
          <t>401857210</t>
        </is>
      </c>
      <c r="E199" s="24" t="inlineStr">
        <is>
          <t>WNBA</t>
        </is>
      </c>
      <c r="F199" s="24" t="inlineStr">
        <is>
          <t>Toronto Tempo</t>
        </is>
      </c>
      <c r="G199" s="24" t="inlineStr">
        <is>
          <t>Chicago Sky</t>
        </is>
      </c>
      <c r="H199" s="24" t="inlineStr">
        <is>
          <t>spread</t>
        </is>
      </c>
      <c r="I199" s="24" t="inlineStr">
        <is>
          <t>home</t>
        </is>
      </c>
      <c r="J199" s="25" t="n">
        <v>-4.5</v>
      </c>
      <c r="K199" s="24" t="inlineStr">
        <is>
          <t>polymarket_us</t>
        </is>
      </c>
      <c r="L199" s="26" t="n">
        <v>-133</v>
      </c>
      <c r="M199" s="27" t="n">
        <v>1.75188</v>
      </c>
      <c r="N199" s="28" t="n">
        <v>0.570815</v>
      </c>
      <c r="O199" s="28" t="n">
        <v>0.527213</v>
      </c>
      <c r="P199" s="28" t="n">
        <v>0.03</v>
      </c>
      <c r="Q199" s="28" t="n">
        <v>-0.043602</v>
      </c>
      <c r="R199" s="26" t="n">
        <v>10</v>
      </c>
      <c r="S199" s="29" t="n">
        <v>1</v>
      </c>
      <c r="T199" s="24" t="inlineStr">
        <is>
          <t>wnba-spread-margin-v2</t>
        </is>
      </c>
      <c r="U199" s="24" t="inlineStr">
        <is>
          <t>settled</t>
        </is>
      </c>
      <c r="V199" s="24" t="inlineStr">
        <is>
          <t>win</t>
        </is>
      </c>
      <c r="W199" s="26" t="n">
        <v>85</v>
      </c>
      <c r="X199" s="26" t="n">
        <v>97</v>
      </c>
      <c r="Y199" s="25" t="n"/>
      <c r="Z199" s="26" t="n"/>
      <c r="AA199" s="28" t="n"/>
      <c r="AB199" s="28" t="n"/>
      <c r="AC199" s="30" t="n">
        <v>0.7519</v>
      </c>
      <c r="AD199" s="24" t="inlineStr">
        <is>
          <t>2026-09-23T04:31:07.801455Z</t>
        </is>
      </c>
      <c r="AE199" s="31" t="inlineStr">
        <is>
          <t>Projected margin +5.4 (home), sd 13.4. Executable ask 0.5700 (asc-wnba-tor-chi-2026-09-22-pos-4pt5).</t>
        </is>
      </c>
      <c r="AF199" s="31" t="inlineStr">
        <is>
          <t>Point-in-time composite Elo + trend + rest margin-normal spread model.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model_qualified</t>
        </is>
      </c>
      <c r="AL199" s="26" t="n">
        <v>4</v>
      </c>
      <c r="AM199" s="24" t="inlineStr">
        <is>
          <t>QUALIFIED_SHADOW_CALL</t>
        </is>
      </c>
      <c r="AN199" s="24" t="inlineStr">
        <is>
          <t>CALL</t>
        </is>
      </c>
      <c r="AO199" s="24" t="inlineStr">
        <is>
          <t>QUALIFIED</t>
        </is>
      </c>
      <c r="AP199" s="24" t="inlineStr">
        <is>
          <t>wnba-tor</t>
        </is>
      </c>
      <c r="AQ199" s="24" t="inlineStr">
        <is>
          <t>Toronto Tempo</t>
        </is>
      </c>
      <c r="AR199" s="24" t="inlineStr">
        <is>
          <t>Toronto Tempo</t>
        </is>
      </c>
      <c r="AS199" s="24" t="inlineStr">
        <is>
          <t>wnba-chi</t>
        </is>
      </c>
      <c r="AT199" s="24" t="inlineStr">
        <is>
          <t>Chicago Sky</t>
        </is>
      </c>
      <c r="AU199" s="24" t="inlineStr">
        <is>
          <t>Chicago Sky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f7d192f98d825d7c77be21b0531a91cff101ad35e418fe9d7e07c5d0f769f974</t>
        </is>
      </c>
      <c r="BB199" s="24" t="inlineStr">
        <is>
          <t>margin_normal</t>
        </is>
      </c>
      <c r="BC199" s="24" t="inlineStr">
        <is>
          <t>wnba-spread-margin-v2</t>
        </is>
      </c>
      <c r="BD199" s="24" t="inlineStr">
        <is>
          <t>f7d192f98d825d7c77be21b0531a91cff101ad35e418fe9d7e07c5d0f769f974</t>
        </is>
      </c>
      <c r="BE199" s="24" t="inlineStr">
        <is>
          <t>wnba-spread-margin-v2</t>
        </is>
      </c>
      <c r="BF199" s="24" t="inlineStr">
        <is>
          <t>1</t>
        </is>
      </c>
      <c r="BG199" s="24" t="inlineStr">
        <is>
          <t>f7d192f98d825d7c77be21b0531a91cff101ad35e418fe9d7e07c5d0f769f974</t>
        </is>
      </c>
      <c r="BH199" s="24" t="inlineStr">
        <is>
          <t>2026-09-22T04:43:08.057049Z</t>
        </is>
      </c>
      <c r="BI199" s="24" t="inlineStr">
        <is>
          <t>["same_event","same_team_same_day","same_league_same_day"]</t>
        </is>
      </c>
      <c r="BJ199" s="25" t="n">
        <v>-4.5</v>
      </c>
      <c r="BK199" s="26" t="n">
        <v>-133</v>
      </c>
      <c r="BL199" s="27" t="n">
        <v>1.75188</v>
      </c>
      <c r="BM199" s="28" t="n">
        <v>0.570815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  <c r="CT199" s="24" t="n"/>
      <c r="CU199" s="24" t="n"/>
      <c r="CV199" s="24" t="n"/>
      <c r="CW199" s="24" t="n"/>
      <c r="CX199" s="24" t="n"/>
      <c r="CY199" s="24" t="inlineStr">
        <is>
          <t>2026-09-22T04:43:08.057049Z</t>
        </is>
      </c>
      <c r="CZ199" s="24" t="inlineStr">
        <is>
          <t>True</t>
        </is>
      </c>
      <c r="DA199" s="24" t="inlineStr">
        <is>
          <t>polymarket_us</t>
        </is>
      </c>
      <c r="DB199" s="24" t="inlineStr">
        <is>
          <t>decision_time_executable_quote</t>
        </is>
      </c>
      <c r="DC199" s="24" t="inlineStr">
        <is>
          <t>False</t>
        </is>
      </c>
      <c r="DD199" s="24" t="inlineStr">
        <is>
          <t>fdfaaa24e7e581a3c8b3b4a7639570cf0e109a04b937654c8593a300673fc94c</t>
        </is>
      </c>
      <c r="DE199" s="24" t="inlineStr">
        <is>
          <t>/Users/vincentc9002/model-prediction/data/odds/wnba/2026-09-22/polymarket_snapshots.jsonl</t>
        </is>
      </c>
      <c r="DF199" s="24" t="inlineStr">
        <is>
          <t>fdfaaa24e7e581a3c8b3b4a7639570cf0e109a04b937654c8593a300673fc94c</t>
        </is>
      </c>
      <c r="DG199" s="24" t="n"/>
      <c r="DH199" s="24" t="n"/>
      <c r="DI199" s="24" t="n"/>
      <c r="DJ199" s="24" t="inlineStr">
        <is>
          <t>0.570815</t>
        </is>
      </c>
      <c r="DK199" s="24" t="n"/>
      <c r="DL199" s="24" t="n"/>
      <c r="DM199" s="24" t="n"/>
      <c r="DN199" s="24" t="n"/>
      <c r="DO199" s="24" t="n"/>
      <c r="DP199" s="24" t="n"/>
      <c r="DQ199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"401857210", "event_start_utc": "2026-09-23T00:00Z", "features": {"away_points_hl10": 87.17, "elo_away": 1243.9, "elo_home": 1373.7, "elo_margin": 6.78, "expected_margin": 5.41, "expected_total": 176.0, "history_games": 934, "home_points_hl10": 88.83, "rest_diff": 0.8, "trend_margin": 3.91}, "historical_source_observation_times_verified": false, "inference_inputs": {"line": 4.5, "mean": 5.412717496780192, "sd": 13.37}, "model_version": "wnba-spread-margin-v2", "observed_at_utc": "2026-09-22T16:07:38.486622+00:00", "replay_scope": "Exact final classifier/distribution inputs and artifact. Upstream historical feature construction not certified.", "schema": "scalar-artifact-replay-v1", "snapshot_hash": "8161775d94a049a279ad5ba82ea4c94de427badcceefafe311aed8e4af84efc5"}</t>
        </is>
      </c>
    </row>
    <row r="200" ht="36" customHeight="1">
      <c r="A200" s="24" t="inlineStr">
        <is>
          <t>64c3578bff0c4d1f</t>
        </is>
      </c>
      <c r="B200" s="24" t="inlineStr">
        <is>
          <t>2026-09-22T16:07:38.869318Z</t>
        </is>
      </c>
      <c r="C200" s="24" t="inlineStr">
        <is>
          <t>2026-09-23T02:00Z</t>
        </is>
      </c>
      <c r="D200" s="24" t="inlineStr">
        <is>
          <t>401857212</t>
        </is>
      </c>
      <c r="E200" s="24" t="inlineStr">
        <is>
          <t>WNBA</t>
        </is>
      </c>
      <c r="F200" s="24" t="inlineStr">
        <is>
          <t>Golden State Valkyries</t>
        </is>
      </c>
      <c r="G200" s="24" t="inlineStr">
        <is>
          <t>Portland Fire</t>
        </is>
      </c>
      <c r="H200" s="24" t="inlineStr">
        <is>
          <t>spread</t>
        </is>
      </c>
      <c r="I200" s="24" t="inlineStr">
        <is>
          <t>home</t>
        </is>
      </c>
      <c r="J200" s="25" t="n">
        <v>13.5</v>
      </c>
      <c r="K200" s="24" t="inlineStr">
        <is>
          <t>polymarket_us</t>
        </is>
      </c>
      <c r="L200" s="26" t="n">
        <v>108</v>
      </c>
      <c r="M200" s="27" t="n">
        <v>2.08</v>
      </c>
      <c r="N200" s="28" t="n">
        <v>0.480769</v>
      </c>
      <c r="O200" s="28" t="n">
        <v>0.673517</v>
      </c>
      <c r="P200" s="28" t="n">
        <v>0.03</v>
      </c>
      <c r="Q200" s="28" t="n">
        <v>0.192748</v>
      </c>
      <c r="R200" s="26" t="n">
        <v>100</v>
      </c>
      <c r="S200" s="29" t="n">
        <v>2</v>
      </c>
      <c r="T200" s="24" t="inlineStr">
        <is>
          <t>wnba-spread-margin-v2</t>
        </is>
      </c>
      <c r="U200" s="24" t="inlineStr">
        <is>
          <t>settled</t>
        </is>
      </c>
      <c r="V200" s="24" t="inlineStr">
        <is>
          <t>win</t>
        </is>
      </c>
      <c r="W200" s="26" t="n">
        <v>82</v>
      </c>
      <c r="X200" s="26" t="n">
        <v>90</v>
      </c>
      <c r="Y200" s="25" t="n"/>
      <c r="Z200" s="26" t="n"/>
      <c r="AA200" s="28" t="n"/>
      <c r="AB200" s="28" t="n"/>
      <c r="AC200" s="30" t="n">
        <v>2.16</v>
      </c>
      <c r="AD200" s="24" t="inlineStr">
        <is>
          <t>2026-09-23T10:00:20.269128Z</t>
        </is>
      </c>
      <c r="AE200" s="31" t="inlineStr">
        <is>
          <t>Projected margin -7.5 (home), sd 13.4. Executable ask 0.4800 (asc-wnba-gsv-por-2026-09-22-neg-13pt5).</t>
        </is>
      </c>
      <c r="AF200" s="31" t="inlineStr">
        <is>
          <t>Point-in-time composite Elo + trend + rest margin-normal spread model.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model_qualified</t>
        </is>
      </c>
      <c r="AL200" s="26" t="n">
        <v>4</v>
      </c>
      <c r="AM200" s="24" t="inlineStr">
        <is>
          <t>QUALIFIED_SHADOW_CALL</t>
        </is>
      </c>
      <c r="AN200" s="24" t="inlineStr">
        <is>
          <t>CALL</t>
        </is>
      </c>
      <c r="AO200" s="24" t="inlineStr">
        <is>
          <t>QUALIFIED</t>
        </is>
      </c>
      <c r="AP200" s="24" t="inlineStr">
        <is>
          <t>wnba-gsv</t>
        </is>
      </c>
      <c r="AQ200" s="24" t="inlineStr">
        <is>
          <t>Golden State Valkyries</t>
        </is>
      </c>
      <c r="AR200" s="24" t="inlineStr">
        <is>
          <t>Golden State Valkyries</t>
        </is>
      </c>
      <c r="AS200" s="24" t="inlineStr">
        <is>
          <t>wnba-por</t>
        </is>
      </c>
      <c r="AT200" s="24" t="inlineStr">
        <is>
          <t>Portland Fire</t>
        </is>
      </c>
      <c r="AU200" s="24" t="inlineStr">
        <is>
          <t>Portland Fire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f7d192f98d825d7c77be21b0531a91cff101ad35e418fe9d7e07c5d0f769f974</t>
        </is>
      </c>
      <c r="BB200" s="24" t="inlineStr">
        <is>
          <t>margin_normal</t>
        </is>
      </c>
      <c r="BC200" s="24" t="inlineStr">
        <is>
          <t>wnba-spread-margin-v2</t>
        </is>
      </c>
      <c r="BD200" s="24" t="inlineStr">
        <is>
          <t>f7d192f98d825d7c77be21b0531a91cff101ad35e418fe9d7e07c5d0f769f974</t>
        </is>
      </c>
      <c r="BE200" s="24" t="inlineStr">
        <is>
          <t>wnba-spread-margin-v2</t>
        </is>
      </c>
      <c r="BF200" s="24" t="inlineStr">
        <is>
          <t>1</t>
        </is>
      </c>
      <c r="BG200" s="24" t="inlineStr">
        <is>
          <t>f7d192f98d825d7c77be21b0531a91cff101ad35e418fe9d7e07c5d0f769f974</t>
        </is>
      </c>
      <c r="BH200" s="24" t="inlineStr">
        <is>
          <t>2026-09-22T10:04:29.479806Z</t>
        </is>
      </c>
      <c r="BI200" s="24" t="inlineStr">
        <is>
          <t>["same_event","same_team_same_day","same_league_same_day"]</t>
        </is>
      </c>
      <c r="BJ200" s="25" t="n">
        <v>13.5</v>
      </c>
      <c r="BK200" s="26" t="n">
        <v>108</v>
      </c>
      <c r="BL200" s="27" t="n">
        <v>2.08</v>
      </c>
      <c r="BM200" s="28" t="n">
        <v>0.480769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True</t>
        </is>
      </c>
      <c r="CT200" s="24" t="n"/>
      <c r="CU200" s="24" t="n"/>
      <c r="CV200" s="24" t="n"/>
      <c r="CW200" s="24" t="n"/>
      <c r="CX200" s="24" t="n"/>
      <c r="CY200" s="24" t="inlineStr">
        <is>
          <t>2026-09-22T10:04:29.479806Z</t>
        </is>
      </c>
      <c r="CZ200" s="24" t="inlineStr">
        <is>
          <t>True</t>
        </is>
      </c>
      <c r="DA200" s="24" t="inlineStr">
        <is>
          <t>polymarket_us</t>
        </is>
      </c>
      <c r="DB200" s="24" t="inlineStr">
        <is>
          <t>decision_time_executable_quote</t>
        </is>
      </c>
      <c r="DC200" s="24" t="inlineStr">
        <is>
          <t>False</t>
        </is>
      </c>
      <c r="DD200" s="24" t="inlineStr">
        <is>
          <t>bb80ce06baedfbd198a802710a1a972e34f45a018fcfb3938d574d22669fb446</t>
        </is>
      </c>
      <c r="DE200" s="24" t="inlineStr">
        <is>
          <t>/Users/vincentc9002/model-prediction/data/odds/wnba/2026-09-22/polymarket_snapshots.jsonl</t>
        </is>
      </c>
      <c r="DF200" s="24" t="inlineStr">
        <is>
          <t>bb80ce06baedfbd198a802710a1a972e34f45a018fcfb3938d574d22669fb446</t>
        </is>
      </c>
      <c r="DG200" s="24" t="n"/>
      <c r="DH200" s="24" t="n"/>
      <c r="DI200" s="24" t="n"/>
      <c r="DJ200" s="24" t="inlineStr">
        <is>
          <t>0.480769</t>
        </is>
      </c>
      <c r="DK200" s="24" t="n"/>
      <c r="DL200" s="24" t="n"/>
      <c r="DM200" s="24" t="n"/>
      <c r="DN200" s="24" t="n"/>
      <c r="DO200" s="24" t="n"/>
      <c r="DP200" s="24" t="n"/>
      <c r="DQ20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"401857212", "event_start_utc": "2026-09-23T02:00Z", "features": {"away_points_hl10": 85.21, "elo_away": 1764.4, "elo_home": 1397.0, "elo_margin": -10.98, "expected_margin": -7.49, "expected_total": 164.54, "history_games": 934, "home_points_hl10": 79.33, "rest_diff": -0.9, "trend_margin": -3.63}, "historical_source_observation_times_verified": false, "inference_inputs": {"line": -13.5, "mean": -7.48822218248929, "sd": 13.37}, "model_version": "wnba-spread-margin-v2", "observed_at_utc": "2026-09-22T16:07:38.486622+00:00", "replay_scope": "Exact final classifier/distribution inputs and artifact. Upstream historical feature construction not certified.", "schema": "scalar-artifact-replay-v1", "snapshot_hash": "9820bfc0591b8f198c8284ff7dbff9a691afa47b9451c24b4175e2d72bf0d816"}</t>
        </is>
      </c>
    </row>
    <row r="201" ht="36" customHeight="1">
      <c r="A201" s="24" t="inlineStr">
        <is>
          <t>161aa6e5769146ca</t>
        </is>
      </c>
      <c r="B201" s="24" t="inlineStr">
        <is>
          <t>2026-09-23T22:32:06.208780Z</t>
        </is>
      </c>
      <c r="C201" s="24" t="inlineStr">
        <is>
          <t>2026-09-23T20:00:00-0400</t>
        </is>
      </c>
      <c r="D201" s="24" t="inlineStr">
        <is>
          <t>401857213</t>
        </is>
      </c>
      <c r="E201" s="24" t="inlineStr">
        <is>
          <t>WNBA</t>
        </is>
      </c>
      <c r="F201" s="24" t="inlineStr">
        <is>
          <t>Atlanta Dream</t>
        </is>
      </c>
      <c r="G201" s="24" t="inlineStr">
        <is>
          <t>New York Liberty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model_opinion_no_executable_quote</t>
        </is>
      </c>
      <c r="L201" s="26" t="n">
        <v>-110</v>
      </c>
      <c r="M201" s="27" t="n">
        <v>1.909091</v>
      </c>
      <c r="N201" s="28" t="n">
        <v>0.52381</v>
      </c>
      <c r="O201" s="28" t="n">
        <v>0.520032</v>
      </c>
      <c r="P201" s="28" t="n"/>
      <c r="Q201" s="28" t="n">
        <v>-0.003778</v>
      </c>
      <c r="R201" s="26" t="n">
        <v>18</v>
      </c>
      <c r="S201" s="29" t="n">
        <v>1</v>
      </c>
      <c r="T201" s="24" t="inlineStr">
        <is>
          <t>wnba-elo-trend-lr-v4</t>
        </is>
      </c>
      <c r="U201" s="24" t="inlineStr">
        <is>
          <t>settled</t>
        </is>
      </c>
      <c r="V201" s="24" t="inlineStr">
        <is>
          <t>loss</t>
        </is>
      </c>
      <c r="W201" s="26" t="n">
        <v>83</v>
      </c>
      <c r="X201" s="26" t="n">
        <v>65</v>
      </c>
      <c r="Y201" s="25" t="n"/>
      <c r="Z201" s="26" t="n"/>
      <c r="AA201" s="28" t="n"/>
      <c r="AB201" s="28" t="n"/>
      <c r="AC201" s="30" t="n">
        <v>-1</v>
      </c>
      <c r="AD201" s="24" t="inlineStr">
        <is>
          <t>2026-09-24T04:30:35.127597Z</t>
        </is>
      </c>
      <c r="AE201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NO_CALL_AVAILABILITY_PLAYER_UNMAPPED, executable_quote_missing_or_unmatched unavailable for this game — defaulted to neutral, other features used normally.</t>
        </is>
      </c>
      <c r="AF201" s="31" t="inlineStr">
        <is>
          <t>Learned model; shadow-qualified via operator override.</t>
        </is>
      </c>
      <c r="AG201" s="24" t="inlineStr">
        <is>
          <t>review_required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PAPER_CALL_MARKET_UNAVAILABLE</t>
        </is>
      </c>
      <c r="AP201" s="24" t="inlineStr">
        <is>
          <t>wnba-atl</t>
        </is>
      </c>
      <c r="AQ201" s="24" t="inlineStr">
        <is>
          <t>Atlanta Dream</t>
        </is>
      </c>
      <c r="AR201" s="24" t="inlineStr">
        <is>
          <t>Atlanta Dream</t>
        </is>
      </c>
      <c r="AS201" s="24" t="inlineStr">
        <is>
          <t>wnba-nyl</t>
        </is>
      </c>
      <c r="AT201" s="24" t="inlineStr">
        <is>
          <t>New York Liberty</t>
        </is>
      </c>
      <c r="AU201" s="24" t="inlineStr">
        <is>
          <t>New York Liberty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7afd5274214b58b7efd7f7febc7be3ab33b92351cda5cc6403c0a39faea0cc8c</t>
        </is>
      </c>
      <c r="BB201" s="24" t="inlineStr">
        <is>
          <t>learned_lr</t>
        </is>
      </c>
      <c r="BC201" s="24" t="inlineStr">
        <is>
          <t>wnba-elo-trend-lr-v4</t>
        </is>
      </c>
      <c r="BD201" s="24" t="inlineStr">
        <is>
          <t>7afd5274214b58b7efd7f7febc7be3ab33b92351cda5cc6403c0a39faea0cc8c</t>
        </is>
      </c>
      <c r="BE201" s="24" t="inlineStr">
        <is>
          <t>0c87e05d3fed2633</t>
        </is>
      </c>
      <c r="BF201" s="24" t="inlineStr">
        <is>
          <t>1</t>
        </is>
      </c>
      <c r="BG201" s="24" t="inlineStr">
        <is>
          <t>wnba-elo-trend-lr-v4</t>
        </is>
      </c>
      <c r="BH201" s="24" t="inlineStr">
        <is>
          <t>2026-09-23T22:32:06.208780Z</t>
        </is>
      </c>
      <c r="BI201" s="24" t="inlineStr">
        <is>
          <t>["same_event","same_team_same_day","same_league_same_day"]</t>
        </is>
      </c>
      <c r="BJ201" s="25" t="n"/>
      <c r="BK201" s="26" t="n">
        <v>-110</v>
      </c>
      <c r="BL201" s="27" t="n">
        <v>1.909091</v>
      </c>
      <c r="BM201" s="28" t="n">
        <v>0.52381</v>
      </c>
      <c r="BN201" s="28" t="n"/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>
        <v>1</v>
      </c>
      <c r="BY201" s="27" t="n">
        <v>-1</v>
      </c>
      <c r="BZ201" s="24" t="inlineStr">
        <is>
          <t>2026-09-24T04:30:35.127597Z</t>
        </is>
      </c>
      <c r="CA201" s="31" t="inlineStr">
        <is>
          <t>fixed one-unit hypothetical scoring; no real exposure or execution</t>
        </is>
      </c>
      <c r="CB201" s="24" t="n"/>
      <c r="CC201" s="24" t="inlineStr">
        <is>
          <t>0.5166496883</t>
        </is>
      </c>
      <c r="CD201" s="24" t="inlineStr">
        <is>
          <t>-4.860963</t>
        </is>
      </c>
      <c r="CE201" s="24" t="n"/>
      <c r="CF201" s="24" t="n"/>
      <c r="CG201" s="24" t="n"/>
      <c r="CH201" s="24" t="n"/>
      <c r="CI201" s="24" t="inlineStr">
        <is>
          <t>NO_CALL_AVAILABILITY_PLAYER_UNMAPPED,executable_quote_missing_or_unmatched</t>
        </is>
      </c>
      <c r="CJ201" s="24" t="inlineStr">
        <is>
          <t>0.090638</t>
        </is>
      </c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0.52381</t>
        </is>
      </c>
      <c r="DK201" s="24" t="n"/>
      <c r="DL201" s="24" t="n"/>
      <c r="DM201" s="24" t="n"/>
      <c r="DN201" s="24" t="n"/>
      <c r="DO201" s="24" t="n"/>
      <c r="DP201" s="24" t="n"/>
      <c r="DQ201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0.5200324285622553, "event_id": "401857213", "event_start_utc": "2026-09-24T00:00:00+00:00", "features": {"defensive_trend_gap": 0.090638, "elo_probability": 0.5166496882866163, "trend_gap": -4.860963}, "historical_source_observation_times_verified": false, "model_version": "wnba-elo-trend-lr-v4", "observed_at_utc": "2026-09-23T22:32:06.208780+00:00", "schema": "learned-moneyline-replay-v1", "served_home_probability": 0.5200324285622553, "snapshot_hash": "cb0c9dd8879d401de6277f918988472d369bab77ad46e1ea4ccb6801ece0f616"}</t>
        </is>
      </c>
    </row>
    <row r="202" ht="36" customHeight="1">
      <c r="A202" s="24" t="inlineStr">
        <is>
          <t>fb77a8e3751c4ee5</t>
        </is>
      </c>
      <c r="B202" s="24" t="inlineStr">
        <is>
          <t>2026-09-23T22:32:06.208780Z</t>
        </is>
      </c>
      <c r="C202" s="24" t="inlineStr">
        <is>
          <t>2026-09-23T22:00:00-0400</t>
        </is>
      </c>
      <c r="D202" s="24" t="inlineStr">
        <is>
          <t>401857214</t>
        </is>
      </c>
      <c r="E202" s="24" t="inlineStr">
        <is>
          <t>WNBA</t>
        </is>
      </c>
      <c r="F202" s="24" t="inlineStr">
        <is>
          <t>Dallas Wings</t>
        </is>
      </c>
      <c r="G202" s="24" t="inlineStr">
        <is>
          <t>Seattle Storm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model_opinion_no_executable_quote</t>
        </is>
      </c>
      <c r="L202" s="26" t="n">
        <v>-110</v>
      </c>
      <c r="M202" s="27" t="n">
        <v>1.909091</v>
      </c>
      <c r="N202" s="28" t="n">
        <v>0.52381</v>
      </c>
      <c r="O202" s="28" t="n">
        <v>0.7148600000000001</v>
      </c>
      <c r="P202" s="28" t="n"/>
      <c r="Q202" s="28" t="n">
        <v>0.19105</v>
      </c>
      <c r="R202" s="26" t="n">
        <v>100</v>
      </c>
      <c r="S202" s="29" t="n">
        <v>2</v>
      </c>
      <c r="T202" s="24" t="inlineStr">
        <is>
          <t>wnba-elo-trend-lr-v4</t>
        </is>
      </c>
      <c r="U202" s="24" t="inlineStr">
        <is>
          <t>settled</t>
        </is>
      </c>
      <c r="V202" s="24" t="inlineStr">
        <is>
          <t>win</t>
        </is>
      </c>
      <c r="W202" s="26" t="n">
        <v>103</v>
      </c>
      <c r="X202" s="26" t="n">
        <v>91</v>
      </c>
      <c r="Y202" s="25" t="n"/>
      <c r="Z202" s="26" t="n"/>
      <c r="AA202" s="28" t="n"/>
      <c r="AB202" s="28" t="n"/>
      <c r="AC202" s="30" t="n">
        <v>1.8182</v>
      </c>
      <c r="AD202" s="24" t="inlineStr">
        <is>
          <t>2026-09-24T04:30:35.681611Z</t>
        </is>
      </c>
      <c r="AE202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2" s="31" t="inlineStr">
        <is>
          <t>Learned model; shadow-qualified via operator override.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PAPER_CALL_MARKET_UNAVAILABLE</t>
        </is>
      </c>
      <c r="AP202" s="24" t="inlineStr">
        <is>
          <t>wnba-dal</t>
        </is>
      </c>
      <c r="AQ202" s="24" t="inlineStr">
        <is>
          <t>Dallas Wings</t>
        </is>
      </c>
      <c r="AR202" s="24" t="inlineStr">
        <is>
          <t>Dallas Wings</t>
        </is>
      </c>
      <c r="AS202" s="24" t="inlineStr">
        <is>
          <t>wnba-sea</t>
        </is>
      </c>
      <c r="AT202" s="24" t="inlineStr">
        <is>
          <t>Seattle Storm</t>
        </is>
      </c>
      <c r="AU202" s="24" t="inlineStr">
        <is>
          <t>Seattle Storm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7afd5274214b58b7efd7f7febc7be3ab33b92351cda5cc6403c0a39faea0cc8c</t>
        </is>
      </c>
      <c r="BB202" s="24" t="inlineStr">
        <is>
          <t>learned_lr</t>
        </is>
      </c>
      <c r="BC202" s="24" t="inlineStr">
        <is>
          <t>wnba-elo-trend-lr-v4</t>
        </is>
      </c>
      <c r="BD202" s="24" t="inlineStr">
        <is>
          <t>7afd5274214b58b7efd7f7febc7be3ab33b92351cda5cc6403c0a39faea0cc8c</t>
        </is>
      </c>
      <c r="BE202" s="24" t="inlineStr">
        <is>
          <t>9c25bd26915af5e0</t>
        </is>
      </c>
      <c r="BF202" s="24" t="inlineStr">
        <is>
          <t>1</t>
        </is>
      </c>
      <c r="BG202" s="24" t="inlineStr">
        <is>
          <t>wnba-elo-trend-lr-v4</t>
        </is>
      </c>
      <c r="BH202" s="24" t="inlineStr">
        <is>
          <t>2026-09-23T22:32:06.208780Z</t>
        </is>
      </c>
      <c r="BI202" s="24" t="inlineStr">
        <is>
          <t>["same_event","same_team_same_day","same_league_same_day"]</t>
        </is>
      </c>
      <c r="BJ202" s="25" t="n"/>
      <c r="BK202" s="26" t="n">
        <v>-110</v>
      </c>
      <c r="BL202" s="27" t="n">
        <v>1.909091</v>
      </c>
      <c r="BM202" s="28" t="n">
        <v>0.52381</v>
      </c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>
        <v>1</v>
      </c>
      <c r="BY202" s="27" t="n">
        <v>0.909091</v>
      </c>
      <c r="BZ202" s="24" t="inlineStr">
        <is>
          <t>2026-09-24T04:30:35.681611Z</t>
        </is>
      </c>
      <c r="CA202" s="31" t="inlineStr">
        <is>
          <t>fixed one-unit hypothetical scoring; no real exposure or execution</t>
        </is>
      </c>
      <c r="CB202" s="24" t="n"/>
      <c r="CC202" s="24" t="inlineStr">
        <is>
          <t>0.1882205366</t>
        </is>
      </c>
      <c r="CD202" s="24" t="inlineStr">
        <is>
          <t>-6.498051</t>
        </is>
      </c>
      <c r="CE202" s="24" t="n"/>
      <c r="CF202" s="24" t="n"/>
      <c r="CG202" s="24" t="n"/>
      <c r="CH202" s="24" t="n"/>
      <c r="CI202" s="24" t="inlineStr">
        <is>
          <t>executable_quote_missing_or_unmatched</t>
        </is>
      </c>
      <c r="CJ202" s="24" t="inlineStr">
        <is>
          <t>-6.403222</t>
        </is>
      </c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True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0.52381</t>
        </is>
      </c>
      <c r="DK202" s="24" t="n"/>
      <c r="DL202" s="24" t="n"/>
      <c r="DM202" s="24" t="n"/>
      <c r="DN202" s="24" t="n"/>
      <c r="DO202" s="24" t="n"/>
      <c r="DP202" s="24" t="n"/>
      <c r="DQ202" s="24" t="inlineStr">
        <is>
          <t>{"adjustment": {"applied": false, "availability": {"availability_points_gap": -1.5394654414, "availability_report_age_hours": 0.2850579944, "availability_source_conflict_count": 0, "availability_source_conflicts": [], "availability_uncertainty": 0.0, "away_available_minutes_share": 0.866264015, "home_available_minutes_share": 0.7772834, "source_evidence": {"espn_observed_at_utc": "2026-09-23T22:29:46.615562+00:00", "espn_snapshot_hash": "987bc68d6f1d05f089f2333f59626120440c8b47b239ac731c77f5157b79725c", "official_observed_at_utc": "2026-09-23T22:29:45.167708+00:00", "official_report_at_utc": "2026-09-23T22:15:00+00:00", "official_snapshot_hash": "8c9c9ce90340217b6a7f68066478ed342b8512b89ae8829c83456cd82f0fcd97", "prior_hash": "74b76cce24f9c38642ffb37734c1585105465227057126cb9caf7729ba865410", "prior_observed_at_utc": "2026-09-23T22:29:45.024966+00:00"}}, "margin_sigma": 14.674246574469828, "method": "wnba_probit_v1", "minimum_delta": 0.05, "points_gap": -1.5394654414},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0.2851398649319816, "event_id": "401857214", "event_start_utc": "2026-09-24T02:00:00+00:00", "features": {"defensive_trend_gap": -6.4032219999999995, "elo_probability": 0.18822053662976637, "trend_gap": -6.498050999999999}, "historical_source_observation_times_verified": false, "model_version": "wnba-elo-trend-lr-v4", "observed_at_utc": "2026-09-23T22:32:06.208780+00:00", "schema": "learned-moneyline-replay-v1", "served_home_probability": 0.2851398649319816, "snapshot_hash": "2357b108aae3310183412a19dc7353151ebfdde56ac5dc2f9a1e0525c333aa35"}</t>
        </is>
      </c>
    </row>
    <row r="203" ht="36" customHeight="1">
      <c r="A203" s="24" t="inlineStr">
        <is>
          <t>4f19e3157d9f46c5</t>
        </is>
      </c>
      <c r="B203" s="24" t="inlineStr">
        <is>
          <t>2026-09-23T22:33:34.318045Z</t>
        </is>
      </c>
      <c r="C203" s="24" t="inlineStr">
        <is>
          <t>2026-09-24T00:00Z</t>
        </is>
      </c>
      <c r="D203" s="24" t="inlineStr">
        <is>
          <t>401857213</t>
        </is>
      </c>
      <c r="E203" s="24" t="inlineStr">
        <is>
          <t>WNBA</t>
        </is>
      </c>
      <c r="F203" s="24" t="inlineStr">
        <is>
          <t>Atlanta Dream</t>
        </is>
      </c>
      <c r="G203" s="24" t="inlineStr">
        <is>
          <t>New York Liberty</t>
        </is>
      </c>
      <c r="H203" s="24" t="inlineStr">
        <is>
          <t>spread</t>
        </is>
      </c>
      <c r="I203" s="24" t="inlineStr">
        <is>
          <t>away</t>
        </is>
      </c>
      <c r="J203" s="25" t="n">
        <v>1.5</v>
      </c>
      <c r="K203" s="24" t="inlineStr">
        <is>
          <t>polymarket_us</t>
        </is>
      </c>
      <c r="L203" s="26" t="n">
        <v>100</v>
      </c>
      <c r="M203" s="27" t="n">
        <v>2</v>
      </c>
      <c r="N203" s="28" t="n">
        <v>0.5</v>
      </c>
      <c r="O203" s="28" t="n">
        <v>0.537059</v>
      </c>
      <c r="P203" s="28" t="n">
        <v>0.03</v>
      </c>
      <c r="Q203" s="28" t="n">
        <v>0.037059</v>
      </c>
      <c r="R203" s="26" t="n">
        <v>51</v>
      </c>
      <c r="S203" s="29" t="n">
        <v>1</v>
      </c>
      <c r="T203" s="24" t="inlineStr">
        <is>
          <t>wnba-spread-margin-v2</t>
        </is>
      </c>
      <c r="U203" s="24" t="inlineStr">
        <is>
          <t>settled</t>
        </is>
      </c>
      <c r="V203" s="24" t="inlineStr">
        <is>
          <t>win</t>
        </is>
      </c>
      <c r="W203" s="26" t="n">
        <v>83</v>
      </c>
      <c r="X203" s="26" t="n">
        <v>65</v>
      </c>
      <c r="Y203" s="25" t="n"/>
      <c r="Z203" s="26" t="n"/>
      <c r="AA203" s="28" t="n"/>
      <c r="AB203" s="28" t="n"/>
      <c r="AC203" s="30" t="n">
        <v>1</v>
      </c>
      <c r="AD203" s="24" t="inlineStr">
        <is>
          <t>2026-09-24T04:31:24.272125Z</t>
        </is>
      </c>
      <c r="AE203" s="31" t="inlineStr">
        <is>
          <t>Projected margin +0.3 (home), sd 13.4. Executable ask 0.5000 (asc-wnba-atl-ny-2026-09-23-pos-1pt5).</t>
        </is>
      </c>
      <c r="AF203" s="31" t="inlineStr">
        <is>
          <t>Point-in-time composite Elo + trend + rest margin-normal spread model.</t>
        </is>
      </c>
      <c r="AG203" s="24" t="inlineStr">
        <is>
          <t>not_applicable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4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PAPER_CALL_STALE_DATA</t>
        </is>
      </c>
      <c r="AP203" s="24" t="inlineStr">
        <is>
          <t>wnba-atl</t>
        </is>
      </c>
      <c r="AQ203" s="24" t="inlineStr">
        <is>
          <t>Atlanta Dream</t>
        </is>
      </c>
      <c r="AR203" s="24" t="inlineStr">
        <is>
          <t>Atlanta Dream</t>
        </is>
      </c>
      <c r="AS203" s="24" t="inlineStr">
        <is>
          <t>wnba-nyl</t>
        </is>
      </c>
      <c r="AT203" s="24" t="inlineStr">
        <is>
          <t>New York Liberty</t>
        </is>
      </c>
      <c r="AU203" s="24" t="inlineStr">
        <is>
          <t>New York Liberty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f7d192f98d825d7c77be21b0531a91cff101ad35e418fe9d7e07c5d0f769f974</t>
        </is>
      </c>
      <c r="BB203" s="24" t="inlineStr">
        <is>
          <t>margin_normal</t>
        </is>
      </c>
      <c r="BC203" s="24" t="inlineStr">
        <is>
          <t>wnba-spread-margin-v2</t>
        </is>
      </c>
      <c r="BD203" s="24" t="inlineStr">
        <is>
          <t>f7d192f98d825d7c77be21b0531a91cff101ad35e418fe9d7e07c5d0f769f974</t>
        </is>
      </c>
      <c r="BE203" s="24" t="inlineStr">
        <is>
          <t>wnba-spread-margin-v2</t>
        </is>
      </c>
      <c r="BF203" s="24" t="inlineStr">
        <is>
          <t>1</t>
        </is>
      </c>
      <c r="BG203" s="24" t="inlineStr">
        <is>
          <t>f7d192f98d825d7c77be21b0531a91cff101ad35e418fe9d7e07c5d0f769f974</t>
        </is>
      </c>
      <c r="BH203" s="24" t="inlineStr">
        <is>
          <t>2026-09-23T05:02:58.388508Z</t>
        </is>
      </c>
      <c r="BI203" s="24" t="inlineStr">
        <is>
          <t>["same_event","same_team_same_day","same_league_same_day"]</t>
        </is>
      </c>
      <c r="BJ203" s="25" t="n">
        <v>1.5</v>
      </c>
      <c r="BK203" s="26" t="n">
        <v>100</v>
      </c>
      <c r="BL203" s="27" t="n">
        <v>2</v>
      </c>
      <c r="BM203" s="28" t="n">
        <v>0.5</v>
      </c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>
        <v>1</v>
      </c>
      <c r="BY203" s="27" t="n">
        <v>1</v>
      </c>
      <c r="BZ203" s="24" t="inlineStr">
        <is>
          <t>2026-09-24T04:31:24.272125Z</t>
        </is>
      </c>
      <c r="CA203" s="31" t="inlineStr">
        <is>
          <t>fixed one-unit hypothetical scoring; no real exposure or execution</t>
        </is>
      </c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inlineStr">
        <is>
          <t>2026-09-23T05:02:58.388508Z</t>
        </is>
      </c>
      <c r="CZ203" s="24" t="inlineStr">
        <is>
          <t>True</t>
        </is>
      </c>
      <c r="DA203" s="24" t="inlineStr">
        <is>
          <t>polymarket_us</t>
        </is>
      </c>
      <c r="DB203" s="24" t="inlineStr">
        <is>
          <t>decision_time_executable_quote</t>
        </is>
      </c>
      <c r="DC203" s="24" t="inlineStr">
        <is>
          <t>False</t>
        </is>
      </c>
      <c r="DD203" s="24" t="inlineStr">
        <is>
          <t>8fa81b04df1525bc19d3fa8cff73d83c56d9b8ead3b75f3bb26f7a4193beaaba</t>
        </is>
      </c>
      <c r="DE203" s="24" t="inlineStr">
        <is>
          <t>/Users/vincentc9002/model-prediction/data/odds/wnba/2026-09-23/polymarket_snapshots.jsonl</t>
        </is>
      </c>
      <c r="DF203" s="24" t="inlineStr">
        <is>
          <t>8fa81b04df1525bc19d3fa8cff73d83c56d9b8ead3b75f3bb26f7a4193beaaba</t>
        </is>
      </c>
      <c r="DG203" s="24" t="n"/>
      <c r="DH203" s="24" t="n"/>
      <c r="DI203" s="24" t="n"/>
      <c r="DJ203" s="24" t="inlineStr">
        <is>
          <t>0.5</t>
        </is>
      </c>
      <c r="DK203" s="24" t="n"/>
      <c r="DL203" s="24" t="n"/>
      <c r="DM203" s="24" t="n"/>
      <c r="DN203" s="24" t="n"/>
      <c r="DO203" s="24" t="n"/>
      <c r="DP203" s="24" t="n"/>
      <c r="DQ203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"401857213", "event_start_utc": "2026-09-24T00:00Z", "features": {"away_points_hl10": 88.66, "elo_away": 1657.7, "elo_home": 1609.3, "elo_margin": 0.41, "expected_margin": 0.26, "expected_total": 175.16, "history_games": 939, "home_points_hl10": 86.5, "rest_diff": 0.0, "trend_margin": 0.09}, "historical_source_observation_times_verified": false, "inference_inputs": {"line": 1.5, "mean": 0.25621483886682217, "sd": 13.37}, "model_version": "wnba-spread-margin-v2", "observed_at_utc": "2026-09-23T22:33:33.700759+00:00", "replay_scope": "Exact final classifier/distribution inputs and artifact. Upstream historical feature construction not certified.", "schema": "scalar-artifact-replay-v1", "snapshot_hash": "f3c39864546f070703fdc9ca6fa078de22d232341c9351318956dc3066d09d4c"}</t>
        </is>
      </c>
    </row>
    <row r="204" ht="36" customHeight="1">
      <c r="A204" s="24" t="inlineStr">
        <is>
          <t>f0a338903ad34e19</t>
        </is>
      </c>
      <c r="B204" s="24" t="inlineStr">
        <is>
          <t>2026-09-23T22:33:34.326780Z</t>
        </is>
      </c>
      <c r="C204" s="24" t="inlineStr">
        <is>
          <t>2026-09-24T00:00Z</t>
        </is>
      </c>
      <c r="D204" s="24" t="inlineStr">
        <is>
          <t>401857213</t>
        </is>
      </c>
      <c r="E204" s="24" t="inlineStr">
        <is>
          <t>WNBA</t>
        </is>
      </c>
      <c r="F204" s="24" t="inlineStr">
        <is>
          <t>Atlanta Dream</t>
        </is>
      </c>
      <c r="G204" s="24" t="inlineStr">
        <is>
          <t>New York Liberty</t>
        </is>
      </c>
      <c r="H204" s="24" t="inlineStr">
        <is>
          <t>total</t>
        </is>
      </c>
      <c r="I204" s="24" t="inlineStr">
        <is>
          <t>under</t>
        </is>
      </c>
      <c r="J204" s="25" t="n">
        <v>179.5</v>
      </c>
      <c r="K204" s="24" t="inlineStr">
        <is>
          <t>polymarket_us</t>
        </is>
      </c>
      <c r="L204" s="26" t="n">
        <v>-144</v>
      </c>
      <c r="M204" s="27" t="n">
        <v>1.694444</v>
      </c>
      <c r="N204" s="28" t="n">
        <v>0.590164</v>
      </c>
      <c r="O204" s="28" t="n">
        <v>0.596349</v>
      </c>
      <c r="P204" s="28" t="n">
        <v>0.03</v>
      </c>
      <c r="Q204" s="28" t="n">
        <v>0.006185</v>
      </c>
      <c r="R204" s="26" t="n">
        <v>35</v>
      </c>
      <c r="S204" s="29" t="n">
        <v>1</v>
      </c>
      <c r="T204" s="24" t="inlineStr">
        <is>
          <t>wnba-total-margin-v2</t>
        </is>
      </c>
      <c r="U204" s="24" t="inlineStr">
        <is>
          <t>settled</t>
        </is>
      </c>
      <c r="V204" s="24" t="inlineStr">
        <is>
          <t>win</t>
        </is>
      </c>
      <c r="W204" s="26" t="n">
        <v>83</v>
      </c>
      <c r="X204" s="26" t="n">
        <v>65</v>
      </c>
      <c r="Y204" s="25" t="n"/>
      <c r="Z204" s="26" t="n">
        <v>-144</v>
      </c>
      <c r="AA204" s="28" t="n">
        <v>0.59</v>
      </c>
      <c r="AB204" s="28" t="n">
        <v>-0.000164</v>
      </c>
      <c r="AC204" s="30" t="n">
        <v>0.6944</v>
      </c>
      <c r="AD204" s="24" t="inlineStr">
        <is>
          <t>2026-09-24T04:31:24.577008Z</t>
        </is>
      </c>
      <c r="AE204" s="31" t="inlineStr">
        <is>
          <t>Projected total 175.6, sd 16.0. Executable ask 0.5900 (tsc-wnba-atl-ny-2026-09-23-179pt5).</t>
        </is>
      </c>
      <c r="AF204" s="31" t="inlineStr">
        <is>
          <t>Research-baseline total model; not yet locked-holdout qualified.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paper_call</t>
        </is>
      </c>
      <c r="AL204" s="26" t="n">
        <v>4</v>
      </c>
      <c r="AM204" s="24" t="inlineStr">
        <is>
          <t>RESEARCH_OBSERVATION</t>
        </is>
      </c>
      <c r="AN204" s="24" t="inlineStr">
        <is>
          <t>CALL</t>
        </is>
      </c>
      <c r="AO204" s="24" t="inlineStr">
        <is>
          <t>PAPER_CALL_STALE_DATA</t>
        </is>
      </c>
      <c r="AP204" s="24" t="inlineStr">
        <is>
          <t>wnba-atl</t>
        </is>
      </c>
      <c r="AQ204" s="24" t="inlineStr">
        <is>
          <t>Atlanta Dream</t>
        </is>
      </c>
      <c r="AR204" s="24" t="inlineStr">
        <is>
          <t>Atlanta Dream</t>
        </is>
      </c>
      <c r="AS204" s="24" t="inlineStr">
        <is>
          <t>wnba-nyl</t>
        </is>
      </c>
      <c r="AT204" s="24" t="inlineStr">
        <is>
          <t>New York Liberty</t>
        </is>
      </c>
      <c r="AU204" s="24" t="inlineStr">
        <is>
          <t>New York Liberty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research</t>
        </is>
      </c>
      <c r="BA204" s="24" t="inlineStr">
        <is>
          <t>9c9b767590bbbb9a7b333eaf9def066d65bf813e735ed73aa27cfb2c609a4ca5</t>
        </is>
      </c>
      <c r="BB204" s="24" t="inlineStr">
        <is>
          <t>total_normal</t>
        </is>
      </c>
      <c r="BC204" s="24" t="inlineStr">
        <is>
          <t>wnba-total-margin-v2</t>
        </is>
      </c>
      <c r="BD204" s="24" t="inlineStr">
        <is>
          <t>9c9b767590bbbb9a7b333eaf9def066d65bf813e735ed73aa27cfb2c609a4ca5</t>
        </is>
      </c>
      <c r="BE204" s="24" t="inlineStr">
        <is>
          <t>wnba-total-margin-v2</t>
        </is>
      </c>
      <c r="BF204" s="24" t="inlineStr">
        <is>
          <t>1</t>
        </is>
      </c>
      <c r="BG204" s="24" t="inlineStr">
        <is>
          <t>9c9b767590bbbb9a7b333eaf9def066d65bf813e735ed73aa27cfb2c609a4ca5</t>
        </is>
      </c>
      <c r="BH204" s="24" t="inlineStr">
        <is>
          <t>2026-09-23T05:02:58.383845Z</t>
        </is>
      </c>
      <c r="BI204" s="24" t="inlineStr">
        <is>
          <t>["same_event","same_team_same_day","same_league_same_day"]</t>
        </is>
      </c>
      <c r="BJ204" s="25" t="n">
        <v>179.5</v>
      </c>
      <c r="BK204" s="26" t="n">
        <v>-144</v>
      </c>
      <c r="BL204" s="27" t="n">
        <v>1.694444</v>
      </c>
      <c r="BM204" s="28" t="n">
        <v>0.590164</v>
      </c>
      <c r="BN204" s="28" t="n"/>
      <c r="BO204" s="28" t="n"/>
      <c r="BP204" s="25" t="n"/>
      <c r="BQ204" s="27" t="n">
        <v>1.694444</v>
      </c>
      <c r="BR204" s="28" t="n">
        <v>0.59</v>
      </c>
      <c r="BS204" s="28" t="n"/>
      <c r="BT204" s="28" t="n"/>
      <c r="BU204" s="25" t="n"/>
      <c r="BV204" s="29" t="n"/>
      <c r="BW204" s="24" t="n"/>
      <c r="BX204" s="30" t="n">
        <v>1</v>
      </c>
      <c r="BY204" s="27" t="n">
        <v>0.694444</v>
      </c>
      <c r="BZ204" s="24" t="inlineStr">
        <is>
          <t>2026-09-24T04:31:24.577008Z</t>
        </is>
      </c>
      <c r="CA204" s="31" t="inlineStr">
        <is>
          <t>fixed one-unit hypothetical scoring; no real exposure or execution</t>
        </is>
      </c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inlineStr">
        <is>
          <t>2026-09-23T05:02:58.383845Z</t>
        </is>
      </c>
      <c r="CZ204" s="24" t="inlineStr">
        <is>
          <t>True</t>
        </is>
      </c>
      <c r="DA204" s="24" t="inlineStr">
        <is>
          <t>polymarket_us</t>
        </is>
      </c>
      <c r="DB204" s="24" t="inlineStr">
        <is>
          <t>decision_time_executable_quote</t>
        </is>
      </c>
      <c r="DC204" s="24" t="inlineStr">
        <is>
          <t>False</t>
        </is>
      </c>
      <c r="DD204" s="24" t="inlineStr">
        <is>
          <t>c6f3a33a7cb38ef246d6e5671ad689eeb3b5a71583979596f1c4b31cdf2d8ca0</t>
        </is>
      </c>
      <c r="DE204" s="24" t="inlineStr">
        <is>
          <t>/Users/vincentc9002/model-prediction/data/odds/wnba/2026-09-23/polymarket_snapshots.jsonl</t>
        </is>
      </c>
      <c r="DF204" s="24" t="inlineStr">
        <is>
          <t>c6f3a33a7cb38ef246d6e5671ad689eeb3b5a71583979596f1c4b31cdf2d8ca0</t>
        </is>
      </c>
      <c r="DG204" s="24" t="n"/>
      <c r="DH204" s="24" t="n"/>
      <c r="DI204" s="24" t="n"/>
      <c r="DJ204" s="24" t="inlineStr">
        <is>
          <t>0.590164</t>
        </is>
      </c>
      <c r="DK204" s="24" t="n"/>
      <c r="DL204" s="24" t="n"/>
      <c r="DM204" s="24" t="n"/>
      <c r="DN204" s="24" t="n"/>
      <c r="DO204" s="24" t="n"/>
      <c r="DP204" s="24" t="n"/>
      <c r="DQ204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"401857213", "event_start_utc": "2026-09-24T00:00Z", "features": {"away_points_hl10": 88.66, "elo_away": 1657.7, "elo_home": 1609.3, "elo_margin": 0.41, "expected_margin": -0.17, "expected_total": 175.6, "history_games": 939, "home_points_hl10": 86.5, "rest_diff": 0.0, "trend_margin": -0.17}, "historical_source_observation_times_verified": false, "inference_inputs": {"line": 179.5, "mean": 175.5974871, "sd": 16.0}, "model_version": "wnba-total-margin-v2", "observed_at_utc": "2026-09-23T22:33:33.703166+00:00", "replay_scope": "Exact final classifier/distribution inputs and artifact. Upstream historical feature construction not certified.", "schema": "scalar-artifact-replay-v1", "snapshot_hash": "2d99da3b3c5874b9b4950b7dde52dc2e1809775edd9d1b64c4c13f7f9226f629"}</t>
        </is>
      </c>
    </row>
    <row r="205" ht="36" customHeight="1">
      <c r="A205" s="24" t="inlineStr">
        <is>
          <t>31cff6319474474d</t>
        </is>
      </c>
      <c r="B205" s="24" t="inlineStr">
        <is>
          <t>2026-09-23T22:33:34.326780Z</t>
        </is>
      </c>
      <c r="C205" s="24" t="inlineStr">
        <is>
          <t>2026-09-24T02:00Z</t>
        </is>
      </c>
      <c r="D205" s="24" t="inlineStr">
        <is>
          <t>401857214</t>
        </is>
      </c>
      <c r="E205" s="24" t="inlineStr">
        <is>
          <t>WNBA</t>
        </is>
      </c>
      <c r="F205" s="24" t="inlineStr">
        <is>
          <t>Dallas Wings</t>
        </is>
      </c>
      <c r="G205" s="24" t="inlineStr">
        <is>
          <t>Seattle Storm</t>
        </is>
      </c>
      <c r="H205" s="24" t="inlineStr">
        <is>
          <t>total</t>
        </is>
      </c>
      <c r="I205" s="24" t="inlineStr">
        <is>
          <t>over</t>
        </is>
      </c>
      <c r="J205" s="25" t="n">
        <v>170.5</v>
      </c>
      <c r="K205" s="24" t="inlineStr">
        <is>
          <t>polymarket_us</t>
        </is>
      </c>
      <c r="L205" s="26" t="n">
        <v>-144</v>
      </c>
      <c r="M205" s="27" t="n">
        <v>1.694444</v>
      </c>
      <c r="N205" s="28" t="n">
        <v>0.590164</v>
      </c>
      <c r="O205" s="28" t="n">
        <v>0.506919</v>
      </c>
      <c r="P205" s="28" t="n">
        <v>0.03</v>
      </c>
      <c r="Q205" s="28" t="n">
        <v>-0.083245</v>
      </c>
      <c r="R205" s="26" t="n">
        <v>0</v>
      </c>
      <c r="S205" s="29" t="n">
        <v>1</v>
      </c>
      <c r="T205" s="24" t="inlineStr">
        <is>
          <t>wnba-total-margin-v2</t>
        </is>
      </c>
      <c r="U205" s="24" t="inlineStr">
        <is>
          <t>settled</t>
        </is>
      </c>
      <c r="V205" s="24" t="inlineStr">
        <is>
          <t>win</t>
        </is>
      </c>
      <c r="W205" s="26" t="n">
        <v>103</v>
      </c>
      <c r="X205" s="26" t="n">
        <v>91</v>
      </c>
      <c r="Y205" s="25" t="n"/>
      <c r="Z205" s="26" t="n">
        <v>-144</v>
      </c>
      <c r="AA205" s="28" t="n">
        <v>0.59</v>
      </c>
      <c r="AB205" s="28" t="n">
        <v>-0.000164</v>
      </c>
      <c r="AC205" s="30" t="n">
        <v>0.6944</v>
      </c>
      <c r="AD205" s="24" t="inlineStr">
        <is>
          <t>2026-09-24T04:31:24.909184Z</t>
        </is>
      </c>
      <c r="AE205" s="31" t="inlineStr">
        <is>
          <t>Projected total 170.8, sd 16.0. Executable ask 0.5900 (tsc-wnba-dal-sea-2026-09-23-170pt5).</t>
        </is>
      </c>
      <c r="AF205" s="31" t="inlineStr">
        <is>
          <t>Research-baseline total model; not yet locked-holdout qualified.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model_qualified</t>
        </is>
      </c>
      <c r="AL205" s="26" t="n">
        <v>4</v>
      </c>
      <c r="AM205" s="24" t="inlineStr">
        <is>
          <t>QUALIFIED_SHADOW_CALL</t>
        </is>
      </c>
      <c r="AN205" s="24" t="inlineStr">
        <is>
          <t>CALL</t>
        </is>
      </c>
      <c r="AO205" s="24" t="inlineStr">
        <is>
          <t>QUALIFIED</t>
        </is>
      </c>
      <c r="AP205" s="24" t="inlineStr">
        <is>
          <t>wnba-dal</t>
        </is>
      </c>
      <c r="AQ205" s="24" t="inlineStr">
        <is>
          <t>Dallas Wings</t>
        </is>
      </c>
      <c r="AR205" s="24" t="inlineStr">
        <is>
          <t>Dallas Wings</t>
        </is>
      </c>
      <c r="AS205" s="24" t="inlineStr">
        <is>
          <t>wnba-sea</t>
        </is>
      </c>
      <c r="AT205" s="24" t="inlineStr">
        <is>
          <t>Seattle Storm</t>
        </is>
      </c>
      <c r="AU205" s="24" t="inlineStr">
        <is>
          <t>Seattle Storm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research</t>
        </is>
      </c>
      <c r="BA205" s="24" t="inlineStr">
        <is>
          <t>9c9b767590bbbb9a7b333eaf9def066d65bf813e735ed73aa27cfb2c609a4ca5</t>
        </is>
      </c>
      <c r="BB205" s="24" t="inlineStr">
        <is>
          <t>total_normal</t>
        </is>
      </c>
      <c r="BC205" s="24" t="inlineStr">
        <is>
          <t>wnba-total-margin-v2</t>
        </is>
      </c>
      <c r="BD205" s="24" t="inlineStr">
        <is>
          <t>9c9b767590bbbb9a7b333eaf9def066d65bf813e735ed73aa27cfb2c609a4ca5</t>
        </is>
      </c>
      <c r="BE205" s="24" t="inlineStr">
        <is>
          <t>wnba-total-margin-v2</t>
        </is>
      </c>
      <c r="BF205" s="24" t="inlineStr">
        <is>
          <t>1</t>
        </is>
      </c>
      <c r="BG205" s="24" t="inlineStr">
        <is>
          <t>9c9b767590bbbb9a7b333eaf9def066d65bf813e735ed73aa27cfb2c609a4ca5</t>
        </is>
      </c>
      <c r="BH205" s="24" t="inlineStr">
        <is>
          <t>2026-09-23T16:11:13.092488Z</t>
        </is>
      </c>
      <c r="BI205" s="24" t="inlineStr">
        <is>
          <t>["same_event","same_team_same_day","same_league_same_day"]</t>
        </is>
      </c>
      <c r="BJ205" s="25" t="n">
        <v>170.5</v>
      </c>
      <c r="BK205" s="26" t="n">
        <v>-144</v>
      </c>
      <c r="BL205" s="27" t="n">
        <v>1.694444</v>
      </c>
      <c r="BM205" s="28" t="n">
        <v>0.590164</v>
      </c>
      <c r="BN205" s="28" t="n"/>
      <c r="BO205" s="28" t="n"/>
      <c r="BP205" s="25" t="n"/>
      <c r="BQ205" s="27" t="n">
        <v>1.694444</v>
      </c>
      <c r="BR205" s="28" t="n">
        <v>0.59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  <c r="CT205" s="24" t="n"/>
      <c r="CU205" s="24" t="n"/>
      <c r="CV205" s="24" t="n"/>
      <c r="CW205" s="24" t="n"/>
      <c r="CX205" s="24" t="n"/>
      <c r="CY205" s="24" t="inlineStr">
        <is>
          <t>2026-09-23T16:11:13.092488Z</t>
        </is>
      </c>
      <c r="CZ205" s="24" t="inlineStr">
        <is>
          <t>True</t>
        </is>
      </c>
      <c r="DA205" s="24" t="inlineStr">
        <is>
          <t>polymarket_us</t>
        </is>
      </c>
      <c r="DB205" s="24" t="inlineStr">
        <is>
          <t>decision_time_executable_quote</t>
        </is>
      </c>
      <c r="DC205" s="24" t="inlineStr">
        <is>
          <t>False</t>
        </is>
      </c>
      <c r="DD205" s="24" t="inlineStr">
        <is>
          <t>80c129b723fd206d050cef31d3f04fd970d02e5088f6a280fa2f7abfa35592c2</t>
        </is>
      </c>
      <c r="DE205" s="24" t="inlineStr">
        <is>
          <t>/Users/vincentc9002/model-prediction/data/odds/wnba/2026-09-23/polymarket_snapshots.jsonl</t>
        </is>
      </c>
      <c r="DF205" s="24" t="inlineStr">
        <is>
          <t>80c129b723fd206d050cef31d3f04fd970d02e5088f6a280fa2f7abfa35592c2</t>
        </is>
      </c>
      <c r="DG205" s="24" t="n"/>
      <c r="DH205" s="24" t="n"/>
      <c r="DI205" s="24" t="n"/>
      <c r="DJ205" s="24" t="inlineStr">
        <is>
          <t>0.590164</t>
        </is>
      </c>
      <c r="DK205" s="24" t="n"/>
      <c r="DL205" s="24" t="n"/>
      <c r="DM205" s="24" t="n"/>
      <c r="DN205" s="24" t="n"/>
      <c r="DO205" s="24" t="n"/>
      <c r="DP205" s="24" t="n"/>
      <c r="DQ205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"401857214", "event_start_utc": "2026-09-24T02:00Z", "features": {"away_points_hl10": 88.4, "elo_away": 1605.5, "elo_home": 1291.6, "elo_margin": -9.07, "expected_margin": -3.64, "expected_total": 170.78, "history_games": 939, "home_points_hl10": 82.76, "rest_diff": 0.0, "trend_margin": -3.64}, "historical_source_observation_times_verified": false, "inference_inputs": {"line": 170.5, "mean": 170.77751139999998, "sd": 16.0}, "model_version": "wnba-total-margin-v2", "observed_at_utc": "2026-09-23T22:33:33.703166+00:00", "replay_scope": "Exact final classifier/distribution inputs and artifact. Upstream historical feature construction not certified.", "schema": "scalar-artifact-replay-v1", "snapshot_hash": "3b47daf235afb5e61773e4593522650e356a6a684e31f038afd52186c17242c6"}</t>
        </is>
      </c>
    </row>
    <row r="206" ht="36" customHeight="1">
      <c r="A206" s="24" t="inlineStr">
        <is>
          <t>2c64e0d6be59457c</t>
        </is>
      </c>
      <c r="B206" s="24" t="inlineStr">
        <is>
          <t>2026-09-24T22:08:06.374353Z</t>
        </is>
      </c>
      <c r="C206" s="24" t="inlineStr">
        <is>
          <t>2026-09-24T19:00:00-0400</t>
        </is>
      </c>
      <c r="D206" s="24" t="inlineStr">
        <is>
          <t>401857215</t>
        </is>
      </c>
      <c r="E206" s="24" t="inlineStr">
        <is>
          <t>WNBA</t>
        </is>
      </c>
      <c r="F206" s="24" t="inlineStr">
        <is>
          <t>Toronto Tempo</t>
        </is>
      </c>
      <c r="G206" s="24" t="inlineStr">
        <is>
          <t>Connecticut Sun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-117</v>
      </c>
      <c r="M206" s="27" t="n">
        <v>1.854701</v>
      </c>
      <c r="N206" s="28" t="n">
        <v>0.539171</v>
      </c>
      <c r="O206" s="28" t="n">
        <v>0.7082349999999999</v>
      </c>
      <c r="P206" s="28" t="n"/>
      <c r="Q206" s="28" t="n">
        <v>0.169064</v>
      </c>
      <c r="R206" s="26" t="n">
        <v>100</v>
      </c>
      <c r="S206" s="29" t="n">
        <v>1.75</v>
      </c>
      <c r="T206" s="24" t="inlineStr">
        <is>
          <t>wnba-elo-trend-lr-v4</t>
        </is>
      </c>
      <c r="U206" s="24" t="inlineStr">
        <is>
          <t>settled</t>
        </is>
      </c>
      <c r="V206" s="24" t="inlineStr">
        <is>
          <t>win</t>
        </is>
      </c>
      <c r="W206" s="26" t="n">
        <v>81</v>
      </c>
      <c r="X206" s="26" t="n">
        <v>95</v>
      </c>
      <c r="Y206" s="25" t="n"/>
      <c r="Z206" s="26" t="n">
        <v>-117</v>
      </c>
      <c r="AA206" s="28" t="n">
        <v>0.54</v>
      </c>
      <c r="AB206" s="28" t="n">
        <v>0.000829</v>
      </c>
      <c r="AC206" s="30" t="n">
        <v>1.4957</v>
      </c>
      <c r="AD206" s="24" t="inlineStr">
        <is>
          <t>2026-09-25T04:30:26.206381Z</t>
        </is>
      </c>
      <c r="AE206" s="31" t="inlineStr">
        <is>
          <t>Learned LR call at threshold 0.5001; executable ask 0.5400 (aec-wnba-tor-conn-2026-09-24); model edge vs ask +0.1682.</t>
        </is>
      </c>
      <c r="AF206" s="31" t="inlineStr">
        <is>
          <t>Learned model; shadow-qualified via operator override.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paper_call</t>
        </is>
      </c>
      <c r="AL206" s="26" t="n">
        <v>4</v>
      </c>
      <c r="AM206" s="24" t="inlineStr">
        <is>
          <t>RESEARCH_OBSERVATION</t>
        </is>
      </c>
      <c r="AN206" s="24" t="inlineStr">
        <is>
          <t>CALL</t>
        </is>
      </c>
      <c r="AO206" s="24" t="inlineStr">
        <is>
          <t>PAPER_CALL_STALE_DATA</t>
        </is>
      </c>
      <c r="AP206" s="24" t="inlineStr">
        <is>
          <t>wnba-tor</t>
        </is>
      </c>
      <c r="AQ206" s="24" t="inlineStr">
        <is>
          <t>Toronto Tempo</t>
        </is>
      </c>
      <c r="AR206" s="24" t="inlineStr">
        <is>
          <t>Toronto Tempo</t>
        </is>
      </c>
      <c r="AS206" s="24" t="inlineStr">
        <is>
          <t>wnba-con</t>
        </is>
      </c>
      <c r="AT206" s="24" t="inlineStr">
        <is>
          <t>Connecticut Sun</t>
        </is>
      </c>
      <c r="AU206" s="24" t="inlineStr">
        <is>
          <t>Connecticut Sun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7afd5274214b58b7efd7f7febc7be3ab33b92351cda5cc6403c0a39faea0cc8c</t>
        </is>
      </c>
      <c r="BB206" s="24" t="inlineStr">
        <is>
          <t>learned_lr</t>
        </is>
      </c>
      <c r="BC206" s="24" t="inlineStr">
        <is>
          <t>wnba-elo-trend-lr-v4</t>
        </is>
      </c>
      <c r="BD206" s="24" t="inlineStr">
        <is>
          <t>7afd5274214b58b7efd7f7febc7be3ab33b92351cda5cc6403c0a39faea0cc8c</t>
        </is>
      </c>
      <c r="BE206" s="24" t="inlineStr">
        <is>
          <t>32b507c83016abe9</t>
        </is>
      </c>
      <c r="BF206" s="24" t="inlineStr">
        <is>
          <t>1</t>
        </is>
      </c>
      <c r="BG206" s="24" t="inlineStr">
        <is>
          <t>wnba-elo-trend-lr-v4</t>
        </is>
      </c>
      <c r="BH206" s="24" t="inlineStr">
        <is>
          <t>2026-09-24T10:04:19.735194Z</t>
        </is>
      </c>
      <c r="BI206" s="24" t="inlineStr">
        <is>
          <t>["same_event","same_team_same_day","same_league_same_day"]</t>
        </is>
      </c>
      <c r="BJ206" s="25" t="n"/>
      <c r="BK206" s="26" t="n">
        <v>-117</v>
      </c>
      <c r="BL206" s="27" t="n">
        <v>1.854701</v>
      </c>
      <c r="BM206" s="28" t="n">
        <v>0.539171</v>
      </c>
      <c r="BN206" s="28" t="n">
        <v>0.534653</v>
      </c>
      <c r="BO206" s="28" t="n"/>
      <c r="BP206" s="25" t="n"/>
      <c r="BQ206" s="27" t="n">
        <v>1.854701</v>
      </c>
      <c r="BR206" s="28" t="n">
        <v>0.54</v>
      </c>
      <c r="BS206" s="28" t="n"/>
      <c r="BT206" s="28" t="n"/>
      <c r="BU206" s="25" t="n"/>
      <c r="BV206" s="29" t="n"/>
      <c r="BW206" s="24" t="n"/>
      <c r="BX206" s="30" t="n">
        <v>1</v>
      </c>
      <c r="BY206" s="27" t="n">
        <v>0.854699</v>
      </c>
      <c r="BZ206" s="24" t="inlineStr">
        <is>
          <t>2026-09-25T04:30:26.206381Z</t>
        </is>
      </c>
      <c r="CA206" s="31" t="inlineStr">
        <is>
          <t>fixed one-unit hypothetical scoring; no real exposure or execution</t>
        </is>
      </c>
      <c r="CB206" s="24" t="n"/>
      <c r="CC206" s="24" t="inlineStr">
        <is>
          <t>0.6861813508</t>
        </is>
      </c>
      <c r="CD206" s="24" t="inlineStr">
        <is>
          <t>3.064028</t>
        </is>
      </c>
      <c r="CE206" s="24" t="n"/>
      <c r="CF206" s="24" t="n"/>
      <c r="CG206" s="24" t="n"/>
      <c r="CH206" s="24" t="n"/>
      <c r="CI206" s="24" t="n"/>
      <c r="CJ206" s="24" t="inlineStr">
        <is>
          <t>-3.584836</t>
        </is>
      </c>
      <c r="CK206" s="24" t="n"/>
      <c r="CL206" s="24" t="n"/>
      <c r="CM206" s="24" t="n"/>
      <c r="CN206" s="24" t="n"/>
      <c r="CO206" s="24" t="n"/>
      <c r="CP206" s="24" t="n"/>
      <c r="CQ206" s="24" t="n"/>
      <c r="CR206" s="24" t="inlineStr">
        <is>
          <t>0.708235</t>
        </is>
      </c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inlineStr">
        <is>
          <t>2026-09-24T10:04:19.735194Z</t>
        </is>
      </c>
      <c r="CZ206" s="24" t="inlineStr">
        <is>
          <t>True</t>
        </is>
      </c>
      <c r="DA206" s="24" t="inlineStr">
        <is>
          <t>polymarket_us</t>
        </is>
      </c>
      <c r="DB206" s="24" t="inlineStr">
        <is>
          <t>decision_time_executable_quote</t>
        </is>
      </c>
      <c r="DC206" s="24" t="inlineStr">
        <is>
          <t>False</t>
        </is>
      </c>
      <c r="DD206" s="24" t="inlineStr">
        <is>
          <t>55670c32a6e0396a333e155be22c9786234159ddfa3fabe167c7e280acb4fe16</t>
        </is>
      </c>
      <c r="DE206" s="24" t="inlineStr">
        <is>
          <t>/Users/vincentc9002/model-prediction/data/odds/wnba/2026-09-24/polymarket_snapshots.jsonl</t>
        </is>
      </c>
      <c r="DF206" s="24" t="inlineStr">
        <is>
          <t>55670c32a6e0396a333e155be22c9786234159ddfa3fabe167c7e280acb4fe16</t>
        </is>
      </c>
      <c r="DG206" s="24" t="n"/>
      <c r="DH206" s="24" t="n"/>
      <c r="DI206" s="24" t="n"/>
      <c r="DJ206" s="24" t="inlineStr">
        <is>
          <t>0.539171</t>
        </is>
      </c>
      <c r="DK206" s="24" t="n"/>
      <c r="DL206" s="24" t="n"/>
      <c r="DM206" s="24" t="n"/>
      <c r="DN206" s="24" t="n"/>
      <c r="DO206" s="24" t="n"/>
      <c r="DP206" s="24" t="n"/>
      <c r="DQ206" s="24" t="inlineStr">
        <is>
          <t>{"adjustment": {"applied": true, "availability": {"availability_points_gap": 2.8453937473, "availability_report_age_hours": 0.1351039869, "availability_source_conflict_count": 0, "availability_source_conflicts": [], "availability_uncertainty": 0.0, "away_available_minutes_share": 0.678439515, "home_available_minutes_share": 0.762795755, "source_evidence": {"espn_observed_at_utc": "2026-09-24T22:04:34.575157+00:00", "espn_snapshot_hash": "398cf8926e27fa8794fc320ee85f46039b4b3698be2e9bcf38179bf8dad7987b", "official_observed_at_utc": "2026-09-24T22:04:33.917801+00:00", "official_report_at_utc": "2026-09-24T22:00:00+00:00", "official_snapshot_hash": "eef0aee22c6a148e23f26bac183f90c93f2b52dfd98c4704b265cb1394ca7f27", "prior_hash": "2ef8b6e4a01a7f87a62895c02fcef71f3ce7a36f700387b77469efdebeaabf1e", "prior_observed_at_utc": "2026-09-24T22:04:33.812295+00:00"}}, "margin_sigma": 14.680817331377758, "method": "wnba_probit_v1", "minimum_delta": 0.05, "points_gap": 2.8453937473},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0.638487208247215, "event_id": "401857215", "event_start_utc": "2026-09-24T23:00:00+00:00", "features": {"defensive_trend_gap": -3.584836, "elo_probability": 0.6861813508322314, "trend_gap": 3.0640279999999995}, "historical_source_observation_times_verified": false, "model_version": "wnba-elo-trend-lr-v4", "observed_at_utc": "2026-09-24T22:08:06.374353+00:00", "schema": "learned-moneyline-replay-v1", "served_home_probability": 0.7082347942548194, "snapshot_hash": "d9c469efdf1c8854f8c3f7df142f829f57ca43d20c5083631e19a6f15b35deab"}</t>
        </is>
      </c>
    </row>
    <row r="207" ht="36" customHeight="1">
      <c r="A207" s="24" t="inlineStr">
        <is>
          <t>d34678cd1f064730</t>
        </is>
      </c>
      <c r="B207" s="24" t="inlineStr">
        <is>
          <t>2026-09-24T22:08:06.374353Z</t>
        </is>
      </c>
      <c r="C207" s="24" t="inlineStr">
        <is>
          <t>2026-09-24T19:30:00-0400</t>
        </is>
      </c>
      <c r="D207" s="24" t="inlineStr">
        <is>
          <t>401857216</t>
        </is>
      </c>
      <c r="E207" s="24" t="inlineStr">
        <is>
          <t>WNBA</t>
        </is>
      </c>
      <c r="F207" s="24" t="inlineStr">
        <is>
          <t>Chicago Sky</t>
        </is>
      </c>
      <c r="G207" s="24" t="inlineStr">
        <is>
          <t>Washington Mystics</t>
        </is>
      </c>
      <c r="H207" s="24" t="inlineStr">
        <is>
          <t>moneyline</t>
        </is>
      </c>
      <c r="I207" s="24" t="inlineStr">
        <is>
          <t>home</t>
        </is>
      </c>
      <c r="J207" s="25" t="n"/>
      <c r="K207" s="24" t="inlineStr">
        <is>
          <t>model_opinion_no_executable_quote</t>
        </is>
      </c>
      <c r="L207" s="26" t="n">
        <v>-110</v>
      </c>
      <c r="M207" s="27" t="n">
        <v>1.909091</v>
      </c>
      <c r="N207" s="28" t="n">
        <v>0.52381</v>
      </c>
      <c r="O207" s="28" t="n">
        <v>0.7419289999999999</v>
      </c>
      <c r="P207" s="28" t="n"/>
      <c r="Q207" s="28" t="n">
        <v>0.218119</v>
      </c>
      <c r="R207" s="26" t="n">
        <v>100</v>
      </c>
      <c r="S207" s="29" t="n">
        <v>2</v>
      </c>
      <c r="T207" s="24" t="inlineStr">
        <is>
          <t>wnba-elo-trend-lr-v4</t>
        </is>
      </c>
      <c r="U207" s="24" t="inlineStr">
        <is>
          <t>settled</t>
        </is>
      </c>
      <c r="V207" s="24" t="inlineStr">
        <is>
          <t>win</t>
        </is>
      </c>
      <c r="W207" s="26" t="n">
        <v>93</v>
      </c>
      <c r="X207" s="26" t="n">
        <v>101</v>
      </c>
      <c r="Y207" s="25" t="n"/>
      <c r="Z207" s="26" t="n"/>
      <c r="AA207" s="28" t="n"/>
      <c r="AB207" s="28" t="n"/>
      <c r="AC207" s="30" t="n">
        <v>1.8182</v>
      </c>
      <c r="AD207" s="24" t="inlineStr">
        <is>
          <t>2026-09-25T04:30:26.680143Z</t>
        </is>
      </c>
      <c r="AE207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7" s="31" t="inlineStr">
        <is>
          <t>Learned model; shadow-qualified via operator override.</t>
        </is>
      </c>
      <c r="AG207" s="24" t="inlineStr">
        <is>
          <t>not_applicable</t>
        </is>
      </c>
      <c r="AH207" s="24" t="n"/>
      <c r="AI207" s="31" t="n"/>
      <c r="AJ207" s="31" t="n"/>
      <c r="AK207" s="24" t="inlineStr">
        <is>
          <t>paper_call</t>
        </is>
      </c>
      <c r="AL207" s="26" t="n">
        <v>4</v>
      </c>
      <c r="AM207" s="24" t="inlineStr">
        <is>
          <t>RESEARCH_OBSERVATION</t>
        </is>
      </c>
      <c r="AN207" s="24" t="inlineStr">
        <is>
          <t>CALL</t>
        </is>
      </c>
      <c r="AO207" s="24" t="inlineStr">
        <is>
          <t>PAPER_CALL_MARKET_UNAVAILABLE</t>
        </is>
      </c>
      <c r="AP207" s="24" t="inlineStr">
        <is>
          <t>wnba-chi</t>
        </is>
      </c>
      <c r="AQ207" s="24" t="inlineStr">
        <is>
          <t>Chicago Sky</t>
        </is>
      </c>
      <c r="AR207" s="24" t="inlineStr">
        <is>
          <t>Chicago Sky</t>
        </is>
      </c>
      <c r="AS207" s="24" t="inlineStr">
        <is>
          <t>wnba-was</t>
        </is>
      </c>
      <c r="AT207" s="24" t="inlineStr">
        <is>
          <t>Washington Mystics</t>
        </is>
      </c>
      <c r="AU207" s="24" t="inlineStr">
        <is>
          <t>Washington Mystics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7afd5274214b58b7efd7f7febc7be3ab33b92351cda5cc6403c0a39faea0cc8c</t>
        </is>
      </c>
      <c r="BB207" s="24" t="inlineStr">
        <is>
          <t>learned_lr</t>
        </is>
      </c>
      <c r="BC207" s="24" t="inlineStr">
        <is>
          <t>wnba-elo-trend-lr-v4</t>
        </is>
      </c>
      <c r="BD207" s="24" t="inlineStr">
        <is>
          <t>7afd5274214b58b7efd7f7febc7be3ab33b92351cda5cc6403c0a39faea0cc8c</t>
        </is>
      </c>
      <c r="BE207" s="24" t="inlineStr">
        <is>
          <t>473d12f0b843d9eb</t>
        </is>
      </c>
      <c r="BF207" s="24" t="inlineStr">
        <is>
          <t>1</t>
        </is>
      </c>
      <c r="BG207" s="24" t="inlineStr">
        <is>
          <t>wnba-elo-trend-lr-v4</t>
        </is>
      </c>
      <c r="BH207" s="24" t="inlineStr">
        <is>
          <t>2026-09-24T22:08:06.374353Z</t>
        </is>
      </c>
      <c r="BI207" s="24" t="inlineStr">
        <is>
          <t>["same_event","same_team_same_day","same_league_same_day"]</t>
        </is>
      </c>
      <c r="BJ207" s="25" t="n"/>
      <c r="BK207" s="26" t="n">
        <v>-110</v>
      </c>
      <c r="BL207" s="27" t="n">
        <v>1.909091</v>
      </c>
      <c r="BM207" s="28" t="n">
        <v>0.52381</v>
      </c>
      <c r="BN207" s="28" t="n"/>
      <c r="BO207" s="28" t="n"/>
      <c r="BP207" s="25" t="n"/>
      <c r="BQ207" s="27" t="n"/>
      <c r="BR207" s="28" t="n"/>
      <c r="BS207" s="28" t="n"/>
      <c r="BT207" s="28" t="n"/>
      <c r="BU207" s="25" t="n"/>
      <c r="BV207" s="29" t="n"/>
      <c r="BW207" s="24" t="n"/>
      <c r="BX207" s="30" t="n">
        <v>1</v>
      </c>
      <c r="BY207" s="27" t="n">
        <v>0.909091</v>
      </c>
      <c r="BZ207" s="24" t="inlineStr">
        <is>
          <t>2026-09-25T04:30:26.680143Z</t>
        </is>
      </c>
      <c r="CA207" s="31" t="inlineStr">
        <is>
          <t>fixed one-unit hypothetical scoring; no real exposure or execution</t>
        </is>
      </c>
      <c r="CB207" s="24" t="n"/>
      <c r="CC207" s="24" t="inlineStr">
        <is>
          <t>0.8556753198</t>
        </is>
      </c>
      <c r="CD207" s="24" t="inlineStr">
        <is>
          <t>5.452271</t>
        </is>
      </c>
      <c r="CE207" s="24" t="n"/>
      <c r="CF207" s="24" t="n"/>
      <c r="CG207" s="24" t="n"/>
      <c r="CH207" s="24" t="n"/>
      <c r="CI207" s="24" t="inlineStr">
        <is>
          <t>executable_quote_missing_or_unmatched</t>
        </is>
      </c>
      <c r="CJ207" s="24" t="inlineStr">
        <is>
          <t>5.915141</t>
        </is>
      </c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inlineStr">
        <is>
          <t>0.52381</t>
        </is>
      </c>
      <c r="DK207" s="24" t="n"/>
      <c r="DL207" s="24" t="n"/>
      <c r="DM207" s="24" t="n"/>
      <c r="DN207" s="24" t="n"/>
      <c r="DO207" s="24" t="n"/>
      <c r="DP207" s="24" t="n"/>
      <c r="DQ207" s="24" t="inlineStr">
        <is>
          <t>{"adjustment": {"applied": false, "availability": {"availability_points_gap": 1.2893876919, "availability_report_age_hours": 0.1351039869, "availability_source_conflict_count": 0, "availability_source_conflicts": [], "availability_uncertainty": 0.0, "away_available_minutes_share": 0.728162845, "home_available_minutes_share": 0.999999995, "source_evidence": {"espn_observed_at_utc": "2026-09-24T22:04:34.729906+00:00", "espn_snapshot_hash": "762491beb383bb6ff63426f4a0da1b398ef8d3894c0fb519359476fc22a55c18", "official_observed_at_utc": "2026-09-24T22:04:33.917801+00:00", "official_report_at_utc": "2026-09-24T22:00:00+00:00", "official_snapshot_hash": "eef0aee22c6a148e23f26bac183f90c93f2b52dfd98c4704b265cb1394ca7f27", "prior_hash": "2ef8b6e4a01a7f87a62895c02fcef71f3ce7a36f700387b77469efdebeaabf1e", "prior_observed_at_utc": "2026-09-24T22:04:33.812295+00:00"}}, "margin_sigma": 14.680817331377758, "method": "wnba_probit_v1", "minimum_delta": 0.05, "points_gap": 1.2893876919},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0.7419292247882204, "event_id": "401857216", "event_start_utc": "2026-09-24T23:30:00+00:00", "features": {"defensive_trend_gap": 5.915141, "elo_probability": 0.8556753198491956, "trend_gap": 5.452271}, "historical_source_observation_times_verified": false, "model_version": "wnba-elo-trend-lr-v4", "observed_at_utc": "2026-09-24T22:08:06.374353+00:00", "schema": "learned-moneyline-replay-v1", "served_home_probability": 0.7419292247882204, "snapshot_hash": "5f36184c2288207533828983f4162de8e4be727f6984fda9f3c1c4b7e5e9ae95"}</t>
        </is>
      </c>
    </row>
    <row r="208" ht="36" customHeight="1">
      <c r="A208" s="24" t="inlineStr">
        <is>
          <t>0494223ffeca42ba</t>
        </is>
      </c>
      <c r="B208" s="24" t="inlineStr">
        <is>
          <t>2026-09-24T22:08:06.374353Z</t>
        </is>
      </c>
      <c r="C208" s="24" t="inlineStr">
        <is>
          <t>2026-09-24T20:00:00-0400</t>
        </is>
      </c>
      <c r="D208" s="24" t="inlineStr">
        <is>
          <t>401857217</t>
        </is>
      </c>
      <c r="E208" s="24" t="inlineStr">
        <is>
          <t>WNBA</t>
        </is>
      </c>
      <c r="F208" s="24" t="inlineStr">
        <is>
          <t>Indiana Fever</t>
        </is>
      </c>
      <c r="G208" s="24" t="inlineStr">
        <is>
          <t>Minnesota Lynx</t>
        </is>
      </c>
      <c r="H208" s="24" t="inlineStr">
        <is>
          <t>moneyline</t>
        </is>
      </c>
      <c r="I208" s="24" t="inlineStr">
        <is>
          <t>home</t>
        </is>
      </c>
      <c r="J208" s="25" t="n"/>
      <c r="K208" s="24" t="inlineStr">
        <is>
          <t>polymarket_us</t>
        </is>
      </c>
      <c r="L208" s="26" t="n">
        <v>170</v>
      </c>
      <c r="M208" s="27" t="n">
        <v>2.7</v>
      </c>
      <c r="N208" s="28" t="n">
        <v>0.37037</v>
      </c>
      <c r="O208" s="28" t="n">
        <v>0.5654670000000001</v>
      </c>
      <c r="P208" s="28" t="n"/>
      <c r="Q208" s="28" t="n">
        <v>0.195097</v>
      </c>
      <c r="R208" s="26" t="n">
        <v>100</v>
      </c>
      <c r="S208" s="29" t="n">
        <v>2</v>
      </c>
      <c r="T208" s="24" t="inlineStr">
        <is>
          <t>wnba-elo-trend-lr-v4</t>
        </is>
      </c>
      <c r="U208" s="24" t="inlineStr">
        <is>
          <t>settled</t>
        </is>
      </c>
      <c r="V208" s="24" t="inlineStr">
        <is>
          <t>win</t>
        </is>
      </c>
      <c r="W208" s="26" t="n">
        <v>66</v>
      </c>
      <c r="X208" s="26" t="n">
        <v>86</v>
      </c>
      <c r="Y208" s="25" t="n"/>
      <c r="Z208" s="26" t="n">
        <v>170</v>
      </c>
      <c r="AA208" s="28" t="n">
        <v>0.37</v>
      </c>
      <c r="AB208" s="28" t="n">
        <v>-0.00037</v>
      </c>
      <c r="AC208" s="30" t="n">
        <v>3.4</v>
      </c>
      <c r="AD208" s="24" t="inlineStr">
        <is>
          <t>2026-09-25T04:30:27.105462Z</t>
        </is>
      </c>
      <c r="AE208" s="31" t="inlineStr">
        <is>
          <t>Learned LR call at threshold 0.5001; executable ask 0.3700 (aec-wnba-ind-min-2026-09-24); model edge vs ask +0.1955. NOTE: NO_CALL_AVAILABILITY_SOURCE_CONFLICT unavailable for this game — defaulted to neutral, other features used normally.</t>
        </is>
      </c>
      <c r="AF208" s="31" t="inlineStr">
        <is>
          <t>Learned model; shadow-qualified via operator override.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4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wnba-ind</t>
        </is>
      </c>
      <c r="AQ208" s="24" t="inlineStr">
        <is>
          <t>Indiana Fever</t>
        </is>
      </c>
      <c r="AR208" s="24" t="inlineStr">
        <is>
          <t>Indiana Fever</t>
        </is>
      </c>
      <c r="AS208" s="24" t="inlineStr">
        <is>
          <t>wnba-min</t>
        </is>
      </c>
      <c r="AT208" s="24" t="inlineStr">
        <is>
          <t>Minnesota Lynx</t>
        </is>
      </c>
      <c r="AU208" s="24" t="inlineStr">
        <is>
          <t>Minnesota Lynx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7afd5274214b58b7efd7f7febc7be3ab33b92351cda5cc6403c0a39faea0cc8c</t>
        </is>
      </c>
      <c r="BB208" s="24" t="inlineStr">
        <is>
          <t>learned_lr</t>
        </is>
      </c>
      <c r="BC208" s="24" t="inlineStr">
        <is>
          <t>wnba-elo-trend-lr-v4</t>
        </is>
      </c>
      <c r="BD208" s="24" t="inlineStr">
        <is>
          <t>7afd5274214b58b7efd7f7febc7be3ab33b92351cda5cc6403c0a39faea0cc8c</t>
        </is>
      </c>
      <c r="BE208" s="24" t="inlineStr">
        <is>
          <t>e590e6a3e02730c3</t>
        </is>
      </c>
      <c r="BF208" s="24" t="inlineStr">
        <is>
          <t>1</t>
        </is>
      </c>
      <c r="BG208" s="24" t="inlineStr">
        <is>
          <t>wnba-elo-trend-lr-v4</t>
        </is>
      </c>
      <c r="BH208" s="24" t="inlineStr">
        <is>
          <t>2026-09-24T22:05:10.113783Z</t>
        </is>
      </c>
      <c r="BI208" s="24" t="inlineStr">
        <is>
          <t>["same_event","same_team_same_day","same_league_same_day"]</t>
        </is>
      </c>
      <c r="BJ208" s="25" t="n"/>
      <c r="BK208" s="26" t="n">
        <v>170</v>
      </c>
      <c r="BL208" s="27" t="n">
        <v>2.7</v>
      </c>
      <c r="BM208" s="28" t="n">
        <v>0.37037</v>
      </c>
      <c r="BN208" s="28" t="n">
        <v>0.366337</v>
      </c>
      <c r="BO208" s="28" t="n"/>
      <c r="BP208" s="25" t="n"/>
      <c r="BQ208" s="27" t="n">
        <v>2.7</v>
      </c>
      <c r="BR208" s="28" t="n">
        <v>0.37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inlineStr">
        <is>
          <t>0.5718696979</t>
        </is>
      </c>
      <c r="CD208" s="24" t="inlineStr">
        <is>
          <t>-4.593176</t>
        </is>
      </c>
      <c r="CE208" s="24" t="n"/>
      <c r="CF208" s="24" t="n"/>
      <c r="CG208" s="24" t="n"/>
      <c r="CH208" s="24" t="n"/>
      <c r="CI208" s="24" t="inlineStr">
        <is>
          <t>NO_CALL_AVAILABILITY_SOURCE_CONFLICT</t>
        </is>
      </c>
      <c r="CJ208" s="24" t="inlineStr">
        <is>
          <t>-3.972727</t>
        </is>
      </c>
      <c r="CK208" s="24" t="n"/>
      <c r="CL208" s="24" t="n"/>
      <c r="CM208" s="24" t="n"/>
      <c r="CN208" s="24" t="n"/>
      <c r="CO208" s="24" t="n"/>
      <c r="CP208" s="24" t="n"/>
      <c r="CQ208" s="24" t="n"/>
      <c r="CR208" s="24" t="inlineStr">
        <is>
          <t>0.565467</t>
        </is>
      </c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inlineStr">
        <is>
          <t>2026-09-24T22:05:10.113783Z</t>
        </is>
      </c>
      <c r="CZ208" s="24" t="inlineStr">
        <is>
          <t>True</t>
        </is>
      </c>
      <c r="DA208" s="24" t="inlineStr">
        <is>
          <t>polymarket_us</t>
        </is>
      </c>
      <c r="DB208" s="24" t="inlineStr">
        <is>
          <t>decision_time_executable_quote</t>
        </is>
      </c>
      <c r="DC208" s="24" t="inlineStr">
        <is>
          <t>False</t>
        </is>
      </c>
      <c r="DD208" s="24" t="inlineStr">
        <is>
          <t>2c1462d943d74c48aeb62de15f02305b2302525c4538618ac8bbb4d1ef7211e4</t>
        </is>
      </c>
      <c r="DE208" s="24" t="inlineStr">
        <is>
          <t>/Users/vincentc9002/model-prediction/data/odds/wnba/2026-09-24/polymarket_snapshots.jsonl</t>
        </is>
      </c>
      <c r="DF208" s="24" t="inlineStr">
        <is>
          <t>2c1462d943d74c48aeb62de15f02305b2302525c4538618ac8bbb4d1ef7211e4</t>
        </is>
      </c>
      <c r="DG208" s="24" t="n"/>
      <c r="DH208" s="24" t="n"/>
      <c r="DI208" s="24" t="n"/>
      <c r="DJ208" s="24" t="inlineStr">
        <is>
          <t>0.37037</t>
        </is>
      </c>
      <c r="DK208" s="24" t="n"/>
      <c r="DL208" s="24" t="n"/>
      <c r="DM208" s="24" t="n"/>
      <c r="DN208" s="24" t="n"/>
      <c r="DO208" s="24" t="n"/>
      <c r="DP208" s="24" t="n"/>
      <c r="DQ208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0.565466587307034, "event_id": "401857217", "event_start_utc": "2026-09-25T00:00:00+00:00", "features": {"defensive_trend_gap": -3.972727, "elo_probability": 0.5718696979172786, "trend_gap": -4.593176}, "historical_source_observation_times_verified": false, "model_version": "wnba-elo-trend-lr-v4", "observed_at_utc": "2026-09-24T22:08:06.374353+00:00", "schema": "learned-moneyline-replay-v1", "served_home_probability": 0.565466587307034, "snapshot_hash": "7f7247bab20f1d31583cd319a2873fd468f8c62773d821e4fc692d328465022f"}</t>
        </is>
      </c>
    </row>
    <row r="209" ht="36" customHeight="1">
      <c r="A209" s="24" t="inlineStr">
        <is>
          <t>2d6c8539461049fe</t>
        </is>
      </c>
      <c r="B209" s="24" t="inlineStr">
        <is>
          <t>2026-09-24T22:08:06.374353Z</t>
        </is>
      </c>
      <c r="C209" s="24" t="inlineStr">
        <is>
          <t>2026-09-24T22:00:00-0400</t>
        </is>
      </c>
      <c r="D209" s="24" t="inlineStr">
        <is>
          <t>401857218</t>
        </is>
      </c>
      <c r="E209" s="24" t="inlineStr">
        <is>
          <t>WNBA</t>
        </is>
      </c>
      <c r="F209" s="24" t="inlineStr">
        <is>
          <t>Golden State Valkyries</t>
        </is>
      </c>
      <c r="G209" s="24" t="inlineStr">
        <is>
          <t>Los Angeles Sparks</t>
        </is>
      </c>
      <c r="H209" s="24" t="inlineStr">
        <is>
          <t>moneyline</t>
        </is>
      </c>
      <c r="I209" s="24" t="inlineStr">
        <is>
          <t>away</t>
        </is>
      </c>
      <c r="J209" s="25" t="n"/>
      <c r="K209" s="24" t="inlineStr">
        <is>
          <t>polymarket_us</t>
        </is>
      </c>
      <c r="L209" s="26" t="n">
        <v>-525</v>
      </c>
      <c r="M209" s="27" t="n">
        <v>1.190476</v>
      </c>
      <c r="N209" s="28" t="n">
        <v>0.84</v>
      </c>
      <c r="O209" s="28" t="n">
        <v>0.713158</v>
      </c>
      <c r="P209" s="28" t="n"/>
      <c r="Q209" s="28" t="n">
        <v>-0.126842</v>
      </c>
      <c r="R209" s="26" t="n">
        <v>0</v>
      </c>
      <c r="S209" s="29" t="n">
        <v>1</v>
      </c>
      <c r="T209" s="24" t="inlineStr">
        <is>
          <t>wnba-elo-trend-lr-v4</t>
        </is>
      </c>
      <c r="U209" s="24" t="inlineStr">
        <is>
          <t>settled</t>
        </is>
      </c>
      <c r="V209" s="24" t="inlineStr">
        <is>
          <t>win</t>
        </is>
      </c>
      <c r="W209" s="26" t="n">
        <v>76</v>
      </c>
      <c r="X209" s="26" t="n">
        <v>75</v>
      </c>
      <c r="Y209" s="25" t="n"/>
      <c r="Z209" s="26" t="n">
        <v>-525</v>
      </c>
      <c r="AA209" s="28" t="n">
        <v>0.84</v>
      </c>
      <c r="AB209" s="28" t="n">
        <v>0</v>
      </c>
      <c r="AC209" s="30" t="n">
        <v>0.1905</v>
      </c>
      <c r="AD209" s="24" t="inlineStr">
        <is>
          <t>2026-09-25T04:30:27.539138Z</t>
        </is>
      </c>
      <c r="AE209" s="31" t="inlineStr">
        <is>
          <t>Learned LR call at threshold 0.5001; executable ask 0.8400 (aec-wnba-gsv-la-2026-09-24); model edge vs ask -0.1268. NOTE: NO_CALL_AVAILABILITY_SOURCE_CONFLICT unavailable for this game — defaulted to neutral, other features used normally.</t>
        </is>
      </c>
      <c r="AF209" s="31" t="inlineStr">
        <is>
          <t>Learned model; shadow-qualified via operator override.</t>
        </is>
      </c>
      <c r="AG209" s="24" t="inlineStr">
        <is>
          <t>not_applicable</t>
        </is>
      </c>
      <c r="AH209" s="24" t="n"/>
      <c r="AI209" s="31" t="n"/>
      <c r="AJ209" s="31" t="n"/>
      <c r="AK209" s="24" t="inlineStr">
        <is>
          <t>model_qualified</t>
        </is>
      </c>
      <c r="AL209" s="26" t="n">
        <v>4</v>
      </c>
      <c r="AM209" s="24" t="inlineStr">
        <is>
          <t>QUALIFIED_SHADOW_CALL</t>
        </is>
      </c>
      <c r="AN209" s="24" t="inlineStr">
        <is>
          <t>CALL</t>
        </is>
      </c>
      <c r="AO209" s="24" t="inlineStr">
        <is>
          <t>QUALIFIED</t>
        </is>
      </c>
      <c r="AP209" s="24" t="inlineStr">
        <is>
          <t>wnba-gsv</t>
        </is>
      </c>
      <c r="AQ209" s="24" t="inlineStr">
        <is>
          <t>Golden State Valkyries</t>
        </is>
      </c>
      <c r="AR209" s="24" t="inlineStr">
        <is>
          <t>Golden State Valkyries</t>
        </is>
      </c>
      <c r="AS209" s="24" t="inlineStr">
        <is>
          <t>wnba-las</t>
        </is>
      </c>
      <c r="AT209" s="24" t="inlineStr">
        <is>
          <t>Los Angeles Sparks</t>
        </is>
      </c>
      <c r="AU209" s="24" t="inlineStr">
        <is>
          <t>Los Angeles Sparks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7afd5274214b58b7efd7f7febc7be3ab33b92351cda5cc6403c0a39faea0cc8c</t>
        </is>
      </c>
      <c r="BB209" s="24" t="inlineStr">
        <is>
          <t>learned_lr</t>
        </is>
      </c>
      <c r="BC209" s="24" t="inlineStr">
        <is>
          <t>wnba-elo-trend-lr-v4</t>
        </is>
      </c>
      <c r="BD209" s="24" t="inlineStr">
        <is>
          <t>7afd5274214b58b7efd7f7febc7be3ab33b92351cda5cc6403c0a39faea0cc8c</t>
        </is>
      </c>
      <c r="BE209" s="24" t="inlineStr">
        <is>
          <t>5cf5451fc7beb4e7</t>
        </is>
      </c>
      <c r="BF209" s="24" t="inlineStr">
        <is>
          <t>1</t>
        </is>
      </c>
      <c r="BG209" s="24" t="inlineStr">
        <is>
          <t>wnba-elo-trend-lr-v4</t>
        </is>
      </c>
      <c r="BH209" s="24" t="inlineStr">
        <is>
          <t>2026-09-24T16:07:33.237275Z</t>
        </is>
      </c>
      <c r="BI209" s="24" t="inlineStr">
        <is>
          <t>["same_event","same_team_same_day","same_league_same_day"]</t>
        </is>
      </c>
      <c r="BJ209" s="25" t="n"/>
      <c r="BK209" s="26" t="n">
        <v>-525</v>
      </c>
      <c r="BL209" s="27" t="n">
        <v>1.190476</v>
      </c>
      <c r="BM209" s="28" t="n">
        <v>0.84</v>
      </c>
      <c r="BN209" s="28" t="n">
        <v>0.831683</v>
      </c>
      <c r="BO209" s="28" t="n"/>
      <c r="BP209" s="25" t="n"/>
      <c r="BQ209" s="27" t="n">
        <v>1.190476</v>
      </c>
      <c r="BR209" s="28" t="n">
        <v>0.84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inlineStr">
        <is>
          <t>0.2120802232</t>
        </is>
      </c>
      <c r="CD209" s="24" t="inlineStr">
        <is>
          <t>0.60706</t>
        </is>
      </c>
      <c r="CE209" s="24" t="n"/>
      <c r="CF209" s="24" t="n"/>
      <c r="CG209" s="24" t="n"/>
      <c r="CH209" s="24" t="n"/>
      <c r="CI209" s="24" t="inlineStr">
        <is>
          <t>NO_CALL_AVAILABILITY_SOURCE_CONFLICT</t>
        </is>
      </c>
      <c r="CJ209" s="24" t="inlineStr">
        <is>
          <t>-0.121521</t>
        </is>
      </c>
      <c r="CK209" s="24" t="n"/>
      <c r="CL209" s="24" t="n"/>
      <c r="CM209" s="24" t="n"/>
      <c r="CN209" s="24" t="n"/>
      <c r="CO209" s="24" t="n"/>
      <c r="CP209" s="24" t="n"/>
      <c r="CQ209" s="24" t="n"/>
      <c r="CR209" s="24" t="inlineStr">
        <is>
          <t>0.713158</t>
        </is>
      </c>
      <c r="CS209" s="24" t="inlineStr">
        <is>
          <t>False</t>
        </is>
      </c>
      <c r="CT209" s="24" t="n"/>
      <c r="CU209" s="24" t="n"/>
      <c r="CV209" s="24" t="n"/>
      <c r="CW209" s="24" t="n"/>
      <c r="CX209" s="24" t="n"/>
      <c r="CY209" s="24" t="inlineStr">
        <is>
          <t>2026-09-24T16:07:33.237275Z</t>
        </is>
      </c>
      <c r="CZ209" s="24" t="inlineStr">
        <is>
          <t>True</t>
        </is>
      </c>
      <c r="DA209" s="24" t="inlineStr">
        <is>
          <t>polymarket_us</t>
        </is>
      </c>
      <c r="DB209" s="24" t="inlineStr">
        <is>
          <t>decision_time_executable_quote</t>
        </is>
      </c>
      <c r="DC209" s="24" t="inlineStr">
        <is>
          <t>False</t>
        </is>
      </c>
      <c r="DD209" s="24" t="inlineStr">
        <is>
          <t>9f33fe0f247ebc8631e38b2b921721e5093167e89f84f187584471931ac8e3e1</t>
        </is>
      </c>
      <c r="DE209" s="24" t="inlineStr">
        <is>
          <t>/Users/vincentc9002/model-prediction/data/odds/wnba/2026-09-24/polymarket_snapshots.jsonl</t>
        </is>
      </c>
      <c r="DF209" s="24" t="inlineStr">
        <is>
          <t>9f33fe0f247ebc8631e38b2b921721e5093167e89f84f187584471931ac8e3e1</t>
        </is>
      </c>
      <c r="DG209" s="24" t="n"/>
      <c r="DH209" s="24" t="n"/>
      <c r="DI209" s="24" t="n"/>
      <c r="DJ209" s="24" t="inlineStr">
        <is>
          <t>0.84</t>
        </is>
      </c>
      <c r="DK209" s="24" t="n"/>
      <c r="DL209" s="24" t="n"/>
      <c r="DM209" s="24" t="n"/>
      <c r="DN209" s="24" t="n"/>
      <c r="DO209" s="24" t="n"/>
      <c r="DP209" s="24" t="n"/>
      <c r="DQ209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0.2868417766299036, "event_id": "401857218", "event_start_utc": "2026-09-25T02:00:00+00:00", "features": {"defensive_trend_gap": -0.12152099999999999, "elo_probability": 0.21208022323937084, "trend_gap": 0.6070600000000002}, "historical_source_observation_times_verified": false, "model_version": "wnba-elo-trend-lr-v4", "observed_at_utc": "2026-09-24T22:08:06.374353+00:00", "schema": "learned-moneyline-replay-v1", "served_home_probability": 0.2868417766299036, "snapshot_hash": "20c76efd8177e901f5c371bf31efda794aa9b3ceb2bfa12a2216239965412768"}</t>
        </is>
      </c>
    </row>
    <row r="210" ht="36" customHeight="1">
      <c r="A210" s="24" t="inlineStr">
        <is>
          <t>eb7777e17b114370</t>
        </is>
      </c>
      <c r="B210" s="24" t="inlineStr">
        <is>
          <t>2026-09-24T22:08:06.374353Z</t>
        </is>
      </c>
      <c r="C210" s="24" t="inlineStr">
        <is>
          <t>2026-09-24T22:00:00-0400</t>
        </is>
      </c>
      <c r="D210" s="24" t="inlineStr">
        <is>
          <t>401857219</t>
        </is>
      </c>
      <c r="E210" s="24" t="inlineStr">
        <is>
          <t>WNBA</t>
        </is>
      </c>
      <c r="F210" s="24" t="inlineStr">
        <is>
          <t>Las Vegas Aces</t>
        </is>
      </c>
      <c r="G210" s="24" t="inlineStr">
        <is>
          <t>Phoenix Mercury</t>
        </is>
      </c>
      <c r="H210" s="24" t="inlineStr">
        <is>
          <t>moneyline</t>
        </is>
      </c>
      <c r="I210" s="24" t="inlineStr">
        <is>
          <t>away</t>
        </is>
      </c>
      <c r="J210" s="25" t="n"/>
      <c r="K210" s="24" t="inlineStr">
        <is>
          <t>model_opinion_no_executable_quote</t>
        </is>
      </c>
      <c r="L210" s="26" t="n">
        <v>-110</v>
      </c>
      <c r="M210" s="27" t="n">
        <v>1.909091</v>
      </c>
      <c r="N210" s="28" t="n">
        <v>0.52381</v>
      </c>
      <c r="O210" s="28" t="n">
        <v>0.654989</v>
      </c>
      <c r="P210" s="28" t="n"/>
      <c r="Q210" s="28" t="n">
        <v>0.131179</v>
      </c>
      <c r="R210" s="26" t="n">
        <v>86</v>
      </c>
      <c r="S210" s="29" t="n">
        <v>1.5</v>
      </c>
      <c r="T210" s="24" t="inlineStr">
        <is>
          <t>wnba-elo-trend-lr-v4</t>
        </is>
      </c>
      <c r="U210" s="24" t="inlineStr">
        <is>
          <t>settled</t>
        </is>
      </c>
      <c r="V210" s="24" t="inlineStr">
        <is>
          <t>win</t>
        </is>
      </c>
      <c r="W210" s="26" t="n">
        <v>100</v>
      </c>
      <c r="X210" s="26" t="n">
        <v>82</v>
      </c>
      <c r="Y210" s="25" t="n"/>
      <c r="Z210" s="26" t="n"/>
      <c r="AA210" s="28" t="n"/>
      <c r="AB210" s="28" t="n"/>
      <c r="AC210" s="30" t="n">
        <v>1.3636</v>
      </c>
      <c r="AD210" s="24" t="inlineStr">
        <is>
          <t>2026-09-25T04:30:27.961941Z</t>
        </is>
      </c>
      <c r="AE210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10" s="31" t="inlineStr">
        <is>
          <t>Learned model; shadow-qualified via operator override.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paper_call</t>
        </is>
      </c>
      <c r="AL210" s="26" t="n">
        <v>4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PAPER_CALL_MARKET_UNAVAILABLE</t>
        </is>
      </c>
      <c r="AP210" s="24" t="inlineStr">
        <is>
          <t>wnba-lva</t>
        </is>
      </c>
      <c r="AQ210" s="24" t="inlineStr">
        <is>
          <t>Las Vegas Aces</t>
        </is>
      </c>
      <c r="AR210" s="24" t="inlineStr">
        <is>
          <t>Las Vegas Aces</t>
        </is>
      </c>
      <c r="AS210" s="24" t="inlineStr">
        <is>
          <t>wnba-phx</t>
        </is>
      </c>
      <c r="AT210" s="24" t="inlineStr">
        <is>
          <t>Phoenix Mercury</t>
        </is>
      </c>
      <c r="AU210" s="24" t="inlineStr">
        <is>
          <t>Phoenix Mercury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7afd5274214b58b7efd7f7febc7be3ab33b92351cda5cc6403c0a39faea0cc8c</t>
        </is>
      </c>
      <c r="BB210" s="24" t="inlineStr">
        <is>
          <t>learned_lr</t>
        </is>
      </c>
      <c r="BC210" s="24" t="inlineStr">
        <is>
          <t>wnba-elo-trend-lr-v4</t>
        </is>
      </c>
      <c r="BD210" s="24" t="inlineStr">
        <is>
          <t>7afd5274214b58b7efd7f7febc7be3ab33b92351cda5cc6403c0a39faea0cc8c</t>
        </is>
      </c>
      <c r="BE210" s="24" t="inlineStr">
        <is>
          <t>e17ce577176642f0</t>
        </is>
      </c>
      <c r="BF210" s="24" t="inlineStr">
        <is>
          <t>1</t>
        </is>
      </c>
      <c r="BG210" s="24" t="inlineStr">
        <is>
          <t>wnba-elo-trend-lr-v4</t>
        </is>
      </c>
      <c r="BH210" s="24" t="inlineStr">
        <is>
          <t>2026-09-24T22:08:06.374353Z</t>
        </is>
      </c>
      <c r="BI210" s="24" t="inlineStr">
        <is>
          <t>["same_event","same_team_same_day","same_league_same_day"]</t>
        </is>
      </c>
      <c r="BJ210" s="25" t="n"/>
      <c r="BK210" s="26" t="n">
        <v>-110</v>
      </c>
      <c r="BL210" s="27" t="n">
        <v>1.909091</v>
      </c>
      <c r="BM210" s="28" t="n">
        <v>0.52381</v>
      </c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>
        <v>1</v>
      </c>
      <c r="BY210" s="27" t="n">
        <v>0.909091</v>
      </c>
      <c r="BZ210" s="24" t="inlineStr">
        <is>
          <t>2026-09-25T04:30:27.961941Z</t>
        </is>
      </c>
      <c r="CA210" s="31" t="inlineStr">
        <is>
          <t>fixed one-unit hypothetical scoring; no real exposure or execution</t>
        </is>
      </c>
      <c r="CB210" s="24" t="n"/>
      <c r="CC210" s="24" t="inlineStr">
        <is>
          <t>0.2863409275</t>
        </is>
      </c>
      <c r="CD210" s="24" t="inlineStr">
        <is>
          <t>-3.454982</t>
        </is>
      </c>
      <c r="CE210" s="24" t="n"/>
      <c r="CF210" s="24" t="n"/>
      <c r="CG210" s="24" t="n"/>
      <c r="CH210" s="24" t="n"/>
      <c r="CI210" s="24" t="inlineStr">
        <is>
          <t>executable_quote_missing_or_unmatched</t>
        </is>
      </c>
      <c r="CJ210" s="24" t="inlineStr">
        <is>
          <t>-3.366101</t>
        </is>
      </c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0.52381</t>
        </is>
      </c>
      <c r="DK210" s="24" t="n"/>
      <c r="DL210" s="24" t="n"/>
      <c r="DM210" s="24" t="n"/>
      <c r="DN210" s="24" t="n"/>
      <c r="DO210" s="24" t="n"/>
      <c r="DP210" s="24" t="n"/>
      <c r="DQ210" s="24" t="inlineStr">
        <is>
          <t>{"adjustment": {"applied": false, "availability": {"availability_points_gap": 1.1157673883, "availability_report_age_hours": 0.1351039869, "availability_source_conflict_count": 0, "availability_source_conflicts": [], "availability_uncertainty": 0.0, "away_available_minutes_share": 0.85484344, "home_available_minutes_share": 0.94646442, "source_evidence": {"espn_observed_at_utc": "2026-09-24T22:04:35.089723+00:00", "espn_snapshot_hash": "6d6a3d41aeda0367a1ef003192862b11ba2d841ef77399a0d95a0839a8e54931", "official_observed_at_utc": "2026-09-24T22:04:33.917801+00:00", "official_report_at_utc": "2026-09-24T22:00:00+00:00", "official_snapshot_hash": "eef0aee22c6a148e23f26bac183f90c93f2b52dfd98c4704b265cb1394ca7f27", "prior_hash": "2ef8b6e4a01a7f87a62895c02fcef71f3ce7a36f700387b77469efdebeaabf1e", "prior_observed_at_utc": "2026-09-24T22:04:33.812295+00:00"}}, "margin_sigma": 14.680817331377758, "method": "wnba_probit_v1", "minimum_delta": 0.05, "points_gap": 1.1157673883},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0.345011161752218, "event_id": "401857219", "event_start_utc": "2026-09-25T02:00:00+00:00", "features": {"defensive_trend_gap": -3.366101, "elo_probability": 0.2863409275338561, "trend_gap": -3.4549819999999998}, "historical_source_observation_times_verified": false, "model_version": "wnba-elo-trend-lr-v4", "observed_at_utc": "2026-09-24T22:08:06.374353+00:00", "schema": "learned-moneyline-replay-v1", "served_home_probability": 0.345011161752218, "snapshot_hash": "a5fb04b4156aa95c52aa02b2c6dadbe1373d88afaabc6b345a5a61b1f271768b"}</t>
        </is>
      </c>
    </row>
    <row r="211" ht="36" customHeight="1">
      <c r="A211" s="24" t="inlineStr">
        <is>
          <t>b6419997e5dc4356</t>
        </is>
      </c>
      <c r="B211" s="24" t="inlineStr">
        <is>
          <t>2026-09-24T22:08:34.568975Z</t>
        </is>
      </c>
      <c r="C211" s="24" t="inlineStr">
        <is>
          <t>2026-09-24T23:30Z</t>
        </is>
      </c>
      <c r="D211" s="24" t="inlineStr">
        <is>
          <t>401857216</t>
        </is>
      </c>
      <c r="E211" s="24" t="inlineStr">
        <is>
          <t>WNBA</t>
        </is>
      </c>
      <c r="F211" s="24" t="inlineStr">
        <is>
          <t>Chicago Sky</t>
        </is>
      </c>
      <c r="G211" s="24" t="inlineStr">
        <is>
          <t>Washington Mystics</t>
        </is>
      </c>
      <c r="H211" s="24" t="inlineStr">
        <is>
          <t>spread</t>
        </is>
      </c>
      <c r="I211" s="24" t="inlineStr">
        <is>
          <t>home</t>
        </is>
      </c>
      <c r="J211" s="25" t="n">
        <v>18.5</v>
      </c>
      <c r="K211" s="24" t="inlineStr">
        <is>
          <t>polymarket_us</t>
        </is>
      </c>
      <c r="L211" s="26" t="n">
        <v>-9900</v>
      </c>
      <c r="M211" s="27" t="n">
        <v>1.010101</v>
      </c>
      <c r="N211" s="28" t="n">
        <v>0.99</v>
      </c>
      <c r="O211" s="28" t="n">
        <v>0.978952</v>
      </c>
      <c r="P211" s="28" t="n">
        <v>0.03</v>
      </c>
      <c r="Q211" s="28" t="n">
        <v>-0.011048</v>
      </c>
      <c r="R211" s="26" t="n">
        <v>26</v>
      </c>
      <c r="S211" s="29" t="n">
        <v>1</v>
      </c>
      <c r="T211" s="24" t="inlineStr">
        <is>
          <t>wnba-spread-margin-v2</t>
        </is>
      </c>
      <c r="U211" s="24" t="inlineStr">
        <is>
          <t>settled</t>
        </is>
      </c>
      <c r="V211" s="24" t="inlineStr">
        <is>
          <t>win</t>
        </is>
      </c>
      <c r="W211" s="26" t="n">
        <v>93</v>
      </c>
      <c r="X211" s="26" t="n">
        <v>101</v>
      </c>
      <c r="Y211" s="25" t="n"/>
      <c r="Z211" s="26" t="n"/>
      <c r="AA211" s="28" t="n"/>
      <c r="AB211" s="28" t="n"/>
      <c r="AC211" s="30" t="n">
        <v>0.0101</v>
      </c>
      <c r="AD211" s="24" t="inlineStr">
        <is>
          <t>2026-09-25T04:30:43.944538Z</t>
        </is>
      </c>
      <c r="AE211" s="31" t="inlineStr">
        <is>
          <t>Projected margin +8.7 (home), sd 13.4. Executable ask 0.9900 (asc-wnba-chi-wsh-2026-09-24-neg-18pt5).</t>
        </is>
      </c>
      <c r="AF211" s="31" t="inlineStr">
        <is>
          <t>Point-in-time composite Elo + trend + rest margin-normal spread model.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paper_call</t>
        </is>
      </c>
      <c r="AL211" s="26" t="n">
        <v>4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PAPER_CALL_STALE_DATA</t>
        </is>
      </c>
      <c r="AP211" s="24" t="inlineStr">
        <is>
          <t>wnba-chi</t>
        </is>
      </c>
      <c r="AQ211" s="24" t="inlineStr">
        <is>
          <t>Chicago Sky</t>
        </is>
      </c>
      <c r="AR211" s="24" t="inlineStr">
        <is>
          <t>Chicago Sky</t>
        </is>
      </c>
      <c r="AS211" s="24" t="inlineStr">
        <is>
          <t>wnba-was</t>
        </is>
      </c>
      <c r="AT211" s="24" t="inlineStr">
        <is>
          <t>Washington Mystics</t>
        </is>
      </c>
      <c r="AU211" s="24" t="inlineStr">
        <is>
          <t>Washington Mystics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f7d192f98d825d7c77be21b0531a91cff101ad35e418fe9d7e07c5d0f769f974</t>
        </is>
      </c>
      <c r="BB211" s="24" t="inlineStr">
        <is>
          <t>margin_normal</t>
        </is>
      </c>
      <c r="BC211" s="24" t="inlineStr">
        <is>
          <t>wnba-spread-margin-v2</t>
        </is>
      </c>
      <c r="BD211" s="24" t="inlineStr">
        <is>
          <t>f7d192f98d825d7c77be21b0531a91cff101ad35e418fe9d7e07c5d0f769f974</t>
        </is>
      </c>
      <c r="BE211" s="24" t="inlineStr">
        <is>
          <t>wnba-spread-margin-v2</t>
        </is>
      </c>
      <c r="BF211" s="24" t="inlineStr">
        <is>
          <t>1</t>
        </is>
      </c>
      <c r="BG211" s="24" t="inlineStr">
        <is>
          <t>f7d192f98d825d7c77be21b0531a91cff101ad35e418fe9d7e07c5d0f769f974</t>
        </is>
      </c>
      <c r="BH211" s="24" t="inlineStr">
        <is>
          <t>2026-09-24T10:04:30.040229Z</t>
        </is>
      </c>
      <c r="BI211" s="24" t="inlineStr">
        <is>
          <t>["same_event","same_team_same_day","same_league_same_day"]</t>
        </is>
      </c>
      <c r="BJ211" s="25" t="n">
        <v>18.5</v>
      </c>
      <c r="BK211" s="26" t="n">
        <v>-9900</v>
      </c>
      <c r="BL211" s="27" t="n">
        <v>1.010101</v>
      </c>
      <c r="BM211" s="28" t="n">
        <v>0.99</v>
      </c>
      <c r="BN211" s="28" t="n"/>
      <c r="BO211" s="28" t="n"/>
      <c r="BP211" s="25" t="n"/>
      <c r="BQ211" s="27" t="n"/>
      <c r="BR211" s="28" t="n"/>
      <c r="BS211" s="28" t="n"/>
      <c r="BT211" s="28" t="n"/>
      <c r="BU211" s="25" t="n"/>
      <c r="BV211" s="29" t="n"/>
      <c r="BW211" s="24" t="n"/>
      <c r="BX211" s="30" t="n">
        <v>1</v>
      </c>
      <c r="BY211" s="27" t="n">
        <v>0.010101</v>
      </c>
      <c r="BZ211" s="24" t="inlineStr">
        <is>
          <t>2026-09-25T04:30:43.944538Z</t>
        </is>
      </c>
      <c r="CA211" s="31" t="inlineStr">
        <is>
          <t>fixed one-unit hypothetical scoring; no real exposure or execution</t>
        </is>
      </c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  <c r="CT211" s="24" t="n"/>
      <c r="CU211" s="24" t="n"/>
      <c r="CV211" s="24" t="n"/>
      <c r="CW211" s="24" t="n"/>
      <c r="CX211" s="24" t="n"/>
      <c r="CY211" s="24" t="inlineStr">
        <is>
          <t>2026-09-24T10:04:30.040229Z</t>
        </is>
      </c>
      <c r="CZ211" s="24" t="inlineStr">
        <is>
          <t>True</t>
        </is>
      </c>
      <c r="DA211" s="24" t="inlineStr">
        <is>
          <t>polymarket_us</t>
        </is>
      </c>
      <c r="DB211" s="24" t="inlineStr">
        <is>
          <t>decision_time_executable_quote</t>
        </is>
      </c>
      <c r="DC211" s="24" t="inlineStr">
        <is>
          <t>False</t>
        </is>
      </c>
      <c r="DD211" s="24" t="inlineStr">
        <is>
          <t>88b6f43884f67c23d1415e0bf47c1942aff9255ef7dda2001a46f378294a72b8</t>
        </is>
      </c>
      <c r="DE211" s="24" t="inlineStr">
        <is>
          <t>/Users/vincentc9002/model-prediction/data/odds/wnba/2026-09-24/polymarket_snapshots.jsonl</t>
        </is>
      </c>
      <c r="DF211" s="24" t="inlineStr">
        <is>
          <t>88b6f43884f67c23d1415e0bf47c1942aff9255ef7dda2001a46f378294a72b8</t>
        </is>
      </c>
      <c r="DG211" s="24" t="n"/>
      <c r="DH211" s="24" t="n"/>
      <c r="DI211" s="24" t="n"/>
      <c r="DJ211" s="24" t="inlineStr">
        <is>
          <t>0.99</t>
        </is>
      </c>
      <c r="DK211" s="24" t="n"/>
      <c r="DL211" s="24" t="n"/>
      <c r="DM211" s="24" t="n"/>
      <c r="DN211" s="24" t="n"/>
      <c r="DO211" s="24" t="n"/>
      <c r="DP211" s="24" t="n"/>
      <c r="DQ211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"401857216", "event_start_utc": "2026-09-24T23:30Z", "features": {"away_points_hl10": 83.11, "elo_away": 1385.6, "elo_home": 1634.8, "elo_margin": 11.04, "expected_margin": 8.68, "expected_total": 170.63, "history_games": 941, "home_points_hl10": 87.51, "rest_diff": 0.0, "trend_margin": 6.66}, "historical_source_observation_times_verified": false, "inference_inputs": {"line": -18.5, "mean": 8.675499834165473, "sd": 13.37}, "model_version": "wnba-spread-margin-v2", "observed_at_utc": "2026-09-24T22:08:34.288994+00:00", "replay_scope": "Exact final classifier/distribution inputs and artifact. Upstream historical feature construction not certified.", "schema": "scalar-artifact-replay-v1", "snapshot_hash": "36b2201c1d7c6e65c3e54b305b59a4cb5f0be59da0b54c5357baa8fad554b2ac"}</t>
        </is>
      </c>
    </row>
    <row r="212" ht="36" customHeight="1">
      <c r="A212" s="24" t="inlineStr">
        <is>
          <t>376a17cf42944176</t>
        </is>
      </c>
      <c r="B212" s="24" t="inlineStr">
        <is>
          <t>2026-09-24T22:08:34.568975Z</t>
        </is>
      </c>
      <c r="C212" s="24" t="inlineStr">
        <is>
          <t>2026-09-25T00:00Z</t>
        </is>
      </c>
      <c r="D212" s="24" t="inlineStr">
        <is>
          <t>401857217</t>
        </is>
      </c>
      <c r="E212" s="24" t="inlineStr">
        <is>
          <t>WNBA</t>
        </is>
      </c>
      <c r="F212" s="24" t="inlineStr">
        <is>
          <t>Indiana Fever</t>
        </is>
      </c>
      <c r="G212" s="24" t="inlineStr">
        <is>
          <t>Minnesota Lynx</t>
        </is>
      </c>
      <c r="H212" s="24" t="inlineStr">
        <is>
          <t>spread</t>
        </is>
      </c>
      <c r="I212" s="24" t="inlineStr">
        <is>
          <t>home</t>
        </is>
      </c>
      <c r="J212" s="25" t="n">
        <v>1.5</v>
      </c>
      <c r="K212" s="24" t="inlineStr">
        <is>
          <t>polymarket_us</t>
        </is>
      </c>
      <c r="L212" s="26" t="n">
        <v>156</v>
      </c>
      <c r="M212" s="27" t="n">
        <v>2.56</v>
      </c>
      <c r="N212" s="28" t="n">
        <v>0.390625</v>
      </c>
      <c r="O212" s="28" t="n">
        <v>0.584762</v>
      </c>
      <c r="P212" s="28" t="n">
        <v>0.03</v>
      </c>
      <c r="Q212" s="28" t="n">
        <v>0.194137</v>
      </c>
      <c r="R212" s="26" t="n">
        <v>100</v>
      </c>
      <c r="S212" s="29" t="n">
        <v>2</v>
      </c>
      <c r="T212" s="24" t="inlineStr">
        <is>
          <t>wnba-spread-margin-v2</t>
        </is>
      </c>
      <c r="U212" s="24" t="inlineStr">
        <is>
          <t>settled</t>
        </is>
      </c>
      <c r="V212" s="24" t="inlineStr">
        <is>
          <t>win</t>
        </is>
      </c>
      <c r="W212" s="26" t="n">
        <v>66</v>
      </c>
      <c r="X212" s="26" t="n">
        <v>86</v>
      </c>
      <c r="Y212" s="25" t="n"/>
      <c r="Z212" s="26" t="n"/>
      <c r="AA212" s="28" t="n"/>
      <c r="AB212" s="28" t="n"/>
      <c r="AC212" s="30" t="n">
        <v>3.12</v>
      </c>
      <c r="AD212" s="24" t="inlineStr">
        <is>
          <t>2026-09-25T04:30:44.222601Z</t>
        </is>
      </c>
      <c r="AE212" s="31" t="inlineStr">
        <is>
          <t>Projected margin +1.4 (home), sd 13.4. Executable ask 0.3900 (asc-wnba-ind-min-2026-09-24-neg-1pt5).</t>
        </is>
      </c>
      <c r="AF212" s="31" t="inlineStr">
        <is>
          <t>Point-in-time composite Elo + trend + rest margin-normal spread model.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4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wnba-ind</t>
        </is>
      </c>
      <c r="AQ212" s="24" t="inlineStr">
        <is>
          <t>Indiana Fever</t>
        </is>
      </c>
      <c r="AR212" s="24" t="inlineStr">
        <is>
          <t>Indiana Fever</t>
        </is>
      </c>
      <c r="AS212" s="24" t="inlineStr">
        <is>
          <t>wnba-min</t>
        </is>
      </c>
      <c r="AT212" s="24" t="inlineStr">
        <is>
          <t>Minnesota Lynx</t>
        </is>
      </c>
      <c r="AU212" s="24" t="inlineStr">
        <is>
          <t>Minnesota Lynx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f7d192f98d825d7c77be21b0531a91cff101ad35e418fe9d7e07c5d0f769f974</t>
        </is>
      </c>
      <c r="BB212" s="24" t="inlineStr">
        <is>
          <t>margin_normal</t>
        </is>
      </c>
      <c r="BC212" s="24" t="inlineStr">
        <is>
          <t>wnba-spread-margin-v2</t>
        </is>
      </c>
      <c r="BD212" s="24" t="inlineStr">
        <is>
          <t>f7d192f98d825d7c77be21b0531a91cff101ad35e418fe9d7e07c5d0f769f974</t>
        </is>
      </c>
      <c r="BE212" s="24" t="inlineStr">
        <is>
          <t>wnba-spread-margin-v2</t>
        </is>
      </c>
      <c r="BF212" s="24" t="inlineStr">
        <is>
          <t>1</t>
        </is>
      </c>
      <c r="BG212" s="24" t="inlineStr">
        <is>
          <t>f7d192f98d825d7c77be21b0531a91cff101ad35e418fe9d7e07c5d0f769f974</t>
        </is>
      </c>
      <c r="BH212" s="24" t="inlineStr">
        <is>
          <t>2026-09-24T22:05:10.327801Z</t>
        </is>
      </c>
      <c r="BI212" s="24" t="inlineStr">
        <is>
          <t>["same_event","same_team_same_day","same_league_same_day"]</t>
        </is>
      </c>
      <c r="BJ212" s="25" t="n">
        <v>1.5</v>
      </c>
      <c r="BK212" s="26" t="n">
        <v>156</v>
      </c>
      <c r="BL212" s="27" t="n">
        <v>2.56</v>
      </c>
      <c r="BM212" s="28" t="n">
        <v>0.390625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inlineStr">
        <is>
          <t>2026-09-24T22:05:10.327801Z</t>
        </is>
      </c>
      <c r="CZ212" s="24" t="inlineStr">
        <is>
          <t>True</t>
        </is>
      </c>
      <c r="DA212" s="24" t="inlineStr">
        <is>
          <t>polymarket_us</t>
        </is>
      </c>
      <c r="DB212" s="24" t="inlineStr">
        <is>
          <t>decision_time_executable_quote</t>
        </is>
      </c>
      <c r="DC212" s="24" t="inlineStr">
        <is>
          <t>False</t>
        </is>
      </c>
      <c r="DD212" s="24" t="inlineStr">
        <is>
          <t>9ec93965020dc169699523fa29980c7bb9910edae2e611b1fc5f0883e7c0bbe2</t>
        </is>
      </c>
      <c r="DE212" s="24" t="inlineStr">
        <is>
          <t>/Users/vincentc9002/model-prediction/data/odds/wnba/2026-09-24/polymarket_snapshots.jsonl</t>
        </is>
      </c>
      <c r="DF212" s="24" t="inlineStr">
        <is>
          <t>9ec93965020dc169699523fa29980c7bb9910edae2e611b1fc5f0883e7c0bbe2</t>
        </is>
      </c>
      <c r="DG212" s="24" t="n"/>
      <c r="DH212" s="24" t="n"/>
      <c r="DI212" s="24" t="n"/>
      <c r="DJ212" s="24" t="inlineStr">
        <is>
          <t>0.390625</t>
        </is>
      </c>
      <c r="DK212" s="24" t="n"/>
      <c r="DL212" s="24" t="n"/>
      <c r="DM212" s="24" t="n"/>
      <c r="DN212" s="24" t="n"/>
      <c r="DO212" s="24" t="n"/>
      <c r="DP212" s="24" t="n"/>
      <c r="DQ212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"401857217", "event_start_utc": "2026-09-25T00:00Z", "features": {"away_points_hl10": 90.63, "elo_away": 1661.7, "elo_home": 1652.0, "elo_margin": 1.8, "expected_margin": 1.36, "expected_total": 179.97, "history_games": 941, "home_points_hl10": 89.34, "rest_diff": 0.0, "trend_margin": 0.97}, "historical_source_observation_times_verified": false, "inference_inputs": {"line": -1.5, "mean": 1.3624102020372701, "sd": 13.37}, "model_version": "wnba-spread-margin-v2", "observed_at_utc": "2026-09-24T22:08:34.288994+00:00", "replay_scope": "Exact final classifier/distribution inputs and artifact. Upstream historical feature construction not certified.", "schema": "scalar-artifact-replay-v1", "snapshot_hash": "e0166da79843c4c6748bacea7631e9609151fa71db9fba0e53213e303705f700"}</t>
        </is>
      </c>
    </row>
    <row r="213" ht="36" customHeight="1">
      <c r="A213" s="24" t="inlineStr">
        <is>
          <t>59377a98c1554ba5</t>
        </is>
      </c>
      <c r="B213" s="24" t="inlineStr">
        <is>
          <t>2026-09-24T22:08:34.568975Z</t>
        </is>
      </c>
      <c r="C213" s="24" t="inlineStr">
        <is>
          <t>2026-09-25T02:00Z</t>
        </is>
      </c>
      <c r="D213" s="24" t="inlineStr">
        <is>
          <t>401857218</t>
        </is>
      </c>
      <c r="E213" s="24" t="inlineStr">
        <is>
          <t>WNBA</t>
        </is>
      </c>
      <c r="F213" s="24" t="inlineStr">
        <is>
          <t>Golden State Valkyries</t>
        </is>
      </c>
      <c r="G213" s="24" t="inlineStr">
        <is>
          <t>Los Angeles Sparks</t>
        </is>
      </c>
      <c r="H213" s="24" t="inlineStr">
        <is>
          <t>spread</t>
        </is>
      </c>
      <c r="I213" s="24" t="inlineStr">
        <is>
          <t>home</t>
        </is>
      </c>
      <c r="J213" s="25" t="n">
        <v>15.5</v>
      </c>
      <c r="K213" s="24" t="inlineStr">
        <is>
          <t>polymarket_us</t>
        </is>
      </c>
      <c r="L213" s="26" t="n">
        <v>-203</v>
      </c>
      <c r="M213" s="27" t="n">
        <v>1.492611</v>
      </c>
      <c r="N213" s="28" t="n">
        <v>0.669967</v>
      </c>
      <c r="O213" s="28" t="n">
        <v>0.776912</v>
      </c>
      <c r="P213" s="28" t="n">
        <v>0.03</v>
      </c>
      <c r="Q213" s="28" t="n">
        <v>0.106945</v>
      </c>
      <c r="R213" s="26" t="n">
        <v>85</v>
      </c>
      <c r="S213" s="29" t="n">
        <v>1.5</v>
      </c>
      <c r="T213" s="24" t="inlineStr">
        <is>
          <t>wnba-spread-margin-v2</t>
        </is>
      </c>
      <c r="U213" s="24" t="inlineStr">
        <is>
          <t>settled</t>
        </is>
      </c>
      <c r="V213" s="24" t="inlineStr">
        <is>
          <t>win</t>
        </is>
      </c>
      <c r="W213" s="26" t="n">
        <v>76</v>
      </c>
      <c r="X213" s="26" t="n">
        <v>75</v>
      </c>
      <c r="Y213" s="25" t="n"/>
      <c r="Z213" s="26" t="n"/>
      <c r="AA213" s="28" t="n"/>
      <c r="AB213" s="28" t="n"/>
      <c r="AC213" s="30" t="n">
        <v>0.7389</v>
      </c>
      <c r="AD213" s="24" t="inlineStr">
        <is>
          <t>2026-09-25T04:30:44.489828Z</t>
        </is>
      </c>
      <c r="AE213" s="31" t="inlineStr">
        <is>
          <t>Projected margin -5.3 (home), sd 13.4. Executable ask 0.6700 (asc-wnba-gsv-la-2026-09-24-neg-15pt5).</t>
        </is>
      </c>
      <c r="AF213" s="31" t="inlineStr">
        <is>
          <t>Point-in-time composite Elo + trend + rest margin-normal spread model.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model_qualified</t>
        </is>
      </c>
      <c r="AL213" s="26" t="n">
        <v>4</v>
      </c>
      <c r="AM213" s="24" t="inlineStr">
        <is>
          <t>QUALIFIED_SHADOW_CALL</t>
        </is>
      </c>
      <c r="AN213" s="24" t="inlineStr">
        <is>
          <t>CALL</t>
        </is>
      </c>
      <c r="AO213" s="24" t="inlineStr">
        <is>
          <t>QUALIFIED</t>
        </is>
      </c>
      <c r="AP213" s="24" t="inlineStr">
        <is>
          <t>wnba-gsv</t>
        </is>
      </c>
      <c r="AQ213" s="24" t="inlineStr">
        <is>
          <t>Golden State Valkyries</t>
        </is>
      </c>
      <c r="AR213" s="24" t="inlineStr">
        <is>
          <t>Golden State Valkyries</t>
        </is>
      </c>
      <c r="AS213" s="24" t="inlineStr">
        <is>
          <t>wnba-las</t>
        </is>
      </c>
      <c r="AT213" s="24" t="inlineStr">
        <is>
          <t>Los Angeles Sparks</t>
        </is>
      </c>
      <c r="AU213" s="24" t="inlineStr">
        <is>
          <t>Los Angeles Sparks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f7d192f98d825d7c77be21b0531a91cff101ad35e418fe9d7e07c5d0f769f974</t>
        </is>
      </c>
      <c r="BB213" s="24" t="inlineStr">
        <is>
          <t>margin_normal</t>
        </is>
      </c>
      <c r="BC213" s="24" t="inlineStr">
        <is>
          <t>wnba-spread-margin-v2</t>
        </is>
      </c>
      <c r="BD213" s="24" t="inlineStr">
        <is>
          <t>f7d192f98d825d7c77be21b0531a91cff101ad35e418fe9d7e07c5d0f769f974</t>
        </is>
      </c>
      <c r="BE213" s="24" t="inlineStr">
        <is>
          <t>wnba-spread-margin-v2</t>
        </is>
      </c>
      <c r="BF213" s="24" t="inlineStr">
        <is>
          <t>1</t>
        </is>
      </c>
      <c r="BG213" s="24" t="inlineStr">
        <is>
          <t>f7d192f98d825d7c77be21b0531a91cff101ad35e418fe9d7e07c5d0f769f974</t>
        </is>
      </c>
      <c r="BH213" s="24" t="inlineStr">
        <is>
          <t>2026-09-24T22:05:21.128045Z</t>
        </is>
      </c>
      <c r="BI213" s="24" t="inlineStr">
        <is>
          <t>["same_event","same_team_same_day","same_league_same_day"]</t>
        </is>
      </c>
      <c r="BJ213" s="25" t="n">
        <v>15.5</v>
      </c>
      <c r="BK213" s="26" t="n">
        <v>-203</v>
      </c>
      <c r="BL213" s="27" t="n">
        <v>1.492611</v>
      </c>
      <c r="BM213" s="28" t="n">
        <v>0.669967</v>
      </c>
      <c r="BN213" s="28" t="n"/>
      <c r="BO213" s="28" t="n"/>
      <c r="BP213" s="25" t="n"/>
      <c r="BQ213" s="27" t="n"/>
      <c r="BR213" s="28" t="n"/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True</t>
        </is>
      </c>
      <c r="CT213" s="24" t="n"/>
      <c r="CU213" s="24" t="n"/>
      <c r="CV213" s="24" t="n"/>
      <c r="CW213" s="24" t="n"/>
      <c r="CX213" s="24" t="n"/>
      <c r="CY213" s="24" t="inlineStr">
        <is>
          <t>2026-09-24T22:05:21.128045Z</t>
        </is>
      </c>
      <c r="CZ213" s="24" t="inlineStr">
        <is>
          <t>True</t>
        </is>
      </c>
      <c r="DA213" s="24" t="inlineStr">
        <is>
          <t>polymarket_us</t>
        </is>
      </c>
      <c r="DB213" s="24" t="inlineStr">
        <is>
          <t>decision_time_executable_quote</t>
        </is>
      </c>
      <c r="DC213" s="24" t="inlineStr">
        <is>
          <t>False</t>
        </is>
      </c>
      <c r="DD213" s="24" t="inlineStr">
        <is>
          <t>602e3cfb96226d6cf64688b8e3ea02347e0215534d2b4a689c1788625c790e5e</t>
        </is>
      </c>
      <c r="DE213" s="24" t="inlineStr">
        <is>
          <t>/Users/vincentc9002/model-prediction/data/odds/wnba/2026-09-24/polymarket_snapshots.jsonl</t>
        </is>
      </c>
      <c r="DF213" s="24" t="inlineStr">
        <is>
          <t>602e3cfb96226d6cf64688b8e3ea02347e0215534d2b4a689c1788625c790e5e</t>
        </is>
      </c>
      <c r="DG213" s="24" t="n"/>
      <c r="DH213" s="24" t="n"/>
      <c r="DI213" s="24" t="n"/>
      <c r="DJ213" s="24" t="inlineStr">
        <is>
          <t>0.669967</t>
        </is>
      </c>
      <c r="DK213" s="24" t="n"/>
      <c r="DL213" s="24" t="n"/>
      <c r="DM213" s="24" t="n"/>
      <c r="DN213" s="24" t="n"/>
      <c r="DO213" s="24" t="n"/>
      <c r="DP213" s="24" t="n"/>
      <c r="DQ213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"401857218", "event_start_utc": "2026-09-25T02:00Z", "features": {"away_points_hl10": 84.52, "elo_away": 1720.8, "elo_home": 1432.8, "elo_margin": -8.14, "expected_margin": -5.31, "expected_total": 164.33, "history_games": 941, "home_points_hl10": 79.8, "rest_diff": 0.0, "trend_margin": -2.46}, "historical_source_observation_times_verified": false, "inference_inputs": {"line": -15.5, "mean": -5.314644213592703, "sd": 13.37}, "model_version": "wnba-spread-margin-v2", "observed_at_utc": "2026-09-24T22:08:34.288994+00:00", "replay_scope": "Exact final classifier/distribution inputs and artifact. Upstream historical feature construction not certified.", "schema": "scalar-artifact-replay-v1", "snapshot_hash": "11f0cc50d30eccb6e5ec8e5a23eac29563324973963e424328797c1b8292c501"}</t>
        </is>
      </c>
    </row>
    <row r="214" ht="36" customHeight="1">
      <c r="A214" s="24" t="inlineStr">
        <is>
          <t>95182f63ec774d80</t>
        </is>
      </c>
      <c r="B214" s="24" t="inlineStr">
        <is>
          <t>2026-09-24T22:08:34.584162Z</t>
        </is>
      </c>
      <c r="C214" s="24" t="inlineStr">
        <is>
          <t>2026-09-24T23:00Z</t>
        </is>
      </c>
      <c r="D214" s="24" t="inlineStr">
        <is>
          <t>401857215</t>
        </is>
      </c>
      <c r="E214" s="24" t="inlineStr">
        <is>
          <t>WNBA</t>
        </is>
      </c>
      <c r="F214" s="24" t="inlineStr">
        <is>
          <t>Toronto Tempo</t>
        </is>
      </c>
      <c r="G214" s="24" t="inlineStr">
        <is>
          <t>Connecticut Sun</t>
        </is>
      </c>
      <c r="H214" s="24" t="inlineStr">
        <is>
          <t>total</t>
        </is>
      </c>
      <c r="I214" s="24" t="inlineStr">
        <is>
          <t>under</t>
        </is>
      </c>
      <c r="J214" s="25" t="n">
        <v>180.5</v>
      </c>
      <c r="K214" s="24" t="inlineStr">
        <is>
          <t>polymarket_us</t>
        </is>
      </c>
      <c r="L214" s="26" t="n">
        <v>-1900</v>
      </c>
      <c r="M214" s="27" t="n">
        <v>1.052632</v>
      </c>
      <c r="N214" s="28" t="n">
        <v>0.95</v>
      </c>
      <c r="O214" s="28" t="n">
        <v>0.724191</v>
      </c>
      <c r="P214" s="28" t="n">
        <v>0.03</v>
      </c>
      <c r="Q214" s="28" t="n">
        <v>-0.225809</v>
      </c>
      <c r="R214" s="26" t="n">
        <v>0</v>
      </c>
      <c r="S214" s="29" t="n">
        <v>1</v>
      </c>
      <c r="T214" s="24" t="inlineStr">
        <is>
          <t>wnba-total-margin-v2</t>
        </is>
      </c>
      <c r="U214" s="24" t="inlineStr">
        <is>
          <t>settled</t>
        </is>
      </c>
      <c r="V214" s="24" t="inlineStr">
        <is>
          <t>win</t>
        </is>
      </c>
      <c r="W214" s="26" t="n">
        <v>81</v>
      </c>
      <c r="X214" s="26" t="n">
        <v>95</v>
      </c>
      <c r="Y214" s="25" t="n"/>
      <c r="Z214" s="26" t="n">
        <v>-1900</v>
      </c>
      <c r="AA214" s="28" t="n">
        <v>0.95</v>
      </c>
      <c r="AB214" s="28" t="n">
        <v>0</v>
      </c>
      <c r="AC214" s="30" t="n">
        <v>0.0526</v>
      </c>
      <c r="AD214" s="24" t="inlineStr">
        <is>
          <t>2026-09-25T04:30:46.449733Z</t>
        </is>
      </c>
      <c r="AE214" s="31" t="inlineStr">
        <is>
          <t>Projected total 171.0, sd 16.0. Executable ask 0.9500 (tsc-wnba-tor-conn-2026-09-24-180pt5).</t>
        </is>
      </c>
      <c r="AF214" s="31" t="inlineStr">
        <is>
          <t>Research-baseline total model; not yet locked-holdout qualified.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4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PAPER_CALL_STALE_DATA</t>
        </is>
      </c>
      <c r="AP214" s="24" t="inlineStr">
        <is>
          <t>wnba-tor</t>
        </is>
      </c>
      <c r="AQ214" s="24" t="inlineStr">
        <is>
          <t>Toronto Tempo</t>
        </is>
      </c>
      <c r="AR214" s="24" t="inlineStr">
        <is>
          <t>Toronto Tempo</t>
        </is>
      </c>
      <c r="AS214" s="24" t="inlineStr">
        <is>
          <t>wnba-con</t>
        </is>
      </c>
      <c r="AT214" s="24" t="inlineStr">
        <is>
          <t>Connecticut Sun</t>
        </is>
      </c>
      <c r="AU214" s="24" t="inlineStr">
        <is>
          <t>Connecticut Sun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research</t>
        </is>
      </c>
      <c r="BA214" s="24" t="inlineStr">
        <is>
          <t>9c9b767590bbbb9a7b333eaf9def066d65bf813e735ed73aa27cfb2c609a4ca5</t>
        </is>
      </c>
      <c r="BB214" s="24" t="inlineStr">
        <is>
          <t>total_normal</t>
        </is>
      </c>
      <c r="BC214" s="24" t="inlineStr">
        <is>
          <t>wnba-total-margin-v2</t>
        </is>
      </c>
      <c r="BD214" s="24" t="inlineStr">
        <is>
          <t>9c9b767590bbbb9a7b333eaf9def066d65bf813e735ed73aa27cfb2c609a4ca5</t>
        </is>
      </c>
      <c r="BE214" s="24" t="inlineStr">
        <is>
          <t>wnba-total-margin-v2</t>
        </is>
      </c>
      <c r="BF214" s="24" t="inlineStr">
        <is>
          <t>1</t>
        </is>
      </c>
      <c r="BG214" s="24" t="inlineStr">
        <is>
          <t>9c9b767590bbbb9a7b333eaf9def066d65bf813e735ed73aa27cfb2c609a4ca5</t>
        </is>
      </c>
      <c r="BH214" s="24" t="inlineStr">
        <is>
          <t>2026-09-24T10:04:19.733934Z</t>
        </is>
      </c>
      <c r="BI214" s="24" t="inlineStr">
        <is>
          <t>["same_event","same_team_same_day","same_league_same_day"]</t>
        </is>
      </c>
      <c r="BJ214" s="25" t="n">
        <v>180.5</v>
      </c>
      <c r="BK214" s="26" t="n">
        <v>-1900</v>
      </c>
      <c r="BL214" s="27" t="n">
        <v>1.052632</v>
      </c>
      <c r="BM214" s="28" t="n">
        <v>0.95</v>
      </c>
      <c r="BN214" s="28" t="n"/>
      <c r="BO214" s="28" t="n"/>
      <c r="BP214" s="25" t="n"/>
      <c r="BQ214" s="27" t="n">
        <v>1.052632</v>
      </c>
      <c r="BR214" s="28" t="n">
        <v>0.95</v>
      </c>
      <c r="BS214" s="28" t="n"/>
      <c r="BT214" s="28" t="n"/>
      <c r="BU214" s="25" t="n"/>
      <c r="BV214" s="29" t="n"/>
      <c r="BW214" s="24" t="n"/>
      <c r="BX214" s="30" t="n">
        <v>1</v>
      </c>
      <c r="BY214" s="27" t="n">
        <v>0.052632</v>
      </c>
      <c r="BZ214" s="24" t="inlineStr">
        <is>
          <t>2026-09-25T04:30:46.449733Z</t>
        </is>
      </c>
      <c r="CA214" s="31" t="inlineStr">
        <is>
          <t>fixed one-unit hypothetical scoring; no real exposure or execution</t>
        </is>
      </c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False</t>
        </is>
      </c>
      <c r="CT214" s="24" t="n"/>
      <c r="CU214" s="24" t="n"/>
      <c r="CV214" s="24" t="n"/>
      <c r="CW214" s="24" t="n"/>
      <c r="CX214" s="24" t="n"/>
      <c r="CY214" s="24" t="inlineStr">
        <is>
          <t>2026-09-24T10:04:19.733934Z</t>
        </is>
      </c>
      <c r="CZ214" s="24" t="inlineStr">
        <is>
          <t>True</t>
        </is>
      </c>
      <c r="DA214" s="24" t="inlineStr">
        <is>
          <t>polymarket_us</t>
        </is>
      </c>
      <c r="DB214" s="24" t="inlineStr">
        <is>
          <t>decision_time_executable_quote</t>
        </is>
      </c>
      <c r="DC214" s="24" t="inlineStr">
        <is>
          <t>False</t>
        </is>
      </c>
      <c r="DD214" s="24" t="inlineStr">
        <is>
          <t>40999ca724670aff534136a41ad199c0d5adb50fa3c6897c451709aa26cf40be</t>
        </is>
      </c>
      <c r="DE214" s="24" t="inlineStr">
        <is>
          <t>/Users/vincentc9002/model-prediction/data/odds/wnba/2026-09-24/polymarket_snapshots.jsonl</t>
        </is>
      </c>
      <c r="DF214" s="24" t="inlineStr">
        <is>
          <t>40999ca724670aff534136a41ad199c0d5adb50fa3c6897c451709aa26cf40be</t>
        </is>
      </c>
      <c r="DG214" s="24" t="n"/>
      <c r="DH214" s="24" t="n"/>
      <c r="DI214" s="24" t="n"/>
      <c r="DJ214" s="24" t="inlineStr">
        <is>
          <t>0.95</t>
        </is>
      </c>
      <c r="DK214" s="24" t="n"/>
      <c r="DL214" s="24" t="n"/>
      <c r="DM214" s="24" t="n"/>
      <c r="DN214" s="24" t="n"/>
      <c r="DO214" s="24" t="n"/>
      <c r="DP214" s="24" t="n"/>
      <c r="DQ214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"401857215", "event_start_utc": "2026-09-24T23:00Z", "features": {"away_points_hl10": 85.55, "elo_away": 1232.1, "elo_home": 1308.0, "elo_margin": 4.85, "expected_margin": 1.72, "expected_total": 170.97, "history_games": 941, "home_points_hl10": 85.27, "rest_diff": 0.0, "trend_margin": 1.72}, "historical_source_observation_times_verified": false, "inference_inputs": {"line": 180.5, "mean": 170.9745998, "sd": 16.0}, "model_version": "wnba-total-margin-v2", "observed_at_utc": "2026-09-24T22:08:34.289367+00:00", "replay_scope": "Exact final classifier/distribution inputs and artifact. Upstream historical feature construction not certified.", "schema": "scalar-artifact-replay-v1", "snapshot_hash": "d801a4cf628ce4a8d8937dfc45e981b5a7aaa7c5d2ac5dc38468538748d2a5d3"}</t>
        </is>
      </c>
    </row>
    <row r="215" ht="36" customHeight="1">
      <c r="A215" s="24" t="inlineStr">
        <is>
          <t>2409f75f966745ca</t>
        </is>
      </c>
      <c r="B215" s="24" t="inlineStr">
        <is>
          <t>2026-09-24T22:08:34.584162Z</t>
        </is>
      </c>
      <c r="C215" s="24" t="inlineStr">
        <is>
          <t>2026-09-24T23:30Z</t>
        </is>
      </c>
      <c r="D215" s="24" t="inlineStr">
        <is>
          <t>401857216</t>
        </is>
      </c>
      <c r="E215" s="24" t="inlineStr">
        <is>
          <t>WNBA</t>
        </is>
      </c>
      <c r="F215" s="24" t="inlineStr">
        <is>
          <t>Chicago Sky</t>
        </is>
      </c>
      <c r="G215" s="24" t="inlineStr">
        <is>
          <t>Washington Mystics</t>
        </is>
      </c>
      <c r="H215" s="24" t="inlineStr">
        <is>
          <t>total</t>
        </is>
      </c>
      <c r="I215" s="24" t="inlineStr">
        <is>
          <t>under</t>
        </is>
      </c>
      <c r="J215" s="25" t="n">
        <v>179.5</v>
      </c>
      <c r="K215" s="24" t="inlineStr">
        <is>
          <t>polymarket_us</t>
        </is>
      </c>
      <c r="L215" s="26" t="n">
        <v>-809</v>
      </c>
      <c r="M215" s="27" t="n">
        <v>1.123609</v>
      </c>
      <c r="N215" s="28" t="n">
        <v>0.889989</v>
      </c>
      <c r="O215" s="28" t="n">
        <v>0.696809</v>
      </c>
      <c r="P215" s="28" t="n">
        <v>0.03</v>
      </c>
      <c r="Q215" s="28" t="n">
        <v>-0.19318</v>
      </c>
      <c r="R215" s="26" t="n">
        <v>0</v>
      </c>
      <c r="S215" s="29" t="n">
        <v>1</v>
      </c>
      <c r="T215" s="24" t="inlineStr">
        <is>
          <t>wnba-total-margin-v2</t>
        </is>
      </c>
      <c r="U215" s="24" t="inlineStr">
        <is>
          <t>settled</t>
        </is>
      </c>
      <c r="V215" s="24" t="inlineStr">
        <is>
          <t>loss</t>
        </is>
      </c>
      <c r="W215" s="26" t="n">
        <v>93</v>
      </c>
      <c r="X215" s="26" t="n">
        <v>101</v>
      </c>
      <c r="Y215" s="25" t="n"/>
      <c r="Z215" s="26" t="n">
        <v>-809</v>
      </c>
      <c r="AA215" s="28" t="n">
        <v>0.89</v>
      </c>
      <c r="AB215" s="28" t="n">
        <v>1.1e-05</v>
      </c>
      <c r="AC215" s="30" t="n">
        <v>-1</v>
      </c>
      <c r="AD215" s="24" t="inlineStr">
        <is>
          <t>2026-09-25T04:30:46.748502Z</t>
        </is>
      </c>
      <c r="AE215" s="31" t="inlineStr">
        <is>
          <t>Projected total 171.3, sd 16.0. Executable ask 0.8900 (tsc-wnba-chi-wsh-2026-09-24-179pt5).</t>
        </is>
      </c>
      <c r="AF215" s="31" t="inlineStr">
        <is>
          <t>Research-baseline total model; not yet locked-holdout qualified.</t>
        </is>
      </c>
      <c r="AG215" s="24" t="inlineStr">
        <is>
          <t>review_required</t>
        </is>
      </c>
      <c r="AH215" s="24" t="n"/>
      <c r="AI215" s="31" t="n"/>
      <c r="AJ215" s="31" t="n"/>
      <c r="AK215" s="24" t="inlineStr">
        <is>
          <t>paper_call</t>
        </is>
      </c>
      <c r="AL215" s="26" t="n">
        <v>4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PAPER_CALL_STALE_DATA</t>
        </is>
      </c>
      <c r="AP215" s="24" t="inlineStr">
        <is>
          <t>wnba-chi</t>
        </is>
      </c>
      <c r="AQ215" s="24" t="inlineStr">
        <is>
          <t>Chicago Sky</t>
        </is>
      </c>
      <c r="AR215" s="24" t="inlineStr">
        <is>
          <t>Chicago Sky</t>
        </is>
      </c>
      <c r="AS215" s="24" t="inlineStr">
        <is>
          <t>wnba-was</t>
        </is>
      </c>
      <c r="AT215" s="24" t="inlineStr">
        <is>
          <t>Washington Mystics</t>
        </is>
      </c>
      <c r="AU215" s="24" t="inlineStr">
        <is>
          <t>Washington Mystics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research</t>
        </is>
      </c>
      <c r="BA215" s="24" t="inlineStr">
        <is>
          <t>9c9b767590bbbb9a7b333eaf9def066d65bf813e735ed73aa27cfb2c609a4ca5</t>
        </is>
      </c>
      <c r="BB215" s="24" t="inlineStr">
        <is>
          <t>total_normal</t>
        </is>
      </c>
      <c r="BC215" s="24" t="inlineStr">
        <is>
          <t>wnba-total-margin-v2</t>
        </is>
      </c>
      <c r="BD215" s="24" t="inlineStr">
        <is>
          <t>9c9b767590bbbb9a7b333eaf9def066d65bf813e735ed73aa27cfb2c609a4ca5</t>
        </is>
      </c>
      <c r="BE215" s="24" t="inlineStr">
        <is>
          <t>wnba-total-margin-v2</t>
        </is>
      </c>
      <c r="BF215" s="24" t="inlineStr">
        <is>
          <t>1</t>
        </is>
      </c>
      <c r="BG215" s="24" t="inlineStr">
        <is>
          <t>9c9b767590bbbb9a7b333eaf9def066d65bf813e735ed73aa27cfb2c609a4ca5</t>
        </is>
      </c>
      <c r="BH215" s="24" t="inlineStr">
        <is>
          <t>2026-09-24T04:35:56.179649Z</t>
        </is>
      </c>
      <c r="BI215" s="24" t="inlineStr">
        <is>
          <t>["same_event","same_team_same_day","same_league_same_day"]</t>
        </is>
      </c>
      <c r="BJ215" s="25" t="n">
        <v>179.5</v>
      </c>
      <c r="BK215" s="26" t="n">
        <v>-809</v>
      </c>
      <c r="BL215" s="27" t="n">
        <v>1.123609</v>
      </c>
      <c r="BM215" s="28" t="n">
        <v>0.889989</v>
      </c>
      <c r="BN215" s="28" t="n"/>
      <c r="BO215" s="28" t="n"/>
      <c r="BP215" s="25" t="n"/>
      <c r="BQ215" s="27" t="n">
        <v>1.123609</v>
      </c>
      <c r="BR215" s="28" t="n">
        <v>0.89</v>
      </c>
      <c r="BS215" s="28" t="n"/>
      <c r="BT215" s="28" t="n"/>
      <c r="BU215" s="25" t="n"/>
      <c r="BV215" s="29" t="n"/>
      <c r="BW215" s="24" t="n"/>
      <c r="BX215" s="30" t="n">
        <v>1</v>
      </c>
      <c r="BY215" s="27" t="n">
        <v>-1</v>
      </c>
      <c r="BZ215" s="24" t="inlineStr">
        <is>
          <t>2026-09-25T04:30:46.748502Z</t>
        </is>
      </c>
      <c r="CA215" s="31" t="inlineStr">
        <is>
          <t>fixed one-unit hypothetical scoring; no real exposure or execution</t>
        </is>
      </c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inlineStr">
        <is>
          <t>2026-09-24T04:35:56.179649Z</t>
        </is>
      </c>
      <c r="CZ215" s="24" t="inlineStr">
        <is>
          <t>True</t>
        </is>
      </c>
      <c r="DA215" s="24" t="inlineStr">
        <is>
          <t>polymarket_us</t>
        </is>
      </c>
      <c r="DB215" s="24" t="inlineStr">
        <is>
          <t>decision_time_executable_quote</t>
        </is>
      </c>
      <c r="DC215" s="24" t="inlineStr">
        <is>
          <t>False</t>
        </is>
      </c>
      <c r="DD215" s="24" t="inlineStr">
        <is>
          <t>63ac03baa62bd87abe52c096a0aecdc0e7aef963c6970b8f4e77a8bfd52445aa</t>
        </is>
      </c>
      <c r="DE215" s="24" t="inlineStr">
        <is>
          <t>/Users/vincentc9002/model-prediction/data/odds/wnba/2026-09-24/polymarket_snapshots.jsonl</t>
        </is>
      </c>
      <c r="DF215" s="24" t="inlineStr">
        <is>
          <t>63ac03baa62bd87abe52c096a0aecdc0e7aef963c6970b8f4e77a8bfd52445aa</t>
        </is>
      </c>
      <c r="DG215" s="24" t="n"/>
      <c r="DH215" s="24" t="n"/>
      <c r="DI215" s="24" t="n"/>
      <c r="DJ215" s="24" t="inlineStr">
        <is>
          <t>0.889989</t>
        </is>
      </c>
      <c r="DK215" s="24" t="n"/>
      <c r="DL215" s="24" t="n"/>
      <c r="DM215" s="24" t="n"/>
      <c r="DN215" s="24" t="n"/>
      <c r="DO215" s="24" t="n"/>
      <c r="DP215" s="24" t="n"/>
      <c r="DQ215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"401857216", "event_start_utc": "2026-09-24T23:30Z", "features": {"away_points_hl10": 83.11, "elo_away": 1385.6, "elo_home": 1634.8, "elo_margin": 11.04, "expected_margin": 6.4, "expected_total": 171.26, "history_games": 941, "home_points_hl10": 87.51, "rest_diff": 0.0, "trend_margin": 6.4}, "historical_source_observation_times_verified": false, "inference_inputs": {"line": 179.5, "mean": 171.25607609999997, "sd": 16.0}, "model_version": "wnba-total-margin-v2", "observed_at_utc": "2026-09-24T22:08:34.289367+00:00", "replay_scope": "Exact final classifier/distribution inputs and artifact. Upstream historical feature construction not certified.", "schema": "scalar-artifact-replay-v1", "snapshot_hash": "e05bdc847888cb7b3d52017560a829c5b27dd82918346d198e37dfe468f73b9f"}</t>
        </is>
      </c>
    </row>
    <row r="216" ht="36" customHeight="1">
      <c r="A216" s="24" t="inlineStr">
        <is>
          <t>0303c50f2fcc430f</t>
        </is>
      </c>
      <c r="B216" s="24" t="inlineStr">
        <is>
          <t>2026-09-24T22:08:34.584162Z</t>
        </is>
      </c>
      <c r="C216" s="24" t="inlineStr">
        <is>
          <t>2026-09-25T00:00Z</t>
        </is>
      </c>
      <c r="D216" s="24" t="inlineStr">
        <is>
          <t>401857217</t>
        </is>
      </c>
      <c r="E216" s="24" t="inlineStr">
        <is>
          <t>WNBA</t>
        </is>
      </c>
      <c r="F216" s="24" t="inlineStr">
        <is>
          <t>Indiana Fever</t>
        </is>
      </c>
      <c r="G216" s="24" t="inlineStr">
        <is>
          <t>Minnesota Lynx</t>
        </is>
      </c>
      <c r="H216" s="24" t="inlineStr">
        <is>
          <t>total</t>
        </is>
      </c>
      <c r="I216" s="24" t="inlineStr">
        <is>
          <t>under</t>
        </is>
      </c>
      <c r="J216" s="25" t="n">
        <v>192.5</v>
      </c>
      <c r="K216" s="24" t="inlineStr">
        <is>
          <t>polymarket_us</t>
        </is>
      </c>
      <c r="L216" s="26" t="n">
        <v>-1011</v>
      </c>
      <c r="M216" s="27" t="n">
        <v>1.098912</v>
      </c>
      <c r="N216" s="28" t="n">
        <v>0.909991</v>
      </c>
      <c r="O216" s="28" t="n">
        <v>0.782318</v>
      </c>
      <c r="P216" s="28" t="n">
        <v>0.03</v>
      </c>
      <c r="Q216" s="28" t="n">
        <v>-0.127673</v>
      </c>
      <c r="R216" s="26" t="n">
        <v>0</v>
      </c>
      <c r="S216" s="29" t="n">
        <v>1</v>
      </c>
      <c r="T216" s="24" t="inlineStr">
        <is>
          <t>wnba-total-margin-v2</t>
        </is>
      </c>
      <c r="U216" s="24" t="inlineStr">
        <is>
          <t>settled</t>
        </is>
      </c>
      <c r="V216" s="24" t="inlineStr">
        <is>
          <t>win</t>
        </is>
      </c>
      <c r="W216" s="26" t="n">
        <v>66</v>
      </c>
      <c r="X216" s="26" t="n">
        <v>86</v>
      </c>
      <c r="Y216" s="25" t="n"/>
      <c r="Z216" s="26" t="n">
        <v>-1011</v>
      </c>
      <c r="AA216" s="28" t="n">
        <v>0.91</v>
      </c>
      <c r="AB216" s="28" t="n">
        <v>9e-06</v>
      </c>
      <c r="AC216" s="30" t="n">
        <v>0.0989</v>
      </c>
      <c r="AD216" s="24" t="inlineStr">
        <is>
          <t>2026-09-25T04:30:47.078128Z</t>
        </is>
      </c>
      <c r="AE216" s="31" t="inlineStr">
        <is>
          <t>Projected total 180.0, sd 16.0. Executable ask 0.9100 (tsc-wnba-ind-min-2026-09-24-192pt5).</t>
        </is>
      </c>
      <c r="AF216" s="31" t="inlineStr">
        <is>
          <t>Research-baseline total model; not yet locked-holdout qualified.</t>
        </is>
      </c>
      <c r="AG216" s="24" t="inlineStr">
        <is>
          <t>not_applicable</t>
        </is>
      </c>
      <c r="AH216" s="24" t="n"/>
      <c r="AI216" s="31" t="n"/>
      <c r="AJ216" s="31" t="n"/>
      <c r="AK216" s="24" t="inlineStr">
        <is>
          <t>paper_call</t>
        </is>
      </c>
      <c r="AL216" s="26" t="n">
        <v>4</v>
      </c>
      <c r="AM216" s="24" t="inlineStr">
        <is>
          <t>RESEARCH_OBSERVATION</t>
        </is>
      </c>
      <c r="AN216" s="24" t="inlineStr">
        <is>
          <t>CALL</t>
        </is>
      </c>
      <c r="AO216" s="24" t="inlineStr">
        <is>
          <t>PAPER_CALL_STALE_DATA</t>
        </is>
      </c>
      <c r="AP216" s="24" t="inlineStr">
        <is>
          <t>wnba-ind</t>
        </is>
      </c>
      <c r="AQ216" s="24" t="inlineStr">
        <is>
          <t>Indiana Fever</t>
        </is>
      </c>
      <c r="AR216" s="24" t="inlineStr">
        <is>
          <t>Indiana Fever</t>
        </is>
      </c>
      <c r="AS216" s="24" t="inlineStr">
        <is>
          <t>wnba-min</t>
        </is>
      </c>
      <c r="AT216" s="24" t="inlineStr">
        <is>
          <t>Minnesota Lynx</t>
        </is>
      </c>
      <c r="AU216" s="24" t="inlineStr">
        <is>
          <t>Minnesota Lynx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research</t>
        </is>
      </c>
      <c r="BA216" s="24" t="inlineStr">
        <is>
          <t>9c9b767590bbbb9a7b333eaf9def066d65bf813e735ed73aa27cfb2c609a4ca5</t>
        </is>
      </c>
      <c r="BB216" s="24" t="inlineStr">
        <is>
          <t>total_normal</t>
        </is>
      </c>
      <c r="BC216" s="24" t="inlineStr">
        <is>
          <t>wnba-total-margin-v2</t>
        </is>
      </c>
      <c r="BD216" s="24" t="inlineStr">
        <is>
          <t>9c9b767590bbbb9a7b333eaf9def066d65bf813e735ed73aa27cfb2c609a4ca5</t>
        </is>
      </c>
      <c r="BE216" s="24" t="inlineStr">
        <is>
          <t>wnba-total-margin-v2</t>
        </is>
      </c>
      <c r="BF216" s="24" t="inlineStr">
        <is>
          <t>1</t>
        </is>
      </c>
      <c r="BG216" s="24" t="inlineStr">
        <is>
          <t>9c9b767590bbbb9a7b333eaf9def066d65bf813e735ed73aa27cfb2c609a4ca5</t>
        </is>
      </c>
      <c r="BH216" s="24" t="inlineStr">
        <is>
          <t>2026-09-24T10:04:30.018988Z</t>
        </is>
      </c>
      <c r="BI216" s="24" t="inlineStr">
        <is>
          <t>["same_event","same_team_same_day","same_league_same_day"]</t>
        </is>
      </c>
      <c r="BJ216" s="25" t="n">
        <v>192.5</v>
      </c>
      <c r="BK216" s="26" t="n">
        <v>-1011</v>
      </c>
      <c r="BL216" s="27" t="n">
        <v>1.098912</v>
      </c>
      <c r="BM216" s="28" t="n">
        <v>0.909991</v>
      </c>
      <c r="BN216" s="28" t="n"/>
      <c r="BO216" s="28" t="n"/>
      <c r="BP216" s="25" t="n"/>
      <c r="BQ216" s="27" t="n">
        <v>1.098912</v>
      </c>
      <c r="BR216" s="28" t="n">
        <v>0.91</v>
      </c>
      <c r="BS216" s="28" t="n"/>
      <c r="BT216" s="28" t="n"/>
      <c r="BU216" s="25" t="n"/>
      <c r="BV216" s="29" t="n"/>
      <c r="BW216" s="24" t="n"/>
      <c r="BX216" s="30" t="n">
        <v>1</v>
      </c>
      <c r="BY216" s="27" t="n">
        <v>0.098912</v>
      </c>
      <c r="BZ216" s="24" t="inlineStr">
        <is>
          <t>2026-09-25T04:30:47.078128Z</t>
        </is>
      </c>
      <c r="CA216" s="31" t="inlineStr">
        <is>
          <t>fixed one-unit hypothetical scoring; no real exposure or execution</t>
        </is>
      </c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False</t>
        </is>
      </c>
      <c r="CT216" s="24" t="n"/>
      <c r="CU216" s="24" t="n"/>
      <c r="CV216" s="24" t="n"/>
      <c r="CW216" s="24" t="n"/>
      <c r="CX216" s="24" t="n"/>
      <c r="CY216" s="24" t="inlineStr">
        <is>
          <t>2026-09-24T10:04:30.018988Z</t>
        </is>
      </c>
      <c r="CZ216" s="24" t="inlineStr">
        <is>
          <t>True</t>
        </is>
      </c>
      <c r="DA216" s="24" t="inlineStr">
        <is>
          <t>polymarket_us</t>
        </is>
      </c>
      <c r="DB216" s="24" t="inlineStr">
        <is>
          <t>decision_time_executable_quote</t>
        </is>
      </c>
      <c r="DC216" s="24" t="inlineStr">
        <is>
          <t>False</t>
        </is>
      </c>
      <c r="DD216" s="24" t="inlineStr">
        <is>
          <t>7120d53b976bb2d9152c7f0370f455cc99daa611fa36e33b0d9b625fc1bec0db</t>
        </is>
      </c>
      <c r="DE216" s="24" t="inlineStr">
        <is>
          <t>/Users/vincentc9002/model-prediction/data/odds/wnba/2026-09-24/polymarket_snapshots.jsonl</t>
        </is>
      </c>
      <c r="DF216" s="24" t="inlineStr">
        <is>
          <t>7120d53b976bb2d9152c7f0370f455cc99daa611fa36e33b0d9b625fc1bec0db</t>
        </is>
      </c>
      <c r="DG216" s="24" t="n"/>
      <c r="DH216" s="24" t="n"/>
      <c r="DI216" s="24" t="n"/>
      <c r="DJ216" s="24" t="inlineStr">
        <is>
          <t>0.909991</t>
        </is>
      </c>
      <c r="DK216" s="24" t="n"/>
      <c r="DL216" s="24" t="n"/>
      <c r="DM216" s="24" t="n"/>
      <c r="DN216" s="24" t="n"/>
      <c r="DO216" s="24" t="n"/>
      <c r="DP216" s="24" t="n"/>
      <c r="DQ21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"401857217", "event_start_utc": "2026-09-25T00:00Z", "features": {"away_points_hl10": 90.63, "elo_away": 1661.7, "elo_home": 1652.0, "elo_margin": 1.8, "expected_margin": 0.71, "expected_total": 180.02, "history_games": 941, "home_points_hl10": 89.34, "rest_diff": 0.0, "trend_margin": 0.71}, "historical_source_observation_times_verified": false, "inference_inputs": {"line": 192.5, "mean": 180.01929130000002, "sd": 16.0}, "model_version": "wnba-total-margin-v2", "observed_at_utc": "2026-09-24T22:08:34.289367+00:00", "replay_scope": "Exact final classifier/distribution inputs and artifact. Upstream historical feature construction not certified.", "schema": "scalar-artifact-replay-v1", "snapshot_hash": "3a21d8731ed7c33b6e1e0ea6a785752e21eef69243b56603eebf32c976b3db85"}</t>
        </is>
      </c>
    </row>
    <row r="217" ht="36" customHeight="1">
      <c r="A217" s="24" t="inlineStr">
        <is>
          <t>bd9a99a570364b45</t>
        </is>
      </c>
      <c r="B217" s="24" t="inlineStr">
        <is>
          <t>2026-09-24T22:08:34.584162Z</t>
        </is>
      </c>
      <c r="C217" s="24" t="inlineStr">
        <is>
          <t>2026-09-25T02:00Z</t>
        </is>
      </c>
      <c r="D217" s="24" t="inlineStr">
        <is>
          <t>401857218</t>
        </is>
      </c>
      <c r="E217" s="24" t="inlineStr">
        <is>
          <t>WNBA</t>
        </is>
      </c>
      <c r="F217" s="24" t="inlineStr">
        <is>
          <t>Golden State Valkyries</t>
        </is>
      </c>
      <c r="G217" s="24" t="inlineStr">
        <is>
          <t>Los Angeles Sparks</t>
        </is>
      </c>
      <c r="H217" s="24" t="inlineStr">
        <is>
          <t>total</t>
        </is>
      </c>
      <c r="I217" s="24" t="inlineStr">
        <is>
          <t>over</t>
        </is>
      </c>
      <c r="J217" s="25" t="n">
        <v>147.5</v>
      </c>
      <c r="K217" s="24" t="inlineStr">
        <is>
          <t>polymarket_us</t>
        </is>
      </c>
      <c r="L217" s="26" t="n">
        <v>-355</v>
      </c>
      <c r="M217" s="27" t="n">
        <v>1.28169</v>
      </c>
      <c r="N217" s="28" t="n">
        <v>0.78022</v>
      </c>
      <c r="O217" s="28" t="n">
        <v>0.813184</v>
      </c>
      <c r="P217" s="28" t="n">
        <v>0.03</v>
      </c>
      <c r="Q217" s="28" t="n">
        <v>0.032964</v>
      </c>
      <c r="R217" s="26" t="n">
        <v>48</v>
      </c>
      <c r="S217" s="29" t="n">
        <v>1</v>
      </c>
      <c r="T217" s="24" t="inlineStr">
        <is>
          <t>wnba-total-margin-v2</t>
        </is>
      </c>
      <c r="U217" s="24" t="inlineStr">
        <is>
          <t>settled</t>
        </is>
      </c>
      <c r="V217" s="24" t="inlineStr">
        <is>
          <t>win</t>
        </is>
      </c>
      <c r="W217" s="26" t="n">
        <v>76</v>
      </c>
      <c r="X217" s="26" t="n">
        <v>75</v>
      </c>
      <c r="Y217" s="25" t="n"/>
      <c r="Z217" s="26" t="n">
        <v>-355</v>
      </c>
      <c r="AA217" s="28" t="n">
        <v>0.78</v>
      </c>
      <c r="AB217" s="28" t="n">
        <v>-0.00022</v>
      </c>
      <c r="AC217" s="30" t="n">
        <v>0.2817</v>
      </c>
      <c r="AD217" s="24" t="inlineStr">
        <is>
          <t>2026-09-25T04:30:47.379972Z</t>
        </is>
      </c>
      <c r="AE217" s="31" t="inlineStr">
        <is>
          <t>Projected total 161.7, sd 16.0. Executable ask 0.7800 (tsc-wnba-gsv-la-2026-09-24-147pt5).</t>
        </is>
      </c>
      <c r="AF217" s="31" t="inlineStr">
        <is>
          <t>Research-baseline total model; not yet locked-holdout qualified.</t>
        </is>
      </c>
      <c r="AG217" s="24" t="inlineStr">
        <is>
          <t>not_applicable</t>
        </is>
      </c>
      <c r="AH217" s="24" t="n"/>
      <c r="AI217" s="31" t="n"/>
      <c r="AJ217" s="31" t="n"/>
      <c r="AK217" s="24" t="inlineStr">
        <is>
          <t>model_qualified</t>
        </is>
      </c>
      <c r="AL217" s="26" t="n">
        <v>4</v>
      </c>
      <c r="AM217" s="24" t="inlineStr">
        <is>
          <t>QUALIFIED_SHADOW_CALL</t>
        </is>
      </c>
      <c r="AN217" s="24" t="inlineStr">
        <is>
          <t>CALL</t>
        </is>
      </c>
      <c r="AO217" s="24" t="inlineStr">
        <is>
          <t>QUALIFIED</t>
        </is>
      </c>
      <c r="AP217" s="24" t="inlineStr">
        <is>
          <t>wnba-gsv</t>
        </is>
      </c>
      <c r="AQ217" s="24" t="inlineStr">
        <is>
          <t>Golden State Valkyries</t>
        </is>
      </c>
      <c r="AR217" s="24" t="inlineStr">
        <is>
          <t>Golden State Valkyries</t>
        </is>
      </c>
      <c r="AS217" s="24" t="inlineStr">
        <is>
          <t>wnba-las</t>
        </is>
      </c>
      <c r="AT217" s="24" t="inlineStr">
        <is>
          <t>Los Angeles Sparks</t>
        </is>
      </c>
      <c r="AU217" s="24" t="inlineStr">
        <is>
          <t>Los Angeles Sparks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research</t>
        </is>
      </c>
      <c r="BA217" s="24" t="inlineStr">
        <is>
          <t>9c9b767590bbbb9a7b333eaf9def066d65bf813e735ed73aa27cfb2c609a4ca5</t>
        </is>
      </c>
      <c r="BB217" s="24" t="inlineStr">
        <is>
          <t>total_normal</t>
        </is>
      </c>
      <c r="BC217" s="24" t="inlineStr">
        <is>
          <t>wnba-total-margin-v2</t>
        </is>
      </c>
      <c r="BD217" s="24" t="inlineStr">
        <is>
          <t>9c9b767590bbbb9a7b333eaf9def066d65bf813e735ed73aa27cfb2c609a4ca5</t>
        </is>
      </c>
      <c r="BE217" s="24" t="inlineStr">
        <is>
          <t>wnba-total-margin-v2</t>
        </is>
      </c>
      <c r="BF217" s="24" t="inlineStr">
        <is>
          <t>1</t>
        </is>
      </c>
      <c r="BG217" s="24" t="inlineStr">
        <is>
          <t>9c9b767590bbbb9a7b333eaf9def066d65bf813e735ed73aa27cfb2c609a4ca5</t>
        </is>
      </c>
      <c r="BH217" s="24" t="inlineStr">
        <is>
          <t>2026-09-24T16:07:33.239347Z</t>
        </is>
      </c>
      <c r="BI217" s="24" t="inlineStr">
        <is>
          <t>["same_event","same_team_same_day","same_league_same_day"]</t>
        </is>
      </c>
      <c r="BJ217" s="25" t="n">
        <v>147.5</v>
      </c>
      <c r="BK217" s="26" t="n">
        <v>-355</v>
      </c>
      <c r="BL217" s="27" t="n">
        <v>1.28169</v>
      </c>
      <c r="BM217" s="28" t="n">
        <v>0.78022</v>
      </c>
      <c r="BN217" s="28" t="n"/>
      <c r="BO217" s="28" t="n"/>
      <c r="BP217" s="25" t="n"/>
      <c r="BQ217" s="27" t="n">
        <v>1.28169</v>
      </c>
      <c r="BR217" s="28" t="n">
        <v>0.78</v>
      </c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True</t>
        </is>
      </c>
      <c r="CT217" s="24" t="n"/>
      <c r="CU217" s="24" t="n"/>
      <c r="CV217" s="24" t="n"/>
      <c r="CW217" s="24" t="n"/>
      <c r="CX217" s="24" t="n"/>
      <c r="CY217" s="24" t="inlineStr">
        <is>
          <t>2026-09-24T16:07:33.239347Z</t>
        </is>
      </c>
      <c r="CZ217" s="24" t="inlineStr">
        <is>
          <t>True</t>
        </is>
      </c>
      <c r="DA217" s="24" t="inlineStr">
        <is>
          <t>polymarket_us</t>
        </is>
      </c>
      <c r="DB217" s="24" t="inlineStr">
        <is>
          <t>decision_time_executable_quote</t>
        </is>
      </c>
      <c r="DC217" s="24" t="inlineStr">
        <is>
          <t>False</t>
        </is>
      </c>
      <c r="DD217" s="24" t="inlineStr">
        <is>
          <t>ba45fb1cdd14664c244fd74c20e1c1e6970b409ad3c185fb6fe3d903f4b42bea</t>
        </is>
      </c>
      <c r="DE217" s="24" t="inlineStr">
        <is>
          <t>/Users/vincentc9002/model-prediction/data/odds/wnba/2026-09-24/polymarket_snapshots.jsonl</t>
        </is>
      </c>
      <c r="DF217" s="24" t="inlineStr">
        <is>
          <t>ba45fb1cdd14664c244fd74c20e1c1e6970b409ad3c185fb6fe3d903f4b42bea</t>
        </is>
      </c>
      <c r="DG217" s="24" t="n"/>
      <c r="DH217" s="24" t="n"/>
      <c r="DI217" s="24" t="n"/>
      <c r="DJ217" s="24" t="inlineStr">
        <is>
          <t>0.78022</t>
        </is>
      </c>
      <c r="DK217" s="24" t="n"/>
      <c r="DL217" s="24" t="n"/>
      <c r="DM217" s="24" t="n"/>
      <c r="DN217" s="24" t="n"/>
      <c r="DO217" s="24" t="n"/>
      <c r="DP217" s="24" t="n"/>
      <c r="DQ21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"401857218", "event_start_utc": "2026-09-25T02:00Z", "features": {"away_points_hl10": 84.52, "elo_away": 1720.8, "elo_home": 1432.8, "elo_margin": -8.14, "expected_margin": -2.72, "expected_total": 161.74, "history_games": 941, "home_points_hl10": 79.8, "rest_diff": 0.0, "trend_margin": -2.72}, "historical_source_observation_times_verified": false, "inference_inputs": {"line": 147.5, "mean": 161.7350414, "sd": 16.0}, "model_version": "wnba-total-margin-v2", "observed_at_utc": "2026-09-24T22:08:34.289367+00:00", "replay_scope": "Exact final classifier/distribution inputs and artifact. Upstream historical feature construction not certified.", "schema": "scalar-artifact-replay-v1", "snapshot_hash": "6d29efcc17919dac11b6c983e3fa948dc265f16a5e45d3cdd31a586f6de93107"}</t>
        </is>
      </c>
    </row>
    <row r="218" ht="36" customHeight="1">
      <c r="A218" s="24" t="inlineStr">
        <is>
          <t>7404bb0377044912</t>
        </is>
      </c>
      <c r="B218" s="24" t="inlineStr">
        <is>
          <t>2026-09-27T16:24:34.658073Z</t>
        </is>
      </c>
      <c r="C218" s="24" t="inlineStr">
        <is>
          <t>2026-09-27T14:00:00-0400</t>
        </is>
      </c>
      <c r="D218" s="24" t="inlineStr">
        <is>
          <t>401918014</t>
        </is>
      </c>
      <c r="E218" s="24" t="inlineStr">
        <is>
          <t>WNBA</t>
        </is>
      </c>
      <c r="F218" s="24" t="inlineStr">
        <is>
          <t>New York Liberty</t>
        </is>
      </c>
      <c r="G218" s="24" t="inlineStr">
        <is>
          <t>Minnesota Lynx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-257</v>
      </c>
      <c r="M218" s="27" t="n">
        <v>1.389105</v>
      </c>
      <c r="N218" s="28" t="n">
        <v>0.719888</v>
      </c>
      <c r="O218" s="28" t="n">
        <v>0.6616030000000001</v>
      </c>
      <c r="P218" s="28" t="n"/>
      <c r="Q218" s="28" t="n">
        <v>-0.058285</v>
      </c>
      <c r="R218" s="26" t="n">
        <v>0</v>
      </c>
      <c r="S218" s="29" t="n">
        <v>1</v>
      </c>
      <c r="T218" s="24" t="inlineStr">
        <is>
          <t>wnba-elo-trend-lr-v4</t>
        </is>
      </c>
      <c r="U218" s="24" t="inlineStr">
        <is>
          <t>settled</t>
        </is>
      </c>
      <c r="V218" s="24" t="inlineStr">
        <is>
          <t>loss</t>
        </is>
      </c>
      <c r="W218" s="26" t="n">
        <v>91</v>
      </c>
      <c r="X218" s="26" t="n">
        <v>75</v>
      </c>
      <c r="Y218" s="25" t="n"/>
      <c r="Z218" s="26" t="n">
        <v>-257</v>
      </c>
      <c r="AA218" s="28" t="n">
        <v>0.72</v>
      </c>
      <c r="AB218" s="28" t="n">
        <v>0.000112</v>
      </c>
      <c r="AC218" s="30" t="n">
        <v>-1</v>
      </c>
      <c r="AD218" s="24" t="inlineStr">
        <is>
          <t>2026-09-27T22:00:27.248330Z</t>
        </is>
      </c>
      <c r="AE218" s="31" t="inlineStr">
        <is>
          <t>Learned LR call at threshold 0.5001; executable ask 0.7200 (aec-wnba-ny-min-2026-09-27); model edge vs ask -0.0584. NOTE: NO_CALL_AVAILABILITY_PLAYER_UNMAPPED unavailable for this game — defaulted to neutral, other features used normally.</t>
        </is>
      </c>
      <c r="AF218" s="31" t="inlineStr">
        <is>
          <t>Learned model; shadow-qualified via operator override.</t>
        </is>
      </c>
      <c r="AG218" s="24" t="inlineStr">
        <is>
          <t>review_required</t>
        </is>
      </c>
      <c r="AH218" s="24" t="n"/>
      <c r="AI218" s="31" t="n"/>
      <c r="AJ218" s="31" t="n"/>
      <c r="AK218" s="24" t="inlineStr">
        <is>
          <t>model_qualified</t>
        </is>
      </c>
      <c r="AL218" s="26" t="n">
        <v>4</v>
      </c>
      <c r="AM218" s="24" t="inlineStr">
        <is>
          <t>QUALIFIED_SHADOW_CALL</t>
        </is>
      </c>
      <c r="AN218" s="24" t="inlineStr">
        <is>
          <t>CALL</t>
        </is>
      </c>
      <c r="AO218" s="24" t="inlineStr">
        <is>
          <t>QUALIFIED</t>
        </is>
      </c>
      <c r="AP218" s="24" t="inlineStr">
        <is>
          <t>wnba-nyl</t>
        </is>
      </c>
      <c r="AQ218" s="24" t="inlineStr">
        <is>
          <t>New York Liberty</t>
        </is>
      </c>
      <c r="AR218" s="24" t="inlineStr">
        <is>
          <t>New York Liberty</t>
        </is>
      </c>
      <c r="AS218" s="24" t="inlineStr">
        <is>
          <t>wnba-min</t>
        </is>
      </c>
      <c r="AT218" s="24" t="inlineStr">
        <is>
          <t>Minnesota Lynx</t>
        </is>
      </c>
      <c r="AU218" s="24" t="inlineStr">
        <is>
          <t>Minnesota Lynx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7afd5274214b58b7efd7f7febc7be3ab33b92351cda5cc6403c0a39faea0cc8c</t>
        </is>
      </c>
      <c r="BB218" s="24" t="inlineStr">
        <is>
          <t>learned_lr</t>
        </is>
      </c>
      <c r="BC218" s="24" t="inlineStr">
        <is>
          <t>wnba-elo-trend-lr-v4</t>
        </is>
      </c>
      <c r="BD218" s="24" t="inlineStr">
        <is>
          <t>7afd5274214b58b7efd7f7febc7be3ab33b92351cda5cc6403c0a39faea0cc8c</t>
        </is>
      </c>
      <c r="BE218" s="24" t="inlineStr">
        <is>
          <t>88d0ed5e4c7ff06b</t>
        </is>
      </c>
      <c r="BF218" s="24" t="inlineStr">
        <is>
          <t>1</t>
        </is>
      </c>
      <c r="BG218" s="24" t="inlineStr">
        <is>
          <t>wnba-elo-trend-lr-v4</t>
        </is>
      </c>
      <c r="BH218" s="24" t="inlineStr">
        <is>
          <t>2026-09-27T04:37:43.143590Z</t>
        </is>
      </c>
      <c r="BI218" s="24" t="inlineStr">
        <is>
          <t>["same_event","same_team_same_day","same_league_same_day"]</t>
        </is>
      </c>
      <c r="BJ218" s="25" t="n"/>
      <c r="BK218" s="26" t="n">
        <v>-257</v>
      </c>
      <c r="BL218" s="27" t="n">
        <v>1.389105</v>
      </c>
      <c r="BM218" s="28" t="n">
        <v>0.719888</v>
      </c>
      <c r="BN218" s="28" t="n">
        <v>0.712871</v>
      </c>
      <c r="BO218" s="28" t="n"/>
      <c r="BP218" s="25" t="n"/>
      <c r="BQ218" s="27" t="n">
        <v>1.389105</v>
      </c>
      <c r="BR218" s="28" t="n">
        <v>0.72</v>
      </c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inlineStr">
        <is>
          <t>0.7137724705</t>
        </is>
      </c>
      <c r="CD218" s="24" t="inlineStr">
        <is>
          <t>0.068641</t>
        </is>
      </c>
      <c r="CE218" s="24" t="n"/>
      <c r="CF218" s="24" t="n"/>
      <c r="CG218" s="24" t="n"/>
      <c r="CH218" s="24" t="n"/>
      <c r="CI218" s="24" t="inlineStr">
        <is>
          <t>NO_CALL_AVAILABILITY_PLAYER_UNMAPPED</t>
        </is>
      </c>
      <c r="CJ218" s="24" t="inlineStr">
        <is>
          <t>-1.857309</t>
        </is>
      </c>
      <c r="CK218" s="24" t="n"/>
      <c r="CL218" s="24" t="n"/>
      <c r="CM218" s="24" t="n"/>
      <c r="CN218" s="24" t="n"/>
      <c r="CO218" s="24" t="n"/>
      <c r="CP218" s="24" t="n"/>
      <c r="CQ218" s="24" t="n"/>
      <c r="CR218" s="24" t="inlineStr">
        <is>
          <t>0.661603</t>
        </is>
      </c>
      <c r="CS218" s="24" t="inlineStr">
        <is>
          <t>False</t>
        </is>
      </c>
      <c r="CT218" s="24" t="n"/>
      <c r="CU218" s="24" t="n"/>
      <c r="CV218" s="24" t="n"/>
      <c r="CW218" s="24" t="n"/>
      <c r="CX218" s="24" t="n"/>
      <c r="CY218" s="24" t="inlineStr">
        <is>
          <t>2026-09-27T04:37:43.143590Z</t>
        </is>
      </c>
      <c r="CZ218" s="24" t="inlineStr">
        <is>
          <t>True</t>
        </is>
      </c>
      <c r="DA218" s="24" t="inlineStr">
        <is>
          <t>polymarket_us</t>
        </is>
      </c>
      <c r="DB218" s="24" t="inlineStr">
        <is>
          <t>decision_time_executable_quote</t>
        </is>
      </c>
      <c r="DC218" s="24" t="inlineStr">
        <is>
          <t>False</t>
        </is>
      </c>
      <c r="DD218" s="24" t="inlineStr">
        <is>
          <t>fccce67454560e89f3aa0c7206150b467780f57efead9697f080907408993f61</t>
        </is>
      </c>
      <c r="DE218" s="24" t="inlineStr">
        <is>
          <t>/Users/vincentc9002/model-prediction/data/odds/wnba/2026-09-27/polymarket_snapshots.jsonl</t>
        </is>
      </c>
      <c r="DF218" s="24" t="inlineStr">
        <is>
          <t>fccce67454560e89f3aa0c7206150b467780f57efead9697f080907408993f61</t>
        </is>
      </c>
      <c r="DG218" s="24" t="n"/>
      <c r="DH218" s="24" t="n"/>
      <c r="DI218" s="24" t="n"/>
      <c r="DJ218" s="24" t="inlineStr">
        <is>
          <t>0.719888</t>
        </is>
      </c>
      <c r="DK218" s="24" t="n"/>
      <c r="DL218" s="24" t="n"/>
      <c r="DM218" s="24" t="n"/>
      <c r="DN218" s="24" t="n"/>
      <c r="DO218" s="24" t="n"/>
      <c r="DP218" s="24" t="n"/>
      <c r="DQ218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0.6616029179241271, "event_id": "401918014", "event_start_utc": "2026-09-27T18:00:00+00:00", "features": {"defensive_trend_gap": -1.8573089999999999, "elo_probability": 0.7137724705482399, "trend_gap": 0.06864100000000017}, "historical_source_observation_times_verified": false, "model_version": "wnba-elo-trend-lr-v4", "observed_at_utc": "2026-09-27T16:24:34.658073+00:00", "schema": "learned-moneyline-replay-v1", "served_home_probability": 0.6616029179241271, "snapshot_hash": "d5589926563cc3e8a473710077405a9adcc5cb975a7e57938ef5c7bc9005816d"}</t>
        </is>
      </c>
    </row>
    <row r="219" ht="36" customHeight="1">
      <c r="A219" s="24" t="inlineStr">
        <is>
          <t>8778770bd4024b4b</t>
        </is>
      </c>
      <c r="B219" s="24" t="inlineStr">
        <is>
          <t>2026-09-27T16:24:34.658073Z</t>
        </is>
      </c>
      <c r="C219" s="24" t="inlineStr">
        <is>
          <t>2026-09-27T16:00:00-0400</t>
        </is>
      </c>
      <c r="D219" s="24" t="inlineStr">
        <is>
          <t>401918015</t>
        </is>
      </c>
      <c r="E219" s="24" t="inlineStr">
        <is>
          <t>WNBA</t>
        </is>
      </c>
      <c r="F219" s="24" t="inlineStr">
        <is>
          <t>Indiana Fever</t>
        </is>
      </c>
      <c r="G219" s="24" t="inlineStr">
        <is>
          <t>Las Vegas Aces</t>
        </is>
      </c>
      <c r="H219" s="24" t="inlineStr">
        <is>
          <t>moneyline</t>
        </is>
      </c>
      <c r="I219" s="24" t="inlineStr">
        <is>
          <t>home</t>
        </is>
      </c>
      <c r="J219" s="25" t="n"/>
      <c r="K219" s="24" t="inlineStr">
        <is>
          <t>model_opinion_no_executable_quote</t>
        </is>
      </c>
      <c r="L219" s="26" t="n">
        <v>-110</v>
      </c>
      <c r="M219" s="27" t="n">
        <v>1.909091</v>
      </c>
      <c r="N219" s="28" t="n">
        <v>0.52381</v>
      </c>
      <c r="O219" s="28" t="n">
        <v>0.5681349999999999</v>
      </c>
      <c r="P219" s="28" t="n"/>
      <c r="Q219" s="28" t="n">
        <v>0.044325</v>
      </c>
      <c r="R219" s="26" t="n">
        <v>42</v>
      </c>
      <c r="S219" s="29" t="n">
        <v>1</v>
      </c>
      <c r="T219" s="24" t="inlineStr">
        <is>
          <t>wnba-elo-trend-lr-v4</t>
        </is>
      </c>
      <c r="U219" s="24" t="inlineStr">
        <is>
          <t>settled</t>
        </is>
      </c>
      <c r="V219" s="24" t="inlineStr">
        <is>
          <t>win</t>
        </is>
      </c>
      <c r="W219" s="26" t="n">
        <v>85</v>
      </c>
      <c r="X219" s="26" t="n">
        <v>102</v>
      </c>
      <c r="Y219" s="25" t="n"/>
      <c r="Z219" s="26" t="n"/>
      <c r="AA219" s="28" t="n"/>
      <c r="AB219" s="28" t="n"/>
      <c r="AC219" s="30" t="n">
        <v>0.9091</v>
      </c>
      <c r="AD219" s="24" t="inlineStr">
        <is>
          <t>2026-09-28T04:30:13.132073Z</t>
        </is>
      </c>
      <c r="AE219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NO_CALL_AVAILABILITY_SOURCE_CONFLICT, executable_quote_missing_or_unmatched unavailable for this game — defaulted to neutral, other features used normally.</t>
        </is>
      </c>
      <c r="AF219" s="31" t="inlineStr">
        <is>
          <t>Learned model; shadow-qualified via operator override.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paper_call</t>
        </is>
      </c>
      <c r="AL219" s="26" t="n">
        <v>4</v>
      </c>
      <c r="AM219" s="24" t="inlineStr">
        <is>
          <t>RESEARCH_OBSERVATION</t>
        </is>
      </c>
      <c r="AN219" s="24" t="inlineStr">
        <is>
          <t>CALL</t>
        </is>
      </c>
      <c r="AO219" s="24" t="inlineStr">
        <is>
          <t>PAPER_CALL_MARKET_UNAVAILABLE</t>
        </is>
      </c>
      <c r="AP219" s="24" t="inlineStr">
        <is>
          <t>wnba-ind</t>
        </is>
      </c>
      <c r="AQ219" s="24" t="inlineStr">
        <is>
          <t>Indiana Fever</t>
        </is>
      </c>
      <c r="AR219" s="24" t="inlineStr">
        <is>
          <t>Indiana Fever</t>
        </is>
      </c>
      <c r="AS219" s="24" t="inlineStr">
        <is>
          <t>wnba-lva</t>
        </is>
      </c>
      <c r="AT219" s="24" t="inlineStr">
        <is>
          <t>Las Vegas Aces</t>
        </is>
      </c>
      <c r="AU219" s="24" t="inlineStr">
        <is>
          <t>Las Vegas Aces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7afd5274214b58b7efd7f7febc7be3ab33b92351cda5cc6403c0a39faea0cc8c</t>
        </is>
      </c>
      <c r="BB219" s="24" t="inlineStr">
        <is>
          <t>learned_lr</t>
        </is>
      </c>
      <c r="BC219" s="24" t="inlineStr">
        <is>
          <t>wnba-elo-trend-lr-v4</t>
        </is>
      </c>
      <c r="BD219" s="24" t="inlineStr">
        <is>
          <t>7afd5274214b58b7efd7f7febc7be3ab33b92351cda5cc6403c0a39faea0cc8c</t>
        </is>
      </c>
      <c r="BE219" s="24" t="inlineStr">
        <is>
          <t>aeccc9b4b683e393</t>
        </is>
      </c>
      <c r="BF219" s="24" t="inlineStr">
        <is>
          <t>1</t>
        </is>
      </c>
      <c r="BG219" s="24" t="inlineStr">
        <is>
          <t>wnba-elo-trend-lr-v4</t>
        </is>
      </c>
      <c r="BH219" s="24" t="inlineStr">
        <is>
          <t>2026-09-27T16:24:34.658073Z</t>
        </is>
      </c>
      <c r="BI219" s="24" t="inlineStr">
        <is>
          <t>["same_event","same_team_same_day","same_league_same_day"]</t>
        </is>
      </c>
      <c r="BJ219" s="25" t="n"/>
      <c r="BK219" s="26" t="n">
        <v>-110</v>
      </c>
      <c r="BL219" s="27" t="n">
        <v>1.909091</v>
      </c>
      <c r="BM219" s="28" t="n">
        <v>0.52381</v>
      </c>
      <c r="BN219" s="28" t="n"/>
      <c r="BO219" s="28" t="n"/>
      <c r="BP219" s="25" t="n"/>
      <c r="BQ219" s="27" t="n"/>
      <c r="BR219" s="28" t="n"/>
      <c r="BS219" s="28" t="n"/>
      <c r="BT219" s="28" t="n"/>
      <c r="BU219" s="25" t="n"/>
      <c r="BV219" s="29" t="n"/>
      <c r="BW219" s="24" t="n"/>
      <c r="BX219" s="30" t="n">
        <v>1</v>
      </c>
      <c r="BY219" s="27" t="n">
        <v>0.909091</v>
      </c>
      <c r="BZ219" s="24" t="inlineStr">
        <is>
          <t>2026-09-28T04:30:13.132073Z</t>
        </is>
      </c>
      <c r="CA219" s="31" t="inlineStr">
        <is>
          <t>fixed one-unit hypothetical scoring; no real exposure or execution</t>
        </is>
      </c>
      <c r="CB219" s="24" t="n"/>
      <c r="CC219" s="24" t="inlineStr">
        <is>
          <t>0.6029835992</t>
        </is>
      </c>
      <c r="CD219" s="24" t="inlineStr">
        <is>
          <t>5.307391</t>
        </is>
      </c>
      <c r="CE219" s="24" t="n"/>
      <c r="CF219" s="24" t="n"/>
      <c r="CG219" s="24" t="n"/>
      <c r="CH219" s="24" t="n"/>
      <c r="CI219" s="24" t="inlineStr">
        <is>
          <t>NO_CALL_AVAILABILITY_SOURCE_CONFLICT,executable_quote_missing_or_unmatched</t>
        </is>
      </c>
      <c r="CJ219" s="24" t="inlineStr">
        <is>
          <t>2.758569</t>
        </is>
      </c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n"/>
      <c r="DE219" s="24" t="n"/>
      <c r="DF219" s="24" t="n"/>
      <c r="DG219" s="24" t="n"/>
      <c r="DH219" s="24" t="n"/>
      <c r="DI219" s="24" t="n"/>
      <c r="DJ219" s="24" t="inlineStr">
        <is>
          <t>0.52381</t>
        </is>
      </c>
      <c r="DK219" s="24" t="n"/>
      <c r="DL219" s="24" t="n"/>
      <c r="DM219" s="24" t="n"/>
      <c r="DN219" s="24" t="n"/>
      <c r="DO219" s="24" t="n"/>
      <c r="DP219" s="24" t="n"/>
      <c r="DQ219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0.5681347221327331, "event_id": "401918015", "event_start_utc": "2026-09-27T20:00:00+00:00", "features": {"defensive_trend_gap": 2.758569, "elo_probability": 0.6029835992250657, "trend_gap": 5.307391}, "historical_source_observation_times_verified": false, "model_version": "wnba-elo-trend-lr-v4", "observed_at_utc": "2026-09-27T16:24:34.658073+00:00", "schema": "learned-moneyline-replay-v1", "served_home_probability": 0.5681347221327331, "snapshot_hash": "b64a65f9a4e9b9a1f49911ad2209e9e6165b3e1063f642e1db73f73db3bb747e"}</t>
        </is>
      </c>
    </row>
    <row r="220" ht="36" customHeight="1">
      <c r="A220" s="24" t="inlineStr">
        <is>
          <t>a90fc83850ef4c6f</t>
        </is>
      </c>
      <c r="B220" s="24" t="inlineStr">
        <is>
          <t>2026-09-27T16:25:17.986277Z</t>
        </is>
      </c>
      <c r="C220" s="24" t="inlineStr">
        <is>
          <t>2026-09-27T18:00Z</t>
        </is>
      </c>
      <c r="D220" s="24" t="inlineStr">
        <is>
          <t>401918014</t>
        </is>
      </c>
      <c r="E220" s="24" t="inlineStr">
        <is>
          <t>WNBA</t>
        </is>
      </c>
      <c r="F220" s="24" t="inlineStr">
        <is>
          <t>New York Liberty</t>
        </is>
      </c>
      <c r="G220" s="24" t="inlineStr">
        <is>
          <t>Minnesota Lynx</t>
        </is>
      </c>
      <c r="H220" s="24" t="inlineStr">
        <is>
          <t>total</t>
        </is>
      </c>
      <c r="I220" s="24" t="inlineStr">
        <is>
          <t>under</t>
        </is>
      </c>
      <c r="J220" s="25" t="n">
        <v>185.5</v>
      </c>
      <c r="K220" s="24" t="inlineStr">
        <is>
          <t>polymarket_us</t>
        </is>
      </c>
      <c r="L220" s="26" t="n">
        <v>-525</v>
      </c>
      <c r="M220" s="27" t="n">
        <v>1.190476</v>
      </c>
      <c r="N220" s="28" t="n">
        <v>0.84</v>
      </c>
      <c r="O220" s="28" t="n">
        <v>0.8224939999999999</v>
      </c>
      <c r="P220" s="28" t="n">
        <v>0.03</v>
      </c>
      <c r="Q220" s="28" t="n">
        <v>-0.017506</v>
      </c>
      <c r="R220" s="26" t="n">
        <v>23</v>
      </c>
      <c r="S220" s="29" t="n">
        <v>1</v>
      </c>
      <c r="T220" s="24" t="inlineStr">
        <is>
          <t>wnba-total-margin-v2</t>
        </is>
      </c>
      <c r="U220" s="24" t="inlineStr">
        <is>
          <t>settled</t>
        </is>
      </c>
      <c r="V220" s="24" t="inlineStr">
        <is>
          <t>win</t>
        </is>
      </c>
      <c r="W220" s="26" t="n">
        <v>91</v>
      </c>
      <c r="X220" s="26" t="n">
        <v>75</v>
      </c>
      <c r="Y220" s="25" t="n"/>
      <c r="Z220" s="26" t="n">
        <v>-525</v>
      </c>
      <c r="AA220" s="28" t="n">
        <v>0.84</v>
      </c>
      <c r="AB220" s="28" t="n">
        <v>0</v>
      </c>
      <c r="AC220" s="30" t="n">
        <v>0.1905</v>
      </c>
      <c r="AD220" s="24" t="inlineStr">
        <is>
          <t>2026-09-27T22:01:04.284195Z</t>
        </is>
      </c>
      <c r="AE220" s="31" t="inlineStr">
        <is>
          <t>Projected total 170.7, sd 16.0. Executable ask 0.8400 (tsc-wnba-ny-min-2026-09-27-185pt5).</t>
        </is>
      </c>
      <c r="AF220" s="31" t="inlineStr">
        <is>
          <t>Research-baseline total model; not yet locked-holdout qualified.</t>
        </is>
      </c>
      <c r="AG220" s="24" t="inlineStr">
        <is>
          <t>not_applicable</t>
        </is>
      </c>
      <c r="AH220" s="24" t="n"/>
      <c r="AI220" s="31" t="n"/>
      <c r="AJ220" s="31" t="n"/>
      <c r="AK220" s="24" t="inlineStr">
        <is>
          <t>model_qualified</t>
        </is>
      </c>
      <c r="AL220" s="26" t="n">
        <v>4</v>
      </c>
      <c r="AM220" s="24" t="inlineStr">
        <is>
          <t>QUALIFIED_SHADOW_CALL</t>
        </is>
      </c>
      <c r="AN220" s="24" t="inlineStr">
        <is>
          <t>CALL</t>
        </is>
      </c>
      <c r="AO220" s="24" t="inlineStr">
        <is>
          <t>QUALIFIED</t>
        </is>
      </c>
      <c r="AP220" s="24" t="inlineStr">
        <is>
          <t>wnba-nyl</t>
        </is>
      </c>
      <c r="AQ220" s="24" t="inlineStr">
        <is>
          <t>New York Liberty</t>
        </is>
      </c>
      <c r="AR220" s="24" t="inlineStr">
        <is>
          <t>New York Liberty</t>
        </is>
      </c>
      <c r="AS220" s="24" t="inlineStr">
        <is>
          <t>wnba-min</t>
        </is>
      </c>
      <c r="AT220" s="24" t="inlineStr">
        <is>
          <t>Minnesota Lynx</t>
        </is>
      </c>
      <c r="AU220" s="24" t="inlineStr">
        <is>
          <t>Minnesota Lynx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research</t>
        </is>
      </c>
      <c r="BA220" s="24" t="inlineStr">
        <is>
          <t>9c9b767590bbbb9a7b333eaf9def066d65bf813e735ed73aa27cfb2c609a4ca5</t>
        </is>
      </c>
      <c r="BB220" s="24" t="inlineStr">
        <is>
          <t>total_normal</t>
        </is>
      </c>
      <c r="BC220" s="24" t="inlineStr">
        <is>
          <t>wnba-total-margin-v2</t>
        </is>
      </c>
      <c r="BD220" s="24" t="inlineStr">
        <is>
          <t>9c9b767590bbbb9a7b333eaf9def066d65bf813e735ed73aa27cfb2c609a4ca5</t>
        </is>
      </c>
      <c r="BE220" s="24" t="inlineStr">
        <is>
          <t>wnba-total-margin-v2</t>
        </is>
      </c>
      <c r="BF220" s="24" t="inlineStr">
        <is>
          <t>1</t>
        </is>
      </c>
      <c r="BG220" s="24" t="inlineStr">
        <is>
          <t>9c9b767590bbbb9a7b333eaf9def066d65bf813e735ed73aa27cfb2c609a4ca5</t>
        </is>
      </c>
      <c r="BH220" s="24" t="inlineStr">
        <is>
          <t>2026-09-27T04:37:43.138022Z</t>
        </is>
      </c>
      <c r="BI220" s="24" t="inlineStr">
        <is>
          <t>["same_event","same_team_same_day","same_league_same_day"]</t>
        </is>
      </c>
      <c r="BJ220" s="25" t="n">
        <v>185.5</v>
      </c>
      <c r="BK220" s="26" t="n">
        <v>-525</v>
      </c>
      <c r="BL220" s="27" t="n">
        <v>1.190476</v>
      </c>
      <c r="BM220" s="28" t="n">
        <v>0.84</v>
      </c>
      <c r="BN220" s="28" t="n"/>
      <c r="BO220" s="28" t="n"/>
      <c r="BP220" s="25" t="n"/>
      <c r="BQ220" s="27" t="n">
        <v>1.190476</v>
      </c>
      <c r="BR220" s="28" t="n">
        <v>0.84</v>
      </c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False</t>
        </is>
      </c>
      <c r="CT220" s="24" t="n"/>
      <c r="CU220" s="24" t="n"/>
      <c r="CV220" s="24" t="n"/>
      <c r="CW220" s="24" t="n"/>
      <c r="CX220" s="24" t="n"/>
      <c r="CY220" s="24" t="inlineStr">
        <is>
          <t>2026-09-27T04:37:43.138022Z</t>
        </is>
      </c>
      <c r="CZ220" s="24" t="inlineStr">
        <is>
          <t>True</t>
        </is>
      </c>
      <c r="DA220" s="24" t="inlineStr">
        <is>
          <t>polymarket_us</t>
        </is>
      </c>
      <c r="DB220" s="24" t="inlineStr">
        <is>
          <t>decision_time_executable_quote</t>
        </is>
      </c>
      <c r="DC220" s="24" t="inlineStr">
        <is>
          <t>False</t>
        </is>
      </c>
      <c r="DD220" s="24" t="inlineStr">
        <is>
          <t>5ce1e1b6be14b90865aaf1af3bbe24cee3cacdc60f1fdec4ca3025351a22242e</t>
        </is>
      </c>
      <c r="DE220" s="24" t="inlineStr">
        <is>
          <t>/Users/vincentc9002/model-prediction/data/odds/wnba/2026-09-27/polymarket_snapshots.jsonl</t>
        </is>
      </c>
      <c r="DF220" s="24" t="inlineStr">
        <is>
          <t>5ce1e1b6be14b90865aaf1af3bbe24cee3cacdc60f1fdec4ca3025351a22242e</t>
        </is>
      </c>
      <c r="DG220" s="24" t="n"/>
      <c r="DH220" s="24" t="n"/>
      <c r="DI220" s="24" t="n"/>
      <c r="DJ220" s="24" t="inlineStr">
        <is>
          <t>0.84</t>
        </is>
      </c>
      <c r="DK220" s="24" t="n"/>
      <c r="DL220" s="24" t="n"/>
      <c r="DM220" s="24" t="n"/>
      <c r="DN220" s="24" t="n"/>
      <c r="DO220" s="24" t="n"/>
      <c r="DP220" s="24" t="n"/>
      <c r="DQ220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"401918014", "event_start_utc": "2026-09-27T18:00Z", "features": {"away_points_hl10": 86.06, "elo_away": 1578.7, "elo_home": 1677.5, "elo_margin": 5.67, "expected_margin": 2.72, "expected_total": 170.7, "history_games": 946, "home_points_hl10": 86.78, "rest_diff": 0.0, "trend_margin": 2.72}, "historical_source_observation_times_verified": false, "inference_inputs": {"line": 185.5, "mean": 170.7014059, "sd": 16.0}, "model_version": "wnba-total-margin-v2", "observed_at_utc": "2026-09-27T16:25:17.428544+00:00", "replay_scope": "Exact final classifier/distribution inputs and artifact. Upstream historical feature construction not certified.", "schema": "scalar-artifact-replay-v1", "snapshot_hash": "d31dc505a35af6f4f9097e95a48e3a2589715dfc0cb6e77de56dd6fb75e20761"}</t>
        </is>
      </c>
    </row>
    <row r="221" ht="36" customHeight="1">
      <c r="A221" s="24" t="inlineStr">
        <is>
          <t>2025fa0120d240b8</t>
        </is>
      </c>
      <c r="B221" s="24" t="inlineStr">
        <is>
          <t>2026-09-27T22:11:08.561235Z</t>
        </is>
      </c>
      <c r="C221" s="24" t="inlineStr">
        <is>
          <t>2026-09-27T19:00:00-0400</t>
        </is>
      </c>
      <c r="D221" s="24" t="inlineStr">
        <is>
          <t>401918013</t>
        </is>
      </c>
      <c r="E221" s="24" t="inlineStr">
        <is>
          <t>WNBA</t>
        </is>
      </c>
      <c r="F221" s="24" t="inlineStr">
        <is>
          <t>Washington Mystics</t>
        </is>
      </c>
      <c r="G221" s="24" t="inlineStr">
        <is>
          <t>Atlanta Dream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model_opinion_no_executable_quote</t>
        </is>
      </c>
      <c r="L221" s="26" t="n">
        <v>-110</v>
      </c>
      <c r="M221" s="27" t="n">
        <v>1.909091</v>
      </c>
      <c r="N221" s="28" t="n">
        <v>0.52381</v>
      </c>
      <c r="O221" s="28" t="n">
        <v>0.6146</v>
      </c>
      <c r="P221" s="28" t="n"/>
      <c r="Q221" s="28" t="n">
        <v>0.09079</v>
      </c>
      <c r="R221" s="26" t="n">
        <v>65</v>
      </c>
      <c r="S221" s="29" t="n">
        <v>1.25</v>
      </c>
      <c r="T221" s="24" t="inlineStr">
        <is>
          <t>wnba-elo-trend-lr-v4</t>
        </is>
      </c>
      <c r="U221" s="24" t="inlineStr">
        <is>
          <t>settled</t>
        </is>
      </c>
      <c r="V221" s="24" t="inlineStr">
        <is>
          <t>win</t>
        </is>
      </c>
      <c r="W221" s="26" t="n">
        <v>77</v>
      </c>
      <c r="X221" s="26" t="n">
        <v>92</v>
      </c>
      <c r="Y221" s="25" t="n"/>
      <c r="Z221" s="26" t="n"/>
      <c r="AA221" s="28" t="n"/>
      <c r="AB221" s="28" t="n"/>
      <c r="AC221" s="30" t="n">
        <v>1.1364</v>
      </c>
      <c r="AD221" s="24" t="inlineStr">
        <is>
          <t>2026-09-28T04:30:26.508802Z</t>
        </is>
      </c>
      <c r="AE221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21" s="31" t="inlineStr">
        <is>
          <t>Learned model; shadow-qualified via operator override.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paper_call</t>
        </is>
      </c>
      <c r="AL221" s="26" t="n">
        <v>4</v>
      </c>
      <c r="AM221" s="24" t="inlineStr">
        <is>
          <t>RESEARCH_OBSERVATION</t>
        </is>
      </c>
      <c r="AN221" s="24" t="inlineStr">
        <is>
          <t>CALL</t>
        </is>
      </c>
      <c r="AO221" s="24" t="inlineStr">
        <is>
          <t>PAPER_CALL_MARKET_UNAVAILABLE</t>
        </is>
      </c>
      <c r="AP221" s="24" t="inlineStr">
        <is>
          <t>wnba-was</t>
        </is>
      </c>
      <c r="AQ221" s="24" t="inlineStr">
        <is>
          <t>Washington Mystics</t>
        </is>
      </c>
      <c r="AR221" s="24" t="inlineStr">
        <is>
          <t>Washington Mystics</t>
        </is>
      </c>
      <c r="AS221" s="24" t="inlineStr">
        <is>
          <t>wnba-atl</t>
        </is>
      </c>
      <c r="AT221" s="24" t="inlineStr">
        <is>
          <t>Atlanta Dream</t>
        </is>
      </c>
      <c r="AU221" s="24" t="inlineStr">
        <is>
          <t>Atlanta Dream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7afd5274214b58b7efd7f7febc7be3ab33b92351cda5cc6403c0a39faea0cc8c</t>
        </is>
      </c>
      <c r="BB221" s="24" t="inlineStr">
        <is>
          <t>learned_lr</t>
        </is>
      </c>
      <c r="BC221" s="24" t="inlineStr">
        <is>
          <t>wnba-elo-trend-lr-v4</t>
        </is>
      </c>
      <c r="BD221" s="24" t="inlineStr">
        <is>
          <t>7afd5274214b58b7efd7f7febc7be3ab33b92351cda5cc6403c0a39faea0cc8c</t>
        </is>
      </c>
      <c r="BE221" s="24" t="inlineStr">
        <is>
          <t>d4a04c8afa20ff0e</t>
        </is>
      </c>
      <c r="BF221" s="24" t="inlineStr">
        <is>
          <t>1</t>
        </is>
      </c>
      <c r="BG221" s="24" t="inlineStr">
        <is>
          <t>wnba-elo-trend-lr-v4</t>
        </is>
      </c>
      <c r="BH221" s="24" t="inlineStr">
        <is>
          <t>2026-09-27T22:11:08.561235Z</t>
        </is>
      </c>
      <c r="BI221" s="24" t="inlineStr">
        <is>
          <t>["same_event","same_team_same_day","same_league_same_day"]</t>
        </is>
      </c>
      <c r="BJ221" s="25" t="n"/>
      <c r="BK221" s="26" t="n">
        <v>-110</v>
      </c>
      <c r="BL221" s="27" t="n">
        <v>1.909091</v>
      </c>
      <c r="BM221" s="28" t="n">
        <v>0.52381</v>
      </c>
      <c r="BN221" s="28" t="n"/>
      <c r="BO221" s="28" t="n"/>
      <c r="BP221" s="25" t="n"/>
      <c r="BQ221" s="27" t="n"/>
      <c r="BR221" s="28" t="n"/>
      <c r="BS221" s="28" t="n"/>
      <c r="BT221" s="28" t="n"/>
      <c r="BU221" s="25" t="n"/>
      <c r="BV221" s="29" t="n"/>
      <c r="BW221" s="24" t="n"/>
      <c r="BX221" s="30" t="n">
        <v>1</v>
      </c>
      <c r="BY221" s="27" t="n">
        <v>0.909091</v>
      </c>
      <c r="BZ221" s="24" t="inlineStr">
        <is>
          <t>2026-09-28T04:30:26.508802Z</t>
        </is>
      </c>
      <c r="CA221" s="31" t="inlineStr">
        <is>
          <t>fixed one-unit hypothetical scoring; no real exposure or execution</t>
        </is>
      </c>
      <c r="CB221" s="24" t="n"/>
      <c r="CC221" s="24" t="inlineStr">
        <is>
          <t>0.6505991727</t>
        </is>
      </c>
      <c r="CD221" s="24" t="inlineStr">
        <is>
          <t>-2.238395</t>
        </is>
      </c>
      <c r="CE221" s="24" t="n"/>
      <c r="CF221" s="24" t="n"/>
      <c r="CG221" s="24" t="n"/>
      <c r="CH221" s="24" t="n"/>
      <c r="CI221" s="24" t="inlineStr">
        <is>
          <t>executable_quote_missing_or_unmatched</t>
        </is>
      </c>
      <c r="CJ221" s="24" t="inlineStr">
        <is>
          <t>5.405365</t>
        </is>
      </c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True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n"/>
      <c r="DE221" s="24" t="n"/>
      <c r="DF221" s="24" t="n"/>
      <c r="DG221" s="24" t="n"/>
      <c r="DH221" s="24" t="n"/>
      <c r="DI221" s="24" t="n"/>
      <c r="DJ221" s="24" t="inlineStr">
        <is>
          <t>0.52381</t>
        </is>
      </c>
      <c r="DK221" s="24" t="n"/>
      <c r="DL221" s="24" t="n"/>
      <c r="DM221" s="24" t="n"/>
      <c r="DN221" s="24" t="n"/>
      <c r="DO221" s="24" t="n"/>
      <c r="DP221" s="24" t="n"/>
      <c r="DQ221" s="24" t="inlineStr">
        <is>
          <t>{"adjustment": {"applied": false, "availability": {"availability_points_gap": 0.0, "availability_report_age_hours": 0.1857114542, "availability_source_conflict_count": 0, "availability_source_conflicts": [], "availability_uncertainty": 0.0, "away_available_minutes_share": 1.0, "home_available_minutes_share": 1.000000005, "source_evidence": {"espn_observed_at_utc": "2026-09-27T22:04:58.845330+00:00", "espn_snapshot_hash": "01f0e07836cffa6afac98b11cc8c962a13bd55d9ed140ebb4e877ef4f951930b", "official_observed_at_utc": "2026-09-27T22:04:57.726824+00:00", "official_report_at_utc": "2026-09-27T22:00:00+00:00", "official_snapshot_hash": "ee8d45e8906bcb3199839cf0d84fc75eed68f6fd12db481c62f9599590a262ea", "prior_hash": "cc5ca7ead15f9bd630934b1f2bf635d6f7475c3a3dc3efe99bbda6026f374079", "prior_observed_at_utc": "2026-09-27T22:04:57.574719+00:00"}}, "margin_sigma": 14.674688165053993, "method": "wnba_probit_v1", "minimum_delta": 0.05, "points_gap": 0.0},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0.6146000165218193, "event_id": "401918013", "event_start_utc": "2026-09-27T23:00:00+00:00", "features": {"defensive_trend_gap": 5.405365, "elo_probability": 0.6505991726902638, "trend_gap": -2.2383949999999997}, "historical_source_observation_times_verified": false, "model_version": "wnba-elo-trend-lr-v4", "observed_at_utc": "2026-09-27T22:11:08.561235+00:00", "schema": "learned-moneyline-replay-v1", "served_home_probability": 0.6146000165218193, "snapshot_hash": "7d97496b0179709af48faff7123d1c0790d1e0e8b3d81f2fd352f9c0252d8b67"}</t>
        </is>
      </c>
    </row>
    <row r="222" ht="36" customHeight="1">
      <c r="A222" s="24" t="inlineStr">
        <is>
          <t>39f9cd8a6e2d41da</t>
        </is>
      </c>
      <c r="B222" s="24" t="inlineStr">
        <is>
          <t>2026-09-27T22:11:08.561235Z</t>
        </is>
      </c>
      <c r="C222" s="24" t="inlineStr">
        <is>
          <t>2026-09-27T21:00:00-0400</t>
        </is>
      </c>
      <c r="D222" s="24" t="inlineStr">
        <is>
          <t>401918016</t>
        </is>
      </c>
      <c r="E222" s="24" t="inlineStr">
        <is>
          <t>WNBA</t>
        </is>
      </c>
      <c r="F222" s="24" t="inlineStr">
        <is>
          <t>Dallas Wings</t>
        </is>
      </c>
      <c r="G222" s="24" t="inlineStr">
        <is>
          <t>Golden State Valkyries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model_opinion_no_executable_quote</t>
        </is>
      </c>
      <c r="L222" s="26" t="n">
        <v>-110</v>
      </c>
      <c r="M222" s="27" t="n">
        <v>1.909091</v>
      </c>
      <c r="N222" s="28" t="n">
        <v>0.52381</v>
      </c>
      <c r="O222" s="28" t="n">
        <v>0.678266</v>
      </c>
      <c r="P222" s="28" t="n"/>
      <c r="Q222" s="28" t="n">
        <v>0.154456</v>
      </c>
      <c r="R222" s="26" t="n">
        <v>97</v>
      </c>
      <c r="S222" s="29" t="n">
        <v>1.75</v>
      </c>
      <c r="T222" s="24" t="inlineStr">
        <is>
          <t>wnba-elo-trend-lr-v4</t>
        </is>
      </c>
      <c r="U222" s="24" t="inlineStr">
        <is>
          <t>settled</t>
        </is>
      </c>
      <c r="V222" s="24" t="inlineStr">
        <is>
          <t>win</t>
        </is>
      </c>
      <c r="W222" s="26" t="n">
        <v>80</v>
      </c>
      <c r="X222" s="26" t="n">
        <v>104</v>
      </c>
      <c r="Y222" s="25" t="n"/>
      <c r="Z222" s="26" t="n"/>
      <c r="AA222" s="28" t="n"/>
      <c r="AB222" s="28" t="n"/>
      <c r="AC222" s="30" t="n">
        <v>1.5909</v>
      </c>
      <c r="AD222" s="24" t="inlineStr">
        <is>
          <t>2026-09-28T04:30:26.954314Z</t>
        </is>
      </c>
      <c r="AE222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22" s="31" t="inlineStr">
        <is>
          <t>Learned model; shadow-qualified via operator override.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paper_call</t>
        </is>
      </c>
      <c r="AL222" s="26" t="n">
        <v>4</v>
      </c>
      <c r="AM222" s="24" t="inlineStr">
        <is>
          <t>RESEARCH_OBSERVATION</t>
        </is>
      </c>
      <c r="AN222" s="24" t="inlineStr">
        <is>
          <t>CALL</t>
        </is>
      </c>
      <c r="AO222" s="24" t="inlineStr">
        <is>
          <t>PAPER_CALL_MARKET_UNAVAILABLE</t>
        </is>
      </c>
      <c r="AP222" s="24" t="inlineStr">
        <is>
          <t>wnba-dal</t>
        </is>
      </c>
      <c r="AQ222" s="24" t="inlineStr">
        <is>
          <t>Dallas Wings</t>
        </is>
      </c>
      <c r="AR222" s="24" t="inlineStr">
        <is>
          <t>Dallas Wings</t>
        </is>
      </c>
      <c r="AS222" s="24" t="inlineStr">
        <is>
          <t>wnba-gsv</t>
        </is>
      </c>
      <c r="AT222" s="24" t="inlineStr">
        <is>
          <t>Golden State Valkyries</t>
        </is>
      </c>
      <c r="AU222" s="24" t="inlineStr">
        <is>
          <t>Golden State Valkyries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7afd5274214b58b7efd7f7febc7be3ab33b92351cda5cc6403c0a39faea0cc8c</t>
        </is>
      </c>
      <c r="BB222" s="24" t="inlineStr">
        <is>
          <t>learned_lr</t>
        </is>
      </c>
      <c r="BC222" s="24" t="inlineStr">
        <is>
          <t>wnba-elo-trend-lr-v4</t>
        </is>
      </c>
      <c r="BD222" s="24" t="inlineStr">
        <is>
          <t>7afd5274214b58b7efd7f7febc7be3ab33b92351cda5cc6403c0a39faea0cc8c</t>
        </is>
      </c>
      <c r="BE222" s="24" t="inlineStr">
        <is>
          <t>a3d6c5221f1ee235</t>
        </is>
      </c>
      <c r="BF222" s="24" t="inlineStr">
        <is>
          <t>1</t>
        </is>
      </c>
      <c r="BG222" s="24" t="inlineStr">
        <is>
          <t>wnba-elo-trend-lr-v4</t>
        </is>
      </c>
      <c r="BH222" s="24" t="inlineStr">
        <is>
          <t>2026-09-27T22:11:08.561235Z</t>
        </is>
      </c>
      <c r="BI222" s="24" t="inlineStr">
        <is>
          <t>["same_event","same_team_same_day","same_league_same_day"]</t>
        </is>
      </c>
      <c r="BJ222" s="25" t="n"/>
      <c r="BK222" s="26" t="n">
        <v>-110</v>
      </c>
      <c r="BL222" s="27" t="n">
        <v>1.909091</v>
      </c>
      <c r="BM222" s="28" t="n">
        <v>0.52381</v>
      </c>
      <c r="BN222" s="28" t="n"/>
      <c r="BO222" s="28" t="n"/>
      <c r="BP222" s="25" t="n"/>
      <c r="BQ222" s="27" t="n"/>
      <c r="BR222" s="28" t="n"/>
      <c r="BS222" s="28" t="n"/>
      <c r="BT222" s="28" t="n"/>
      <c r="BU222" s="25" t="n"/>
      <c r="BV222" s="29" t="n"/>
      <c r="BW222" s="24" t="n"/>
      <c r="BX222" s="30" t="n">
        <v>1</v>
      </c>
      <c r="BY222" s="27" t="n">
        <v>0.909091</v>
      </c>
      <c r="BZ222" s="24" t="inlineStr">
        <is>
          <t>2026-09-28T04:30:26.954314Z</t>
        </is>
      </c>
      <c r="CA222" s="31" t="inlineStr">
        <is>
          <t>fixed one-unit hypothetical scoring; no real exposure or execution</t>
        </is>
      </c>
      <c r="CB222" s="24" t="n"/>
      <c r="CC222" s="24" t="inlineStr">
        <is>
          <t>0.7260315416</t>
        </is>
      </c>
      <c r="CD222" s="24" t="inlineStr">
        <is>
          <t>-6.60518</t>
        </is>
      </c>
      <c r="CE222" s="24" t="n"/>
      <c r="CF222" s="24" t="n"/>
      <c r="CG222" s="24" t="n"/>
      <c r="CH222" s="24" t="n"/>
      <c r="CI222" s="24" t="inlineStr">
        <is>
          <t>executable_quote_missing_or_unmatched</t>
        </is>
      </c>
      <c r="CJ222" s="24" t="inlineStr">
        <is>
          <t>0.914451</t>
        </is>
      </c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True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n"/>
      <c r="DE222" s="24" t="n"/>
      <c r="DF222" s="24" t="n"/>
      <c r="DG222" s="24" t="n"/>
      <c r="DH222" s="24" t="n"/>
      <c r="DI222" s="24" t="n"/>
      <c r="DJ222" s="24" t="inlineStr">
        <is>
          <t>0.52381</t>
        </is>
      </c>
      <c r="DK222" s="24" t="n"/>
      <c r="DL222" s="24" t="n"/>
      <c r="DM222" s="24" t="n"/>
      <c r="DN222" s="24" t="n"/>
      <c r="DO222" s="24" t="n"/>
      <c r="DP222" s="24" t="n"/>
      <c r="DQ222" s="24" t="inlineStr">
        <is>
          <t>{"adjustment": {"applied": false, "availability": {"availability_points_gap": 1.0538750854, "availability_report_age_hours": 0.1857114542, "availability_source_conflict_count": 0, "availability_source_conflicts": [], "availability_uncertainty": 0.0, "away_available_minutes_share": 0.91661988, "home_available_minutes_share": 1.000000005, "source_evidence": {"espn_observed_at_utc": "2026-09-27T22:04:58.984027+00:00", "espn_snapshot_hash": "265f0f4e1c72ef5012314185b2eb5a5e3bb503d841bb17b112cee94d851e06b6", "official_observed_at_utc": "2026-09-27T22:04:57.726824+00:00", "official_report_at_utc": "2026-09-27T22:00:00+00:00", "official_snapshot_hash": "ee8d45e8906bcb3199839cf0d84fc75eed68f6fd12db481c62f9599590a262ea", "prior_hash": "cc5ca7ead15f9bd630934b1f2bf635d6f7475c3a3dc3efe99bbda6026f374079", "prior_observed_at_utc": "2026-09-27T22:04:57.574719+00:00"}}, "margin_sigma": 14.674688165053993, "method": "wnba_probit_v1", "minimum_delta": 0.05, "points_gap": 1.0538750854},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0.6782657172450811, "event_id": "401918016", "event_start_utc": "2026-09-28T01:00:00+00:00", "features": {"defensive_trend_gap": 0.9144510000000001, "elo_probability": 0.7260315416215102, "trend_gap": -6.60518}, "historical_source_observation_times_verified": false, "model_version": "wnba-elo-trend-lr-v4", "observed_at_utc": "2026-09-27T22:11:08.561235+00:00", "schema": "learned-moneyline-replay-v1", "served_home_probability": 0.6782657172450811, "snapshot_hash": "2db53c942a333abf1b3a7a69b2a40282dd4ca5426f9180cffa73b3f32b250ff5"}</t>
        </is>
      </c>
    </row>
    <row r="223" ht="36" customHeight="1">
      <c r="A223" s="24" t="inlineStr">
        <is>
          <t>ea88ad0cbc7c4301</t>
        </is>
      </c>
      <c r="B223" s="24" t="inlineStr">
        <is>
          <t>2026-09-27T22:11:12.199108Z</t>
        </is>
      </c>
      <c r="C223" s="24" t="inlineStr">
        <is>
          <t>2026-09-27T23:00Z</t>
        </is>
      </c>
      <c r="D223" s="24" t="inlineStr">
        <is>
          <t>401918013</t>
        </is>
      </c>
      <c r="E223" s="24" t="inlineStr">
        <is>
          <t>WNBA</t>
        </is>
      </c>
      <c r="F223" s="24" t="inlineStr">
        <is>
          <t>Washington Mystics</t>
        </is>
      </c>
      <c r="G223" s="24" t="inlineStr">
        <is>
          <t>Atlanta Dream</t>
        </is>
      </c>
      <c r="H223" s="24" t="inlineStr">
        <is>
          <t>spread</t>
        </is>
      </c>
      <c r="I223" s="24" t="inlineStr">
        <is>
          <t>away</t>
        </is>
      </c>
      <c r="J223" s="25" t="n">
        <v>4.5</v>
      </c>
      <c r="K223" s="24" t="inlineStr">
        <is>
          <t>polymarket_us</t>
        </is>
      </c>
      <c r="L223" s="26" t="n">
        <v>144</v>
      </c>
      <c r="M223" s="27" t="n">
        <v>2.44</v>
      </c>
      <c r="N223" s="28" t="n">
        <v>0.409836</v>
      </c>
      <c r="O223" s="28" t="n">
        <v>0.500269</v>
      </c>
      <c r="P223" s="28" t="n">
        <v>0.03</v>
      </c>
      <c r="Q223" s="28" t="n">
        <v>0.090433</v>
      </c>
      <c r="R223" s="26" t="n">
        <v>77</v>
      </c>
      <c r="S223" s="29" t="n">
        <v>1.5</v>
      </c>
      <c r="T223" s="24" t="inlineStr">
        <is>
          <t>wnba-spread-margin-v2</t>
        </is>
      </c>
      <c r="U223" s="24" t="inlineStr">
        <is>
          <t>settled</t>
        </is>
      </c>
      <c r="V223" s="24" t="inlineStr">
        <is>
          <t>loss</t>
        </is>
      </c>
      <c r="W223" s="26" t="n">
        <v>77</v>
      </c>
      <c r="X223" s="26" t="n">
        <v>92</v>
      </c>
      <c r="Y223" s="25" t="n"/>
      <c r="Z223" s="26" t="n"/>
      <c r="AA223" s="28" t="n"/>
      <c r="AB223" s="28" t="n"/>
      <c r="AC223" s="30" t="n">
        <v>-1.5</v>
      </c>
      <c r="AD223" s="24" t="inlineStr">
        <is>
          <t>2026-09-28T04:30:27.398336Z</t>
        </is>
      </c>
      <c r="AE223" s="31" t="inlineStr">
        <is>
          <t>Projected margin +4.5 (home), sd 13.4. Executable ask 0.4100 (asc-wnba-wsh-atl-2026-09-27-pos-4pt5).</t>
        </is>
      </c>
      <c r="AF223" s="31" t="inlineStr">
        <is>
          <t>Point-in-time composite Elo + trend + rest margin-normal spread model.</t>
        </is>
      </c>
      <c r="AG223" s="24" t="inlineStr">
        <is>
          <t>review_required</t>
        </is>
      </c>
      <c r="AH223" s="24" t="n"/>
      <c r="AI223" s="31" t="n"/>
      <c r="AJ223" s="31" t="n"/>
      <c r="AK223" s="24" t="inlineStr">
        <is>
          <t>paper_call</t>
        </is>
      </c>
      <c r="AL223" s="26" t="n">
        <v>4</v>
      </c>
      <c r="AM223" s="24" t="inlineStr">
        <is>
          <t>RESEARCH_OBSERVATION</t>
        </is>
      </c>
      <c r="AN223" s="24" t="inlineStr">
        <is>
          <t>CALL</t>
        </is>
      </c>
      <c r="AO223" s="24" t="inlineStr">
        <is>
          <t>PAPER_CALL_STALE_DATA</t>
        </is>
      </c>
      <c r="AP223" s="24" t="inlineStr">
        <is>
          <t>wnba-was</t>
        </is>
      </c>
      <c r="AQ223" s="24" t="inlineStr">
        <is>
          <t>Washington Mystics</t>
        </is>
      </c>
      <c r="AR223" s="24" t="inlineStr">
        <is>
          <t>Washington Mystics</t>
        </is>
      </c>
      <c r="AS223" s="24" t="inlineStr">
        <is>
          <t>wnba-atl</t>
        </is>
      </c>
      <c r="AT223" s="24" t="inlineStr">
        <is>
          <t>Atlanta Dream</t>
        </is>
      </c>
      <c r="AU223" s="24" t="inlineStr">
        <is>
          <t>Atlanta Dream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f7d192f98d825d7c77be21b0531a91cff101ad35e418fe9d7e07c5d0f769f974</t>
        </is>
      </c>
      <c r="BB223" s="24" t="inlineStr">
        <is>
          <t>margin_normal</t>
        </is>
      </c>
      <c r="BC223" s="24" t="inlineStr">
        <is>
          <t>wnba-spread-margin-v2</t>
        </is>
      </c>
      <c r="BD223" s="24" t="inlineStr">
        <is>
          <t>f7d192f98d825d7c77be21b0531a91cff101ad35e418fe9d7e07c5d0f769f974</t>
        </is>
      </c>
      <c r="BE223" s="24" t="inlineStr">
        <is>
          <t>wnba-spread-margin-v2</t>
        </is>
      </c>
      <c r="BF223" s="24" t="inlineStr">
        <is>
          <t>1</t>
        </is>
      </c>
      <c r="BG223" s="24" t="inlineStr">
        <is>
          <t>f7d192f98d825d7c77be21b0531a91cff101ad35e418fe9d7e07c5d0f769f974</t>
        </is>
      </c>
      <c r="BH223" s="24" t="inlineStr">
        <is>
          <t>2026-09-27T10:04:48.545325Z</t>
        </is>
      </c>
      <c r="BI223" s="24" t="inlineStr">
        <is>
          <t>["same_event","same_team_same_day","same_league_same_day"]</t>
        </is>
      </c>
      <c r="BJ223" s="25" t="n">
        <v>4.5</v>
      </c>
      <c r="BK223" s="26" t="n">
        <v>144</v>
      </c>
      <c r="BL223" s="27" t="n">
        <v>2.44</v>
      </c>
      <c r="BM223" s="28" t="n">
        <v>0.409836</v>
      </c>
      <c r="BN223" s="28" t="n"/>
      <c r="BO223" s="28" t="n"/>
      <c r="BP223" s="25" t="n"/>
      <c r="BQ223" s="27" t="n"/>
      <c r="BR223" s="28" t="n"/>
      <c r="BS223" s="28" t="n"/>
      <c r="BT223" s="28" t="n"/>
      <c r="BU223" s="25" t="n"/>
      <c r="BV223" s="29" t="n"/>
      <c r="BW223" s="24" t="n"/>
      <c r="BX223" s="30" t="n">
        <v>1</v>
      </c>
      <c r="BY223" s="27" t="n">
        <v>-1</v>
      </c>
      <c r="BZ223" s="24" t="inlineStr">
        <is>
          <t>2026-09-28T04:30:27.398336Z</t>
        </is>
      </c>
      <c r="CA223" s="31" t="inlineStr">
        <is>
          <t>fixed one-unit hypothetical scoring; no real exposure or execution</t>
        </is>
      </c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inlineStr">
        <is>
          <t>2026-09-27T10:04:48.545325Z</t>
        </is>
      </c>
      <c r="CZ223" s="24" t="inlineStr">
        <is>
          <t>True</t>
        </is>
      </c>
      <c r="DA223" s="24" t="inlineStr">
        <is>
          <t>polymarket_us</t>
        </is>
      </c>
      <c r="DB223" s="24" t="inlineStr">
        <is>
          <t>decision_time_executable_quote</t>
        </is>
      </c>
      <c r="DC223" s="24" t="inlineStr">
        <is>
          <t>False</t>
        </is>
      </c>
      <c r="DD223" s="24" t="inlineStr">
        <is>
          <t>50191e52d1a109a332e6e1b4684a7b3ac608063d8590b146e7dfb367a7aee98e</t>
        </is>
      </c>
      <c r="DE223" s="24" t="inlineStr">
        <is>
          <t>/Users/vincentc9002/model-prediction/data/odds/wnba/2026-09-27/polymarket_snapshots.jsonl</t>
        </is>
      </c>
      <c r="DF223" s="24" t="inlineStr">
        <is>
          <t>50191e52d1a109a332e6e1b4684a7b3ac608063d8590b146e7dfb367a7aee98e</t>
        </is>
      </c>
      <c r="DG223" s="24" t="n"/>
      <c r="DH223" s="24" t="n"/>
      <c r="DI223" s="24" t="n"/>
      <c r="DJ223" s="24" t="inlineStr">
        <is>
          <t>0.409836</t>
        </is>
      </c>
      <c r="DK223" s="24" t="n"/>
      <c r="DL223" s="24" t="n"/>
      <c r="DM223" s="24" t="n"/>
      <c r="DN223" s="24" t="n"/>
      <c r="DO223" s="24" t="n"/>
      <c r="DP223" s="24" t="n"/>
      <c r="DQ223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"401918013", "event_start_utc": "2026-09-27T23:00Z", "features": {"away_points_hl10": 83.82, "elo_away": 1640.3, "elo_home": 1688.3, "elo_margin": 3.86, "expected_margin": 4.49, "expected_total": 170.58, "history_games": 946, "home_points_hl10": 86.76, "rest_diff": 1.0, "trend_margin": 5.2}, "historical_source_observation_times_verified": false, "inference_inputs": {"line": 4.5, "mean": 4.490996776421532, "sd": 13.37}, "model_version": "wnba-spread-margin-v2", "observed_at_utc": "2026-09-27T22:11:11.907998+00:00", "replay_scope": "Exact final classifier/distribution inputs and artifact. Upstream historical feature construction not certified.", "schema": "scalar-artifact-replay-v1", "snapshot_hash": "4aea44675a519bbf0f13359d71cc3b9648aa53de073e1bc15935de30440ea062"}</t>
        </is>
      </c>
    </row>
    <row r="224" ht="36" customHeight="1">
      <c r="A224" s="24" t="inlineStr">
        <is>
          <t>7aa8023fe54e412a</t>
        </is>
      </c>
      <c r="B224" s="24" t="inlineStr">
        <is>
          <t>2026-09-27T22:11:12.199108Z</t>
        </is>
      </c>
      <c r="C224" s="24" t="inlineStr">
        <is>
          <t>2026-09-28T01:00Z</t>
        </is>
      </c>
      <c r="D224" s="24" t="inlineStr">
        <is>
          <t>401918016</t>
        </is>
      </c>
      <c r="E224" s="24" t="inlineStr">
        <is>
          <t>WNBA</t>
        </is>
      </c>
      <c r="F224" s="24" t="inlineStr">
        <is>
          <t>Dallas Wings</t>
        </is>
      </c>
      <c r="G224" s="24" t="inlineStr">
        <is>
          <t>Golden State Valkyries</t>
        </is>
      </c>
      <c r="H224" s="24" t="inlineStr">
        <is>
          <t>spread</t>
        </is>
      </c>
      <c r="I224" s="24" t="inlineStr">
        <is>
          <t>away</t>
        </is>
      </c>
      <c r="J224" s="25" t="n">
        <v>5.5</v>
      </c>
      <c r="K224" s="24" t="inlineStr">
        <is>
          <t>polymarket_us</t>
        </is>
      </c>
      <c r="L224" s="26" t="n">
        <v>127</v>
      </c>
      <c r="M224" s="27" t="n">
        <v>2.27</v>
      </c>
      <c r="N224" s="28" t="n">
        <v>0.440529</v>
      </c>
      <c r="O224" s="28" t="n">
        <v>0.53726</v>
      </c>
      <c r="P224" s="28" t="n">
        <v>0.03</v>
      </c>
      <c r="Q224" s="28" t="n">
        <v>0.096731</v>
      </c>
      <c r="R224" s="26" t="n">
        <v>80</v>
      </c>
      <c r="S224" s="29" t="n">
        <v>1.5</v>
      </c>
      <c r="T224" s="24" t="inlineStr">
        <is>
          <t>wnba-spread-margin-v2</t>
        </is>
      </c>
      <c r="U224" s="24" t="inlineStr">
        <is>
          <t>settled</t>
        </is>
      </c>
      <c r="V224" s="24" t="inlineStr">
        <is>
          <t>loss</t>
        </is>
      </c>
      <c r="W224" s="26" t="n">
        <v>80</v>
      </c>
      <c r="X224" s="26" t="n">
        <v>104</v>
      </c>
      <c r="Y224" s="25" t="n"/>
      <c r="Z224" s="26" t="n"/>
      <c r="AA224" s="28" t="n"/>
      <c r="AB224" s="28" t="n"/>
      <c r="AC224" s="30" t="n">
        <v>-1.5</v>
      </c>
      <c r="AD224" s="24" t="inlineStr">
        <is>
          <t>2026-09-28T04:30:27.683299Z</t>
        </is>
      </c>
      <c r="AE224" s="31" t="inlineStr">
        <is>
          <t>Projected margin +4.2 (home), sd 13.4. Executable ask 0.4400 (asc-wnba-dal-gsv-2026-09-27-pos-5pt5).</t>
        </is>
      </c>
      <c r="AF224" s="31" t="inlineStr">
        <is>
          <t>Point-in-time composite Elo + trend + rest margin-normal spread model.</t>
        </is>
      </c>
      <c r="AG224" s="24" t="inlineStr">
        <is>
          <t>review_required</t>
        </is>
      </c>
      <c r="AH224" s="24" t="n"/>
      <c r="AI224" s="31" t="n"/>
      <c r="AJ224" s="31" t="n"/>
      <c r="AK224" s="24" t="inlineStr">
        <is>
          <t>paper_call</t>
        </is>
      </c>
      <c r="AL224" s="26" t="n">
        <v>4</v>
      </c>
      <c r="AM224" s="24" t="inlineStr">
        <is>
          <t>RESEARCH_OBSERVATION</t>
        </is>
      </c>
      <c r="AN224" s="24" t="inlineStr">
        <is>
          <t>CALL</t>
        </is>
      </c>
      <c r="AO224" s="24" t="inlineStr">
        <is>
          <t>PAPER_CALL_STALE_DATA</t>
        </is>
      </c>
      <c r="AP224" s="24" t="inlineStr">
        <is>
          <t>wnba-dal</t>
        </is>
      </c>
      <c r="AQ224" s="24" t="inlineStr">
        <is>
          <t>Dallas Wings</t>
        </is>
      </c>
      <c r="AR224" s="24" t="inlineStr">
        <is>
          <t>Dallas Wings</t>
        </is>
      </c>
      <c r="AS224" s="24" t="inlineStr">
        <is>
          <t>wnba-gsv</t>
        </is>
      </c>
      <c r="AT224" s="24" t="inlineStr">
        <is>
          <t>Golden State Valkyries</t>
        </is>
      </c>
      <c r="AU224" s="24" t="inlineStr">
        <is>
          <t>Golden State Valkyries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f7d192f98d825d7c77be21b0531a91cff101ad35e418fe9d7e07c5d0f769f974</t>
        </is>
      </c>
      <c r="BB224" s="24" t="inlineStr">
        <is>
          <t>margin_normal</t>
        </is>
      </c>
      <c r="BC224" s="24" t="inlineStr">
        <is>
          <t>wnba-spread-margin-v2</t>
        </is>
      </c>
      <c r="BD224" s="24" t="inlineStr">
        <is>
          <t>f7d192f98d825d7c77be21b0531a91cff101ad35e418fe9d7e07c5d0f769f974</t>
        </is>
      </c>
      <c r="BE224" s="24" t="inlineStr">
        <is>
          <t>wnba-spread-margin-v2</t>
        </is>
      </c>
      <c r="BF224" s="24" t="inlineStr">
        <is>
          <t>1</t>
        </is>
      </c>
      <c r="BG224" s="24" t="inlineStr">
        <is>
          <t>f7d192f98d825d7c77be21b0531a91cff101ad35e418fe9d7e07c5d0f769f974</t>
        </is>
      </c>
      <c r="BH224" s="24" t="inlineStr">
        <is>
          <t>2026-09-27T04:37:54.159464Z</t>
        </is>
      </c>
      <c r="BI224" s="24" t="inlineStr">
        <is>
          <t>["same_event","same_team_same_day","same_league_same_day"]</t>
        </is>
      </c>
      <c r="BJ224" s="25" t="n">
        <v>5.5</v>
      </c>
      <c r="BK224" s="26" t="n">
        <v>127</v>
      </c>
      <c r="BL224" s="27" t="n">
        <v>2.27</v>
      </c>
      <c r="BM224" s="28" t="n">
        <v>0.440529</v>
      </c>
      <c r="BN224" s="28" t="n"/>
      <c r="BO224" s="28" t="n"/>
      <c r="BP224" s="25" t="n"/>
      <c r="BQ224" s="27" t="n"/>
      <c r="BR224" s="28" t="n"/>
      <c r="BS224" s="28" t="n"/>
      <c r="BT224" s="28" t="n"/>
      <c r="BU224" s="25" t="n"/>
      <c r="BV224" s="29" t="n"/>
      <c r="BW224" s="24" t="n"/>
      <c r="BX224" s="30" t="n">
        <v>1</v>
      </c>
      <c r="BY224" s="27" t="n">
        <v>-1</v>
      </c>
      <c r="BZ224" s="24" t="inlineStr">
        <is>
          <t>2026-09-28T04:30:27.683299Z</t>
        </is>
      </c>
      <c r="CA224" s="31" t="inlineStr">
        <is>
          <t>fixed one-unit hypothetical scoring; no real exposure or execution</t>
        </is>
      </c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  <c r="CT224" s="24" t="n"/>
      <c r="CU224" s="24" t="n"/>
      <c r="CV224" s="24" t="n"/>
      <c r="CW224" s="24" t="n"/>
      <c r="CX224" s="24" t="n"/>
      <c r="CY224" s="24" t="inlineStr">
        <is>
          <t>2026-09-27T04:37:54.159464Z</t>
        </is>
      </c>
      <c r="CZ224" s="24" t="inlineStr">
        <is>
          <t>True</t>
        </is>
      </c>
      <c r="DA224" s="24" t="inlineStr">
        <is>
          <t>polymarket_us</t>
        </is>
      </c>
      <c r="DB224" s="24" t="inlineStr">
        <is>
          <t>decision_time_executable_quote</t>
        </is>
      </c>
      <c r="DC224" s="24" t="inlineStr">
        <is>
          <t>False</t>
        </is>
      </c>
      <c r="DD224" s="24" t="inlineStr">
        <is>
          <t>512c33d712936982a1e2c26dd3c2f60c277d39bc6f54cb685064327e5a870fb6</t>
        </is>
      </c>
      <c r="DE224" s="24" t="inlineStr">
        <is>
          <t>/Users/vincentc9002/model-prediction/data/odds/wnba/2026-09-27/polymarket_snapshots.jsonl</t>
        </is>
      </c>
      <c r="DF224" s="24" t="inlineStr">
        <is>
          <t>512c33d712936982a1e2c26dd3c2f60c277d39bc6f54cb685064327e5a870fb6</t>
        </is>
      </c>
      <c r="DG224" s="24" t="n"/>
      <c r="DH224" s="24" t="n"/>
      <c r="DI224" s="24" t="n"/>
      <c r="DJ224" s="24" t="inlineStr">
        <is>
          <t>0.440529</t>
        </is>
      </c>
      <c r="DK224" s="24" t="n"/>
      <c r="DL224" s="24" t="n"/>
      <c r="DM224" s="24" t="n"/>
      <c r="DN224" s="24" t="n"/>
      <c r="DO224" s="24" t="n"/>
      <c r="DP224" s="24" t="n"/>
      <c r="DQ224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"401918016", "event_start_utc": "2026-09-28T01:00Z", "features": {"away_points_hl10": 81.52, "elo_away": 1614.2, "elo_home": 1723.5, "elo_margin": 6.05, "expected_margin": 4.25, "expected_total": 163.74, "history_games": 946, "home_points_hl10": 82.22, "rest_diff": -1.0, "trend_margin": 2.97}, "historical_source_observation_times_verified": false, "inference_inputs": {"line": 5.5, "mean": 4.24946076493434, "sd": 13.37}, "model_version": "wnba-spread-margin-v2", "observed_at_utc": "2026-09-27T22:11:11.907998+00:00", "replay_scope": "Exact final classifier/distribution inputs and artifact. Upstream historical feature construction not certified.", "schema": "scalar-artifact-replay-v1", "snapshot_hash": "8aac138fd52d85fdb5f2acf902c3e5da0c7359efe465d9c71bd7ff319c833a58"}</t>
        </is>
      </c>
    </row>
    <row r="225" ht="36" customHeight="1">
      <c r="A225" s="24" t="inlineStr">
        <is>
          <t>68e4d07434fc43bb</t>
        </is>
      </c>
      <c r="B225" s="24" t="inlineStr">
        <is>
          <t>2026-09-27T22:11:12.199418Z</t>
        </is>
      </c>
      <c r="C225" s="24" t="inlineStr">
        <is>
          <t>2026-09-27T23:00Z</t>
        </is>
      </c>
      <c r="D225" s="24" t="inlineStr">
        <is>
          <t>401918013</t>
        </is>
      </c>
      <c r="E225" s="24" t="inlineStr">
        <is>
          <t>WNBA</t>
        </is>
      </c>
      <c r="F225" s="24" t="inlineStr">
        <is>
          <t>Washington Mystics</t>
        </is>
      </c>
      <c r="G225" s="24" t="inlineStr">
        <is>
          <t>Atlanta Dream</t>
        </is>
      </c>
      <c r="H225" s="24" t="inlineStr">
        <is>
          <t>total</t>
        </is>
      </c>
      <c r="I225" s="24" t="inlineStr">
        <is>
          <t>over</t>
        </is>
      </c>
      <c r="J225" s="25" t="n">
        <v>167.5</v>
      </c>
      <c r="K225" s="24" t="inlineStr">
        <is>
          <t>polymarket_us</t>
        </is>
      </c>
      <c r="L225" s="26" t="n">
        <v>133</v>
      </c>
      <c r="M225" s="27" t="n">
        <v>2.33</v>
      </c>
      <c r="N225" s="28" t="n">
        <v>0.429185</v>
      </c>
      <c r="O225" s="28" t="n">
        <v>0.628132</v>
      </c>
      <c r="P225" s="28" t="n">
        <v>0.03</v>
      </c>
      <c r="Q225" s="28" t="n">
        <v>0.198947</v>
      </c>
      <c r="R225" s="26" t="n">
        <v>100</v>
      </c>
      <c r="S225" s="29" t="n">
        <v>2</v>
      </c>
      <c r="T225" s="24" t="inlineStr">
        <is>
          <t>wnba-total-margin-v2</t>
        </is>
      </c>
      <c r="U225" s="24" t="inlineStr">
        <is>
          <t>settled</t>
        </is>
      </c>
      <c r="V225" s="24" t="inlineStr">
        <is>
          <t>win</t>
        </is>
      </c>
      <c r="W225" s="26" t="n">
        <v>77</v>
      </c>
      <c r="X225" s="26" t="n">
        <v>92</v>
      </c>
      <c r="Y225" s="25" t="n"/>
      <c r="Z225" s="26" t="n">
        <v>133</v>
      </c>
      <c r="AA225" s="28" t="n">
        <v>0.43</v>
      </c>
      <c r="AB225" s="28" t="n">
        <v>0.000815</v>
      </c>
      <c r="AC225" s="30" t="n">
        <v>2.66</v>
      </c>
      <c r="AD225" s="24" t="inlineStr">
        <is>
          <t>2026-09-28T04:30:27.966962Z</t>
        </is>
      </c>
      <c r="AE225" s="31" t="inlineStr">
        <is>
          <t>Projected total 172.7, sd 16.0. Executable ask 0.4300 (tsc-wnba-wsh-atl-2026-09-27-167pt5).</t>
        </is>
      </c>
      <c r="AF225" s="31" t="inlineStr">
        <is>
          <t>Research-baseline total model; not yet locked-holdout qualified.</t>
        </is>
      </c>
      <c r="AG225" s="24" t="inlineStr">
        <is>
          <t>not_applicable</t>
        </is>
      </c>
      <c r="AH225" s="24" t="n"/>
      <c r="AI225" s="31" t="n"/>
      <c r="AJ225" s="31" t="n"/>
      <c r="AK225" s="24" t="inlineStr">
        <is>
          <t>model_qualified</t>
        </is>
      </c>
      <c r="AL225" s="26" t="n">
        <v>4</v>
      </c>
      <c r="AM225" s="24" t="inlineStr">
        <is>
          <t>QUALIFIED_SHADOW_CALL</t>
        </is>
      </c>
      <c r="AN225" s="24" t="inlineStr">
        <is>
          <t>CALL</t>
        </is>
      </c>
      <c r="AO225" s="24" t="inlineStr">
        <is>
          <t>QUALIFIED</t>
        </is>
      </c>
      <c r="AP225" s="24" t="inlineStr">
        <is>
          <t>wnba-was</t>
        </is>
      </c>
      <c r="AQ225" s="24" t="inlineStr">
        <is>
          <t>Washington Mystics</t>
        </is>
      </c>
      <c r="AR225" s="24" t="inlineStr">
        <is>
          <t>Washington Mystics</t>
        </is>
      </c>
      <c r="AS225" s="24" t="inlineStr">
        <is>
          <t>wnba-atl</t>
        </is>
      </c>
      <c r="AT225" s="24" t="inlineStr">
        <is>
          <t>Atlanta Dream</t>
        </is>
      </c>
      <c r="AU225" s="24" t="inlineStr">
        <is>
          <t>Atlanta Dream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research</t>
        </is>
      </c>
      <c r="BA225" s="24" t="inlineStr">
        <is>
          <t>9c9b767590bbbb9a7b333eaf9def066d65bf813e735ed73aa27cfb2c609a4ca5</t>
        </is>
      </c>
      <c r="BB225" s="24" t="inlineStr">
        <is>
          <t>total_normal</t>
        </is>
      </c>
      <c r="BC225" s="24" t="inlineStr">
        <is>
          <t>wnba-total-margin-v2</t>
        </is>
      </c>
      <c r="BD225" s="24" t="inlineStr">
        <is>
          <t>9c9b767590bbbb9a7b333eaf9def066d65bf813e735ed73aa27cfb2c609a4ca5</t>
        </is>
      </c>
      <c r="BE225" s="24" t="inlineStr">
        <is>
          <t>wnba-total-margin-v2</t>
        </is>
      </c>
      <c r="BF225" s="24" t="inlineStr">
        <is>
          <t>1</t>
        </is>
      </c>
      <c r="BG225" s="24" t="inlineStr">
        <is>
          <t>9c9b767590bbbb9a7b333eaf9def066d65bf813e735ed73aa27cfb2c609a4ca5</t>
        </is>
      </c>
      <c r="BH225" s="24" t="inlineStr">
        <is>
          <t>2026-09-27T16:04:49.887582Z</t>
        </is>
      </c>
      <c r="BI225" s="24" t="inlineStr">
        <is>
          <t>["same_event","same_team_same_day","same_league_same_day"]</t>
        </is>
      </c>
      <c r="BJ225" s="25" t="n">
        <v>167.5</v>
      </c>
      <c r="BK225" s="26" t="n">
        <v>133</v>
      </c>
      <c r="BL225" s="27" t="n">
        <v>2.33</v>
      </c>
      <c r="BM225" s="28" t="n">
        <v>0.429185</v>
      </c>
      <c r="BN225" s="28" t="n"/>
      <c r="BO225" s="28" t="n"/>
      <c r="BP225" s="25" t="n"/>
      <c r="BQ225" s="27" t="n">
        <v>2.33</v>
      </c>
      <c r="BR225" s="28" t="n">
        <v>0.43</v>
      </c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True</t>
        </is>
      </c>
      <c r="CT225" s="24" t="n"/>
      <c r="CU225" s="24" t="n"/>
      <c r="CV225" s="24" t="n"/>
      <c r="CW225" s="24" t="n"/>
      <c r="CX225" s="24" t="n"/>
      <c r="CY225" s="24" t="inlineStr">
        <is>
          <t>2026-09-27T16:04:49.887582Z</t>
        </is>
      </c>
      <c r="CZ225" s="24" t="inlineStr">
        <is>
          <t>True</t>
        </is>
      </c>
      <c r="DA225" s="24" t="inlineStr">
        <is>
          <t>polymarket_us</t>
        </is>
      </c>
      <c r="DB225" s="24" t="inlineStr">
        <is>
          <t>decision_time_executable_quote</t>
        </is>
      </c>
      <c r="DC225" s="24" t="inlineStr">
        <is>
          <t>False</t>
        </is>
      </c>
      <c r="DD225" s="24" t="inlineStr">
        <is>
          <t>33fc080436026fd853147a68ddbabeb3952684b5321b046ebec547d012ff2711</t>
        </is>
      </c>
      <c r="DE225" s="24" t="inlineStr">
        <is>
          <t>/Users/vincentc9002/model-prediction/data/odds/wnba/2026-09-27/polymarket_snapshots.jsonl</t>
        </is>
      </c>
      <c r="DF225" s="24" t="inlineStr">
        <is>
          <t>33fc080436026fd853147a68ddbabeb3952684b5321b046ebec547d012ff2711</t>
        </is>
      </c>
      <c r="DG225" s="24" t="n"/>
      <c r="DH225" s="24" t="n"/>
      <c r="DI225" s="24" t="n"/>
      <c r="DJ225" s="24" t="inlineStr">
        <is>
          <t>0.429185</t>
        </is>
      </c>
      <c r="DK225" s="24" t="n"/>
      <c r="DL225" s="24" t="n"/>
      <c r="DM225" s="24" t="n"/>
      <c r="DN225" s="24" t="n"/>
      <c r="DO225" s="24" t="n"/>
      <c r="DP225" s="24" t="n"/>
      <c r="DQ225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"401918013", "event_start_utc": "2026-09-27T23:00Z", "features": {"away_points_hl10": 83.82, "elo_away": 1640.3, "elo_home": 1688.3, "elo_margin": 3.86, "expected_margin": 4.94, "expected_total": 172.73, "history_games": 946, "home_points_hl10": 86.76, "rest_diff": 0.0, "trend_margin": 4.94}, "historical_source_observation_times_verified": false, "inference_inputs": {"line": 167.5, "mean": 172.73055870000002, "sd": 16.0}, "model_version": "wnba-total-margin-v2", "observed_at_utc": "2026-09-27T22:11:11.908060+00:00", "replay_scope": "Exact final classifier/distribution inputs and artifact. Upstream historical feature construction not certified.", "schema": "scalar-artifact-replay-v1", "snapshot_hash": "b35079db6cb11fbe94ec4eda52d624d26184ea2402a966bbbc6ff59a0800659a"}</t>
        </is>
      </c>
    </row>
    <row r="226" ht="36" customHeight="1">
      <c r="A226" s="24" t="inlineStr">
        <is>
          <t>a94d9bb1825f47ef</t>
        </is>
      </c>
      <c r="B226" s="24" t="inlineStr">
        <is>
          <t>2026-09-27T22:11:12.199418Z</t>
        </is>
      </c>
      <c r="C226" s="24" t="inlineStr">
        <is>
          <t>2026-09-28T01:00Z</t>
        </is>
      </c>
      <c r="D226" s="24" t="inlineStr">
        <is>
          <t>401918016</t>
        </is>
      </c>
      <c r="E226" s="24" t="inlineStr">
        <is>
          <t>WNBA</t>
        </is>
      </c>
      <c r="F226" s="24" t="inlineStr">
        <is>
          <t>Dallas Wings</t>
        </is>
      </c>
      <c r="G226" s="24" t="inlineStr">
        <is>
          <t>Golden State Valkyries</t>
        </is>
      </c>
      <c r="H226" s="24" t="inlineStr">
        <is>
          <t>total</t>
        </is>
      </c>
      <c r="I226" s="24" t="inlineStr">
        <is>
          <t>over</t>
        </is>
      </c>
      <c r="J226" s="25" t="n">
        <v>157.5</v>
      </c>
      <c r="K226" s="24" t="inlineStr">
        <is>
          <t>polymarket_us</t>
        </is>
      </c>
      <c r="L226" s="26" t="n">
        <v>122</v>
      </c>
      <c r="M226" s="27" t="n">
        <v>2.22</v>
      </c>
      <c r="N226" s="28" t="n">
        <v>0.45045</v>
      </c>
      <c r="O226" s="28" t="n">
        <v>0.61653</v>
      </c>
      <c r="P226" s="28" t="n">
        <v>0.03</v>
      </c>
      <c r="Q226" s="28" t="n">
        <v>0.16608</v>
      </c>
      <c r="R226" s="26" t="n">
        <v>100</v>
      </c>
      <c r="S226" s="29" t="n">
        <v>2</v>
      </c>
      <c r="T226" s="24" t="inlineStr">
        <is>
          <t>wnba-total-margin-v2</t>
        </is>
      </c>
      <c r="U226" s="24" t="inlineStr">
        <is>
          <t>settled</t>
        </is>
      </c>
      <c r="V226" s="24" t="inlineStr">
        <is>
          <t>win</t>
        </is>
      </c>
      <c r="W226" s="26" t="n">
        <v>80</v>
      </c>
      <c r="X226" s="26" t="n">
        <v>104</v>
      </c>
      <c r="Y226" s="25" t="n"/>
      <c r="Z226" s="26" t="n">
        <v>122</v>
      </c>
      <c r="AA226" s="28" t="n">
        <v>0.45</v>
      </c>
      <c r="AB226" s="28" t="n">
        <v>-0.00045</v>
      </c>
      <c r="AC226" s="30" t="n">
        <v>2.44</v>
      </c>
      <c r="AD226" s="24" t="inlineStr">
        <is>
          <t>2026-09-28T04:30:28.277482Z</t>
        </is>
      </c>
      <c r="AE226" s="31" t="inlineStr">
        <is>
          <t>Projected total 162.2, sd 16.0. Executable ask 0.4500 (tsc-wnba-dal-gsv-2026-09-27-157pt5).</t>
        </is>
      </c>
      <c r="AF226" s="31" t="inlineStr">
        <is>
          <t>Research-baseline total model; not yet locked-holdout qualified.</t>
        </is>
      </c>
      <c r="AG226" s="24" t="inlineStr">
        <is>
          <t>not_applicable</t>
        </is>
      </c>
      <c r="AH226" s="24" t="n"/>
      <c r="AI226" s="31" t="n"/>
      <c r="AJ226" s="31" t="n"/>
      <c r="AK226" s="24" t="inlineStr">
        <is>
          <t>paper_call</t>
        </is>
      </c>
      <c r="AL226" s="26" t="n">
        <v>4</v>
      </c>
      <c r="AM226" s="24" t="inlineStr">
        <is>
          <t>RESEARCH_OBSERVATION</t>
        </is>
      </c>
      <c r="AN226" s="24" t="inlineStr">
        <is>
          <t>CALL</t>
        </is>
      </c>
      <c r="AO226" s="24" t="inlineStr">
        <is>
          <t>PAPER_CALL_STALE_DATA</t>
        </is>
      </c>
      <c r="AP226" s="24" t="inlineStr">
        <is>
          <t>wnba-dal</t>
        </is>
      </c>
      <c r="AQ226" s="24" t="inlineStr">
        <is>
          <t>Dallas Wings</t>
        </is>
      </c>
      <c r="AR226" s="24" t="inlineStr">
        <is>
          <t>Dallas Wings</t>
        </is>
      </c>
      <c r="AS226" s="24" t="inlineStr">
        <is>
          <t>wnba-gsv</t>
        </is>
      </c>
      <c r="AT226" s="24" t="inlineStr">
        <is>
          <t>Golden State Valkyries</t>
        </is>
      </c>
      <c r="AU226" s="24" t="inlineStr">
        <is>
          <t>Golden State Valkyries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research</t>
        </is>
      </c>
      <c r="BA226" s="24" t="inlineStr">
        <is>
          <t>9c9b767590bbbb9a7b333eaf9def066d65bf813e735ed73aa27cfb2c609a4ca5</t>
        </is>
      </c>
      <c r="BB226" s="24" t="inlineStr">
        <is>
          <t>total_normal</t>
        </is>
      </c>
      <c r="BC226" s="24" t="inlineStr">
        <is>
          <t>wnba-total-margin-v2</t>
        </is>
      </c>
      <c r="BD226" s="24" t="inlineStr">
        <is>
          <t>9c9b767590bbbb9a7b333eaf9def066d65bf813e735ed73aa27cfb2c609a4ca5</t>
        </is>
      </c>
      <c r="BE226" s="24" t="inlineStr">
        <is>
          <t>wnba-total-margin-v2</t>
        </is>
      </c>
      <c r="BF226" s="24" t="inlineStr">
        <is>
          <t>1</t>
        </is>
      </c>
      <c r="BG226" s="24" t="inlineStr">
        <is>
          <t>9c9b767590bbbb9a7b333eaf9def066d65bf813e735ed73aa27cfb2c609a4ca5</t>
        </is>
      </c>
      <c r="BH226" s="24" t="inlineStr">
        <is>
          <t>2026-09-27T04:37:54.091177Z</t>
        </is>
      </c>
      <c r="BI226" s="24" t="inlineStr">
        <is>
          <t>["same_event","same_team_same_day","same_league_same_day"]</t>
        </is>
      </c>
      <c r="BJ226" s="25" t="n">
        <v>157.5</v>
      </c>
      <c r="BK226" s="26" t="n">
        <v>122</v>
      </c>
      <c r="BL226" s="27" t="n">
        <v>2.22</v>
      </c>
      <c r="BM226" s="28" t="n">
        <v>0.45045</v>
      </c>
      <c r="BN226" s="28" t="n"/>
      <c r="BO226" s="28" t="n"/>
      <c r="BP226" s="25" t="n"/>
      <c r="BQ226" s="27" t="n">
        <v>2.22</v>
      </c>
      <c r="BR226" s="28" t="n">
        <v>0.45</v>
      </c>
      <c r="BS226" s="28" t="n"/>
      <c r="BT226" s="28" t="n"/>
      <c r="BU226" s="25" t="n"/>
      <c r="BV226" s="29" t="n"/>
      <c r="BW226" s="24" t="n"/>
      <c r="BX226" s="30" t="n">
        <v>1</v>
      </c>
      <c r="BY226" s="27" t="n">
        <v>1.220002</v>
      </c>
      <c r="BZ226" s="24" t="inlineStr">
        <is>
          <t>2026-09-28T04:30:28.277482Z</t>
        </is>
      </c>
      <c r="CA226" s="31" t="inlineStr">
        <is>
          <t>fixed one-unit hypothetical scoring; no real exposure or execution</t>
        </is>
      </c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  <c r="CT226" s="24" t="n"/>
      <c r="CU226" s="24" t="n"/>
      <c r="CV226" s="24" t="n"/>
      <c r="CW226" s="24" t="n"/>
      <c r="CX226" s="24" t="n"/>
      <c r="CY226" s="24" t="inlineStr">
        <is>
          <t>2026-09-27T04:37:54.091177Z</t>
        </is>
      </c>
      <c r="CZ226" s="24" t="inlineStr">
        <is>
          <t>True</t>
        </is>
      </c>
      <c r="DA226" s="24" t="inlineStr">
        <is>
          <t>polymarket_us</t>
        </is>
      </c>
      <c r="DB226" s="24" t="inlineStr">
        <is>
          <t>decision_time_executable_quote</t>
        </is>
      </c>
      <c r="DC226" s="24" t="inlineStr">
        <is>
          <t>False</t>
        </is>
      </c>
      <c r="DD226" s="24" t="inlineStr">
        <is>
          <t>f7197a4713ea7a877c1973fe9ed8e90c25e61b452a83d742614d797f711ff030</t>
        </is>
      </c>
      <c r="DE226" s="24" t="inlineStr">
        <is>
          <t>/Users/vincentc9002/model-prediction/data/odds/wnba/2026-09-27/polymarket_snapshots.jsonl</t>
        </is>
      </c>
      <c r="DF226" s="24" t="inlineStr">
        <is>
          <t>f7197a4713ea7a877c1973fe9ed8e90c25e61b452a83d742614d797f711ff030</t>
        </is>
      </c>
      <c r="DG226" s="24" t="n"/>
      <c r="DH226" s="24" t="n"/>
      <c r="DI226" s="24" t="n"/>
      <c r="DJ226" s="24" t="inlineStr">
        <is>
          <t>0.45045</t>
        </is>
      </c>
      <c r="DK226" s="24" t="n"/>
      <c r="DL226" s="24" t="n"/>
      <c r="DM226" s="24" t="n"/>
      <c r="DN226" s="24" t="n"/>
      <c r="DO226" s="24" t="n"/>
      <c r="DP226" s="24" t="n"/>
      <c r="DQ22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"401918016", "event_start_utc": "2026-09-28T01:00Z", "features": {"away_points_hl10": 81.52, "elo_away": 1614.2, "elo_home": 1723.5, "elo_margin": 6.05, "expected_margin": 2.71, "expected_total": 162.24, "history_games": 946, "home_points_hl10": 82.22, "rest_diff": 0.0, "trend_margin": 2.71}, "historical_source_observation_times_verified": false, "inference_inputs": {"line": 157.5, "mean": 162.2420971, "sd": 16.0}, "model_version": "wnba-total-margin-v2", "observed_at_utc": "2026-09-27T22:11:11.908060+00:00", "replay_scope": "Exact final classifier/distribution inputs and artifact. Upstream historical feature construction not certified.", "schema": "scalar-artifact-replay-v1", "snapshot_hash": "5a2a24d54f9b170f8448e2347789b6fa4256b16a18b4ba44d7c287960fa148c4"}</t>
        </is>
      </c>
    </row>
    <row r="227" ht="36" customHeight="1">
      <c r="A227" s="24" t="inlineStr">
        <is>
          <t>69b58b39ce1042c1</t>
        </is>
      </c>
      <c r="B227" s="24" t="inlineStr">
        <is>
          <t>2026-09-29T22:06:18.874242Z</t>
        </is>
      </c>
      <c r="C227" s="24" t="inlineStr">
        <is>
          <t>2026-09-29T18:30:00-0400</t>
        </is>
      </c>
      <c r="D227" s="24" t="inlineStr">
        <is>
          <t>401918018</t>
        </is>
      </c>
      <c r="E227" s="24" t="inlineStr">
        <is>
          <t>WNBA</t>
        </is>
      </c>
      <c r="F227" s="24" t="inlineStr">
        <is>
          <t>Las Vegas Aces</t>
        </is>
      </c>
      <c r="G227" s="24" t="inlineStr">
        <is>
          <t>Indiana Fever</t>
        </is>
      </c>
      <c r="H227" s="24" t="inlineStr">
        <is>
          <t>moneyline</t>
        </is>
      </c>
      <c r="I227" s="24" t="inlineStr">
        <is>
          <t>home</t>
        </is>
      </c>
      <c r="J227" s="25" t="n"/>
      <c r="K227" s="24" t="inlineStr">
        <is>
          <t>model_opinion_no_executable_quote</t>
        </is>
      </c>
      <c r="L227" s="26" t="n">
        <v>-110</v>
      </c>
      <c r="M227" s="27" t="n">
        <v>1.909091</v>
      </c>
      <c r="N227" s="28" t="n">
        <v>0.52381</v>
      </c>
      <c r="O227" s="28" t="n">
        <v>0.517035</v>
      </c>
      <c r="P227" s="28" t="n"/>
      <c r="Q227" s="28" t="n">
        <v>-0.006775</v>
      </c>
      <c r="R227" s="26" t="n">
        <v>17</v>
      </c>
      <c r="S227" s="29" t="n">
        <v>1</v>
      </c>
      <c r="T227" s="24" t="inlineStr">
        <is>
          <t>wnba-elo-trend-lr-v4</t>
        </is>
      </c>
      <c r="U227" s="24" t="inlineStr">
        <is>
          <t>settled</t>
        </is>
      </c>
      <c r="V227" s="24" t="inlineStr">
        <is>
          <t>win</t>
        </is>
      </c>
      <c r="W227" s="26" t="n">
        <v>89</v>
      </c>
      <c r="X227" s="26" t="n">
        <v>99</v>
      </c>
      <c r="Y227" s="25" t="n"/>
      <c r="Z227" s="26" t="n"/>
      <c r="AA227" s="28" t="n"/>
      <c r="AB227" s="28" t="n"/>
      <c r="AC227" s="30" t="n">
        <v>0.9091</v>
      </c>
      <c r="AD227" s="24" t="inlineStr">
        <is>
          <t>2026-09-30T04:30:12.926694Z</t>
        </is>
      </c>
      <c r="AE227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27" s="31" t="inlineStr">
        <is>
          <t>Learned model; shadow-qualified via operator override.</t>
        </is>
      </c>
      <c r="AG227" s="24" t="inlineStr">
        <is>
          <t>not_applicable</t>
        </is>
      </c>
      <c r="AH227" s="24" t="n"/>
      <c r="AI227" s="31" t="n"/>
      <c r="AJ227" s="31" t="n"/>
      <c r="AK227" s="24" t="inlineStr">
        <is>
          <t>paper_call</t>
        </is>
      </c>
      <c r="AL227" s="26" t="n">
        <v>4</v>
      </c>
      <c r="AM227" s="24" t="inlineStr">
        <is>
          <t>RESEARCH_OBSERVATION</t>
        </is>
      </c>
      <c r="AN227" s="24" t="inlineStr">
        <is>
          <t>CALL</t>
        </is>
      </c>
      <c r="AO227" s="24" t="inlineStr">
        <is>
          <t>PAPER_CALL_MARKET_UNAVAILABLE</t>
        </is>
      </c>
      <c r="AP227" s="24" t="inlineStr">
        <is>
          <t>wnba-lva</t>
        </is>
      </c>
      <c r="AQ227" s="24" t="inlineStr">
        <is>
          <t>Las Vegas Aces</t>
        </is>
      </c>
      <c r="AR227" s="24" t="inlineStr">
        <is>
          <t>Las Vegas Aces</t>
        </is>
      </c>
      <c r="AS227" s="24" t="inlineStr">
        <is>
          <t>wnba-ind</t>
        </is>
      </c>
      <c r="AT227" s="24" t="inlineStr">
        <is>
          <t>Indiana Fever</t>
        </is>
      </c>
      <c r="AU227" s="24" t="inlineStr">
        <is>
          <t>Indiana Fever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7afd5274214b58b7efd7f7febc7be3ab33b92351cda5cc6403c0a39faea0cc8c</t>
        </is>
      </c>
      <c r="BB227" s="24" t="inlineStr">
        <is>
          <t>learned_lr</t>
        </is>
      </c>
      <c r="BC227" s="24" t="inlineStr">
        <is>
          <t>wnba-elo-trend-lr-v4</t>
        </is>
      </c>
      <c r="BD227" s="24" t="inlineStr">
        <is>
          <t>7afd5274214b58b7efd7f7febc7be3ab33b92351cda5cc6403c0a39faea0cc8c</t>
        </is>
      </c>
      <c r="BE227" s="24" t="inlineStr">
        <is>
          <t>80c63c050289d2e6</t>
        </is>
      </c>
      <c r="BF227" s="24" t="inlineStr">
        <is>
          <t>1</t>
        </is>
      </c>
      <c r="BG227" s="24" t="inlineStr">
        <is>
          <t>wnba-elo-trend-lr-v4</t>
        </is>
      </c>
      <c r="BH227" s="24" t="inlineStr">
        <is>
          <t>2026-09-29T22:06:18.874242Z</t>
        </is>
      </c>
      <c r="BI227" s="24" t="inlineStr">
        <is>
          <t>["same_event","same_team_same_day","same_league_same_day"]</t>
        </is>
      </c>
      <c r="BJ227" s="25" t="n"/>
      <c r="BK227" s="26" t="n">
        <v>-110</v>
      </c>
      <c r="BL227" s="27" t="n">
        <v>1.909091</v>
      </c>
      <c r="BM227" s="28" t="n">
        <v>0.52381</v>
      </c>
      <c r="BN227" s="28" t="n"/>
      <c r="BO227" s="28" t="n"/>
      <c r="BP227" s="25" t="n"/>
      <c r="BQ227" s="27" t="n"/>
      <c r="BR227" s="28" t="n"/>
      <c r="BS227" s="28" t="n"/>
      <c r="BT227" s="28" t="n"/>
      <c r="BU227" s="25" t="n"/>
      <c r="BV227" s="29" t="n"/>
      <c r="BW227" s="24" t="n"/>
      <c r="BX227" s="30" t="n">
        <v>1</v>
      </c>
      <c r="BY227" s="27" t="n">
        <v>0.909091</v>
      </c>
      <c r="BZ227" s="24" t="inlineStr">
        <is>
          <t>2026-09-30T04:30:12.926694Z</t>
        </is>
      </c>
      <c r="CA227" s="31" t="inlineStr">
        <is>
          <t>fixed one-unit hypothetical scoring; no real exposure or execution</t>
        </is>
      </c>
      <c r="CB227" s="24" t="n"/>
      <c r="CC227" s="24" t="inlineStr">
        <is>
          <t>0.5042690331</t>
        </is>
      </c>
      <c r="CD227" s="24" t="inlineStr">
        <is>
          <t>-6.930505</t>
        </is>
      </c>
      <c r="CE227" s="24" t="n"/>
      <c r="CF227" s="24" t="n"/>
      <c r="CG227" s="24" t="n"/>
      <c r="CH227" s="24" t="n"/>
      <c r="CI227" s="24" t="inlineStr">
        <is>
          <t>executable_quote_missing_or_unmatched</t>
        </is>
      </c>
      <c r="CJ227" s="24" t="inlineStr">
        <is>
          <t>-4.273862</t>
        </is>
      </c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False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n"/>
      <c r="DE227" s="24" t="n"/>
      <c r="DF227" s="24" t="n"/>
      <c r="DG227" s="24" t="n"/>
      <c r="DH227" s="24" t="n"/>
      <c r="DI227" s="24" t="n"/>
      <c r="DJ227" s="24" t="inlineStr">
        <is>
          <t>0.52381</t>
        </is>
      </c>
      <c r="DK227" s="24" t="n"/>
      <c r="DL227" s="24" t="n"/>
      <c r="DM227" s="24" t="n"/>
      <c r="DN227" s="24" t="n"/>
      <c r="DO227" s="24" t="n"/>
      <c r="DP227" s="24" t="n"/>
      <c r="DQ227" s="24" t="inlineStr">
        <is>
          <t>{"adjustment": {"applied": false, "availability": {"availability_points_gap": 0.1377891758, "availability_report_age_hours": 0.105242845, "availability_source_conflict_count": 0, "availability_source_conflicts": [], "availability_uncertainty": 0.0, "away_available_minutes_share": 0.863364645, "home_available_minutes_share": 0.95133461, "source_evidence": {"espn_observed_at_utc": "2026-09-29T22:04:43.250358+00:00", "espn_snapshot_hash": "653190d8e1e8aabbfced5130acb67c34e346f8952b1f39c17f65caa82f5c7077", "official_observed_at_utc": "2026-09-29T22:04:42.639510+00:00", "official_report_at_utc": "2026-09-29T22:00:00+00:00", "official_snapshot_hash": "268ab6a0a16bb56480dac704253a2f220f7941d83ec1639a320446bad16f20eb", "prior_hash": "732101aa9f74bfd1883012b1b741994762858436729decbb3ac8f45f0a0871c1", "prior_observed_at_utc": "2026-09-29T22:04:42.537766+00:00"}}, "margin_sigma": 14.686342044882373, "method": "wnba_probit_v1", "minimum_delta": 0.05, "points_gap": 0.1377891758},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0.5170354459688453, "event_id": "401918018", "event_start_utc": "2026-09-29T22:30:00+00:00", "features": {"defensive_trend_gap": -4.273862, "elo_probability": 0.504269033143283, "trend_gap": -6.930505}, "historical_source_observation_times_verified": false, "model_version": "wnba-elo-trend-lr-v4", "observed_at_utc": "2026-09-29T22:06:18.874242+00:00", "schema": "learned-moneyline-replay-v1", "served_home_probability": 0.5170354459688453, "snapshot_hash": "88d2982d1f5a620f637c5de60058b1a503ae28ed648690d80e371780b73907e0"}</t>
        </is>
      </c>
    </row>
    <row r="228" ht="36" customHeight="1">
      <c r="A228" s="24" t="inlineStr">
        <is>
          <t>1f4f1d1c760145a5</t>
        </is>
      </c>
      <c r="B228" s="24" t="inlineStr">
        <is>
          <t>2026-09-29T22:06:18.874242Z</t>
        </is>
      </c>
      <c r="C228" s="24" t="inlineStr">
        <is>
          <t>2026-09-29T20:30:00-0400</t>
        </is>
      </c>
      <c r="D228" s="24" t="inlineStr">
        <is>
          <t>401918017</t>
        </is>
      </c>
      <c r="E228" s="24" t="inlineStr">
        <is>
          <t>WNBA</t>
        </is>
      </c>
      <c r="F228" s="24" t="inlineStr">
        <is>
          <t>Minnesota Lynx</t>
        </is>
      </c>
      <c r="G228" s="24" t="inlineStr">
        <is>
          <t>New York Liberty</t>
        </is>
      </c>
      <c r="H228" s="24" t="inlineStr">
        <is>
          <t>moneyline</t>
        </is>
      </c>
      <c r="I228" s="24" t="inlineStr">
        <is>
          <t>home</t>
        </is>
      </c>
      <c r="J228" s="25" t="n"/>
      <c r="K228" s="24" t="inlineStr">
        <is>
          <t>polymarket_us</t>
        </is>
      </c>
      <c r="L228" s="26" t="n">
        <v>144</v>
      </c>
      <c r="M228" s="27" t="n">
        <v>2.44</v>
      </c>
      <c r="N228" s="28" t="n">
        <v>0.409836</v>
      </c>
      <c r="O228" s="28" t="n">
        <v>0.544255</v>
      </c>
      <c r="P228" s="28" t="n"/>
      <c r="Q228" s="28" t="n">
        <v>0.134419</v>
      </c>
      <c r="R228" s="26" t="n">
        <v>100</v>
      </c>
      <c r="S228" s="29" t="n">
        <v>1.5</v>
      </c>
      <c r="T228" s="24" t="inlineStr">
        <is>
          <t>wnba-elo-trend-lr-v4</t>
        </is>
      </c>
      <c r="U228" s="24" t="inlineStr">
        <is>
          <t>settled</t>
        </is>
      </c>
      <c r="V228" s="24" t="inlineStr">
        <is>
          <t>win</t>
        </is>
      </c>
      <c r="W228" s="26" t="n">
        <v>71</v>
      </c>
      <c r="X228" s="26" t="n">
        <v>87</v>
      </c>
      <c r="Y228" s="25" t="n"/>
      <c r="Z228" s="26" t="n">
        <v>144</v>
      </c>
      <c r="AA228" s="28" t="n">
        <v>0.41</v>
      </c>
      <c r="AB228" s="28" t="n">
        <v>0.000164</v>
      </c>
      <c r="AC228" s="30" t="n">
        <v>2.16</v>
      </c>
      <c r="AD228" s="24" t="inlineStr">
        <is>
          <t>2026-09-30T04:30:13.434817Z</t>
        </is>
      </c>
      <c r="AE228" s="31" t="inlineStr">
        <is>
          <t>Learned LR call at threshold 0.5001; executable ask 0.4100 (aec-wnba-min-ny-2026-09-29); model edge vs ask +0.1343. NOTE: NO_CALL_AVAILABILITY_PLAYER_UNMAPPED unavailable for this game — defaulted to neutral, other features used normally.</t>
        </is>
      </c>
      <c r="AF228" s="31" t="inlineStr">
        <is>
          <t>Learned model; shadow-qualified via operator override.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paper_call</t>
        </is>
      </c>
      <c r="AL228" s="26" t="n">
        <v>4</v>
      </c>
      <c r="AM228" s="24" t="inlineStr">
        <is>
          <t>RESEARCH_OBSERVATION</t>
        </is>
      </c>
      <c r="AN228" s="24" t="inlineStr">
        <is>
          <t>CALL</t>
        </is>
      </c>
      <c r="AO228" s="24" t="inlineStr">
        <is>
          <t>PAPER_CALL_STALE_DATA</t>
        </is>
      </c>
      <c r="AP228" s="24" t="inlineStr">
        <is>
          <t>wnba-min</t>
        </is>
      </c>
      <c r="AQ228" s="24" t="inlineStr">
        <is>
          <t>Minnesota Lynx</t>
        </is>
      </c>
      <c r="AR228" s="24" t="inlineStr">
        <is>
          <t>Minnesota Lynx</t>
        </is>
      </c>
      <c r="AS228" s="24" t="inlineStr">
        <is>
          <t>wnba-nyl</t>
        </is>
      </c>
      <c r="AT228" s="24" t="inlineStr">
        <is>
          <t>New York Liberty</t>
        </is>
      </c>
      <c r="AU228" s="24" t="inlineStr">
        <is>
          <t>New York Liberty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7afd5274214b58b7efd7f7febc7be3ab33b92351cda5cc6403c0a39faea0cc8c</t>
        </is>
      </c>
      <c r="BB228" s="24" t="inlineStr">
        <is>
          <t>learned_lr</t>
        </is>
      </c>
      <c r="BC228" s="24" t="inlineStr">
        <is>
          <t>wnba-elo-trend-lr-v4</t>
        </is>
      </c>
      <c r="BD228" s="24" t="inlineStr">
        <is>
          <t>7afd5274214b58b7efd7f7febc7be3ab33b92351cda5cc6403c0a39faea0cc8c</t>
        </is>
      </c>
      <c r="BE228" s="24" t="inlineStr">
        <is>
          <t>6e3a1047f24bdd49</t>
        </is>
      </c>
      <c r="BF228" s="24" t="inlineStr">
        <is>
          <t>1</t>
        </is>
      </c>
      <c r="BG228" s="24" t="inlineStr">
        <is>
          <t>wnba-elo-trend-lr-v4</t>
        </is>
      </c>
      <c r="BH228" s="24" t="inlineStr">
        <is>
          <t>2026-09-29T04:33:01.244302Z</t>
        </is>
      </c>
      <c r="BI228" s="24" t="inlineStr">
        <is>
          <t>["same_event","same_team_same_day","same_league_same_day"]</t>
        </is>
      </c>
      <c r="BJ228" s="25" t="n"/>
      <c r="BK228" s="26" t="n">
        <v>144</v>
      </c>
      <c r="BL228" s="27" t="n">
        <v>2.44</v>
      </c>
      <c r="BM228" s="28" t="n">
        <v>0.409836</v>
      </c>
      <c r="BN228" s="28" t="n">
        <v>0.405941</v>
      </c>
      <c r="BO228" s="28" t="n"/>
      <c r="BP228" s="25" t="n"/>
      <c r="BQ228" s="27" t="n">
        <v>2.44</v>
      </c>
      <c r="BR228" s="28" t="n">
        <v>0.41</v>
      </c>
      <c r="BS228" s="28" t="n"/>
      <c r="BT228" s="28" t="n"/>
      <c r="BU228" s="25" t="n"/>
      <c r="BV228" s="29" t="n"/>
      <c r="BW228" s="24" t="n"/>
      <c r="BX228" s="30" t="n">
        <v>1</v>
      </c>
      <c r="BY228" s="27" t="n">
        <v>1.44</v>
      </c>
      <c r="BZ228" s="24" t="inlineStr">
        <is>
          <t>2026-09-30T04:30:13.434817Z</t>
        </is>
      </c>
      <c r="CA228" s="31" t="inlineStr">
        <is>
          <t>fixed one-unit hypothetical scoring; no real exposure or execution</t>
        </is>
      </c>
      <c r="CB228" s="24" t="n"/>
      <c r="CC228" s="24" t="inlineStr">
        <is>
          <t>0.5692652871</t>
        </is>
      </c>
      <c r="CD228" s="24" t="inlineStr">
        <is>
          <t>3.279935</t>
        </is>
      </c>
      <c r="CE228" s="24" t="n"/>
      <c r="CF228" s="24" t="n"/>
      <c r="CG228" s="24" t="n"/>
      <c r="CH228" s="24" t="n"/>
      <c r="CI228" s="24" t="inlineStr">
        <is>
          <t>NO_CALL_AVAILABILITY_PLAYER_UNMAPPED</t>
        </is>
      </c>
      <c r="CJ228" s="24" t="inlineStr">
        <is>
          <t>4.383457</t>
        </is>
      </c>
      <c r="CK228" s="24" t="n"/>
      <c r="CL228" s="24" t="n"/>
      <c r="CM228" s="24" t="n"/>
      <c r="CN228" s="24" t="n"/>
      <c r="CO228" s="24" t="n"/>
      <c r="CP228" s="24" t="n"/>
      <c r="CQ228" s="24" t="n"/>
      <c r="CR228" s="24" t="inlineStr">
        <is>
          <t>0.544255</t>
        </is>
      </c>
      <c r="CS228" s="24" t="inlineStr">
        <is>
          <t>True</t>
        </is>
      </c>
      <c r="CT228" s="24" t="n"/>
      <c r="CU228" s="24" t="n"/>
      <c r="CV228" s="24" t="n"/>
      <c r="CW228" s="24" t="n"/>
      <c r="CX228" s="24" t="n"/>
      <c r="CY228" s="24" t="inlineStr">
        <is>
          <t>2026-09-29T04:33:01.244302Z</t>
        </is>
      </c>
      <c r="CZ228" s="24" t="inlineStr">
        <is>
          <t>True</t>
        </is>
      </c>
      <c r="DA228" s="24" t="inlineStr">
        <is>
          <t>polymarket_us</t>
        </is>
      </c>
      <c r="DB228" s="24" t="inlineStr">
        <is>
          <t>decision_time_executable_quote</t>
        </is>
      </c>
      <c r="DC228" s="24" t="inlineStr">
        <is>
          <t>False</t>
        </is>
      </c>
      <c r="DD228" s="24" t="inlineStr">
        <is>
          <t>804a7f66ae245ba387348fa2eaa37d17ee58675705047de1ab179ae18e2dd797</t>
        </is>
      </c>
      <c r="DE228" s="24" t="inlineStr">
        <is>
          <t>/Users/vincentc9002/model-prediction/data/odds/wnba/2026-09-29/polymarket_snapshots.jsonl</t>
        </is>
      </c>
      <c r="DF228" s="24" t="inlineStr">
        <is>
          <t>804a7f66ae245ba387348fa2eaa37d17ee58675705047de1ab179ae18e2dd797</t>
        </is>
      </c>
      <c r="DG228" s="24" t="n"/>
      <c r="DH228" s="24" t="n"/>
      <c r="DI228" s="24" t="n"/>
      <c r="DJ228" s="24" t="inlineStr">
        <is>
          <t>0.409836</t>
        </is>
      </c>
      <c r="DK228" s="24" t="n"/>
      <c r="DL228" s="24" t="n"/>
      <c r="DM228" s="24" t="n"/>
      <c r="DN228" s="24" t="n"/>
      <c r="DO228" s="24" t="n"/>
      <c r="DP228" s="24" t="n"/>
      <c r="DQ228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0.5442547091852173, "event_id": "401918017", "event_start_utc": "2026-09-30T00:30:00+00:00", "features": {"defensive_trend_gap": 4.383457, "elo_probability": 0.5692652870573671, "trend_gap": 3.279935}, "historical_source_observation_times_verified": false, "model_version": "wnba-elo-trend-lr-v4", "observed_at_utc": "2026-09-29T22:06:18.874242+00:00", "schema": "learned-moneyline-replay-v1", "served_home_probability": 0.5442547091852173, "snapshot_hash": "c7dc903cd9f4317b598bfbf6ee3a87fc6cbfdd97acf50326bfd2d86fd07574f3"}</t>
        </is>
      </c>
    </row>
    <row r="229" ht="36" customHeight="1">
      <c r="A229" s="24" t="inlineStr">
        <is>
          <t>38a0112fcdcd4715</t>
        </is>
      </c>
      <c r="B229" s="24" t="inlineStr">
        <is>
          <t>2026-09-29T22:06:31.593768Z</t>
        </is>
      </c>
      <c r="C229" s="24" t="inlineStr">
        <is>
          <t>2026-09-30T00:30Z</t>
        </is>
      </c>
      <c r="D229" s="24" t="inlineStr">
        <is>
          <t>401918017</t>
        </is>
      </c>
      <c r="E229" s="24" t="inlineStr">
        <is>
          <t>WNBA</t>
        </is>
      </c>
      <c r="F229" s="24" t="inlineStr">
        <is>
          <t>Minnesota Lynx</t>
        </is>
      </c>
      <c r="G229" s="24" t="inlineStr">
        <is>
          <t>New York Liberty</t>
        </is>
      </c>
      <c r="H229" s="24" t="inlineStr">
        <is>
          <t>total</t>
        </is>
      </c>
      <c r="I229" s="24" t="inlineStr">
        <is>
          <t>under</t>
        </is>
      </c>
      <c r="J229" s="25" t="n">
        <v>173.5</v>
      </c>
      <c r="K229" s="24" t="inlineStr">
        <is>
          <t>polymarket_us</t>
        </is>
      </c>
      <c r="L229" s="26" t="n">
        <v>-117</v>
      </c>
      <c r="M229" s="27" t="n">
        <v>1.854701</v>
      </c>
      <c r="N229" s="28" t="n">
        <v>0.539171</v>
      </c>
      <c r="O229" s="28" t="n">
        <v>0.5744629999999999</v>
      </c>
      <c r="P229" s="28" t="n">
        <v>0.03</v>
      </c>
      <c r="Q229" s="28" t="n">
        <v>0.035292</v>
      </c>
      <c r="R229" s="26" t="n">
        <v>50</v>
      </c>
      <c r="S229" s="29" t="n">
        <v>1</v>
      </c>
      <c r="T229" s="24" t="inlineStr">
        <is>
          <t>wnba-total-margin-v2</t>
        </is>
      </c>
      <c r="U229" s="24" t="inlineStr">
        <is>
          <t>settled</t>
        </is>
      </c>
      <c r="V229" s="24" t="inlineStr">
        <is>
          <t>win</t>
        </is>
      </c>
      <c r="W229" s="26" t="n">
        <v>71</v>
      </c>
      <c r="X229" s="26" t="n">
        <v>87</v>
      </c>
      <c r="Y229" s="25" t="n"/>
      <c r="Z229" s="26" t="n">
        <v>-117</v>
      </c>
      <c r="AA229" s="28" t="n">
        <v>0.54</v>
      </c>
      <c r="AB229" s="28" t="n">
        <v>0.000829</v>
      </c>
      <c r="AC229" s="30" t="n">
        <v>0.8547</v>
      </c>
      <c r="AD229" s="24" t="inlineStr">
        <is>
          <t>2026-09-30T04:30:17.345644Z</t>
        </is>
      </c>
      <c r="AE229" s="31" t="inlineStr">
        <is>
          <t>Projected total 170.5, sd 16.0. Executable ask 0.5400 (tsc-wnba-min-ny-2026-09-29-173pt5).</t>
        </is>
      </c>
      <c r="AF229" s="31" t="inlineStr">
        <is>
          <t>Research-baseline total model; not yet locked-holdout qualified.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paper_call</t>
        </is>
      </c>
      <c r="AL229" s="26" t="n">
        <v>4</v>
      </c>
      <c r="AM229" s="24" t="inlineStr">
        <is>
          <t>RESEARCH_OBSERVATION</t>
        </is>
      </c>
      <c r="AN229" s="24" t="inlineStr">
        <is>
          <t>CALL</t>
        </is>
      </c>
      <c r="AO229" s="24" t="inlineStr">
        <is>
          <t>PAPER_CALL_STALE_DATA</t>
        </is>
      </c>
      <c r="AP229" s="24" t="inlineStr">
        <is>
          <t>wnba-min</t>
        </is>
      </c>
      <c r="AQ229" s="24" t="inlineStr">
        <is>
          <t>Minnesota Lynx</t>
        </is>
      </c>
      <c r="AR229" s="24" t="inlineStr">
        <is>
          <t>Minnesota Lynx</t>
        </is>
      </c>
      <c r="AS229" s="24" t="inlineStr">
        <is>
          <t>wnba-nyl</t>
        </is>
      </c>
      <c r="AT229" s="24" t="inlineStr">
        <is>
          <t>New York Liberty</t>
        </is>
      </c>
      <c r="AU229" s="24" t="inlineStr">
        <is>
          <t>New York Liberty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research</t>
        </is>
      </c>
      <c r="BA229" s="24" t="inlineStr">
        <is>
          <t>9c9b767590bbbb9a7b333eaf9def066d65bf813e735ed73aa27cfb2c609a4ca5</t>
        </is>
      </c>
      <c r="BB229" s="24" t="inlineStr">
        <is>
          <t>total_normal</t>
        </is>
      </c>
      <c r="BC229" s="24" t="inlineStr">
        <is>
          <t>wnba-total-margin-v2</t>
        </is>
      </c>
      <c r="BD229" s="24" t="inlineStr">
        <is>
          <t>9c9b767590bbbb9a7b333eaf9def066d65bf813e735ed73aa27cfb2c609a4ca5</t>
        </is>
      </c>
      <c r="BE229" s="24" t="inlineStr">
        <is>
          <t>wnba-total-margin-v2</t>
        </is>
      </c>
      <c r="BF229" s="24" t="inlineStr">
        <is>
          <t>1</t>
        </is>
      </c>
      <c r="BG229" s="24" t="inlineStr">
        <is>
          <t>9c9b767590bbbb9a7b333eaf9def066d65bf813e735ed73aa27cfb2c609a4ca5</t>
        </is>
      </c>
      <c r="BH229" s="24" t="inlineStr">
        <is>
          <t>2026-09-29T10:03:39.020688Z</t>
        </is>
      </c>
      <c r="BI229" s="24" t="inlineStr">
        <is>
          <t>["same_event","same_team_same_day","same_league_same_day"]</t>
        </is>
      </c>
      <c r="BJ229" s="25" t="n">
        <v>173.5</v>
      </c>
      <c r="BK229" s="26" t="n">
        <v>-117</v>
      </c>
      <c r="BL229" s="27" t="n">
        <v>1.854701</v>
      </c>
      <c r="BM229" s="28" t="n">
        <v>0.539171</v>
      </c>
      <c r="BN229" s="28" t="n"/>
      <c r="BO229" s="28" t="n"/>
      <c r="BP229" s="25" t="n"/>
      <c r="BQ229" s="27" t="n">
        <v>1.854701</v>
      </c>
      <c r="BR229" s="28" t="n">
        <v>0.54</v>
      </c>
      <c r="BS229" s="28" t="n"/>
      <c r="BT229" s="28" t="n"/>
      <c r="BU229" s="25" t="n"/>
      <c r="BV229" s="29" t="n"/>
      <c r="BW229" s="24" t="n"/>
      <c r="BX229" s="30" t="n">
        <v>1</v>
      </c>
      <c r="BY229" s="27" t="n">
        <v>0.854699</v>
      </c>
      <c r="BZ229" s="24" t="inlineStr">
        <is>
          <t>2026-09-30T04:30:17.345644Z</t>
        </is>
      </c>
      <c r="CA229" s="31" t="inlineStr">
        <is>
          <t>fixed one-unit hypothetical scoring; no real exposure or execution</t>
        </is>
      </c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  <c r="CT229" s="24" t="n"/>
      <c r="CU229" s="24" t="n"/>
      <c r="CV229" s="24" t="n"/>
      <c r="CW229" s="24" t="n"/>
      <c r="CX229" s="24" t="n"/>
      <c r="CY229" s="24" t="inlineStr">
        <is>
          <t>2026-09-29T10:03:39.020688Z</t>
        </is>
      </c>
      <c r="CZ229" s="24" t="inlineStr">
        <is>
          <t>True</t>
        </is>
      </c>
      <c r="DA229" s="24" t="inlineStr">
        <is>
          <t>polymarket_us</t>
        </is>
      </c>
      <c r="DB229" s="24" t="inlineStr">
        <is>
          <t>decision_time_executable_quote</t>
        </is>
      </c>
      <c r="DC229" s="24" t="inlineStr">
        <is>
          <t>False</t>
        </is>
      </c>
      <c r="DD229" s="24" t="inlineStr">
        <is>
          <t>8e804afcd1299780688789a55aec91523620d0e95d6645ff11ac9b6c2dfb84e4</t>
        </is>
      </c>
      <c r="DE229" s="24" t="inlineStr">
        <is>
          <t>/Users/vincentc9002/model-prediction/data/odds/wnba/2026-09-29/polymarket_snapshots.jsonl</t>
        </is>
      </c>
      <c r="DF229" s="24" t="inlineStr">
        <is>
          <t>8e804afcd1299780688789a55aec91523620d0e95d6645ff11ac9b6c2dfb84e4</t>
        </is>
      </c>
      <c r="DG229" s="24" t="n"/>
      <c r="DH229" s="24" t="n"/>
      <c r="DI229" s="24" t="n"/>
      <c r="DJ229" s="24" t="inlineStr">
        <is>
          <t>0.539171</t>
        </is>
      </c>
      <c r="DK229" s="24" t="n"/>
      <c r="DL229" s="24" t="n"/>
      <c r="DM229" s="24" t="n"/>
      <c r="DN229" s="24" t="n"/>
      <c r="DO229" s="24" t="n"/>
      <c r="DP229" s="24" t="n"/>
      <c r="DQ22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"401918017", "event_start_utc": "2026-09-30T00:30Z", "features": {"away_points_hl10": 86.05, "elo_away": 1633.9, "elo_home": 1622.3, "elo_margin": 1.73, "expected_margin": 2.4, "expected_total": 170.5, "history_games": 950, "home_points_hl10": 86.45, "rest_diff": 0.0, "trend_margin": 2.4}, "historical_source_observation_times_verified": false, "inference_inputs": {"line": 173.5, "mean": 170.49601539999998, "sd": 16.0}, "model_version": "wnba-total-margin-v2", "observed_at_utc": "2026-09-29T22:06:31.366295+00:00", "replay_scope": "Exact final classifier/distribution inputs and artifact. Upstream historical feature construction not certified.", "schema": "scalar-artifact-replay-v1", "snapshot_hash": "e42ede59ccc0872ec8d46dbcca3fdb3dd3cd81d8bbdc3936a618126e37d3e4c9"}</t>
        </is>
      </c>
    </row>
    <row r="230" ht="36" customHeight="1">
      <c r="A230" s="24" t="inlineStr">
        <is>
          <t>4ab224ab07524aa2</t>
        </is>
      </c>
      <c r="B230" s="24" t="inlineStr">
        <is>
          <t>2026-09-29T22:06:31.708107Z</t>
        </is>
      </c>
      <c r="C230" s="24" t="inlineStr">
        <is>
          <t>2026-09-29T22:30Z</t>
        </is>
      </c>
      <c r="D230" s="24" t="inlineStr">
        <is>
          <t>401918018</t>
        </is>
      </c>
      <c r="E230" s="24" t="inlineStr">
        <is>
          <t>WNBA</t>
        </is>
      </c>
      <c r="F230" s="24" t="inlineStr">
        <is>
          <t>Las Vegas Aces</t>
        </is>
      </c>
      <c r="G230" s="24" t="inlineStr">
        <is>
          <t>Indiana Fever</t>
        </is>
      </c>
      <c r="H230" s="24" t="inlineStr">
        <is>
          <t>spread</t>
        </is>
      </c>
      <c r="I230" s="24" t="inlineStr">
        <is>
          <t>away</t>
        </is>
      </c>
      <c r="J230" s="25" t="n">
        <v>10.5</v>
      </c>
      <c r="K230" s="24" t="inlineStr">
        <is>
          <t>polymarket_us</t>
        </is>
      </c>
      <c r="L230" s="26" t="n">
        <v>-400</v>
      </c>
      <c r="M230" s="27" t="n">
        <v>1.25</v>
      </c>
      <c r="N230" s="28" t="n">
        <v>0.8</v>
      </c>
      <c r="O230" s="28" t="n">
        <v>0.781924</v>
      </c>
      <c r="P230" s="28" t="n">
        <v>0.03</v>
      </c>
      <c r="Q230" s="28" t="n">
        <v>-0.018076</v>
      </c>
      <c r="R230" s="26" t="n">
        <v>23</v>
      </c>
      <c r="S230" s="29" t="n">
        <v>1</v>
      </c>
      <c r="T230" s="24" t="inlineStr">
        <is>
          <t>wnba-spread-margin-v2</t>
        </is>
      </c>
      <c r="U230" s="24" t="inlineStr">
        <is>
          <t>settled</t>
        </is>
      </c>
      <c r="V230" s="24" t="inlineStr">
        <is>
          <t>win</t>
        </is>
      </c>
      <c r="W230" s="26" t="n">
        <v>89</v>
      </c>
      <c r="X230" s="26" t="n">
        <v>99</v>
      </c>
      <c r="Y230" s="25" t="n"/>
      <c r="Z230" s="26" t="n"/>
      <c r="AA230" s="28" t="n"/>
      <c r="AB230" s="28" t="n"/>
      <c r="AC230" s="30" t="n">
        <v>0.25</v>
      </c>
      <c r="AD230" s="24" t="inlineStr">
        <is>
          <t>2026-09-30T04:30:17.655980Z</t>
        </is>
      </c>
      <c r="AE230" s="31" t="inlineStr">
        <is>
          <t>Projected margin +0.1 (home), sd 13.4. Executable ask 0.8000 (asc-wnba-lv-ind-2026-09-29-pos-10pt5).</t>
        </is>
      </c>
      <c r="AF230" s="31" t="inlineStr">
        <is>
          <t>Point-in-time composite Elo + trend + rest margin-normal spread model.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model_qualified</t>
        </is>
      </c>
      <c r="AL230" s="26" t="n">
        <v>4</v>
      </c>
      <c r="AM230" s="24" t="inlineStr">
        <is>
          <t>QUALIFIED_SHADOW_CALL</t>
        </is>
      </c>
      <c r="AN230" s="24" t="inlineStr">
        <is>
          <t>CALL</t>
        </is>
      </c>
      <c r="AO230" s="24" t="inlineStr">
        <is>
          <t>QUALIFIED</t>
        </is>
      </c>
      <c r="AP230" s="24" t="inlineStr">
        <is>
          <t>wnba-lva</t>
        </is>
      </c>
      <c r="AQ230" s="24" t="inlineStr">
        <is>
          <t>Las Vegas Aces</t>
        </is>
      </c>
      <c r="AR230" s="24" t="inlineStr">
        <is>
          <t>Las Vegas Aces</t>
        </is>
      </c>
      <c r="AS230" s="24" t="inlineStr">
        <is>
          <t>wnba-ind</t>
        </is>
      </c>
      <c r="AT230" s="24" t="inlineStr">
        <is>
          <t>Indiana Fever</t>
        </is>
      </c>
      <c r="AU230" s="24" t="inlineStr">
        <is>
          <t>Indiana Fever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f7d192f98d825d7c77be21b0531a91cff101ad35e418fe9d7e07c5d0f769f974</t>
        </is>
      </c>
      <c r="BB230" s="24" t="inlineStr">
        <is>
          <t>margin_normal</t>
        </is>
      </c>
      <c r="BC230" s="24" t="inlineStr">
        <is>
          <t>wnba-spread-margin-v2</t>
        </is>
      </c>
      <c r="BD230" s="24" t="inlineStr">
        <is>
          <t>f7d192f98d825d7c77be21b0531a91cff101ad35e418fe9d7e07c5d0f769f974</t>
        </is>
      </c>
      <c r="BE230" s="24" t="inlineStr">
        <is>
          <t>wnba-spread-margin-v2</t>
        </is>
      </c>
      <c r="BF230" s="24" t="inlineStr">
        <is>
          <t>1</t>
        </is>
      </c>
      <c r="BG230" s="24" t="inlineStr">
        <is>
          <t>f7d192f98d825d7c77be21b0531a91cff101ad35e418fe9d7e07c5d0f769f974</t>
        </is>
      </c>
      <c r="BH230" s="24" t="inlineStr">
        <is>
          <t>2026-09-29T22:05:07.952638Z</t>
        </is>
      </c>
      <c r="BI230" s="24" t="inlineStr">
        <is>
          <t>["same_event","same_team_same_day","same_league_same_day"]</t>
        </is>
      </c>
      <c r="BJ230" s="25" t="n">
        <v>10.5</v>
      </c>
      <c r="BK230" s="26" t="n">
        <v>-400</v>
      </c>
      <c r="BL230" s="27" t="n">
        <v>1.25</v>
      </c>
      <c r="BM230" s="28" t="n">
        <v>0.8</v>
      </c>
      <c r="BN230" s="28" t="n"/>
      <c r="BO230" s="28" t="n"/>
      <c r="BP230" s="25" t="n"/>
      <c r="BQ230" s="27" t="n"/>
      <c r="BR230" s="28" t="n"/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False</t>
        </is>
      </c>
      <c r="CT230" s="24" t="n"/>
      <c r="CU230" s="24" t="n"/>
      <c r="CV230" s="24" t="n"/>
      <c r="CW230" s="24" t="n"/>
      <c r="CX230" s="24" t="n"/>
      <c r="CY230" s="24" t="inlineStr">
        <is>
          <t>2026-09-29T22:05:07.952638Z</t>
        </is>
      </c>
      <c r="CZ230" s="24" t="inlineStr">
        <is>
          <t>True</t>
        </is>
      </c>
      <c r="DA230" s="24" t="inlineStr">
        <is>
          <t>polymarket_us</t>
        </is>
      </c>
      <c r="DB230" s="24" t="inlineStr">
        <is>
          <t>decision_time_executable_quote</t>
        </is>
      </c>
      <c r="DC230" s="24" t="inlineStr">
        <is>
          <t>False</t>
        </is>
      </c>
      <c r="DD230" s="24" t="inlineStr">
        <is>
          <t>9af9687a9cd367a0bb4ecf4413813fdf311389c50f0226139b6e959243e3fb67</t>
        </is>
      </c>
      <c r="DE230" s="24" t="inlineStr">
        <is>
          <t>/Users/vincentc9002/model-prediction/data/odds/wnba/2026-09-29/polymarket_snapshots.jsonl</t>
        </is>
      </c>
      <c r="DF230" s="24" t="inlineStr">
        <is>
          <t>9af9687a9cd367a0bb4ecf4413813fdf311389c50f0226139b6e959243e3fb67</t>
        </is>
      </c>
      <c r="DG230" s="24" t="n"/>
      <c r="DH230" s="24" t="n"/>
      <c r="DI230" s="24" t="n"/>
      <c r="DJ230" s="24" t="inlineStr">
        <is>
          <t>0.8</t>
        </is>
      </c>
      <c r="DK230" s="24" t="n"/>
      <c r="DL230" s="24" t="n"/>
      <c r="DM230" s="24" t="n"/>
      <c r="DN230" s="24" t="n"/>
      <c r="DO230" s="24" t="n"/>
      <c r="DP230" s="24" t="n"/>
      <c r="DQ23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"401918018", "event_start_utc": "2026-09-29T22:30Z", "features": {"away_points_hl10": 90.73, "elo_away": 1671.0, "elo_home": 1614.0, "elo_margin": 0.11, "expected_margin": 0.09, "expected_total": 179.28, "history_games": 950, "home_points_hl10": 88.55, "rest_diff": 0.0, "trend_margin": 0.08}, "historical_source_observation_times_verified": false, "inference_inputs": {"line": 10.5, "mean": 0.08869186555837028, "sd": 13.37}, "model_version": "wnba-spread-margin-v2", "observed_at_utc": "2026-09-29T22:06:31.345188+00:00", "replay_scope": "Exact final classifier/distribution inputs and artifact. Upstream historical feature construction not certified.", "schema": "scalar-artifact-replay-v1", "snapshot_hash": "d4244f3ee13889a51451bfdba66a1df9278bfe1960560de04ed895dca3c37589"}</t>
        </is>
      </c>
    </row>
    <row r="231" ht="36" customHeight="1">
      <c r="A231" s="24" t="inlineStr">
        <is>
          <t>50aef0f8601b4fd3</t>
        </is>
      </c>
      <c r="B231" s="24" t="inlineStr">
        <is>
          <t>2026-09-29T22:06:31.708107Z</t>
        </is>
      </c>
      <c r="C231" s="24" t="inlineStr">
        <is>
          <t>2026-09-30T00:30Z</t>
        </is>
      </c>
      <c r="D231" s="24" t="inlineStr">
        <is>
          <t>401918017</t>
        </is>
      </c>
      <c r="E231" s="24" t="inlineStr">
        <is>
          <t>WNBA</t>
        </is>
      </c>
      <c r="F231" s="24" t="inlineStr">
        <is>
          <t>Minnesota Lynx</t>
        </is>
      </c>
      <c r="G231" s="24" t="inlineStr">
        <is>
          <t>New York Liberty</t>
        </is>
      </c>
      <c r="H231" s="24" t="inlineStr">
        <is>
          <t>spread</t>
        </is>
      </c>
      <c r="I231" s="24" t="inlineStr">
        <is>
          <t>home</t>
        </is>
      </c>
      <c r="J231" s="25" t="n">
        <v>4.5</v>
      </c>
      <c r="K231" s="24" t="inlineStr">
        <is>
          <t>polymarket_us</t>
        </is>
      </c>
      <c r="L231" s="26" t="n">
        <v>-122</v>
      </c>
      <c r="M231" s="27" t="n">
        <v>1.819672</v>
      </c>
      <c r="N231" s="28" t="n">
        <v>0.54955</v>
      </c>
      <c r="O231" s="28" t="n">
        <v>0.688422</v>
      </c>
      <c r="P231" s="28" t="n">
        <v>0.03</v>
      </c>
      <c r="Q231" s="28" t="n">
        <v>0.138872</v>
      </c>
      <c r="R231" s="26" t="n">
        <v>100</v>
      </c>
      <c r="S231" s="29" t="n">
        <v>1.75</v>
      </c>
      <c r="T231" s="24" t="inlineStr">
        <is>
          <t>wnba-spread-margin-v2</t>
        </is>
      </c>
      <c r="U231" s="24" t="inlineStr">
        <is>
          <t>settled</t>
        </is>
      </c>
      <c r="V231" s="24" t="inlineStr">
        <is>
          <t>win</t>
        </is>
      </c>
      <c r="W231" s="26" t="n">
        <v>71</v>
      </c>
      <c r="X231" s="26" t="n">
        <v>87</v>
      </c>
      <c r="Y231" s="25" t="n"/>
      <c r="Z231" s="26" t="n"/>
      <c r="AA231" s="28" t="n"/>
      <c r="AB231" s="28" t="n"/>
      <c r="AC231" s="30" t="n">
        <v>1.4344</v>
      </c>
      <c r="AD231" s="24" t="inlineStr">
        <is>
          <t>2026-09-30T04:30:17.944911Z</t>
        </is>
      </c>
      <c r="AE231" s="31" t="inlineStr">
        <is>
          <t>Projected margin +2.1 (home), sd 13.4. Executable ask 0.5500 (asc-wnba-min-ny-2026-09-29-neg-4pt5).</t>
        </is>
      </c>
      <c r="AF231" s="31" t="inlineStr">
        <is>
          <t>Point-in-time composite Elo + trend + rest margin-normal spread model.</t>
        </is>
      </c>
      <c r="AG231" s="24" t="inlineStr">
        <is>
          <t>not_applicable</t>
        </is>
      </c>
      <c r="AH231" s="24" t="n"/>
      <c r="AI231" s="31" t="n"/>
      <c r="AJ231" s="31" t="n"/>
      <c r="AK231" s="24" t="inlineStr">
        <is>
          <t>paper_call</t>
        </is>
      </c>
      <c r="AL231" s="26" t="n">
        <v>4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PAPER_CALL_STALE_DATA</t>
        </is>
      </c>
      <c r="AP231" s="24" t="inlineStr">
        <is>
          <t>wnba-min</t>
        </is>
      </c>
      <c r="AQ231" s="24" t="inlineStr">
        <is>
          <t>Minnesota Lynx</t>
        </is>
      </c>
      <c r="AR231" s="24" t="inlineStr">
        <is>
          <t>Minnesota Lynx</t>
        </is>
      </c>
      <c r="AS231" s="24" t="inlineStr">
        <is>
          <t>wnba-nyl</t>
        </is>
      </c>
      <c r="AT231" s="24" t="inlineStr">
        <is>
          <t>New York Liberty</t>
        </is>
      </c>
      <c r="AU231" s="24" t="inlineStr">
        <is>
          <t>New York Liberty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f7d192f98d825d7c77be21b0531a91cff101ad35e418fe9d7e07c5d0f769f974</t>
        </is>
      </c>
      <c r="BB231" s="24" t="inlineStr">
        <is>
          <t>margin_normal</t>
        </is>
      </c>
      <c r="BC231" s="24" t="inlineStr">
        <is>
          <t>wnba-spread-margin-v2</t>
        </is>
      </c>
      <c r="BD231" s="24" t="inlineStr">
        <is>
          <t>f7d192f98d825d7c77be21b0531a91cff101ad35e418fe9d7e07c5d0f769f974</t>
        </is>
      </c>
      <c r="BE231" s="24" t="inlineStr">
        <is>
          <t>wnba-spread-margin-v2</t>
        </is>
      </c>
      <c r="BF231" s="24" t="inlineStr">
        <is>
          <t>1</t>
        </is>
      </c>
      <c r="BG231" s="24" t="inlineStr">
        <is>
          <t>f7d192f98d825d7c77be21b0531a91cff101ad35e418fe9d7e07c5d0f769f974</t>
        </is>
      </c>
      <c r="BH231" s="24" t="inlineStr">
        <is>
          <t>2026-09-29T10:03:39.130339Z</t>
        </is>
      </c>
      <c r="BI231" s="24" t="inlineStr">
        <is>
          <t>["same_event","same_team_same_day","same_league_same_day"]</t>
        </is>
      </c>
      <c r="BJ231" s="25" t="n">
        <v>4.5</v>
      </c>
      <c r="BK231" s="26" t="n">
        <v>-122</v>
      </c>
      <c r="BL231" s="27" t="n">
        <v>1.819672</v>
      </c>
      <c r="BM231" s="28" t="n">
        <v>0.54955</v>
      </c>
      <c r="BN231" s="28" t="n"/>
      <c r="BO231" s="28" t="n"/>
      <c r="BP231" s="25" t="n"/>
      <c r="BQ231" s="27" t="n"/>
      <c r="BR231" s="28" t="n"/>
      <c r="BS231" s="28" t="n"/>
      <c r="BT231" s="28" t="n"/>
      <c r="BU231" s="25" t="n"/>
      <c r="BV231" s="29" t="n"/>
      <c r="BW231" s="24" t="n"/>
      <c r="BX231" s="30" t="n">
        <v>1</v>
      </c>
      <c r="BY231" s="27" t="n">
        <v>0.819671</v>
      </c>
      <c r="BZ231" s="24" t="inlineStr">
        <is>
          <t>2026-09-30T04:30:17.944911Z</t>
        </is>
      </c>
      <c r="CA231" s="31" t="inlineStr">
        <is>
          <t>fixed one-unit hypothetical scoring; no real exposure or execution</t>
        </is>
      </c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True</t>
        </is>
      </c>
      <c r="CT231" s="24" t="n"/>
      <c r="CU231" s="24" t="n"/>
      <c r="CV231" s="24" t="n"/>
      <c r="CW231" s="24" t="n"/>
      <c r="CX231" s="24" t="n"/>
      <c r="CY231" s="24" t="inlineStr">
        <is>
          <t>2026-09-29T10:03:39.130339Z</t>
        </is>
      </c>
      <c r="CZ231" s="24" t="inlineStr">
        <is>
          <t>True</t>
        </is>
      </c>
      <c r="DA231" s="24" t="inlineStr">
        <is>
          <t>polymarket_us</t>
        </is>
      </c>
      <c r="DB231" s="24" t="inlineStr">
        <is>
          <t>decision_time_executable_quote</t>
        </is>
      </c>
      <c r="DC231" s="24" t="inlineStr">
        <is>
          <t>False</t>
        </is>
      </c>
      <c r="DD231" s="24" t="inlineStr">
        <is>
          <t>585425c334ae02104d9eda776ca489462539c5c8e6865516a3e435e6c0bc02f9</t>
        </is>
      </c>
      <c r="DE231" s="24" t="inlineStr">
        <is>
          <t>/Users/vincentc9002/model-prediction/data/odds/wnba/2026-09-29/polymarket_snapshots.jsonl</t>
        </is>
      </c>
      <c r="DF231" s="24" t="inlineStr">
        <is>
          <t>585425c334ae02104d9eda776ca489462539c5c8e6865516a3e435e6c0bc02f9</t>
        </is>
      </c>
      <c r="DG231" s="24" t="n"/>
      <c r="DH231" s="24" t="n"/>
      <c r="DI231" s="24" t="n"/>
      <c r="DJ231" s="24" t="inlineStr">
        <is>
          <t>0.54955</t>
        </is>
      </c>
      <c r="DK231" s="24" t="n"/>
      <c r="DL231" s="24" t="n"/>
      <c r="DM231" s="24" t="n"/>
      <c r="DN231" s="24" t="n"/>
      <c r="DO231" s="24" t="n"/>
      <c r="DP231" s="24" t="n"/>
      <c r="DQ231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"401918017", "event_start_utc": "2026-09-30T00:30Z", "features": {"away_points_hl10": 86.05, "elo_away": 1633.9, "elo_home": 1622.3, "elo_margin": 1.73, "expected_margin": 2.07, "expected_total": 172.49, "history_games": 950, "home_points_hl10": 86.45, "rest_diff": 0.0, "trend_margin": 2.66}, "historical_source_observation_times_verified": false, "inference_inputs": {"line": -4.5, "mean": 2.069777592539674, "sd": 13.37}, "model_version": "wnba-spread-margin-v2", "observed_at_utc": "2026-09-29T22:06:31.345188+00:00", "replay_scope": "Exact final classifier/distribution inputs and artifact. Upstream historical feature construction not certified.", "schema": "scalar-artifact-replay-v1", "snapshot_hash": "4b5de8ca626ea7c071f9cfb603e6ce585ceecdcb6452719874479a61fc1c7fc1"}</t>
        </is>
      </c>
    </row>
    <row r="232" ht="36" customHeight="1">
      <c r="A232" s="24" t="inlineStr">
        <is>
          <t>91fbf2e6c3ea4f9e</t>
        </is>
      </c>
      <c r="B232" s="24" t="inlineStr">
        <is>
          <t>2026-09-30T22:04:26.487890Z</t>
        </is>
      </c>
      <c r="C232" s="24" t="inlineStr">
        <is>
          <t>2026-09-30T19:00:00-0400</t>
        </is>
      </c>
      <c r="D232" s="24" t="inlineStr">
        <is>
          <t>401918019</t>
        </is>
      </c>
      <c r="E232" s="24" t="inlineStr">
        <is>
          <t>WNBA</t>
        </is>
      </c>
      <c r="F232" s="24" t="inlineStr">
        <is>
          <t>Atlanta Dream</t>
        </is>
      </c>
      <c r="G232" s="24" t="inlineStr">
        <is>
          <t>Washington Mystics</t>
        </is>
      </c>
      <c r="H232" s="24" t="inlineStr">
        <is>
          <t>moneyline</t>
        </is>
      </c>
      <c r="I232" s="24" t="inlineStr">
        <is>
          <t>away</t>
        </is>
      </c>
      <c r="J232" s="25" t="n"/>
      <c r="K232" s="24" t="inlineStr">
        <is>
          <t>polymarket_us</t>
        </is>
      </c>
      <c r="L232" s="26" t="n">
        <v>-170</v>
      </c>
      <c r="M232" s="27" t="n">
        <v>1.588235</v>
      </c>
      <c r="N232" s="28" t="n">
        <v>0.62963</v>
      </c>
      <c r="O232" s="28" t="n">
        <v>0.525718</v>
      </c>
      <c r="P232" s="28" t="n"/>
      <c r="Q232" s="28" t="n">
        <v>-0.103912</v>
      </c>
      <c r="R232" s="26" t="n">
        <v>0</v>
      </c>
      <c r="S232" s="29" t="n">
        <v>1</v>
      </c>
      <c r="T232" s="24" t="inlineStr">
        <is>
          <t>wnba-elo-trend-lr-v4</t>
        </is>
      </c>
      <c r="U232" s="24" t="inlineStr">
        <is>
          <t>settled</t>
        </is>
      </c>
      <c r="V232" s="24" t="inlineStr">
        <is>
          <t>win</t>
        </is>
      </c>
      <c r="W232" s="26" t="n">
        <v>93</v>
      </c>
      <c r="X232" s="26" t="n">
        <v>75</v>
      </c>
      <c r="Y232" s="25" t="n"/>
      <c r="Z232" s="26" t="n">
        <v>-170</v>
      </c>
      <c r="AA232" s="28" t="n">
        <v>0.63</v>
      </c>
      <c r="AB232" s="28" t="n">
        <v>0.00037</v>
      </c>
      <c r="AC232" s="30" t="n">
        <v>0.5881999999999999</v>
      </c>
      <c r="AD232" s="24" t="inlineStr">
        <is>
          <t>2026-10-01T04:30:15.326688Z</t>
        </is>
      </c>
      <c r="AE232" s="31" t="inlineStr">
        <is>
          <t>Learned LR call at threshold 0.5001; executable ask 0.6300 (aec-wnba-atl-wsh-2026-09-30); model edge vs ask -0.1043.</t>
        </is>
      </c>
      <c r="AF232" s="31" t="inlineStr">
        <is>
          <t>Learned model; shadow-qualified via operator override.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paper_call</t>
        </is>
      </c>
      <c r="AL232" s="26" t="n">
        <v>4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PAPER_CALL_STALE_DATA</t>
        </is>
      </c>
      <c r="AP232" s="24" t="inlineStr">
        <is>
          <t>wnba-atl</t>
        </is>
      </c>
      <c r="AQ232" s="24" t="inlineStr">
        <is>
          <t>Atlanta Dream</t>
        </is>
      </c>
      <c r="AR232" s="24" t="inlineStr">
        <is>
          <t>Atlanta Dream</t>
        </is>
      </c>
      <c r="AS232" s="24" t="inlineStr">
        <is>
          <t>wnba-was</t>
        </is>
      </c>
      <c r="AT232" s="24" t="inlineStr">
        <is>
          <t>Washington Mystics</t>
        </is>
      </c>
      <c r="AU232" s="24" t="inlineStr">
        <is>
          <t>Washington Mystics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7afd5274214b58b7efd7f7febc7be3ab33b92351cda5cc6403c0a39faea0cc8c</t>
        </is>
      </c>
      <c r="BB232" s="24" t="inlineStr">
        <is>
          <t>learned_lr</t>
        </is>
      </c>
      <c r="BC232" s="24" t="inlineStr">
        <is>
          <t>wnba-elo-trend-lr-v4</t>
        </is>
      </c>
      <c r="BD232" s="24" t="inlineStr">
        <is>
          <t>7afd5274214b58b7efd7f7febc7be3ab33b92351cda5cc6403c0a39faea0cc8c</t>
        </is>
      </c>
      <c r="BE232" s="24" t="inlineStr">
        <is>
          <t>43aff5b69eae79a4</t>
        </is>
      </c>
      <c r="BF232" s="24" t="inlineStr">
        <is>
          <t>1</t>
        </is>
      </c>
      <c r="BG232" s="24" t="inlineStr">
        <is>
          <t>wnba-elo-trend-lr-v4</t>
        </is>
      </c>
      <c r="BH232" s="24" t="inlineStr">
        <is>
          <t>2026-09-30T04:33:48.498072Z</t>
        </is>
      </c>
      <c r="BI232" s="24" t="inlineStr">
        <is>
          <t>["same_event","same_team_same_day","same_league_same_day"]</t>
        </is>
      </c>
      <c r="BJ232" s="25" t="n"/>
      <c r="BK232" s="26" t="n">
        <v>-170</v>
      </c>
      <c r="BL232" s="27" t="n">
        <v>1.588235</v>
      </c>
      <c r="BM232" s="28" t="n">
        <v>0.62963</v>
      </c>
      <c r="BN232" s="28" t="n">
        <v>0.623762</v>
      </c>
      <c r="BO232" s="28" t="n"/>
      <c r="BP232" s="25" t="n"/>
      <c r="BQ232" s="27" t="n">
        <v>1.588235</v>
      </c>
      <c r="BR232" s="28" t="n">
        <v>0.63</v>
      </c>
      <c r="BS232" s="28" t="n"/>
      <c r="BT232" s="28" t="n"/>
      <c r="BU232" s="25" t="n"/>
      <c r="BV232" s="29" t="n"/>
      <c r="BW232" s="24" t="n"/>
      <c r="BX232" s="30" t="n">
        <v>1</v>
      </c>
      <c r="BY232" s="27" t="n">
        <v>0.588234</v>
      </c>
      <c r="BZ232" s="24" t="inlineStr">
        <is>
          <t>2026-10-01T04:30:15.326688Z</t>
        </is>
      </c>
      <c r="CA232" s="31" t="inlineStr">
        <is>
          <t>fixed one-unit hypothetical scoring; no real exposure or execution</t>
        </is>
      </c>
      <c r="CB232" s="24" t="n"/>
      <c r="CC232" s="24" t="inlineStr">
        <is>
          <t>0.4641807979</t>
        </is>
      </c>
      <c r="CD232" s="24" t="inlineStr">
        <is>
          <t>0.613232</t>
        </is>
      </c>
      <c r="CE232" s="24" t="n"/>
      <c r="CF232" s="24" t="n"/>
      <c r="CG232" s="24" t="n"/>
      <c r="CH232" s="24" t="n"/>
      <c r="CI232" s="24" t="n"/>
      <c r="CJ232" s="24" t="inlineStr">
        <is>
          <t>-6.140628</t>
        </is>
      </c>
      <c r="CK232" s="24" t="n"/>
      <c r="CL232" s="24" t="n"/>
      <c r="CM232" s="24" t="n"/>
      <c r="CN232" s="24" t="n"/>
      <c r="CO232" s="24" t="n"/>
      <c r="CP232" s="24" t="n"/>
      <c r="CQ232" s="24" t="n"/>
      <c r="CR232" s="24" t="inlineStr">
        <is>
          <t>0.525718</t>
        </is>
      </c>
      <c r="CS232" s="24" t="inlineStr">
        <is>
          <t>False</t>
        </is>
      </c>
      <c r="CT232" s="24" t="n"/>
      <c r="CU232" s="24" t="n"/>
      <c r="CV232" s="24" t="n"/>
      <c r="CW232" s="24" t="n"/>
      <c r="CX232" s="24" t="n"/>
      <c r="CY232" s="24" t="inlineStr">
        <is>
          <t>2026-09-30T04:33:48.498072Z</t>
        </is>
      </c>
      <c r="CZ232" s="24" t="inlineStr">
        <is>
          <t>True</t>
        </is>
      </c>
      <c r="DA232" s="24" t="inlineStr">
        <is>
          <t>polymarket_us</t>
        </is>
      </c>
      <c r="DB232" s="24" t="inlineStr">
        <is>
          <t>decision_time_executable_quote</t>
        </is>
      </c>
      <c r="DC232" s="24" t="inlineStr">
        <is>
          <t>False</t>
        </is>
      </c>
      <c r="DD232" s="24" t="inlineStr">
        <is>
          <t>65f30060b26ff4465c7d6a02de5c62785a5abe6c8ebc360e9c197d494a92a7d1</t>
        </is>
      </c>
      <c r="DE232" s="24" t="inlineStr">
        <is>
          <t>/Users/vincentc9002/model-prediction/data/odds/wnba/2026-09-30/polymarket_snapshots.jsonl</t>
        </is>
      </c>
      <c r="DF232" s="24" t="inlineStr">
        <is>
          <t>65f30060b26ff4465c7d6a02de5c62785a5abe6c8ebc360e9c197d494a92a7d1</t>
        </is>
      </c>
      <c r="DG232" s="24" t="n"/>
      <c r="DH232" s="24" t="n"/>
      <c r="DI232" s="24" t="n"/>
      <c r="DJ232" s="24" t="inlineStr">
        <is>
          <t>0.62963</t>
        </is>
      </c>
      <c r="DK232" s="24" t="n"/>
      <c r="DL232" s="24" t="n"/>
      <c r="DM232" s="24" t="n"/>
      <c r="DN232" s="24" t="n"/>
      <c r="DO232" s="24" t="n"/>
      <c r="DP232" s="24" t="n"/>
      <c r="DQ232" s="24" t="inlineStr">
        <is>
          <t>{"adjustment": {"applied": false, "availability": {"availability_points_gap": 0.0, "availability_report_age_hours": 0.3240244139, "availability_source_conflict_count": 0, "availability_source_conflicts": [], "availability_uncertainty": 0.0, "away_available_minutes_share": 1.0, "home_available_minutes_share": 1.000000005, "source_evidence": {"espn_observed_at_utc": "2026-09-30T22:02:38.605332+00:00", "espn_snapshot_hash": "146132d5a6f88a564c8be16d0b6f527760df972c7fcbead14b8ce0e876836b17", "official_observed_at_utc": "2026-09-30T22:02:38.137354+00:00", "official_report_at_utc": "2026-09-30T21:45:00+00:00", "official_snapshot_hash": "dbcb13ab99c025ac46d73c5e1de39be3888258bec0476c8d51125a00348960c9", "prior_hash": "12f12ee36db135c8146dd35f771e07392104af84249f3c6c245706b053ae9aec", "prior_observed_at_utc": "2026-09-30T22:02:37.994426+00:00"}}, "margin_sigma": 14.679785367619505, "method": "wnba_probit_v1", "minimum_delta": 0.05, "points_gap": 0.0},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0.4742824816634255, "event_id": "401918019", "event_start_utc": "2026-09-30T23:00:00+00:00", "features": {"defensive_trend_gap": -6.1406279999999995, "elo_probability": 0.4641807978790638, "trend_gap": 0.613232}, "historical_source_observation_times_verified": false, "model_version": "wnba-elo-trend-lr-v4", "observed_at_utc": "2026-09-30T22:04:26.487890+00:00", "schema": "learned-moneyline-replay-v1", "served_home_probability": 0.4742824816634255, "snapshot_hash": "bd11b52b3c5a06cca06e8965d4488c5ecf3f9e2833534ad94a2fdf991640b807"}</t>
        </is>
      </c>
    </row>
    <row r="233" ht="36" customHeight="1">
      <c r="A233" s="24" t="inlineStr">
        <is>
          <t>f7be12fa681744b4</t>
        </is>
      </c>
      <c r="B233" s="24" t="inlineStr">
        <is>
          <t>2026-09-30T22:04:26.487890Z</t>
        </is>
      </c>
      <c r="C233" s="24" t="inlineStr">
        <is>
          <t>2026-09-30T21:00:00-0400</t>
        </is>
      </c>
      <c r="D233" s="24" t="inlineStr">
        <is>
          <t>401918020</t>
        </is>
      </c>
      <c r="E233" s="24" t="inlineStr">
        <is>
          <t>WNBA</t>
        </is>
      </c>
      <c r="F233" s="24" t="inlineStr">
        <is>
          <t>Golden State Valkyries</t>
        </is>
      </c>
      <c r="G233" s="24" t="inlineStr">
        <is>
          <t>Dallas Wings</t>
        </is>
      </c>
      <c r="H233" s="24" t="inlineStr">
        <is>
          <t>moneyline</t>
        </is>
      </c>
      <c r="I233" s="24" t="inlineStr">
        <is>
          <t>away</t>
        </is>
      </c>
      <c r="J233" s="25" t="n"/>
      <c r="K233" s="24" t="inlineStr">
        <is>
          <t>model_opinion_no_executable_quote</t>
        </is>
      </c>
      <c r="L233" s="26" t="n">
        <v>-110</v>
      </c>
      <c r="M233" s="27" t="n">
        <v>1.909091</v>
      </c>
      <c r="N233" s="28" t="n">
        <v>0.52381</v>
      </c>
      <c r="O233" s="28" t="n">
        <v>0.591957</v>
      </c>
      <c r="P233" s="28" t="n"/>
      <c r="Q233" s="28" t="n">
        <v>0.068147</v>
      </c>
      <c r="R233" s="26" t="n">
        <v>54</v>
      </c>
      <c r="S233" s="29" t="n">
        <v>1</v>
      </c>
      <c r="T233" s="24" t="inlineStr">
        <is>
          <t>wnba-elo-trend-lr-v4</t>
        </is>
      </c>
      <c r="U233" s="24" t="inlineStr">
        <is>
          <t>settled</t>
        </is>
      </c>
      <c r="V233" s="24" t="inlineStr">
        <is>
          <t>loss</t>
        </is>
      </c>
      <c r="W233" s="26" t="n">
        <v>100</v>
      </c>
      <c r="X233" s="26" t="n">
        <v>108</v>
      </c>
      <c r="Y233" s="25" t="n"/>
      <c r="Z233" s="26" t="n"/>
      <c r="AA233" s="28" t="n"/>
      <c r="AB233" s="28" t="n"/>
      <c r="AC233" s="30" t="n">
        <v>-1</v>
      </c>
      <c r="AD233" s="24" t="inlineStr">
        <is>
          <t>2026-10-01T04:30:15.811861Z</t>
        </is>
      </c>
      <c r="AE233" s="31" t="inlineStr">
        <is>
          <t>Learned LR call at threshold 0.5001;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33" s="31" t="inlineStr">
        <is>
          <t>Learned model; shadow-qualified via operator override.</t>
        </is>
      </c>
      <c r="AG233" s="24" t="inlineStr">
        <is>
          <t>review_required</t>
        </is>
      </c>
      <c r="AH233" s="24" t="n"/>
      <c r="AI233" s="31" t="n"/>
      <c r="AJ233" s="31" t="n"/>
      <c r="AK233" s="24" t="inlineStr">
        <is>
          <t>paper_call</t>
        </is>
      </c>
      <c r="AL233" s="26" t="n">
        <v>4</v>
      </c>
      <c r="AM233" s="24" t="inlineStr">
        <is>
          <t>RESEARCH_OBSERVATION</t>
        </is>
      </c>
      <c r="AN233" s="24" t="inlineStr">
        <is>
          <t>CALL</t>
        </is>
      </c>
      <c r="AO233" s="24" t="inlineStr">
        <is>
          <t>PAPER_CALL_MARKET_UNAVAILABLE</t>
        </is>
      </c>
      <c r="AP233" s="24" t="inlineStr">
        <is>
          <t>wnba-gsv</t>
        </is>
      </c>
      <c r="AQ233" s="24" t="inlineStr">
        <is>
          <t>Golden State Valkyries</t>
        </is>
      </c>
      <c r="AR233" s="24" t="inlineStr">
        <is>
          <t>Golden State Valkyries</t>
        </is>
      </c>
      <c r="AS233" s="24" t="inlineStr">
        <is>
          <t>wnba-dal</t>
        </is>
      </c>
      <c r="AT233" s="24" t="inlineStr">
        <is>
          <t>Dallas Wings</t>
        </is>
      </c>
      <c r="AU233" s="24" t="inlineStr">
        <is>
          <t>Dallas Wings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7afd5274214b58b7efd7f7febc7be3ab33b92351cda5cc6403c0a39faea0cc8c</t>
        </is>
      </c>
      <c r="BB233" s="24" t="inlineStr">
        <is>
          <t>learned_lr</t>
        </is>
      </c>
      <c r="BC233" s="24" t="inlineStr">
        <is>
          <t>wnba-elo-trend-lr-v4</t>
        </is>
      </c>
      <c r="BD233" s="24" t="inlineStr">
        <is>
          <t>7afd5274214b58b7efd7f7febc7be3ab33b92351cda5cc6403c0a39faea0cc8c</t>
        </is>
      </c>
      <c r="BE233" s="24" t="inlineStr">
        <is>
          <t>6a2fb2c9a5a54c24</t>
        </is>
      </c>
      <c r="BF233" s="24" t="inlineStr">
        <is>
          <t>1</t>
        </is>
      </c>
      <c r="BG233" s="24" t="inlineStr">
        <is>
          <t>wnba-elo-trend-lr-v4</t>
        </is>
      </c>
      <c r="BH233" s="24" t="inlineStr">
        <is>
          <t>2026-09-30T22:04:26.487890Z</t>
        </is>
      </c>
      <c r="BI233" s="24" t="inlineStr">
        <is>
          <t>["same_event","same_team_same_day","same_league_same_day"]</t>
        </is>
      </c>
      <c r="BJ233" s="25" t="n"/>
      <c r="BK233" s="26" t="n">
        <v>-110</v>
      </c>
      <c r="BL233" s="27" t="n">
        <v>1.909091</v>
      </c>
      <c r="BM233" s="28" t="n">
        <v>0.52381</v>
      </c>
      <c r="BN233" s="28" t="n"/>
      <c r="BO233" s="28" t="n"/>
      <c r="BP233" s="25" t="n"/>
      <c r="BQ233" s="27" t="n"/>
      <c r="BR233" s="28" t="n"/>
      <c r="BS233" s="28" t="n"/>
      <c r="BT233" s="28" t="n"/>
      <c r="BU233" s="25" t="n"/>
      <c r="BV233" s="29" t="n"/>
      <c r="BW233" s="24" t="n"/>
      <c r="BX233" s="30" t="n">
        <v>1</v>
      </c>
      <c r="BY233" s="27" t="n">
        <v>-1</v>
      </c>
      <c r="BZ233" s="24" t="inlineStr">
        <is>
          <t>2026-10-01T04:30:15.811861Z</t>
        </is>
      </c>
      <c r="CA233" s="31" t="inlineStr">
        <is>
          <t>fixed one-unit hypothetical scoring; no real exposure or execution</t>
        </is>
      </c>
      <c r="CB233" s="24" t="n"/>
      <c r="CC233" s="24" t="inlineStr">
        <is>
          <t>0.3840594004</t>
        </is>
      </c>
      <c r="CD233" s="24" t="inlineStr">
        <is>
          <t>2.243407</t>
        </is>
      </c>
      <c r="CE233" s="24" t="n"/>
      <c r="CF233" s="24" t="n"/>
      <c r="CG233" s="24" t="n"/>
      <c r="CH233" s="24" t="n"/>
      <c r="CI233" s="24" t="inlineStr">
        <is>
          <t>executable_quote_missing_or_unmatched</t>
        </is>
      </c>
      <c r="CJ233" s="24" t="inlineStr">
        <is>
          <t>-3.771533</t>
        </is>
      </c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n"/>
      <c r="DE233" s="24" t="n"/>
      <c r="DF233" s="24" t="n"/>
      <c r="DG233" s="24" t="n"/>
      <c r="DH233" s="24" t="n"/>
      <c r="DI233" s="24" t="n"/>
      <c r="DJ233" s="24" t="inlineStr">
        <is>
          <t>0.52381</t>
        </is>
      </c>
      <c r="DK233" s="24" t="n"/>
      <c r="DL233" s="24" t="n"/>
      <c r="DM233" s="24" t="n"/>
      <c r="DN233" s="24" t="n"/>
      <c r="DO233" s="24" t="n"/>
      <c r="DP233" s="24" t="n"/>
      <c r="DQ233" s="24" t="inlineStr">
        <is>
          <t>{"adjustment": {"applied": false, "availability": {"availability_points_gap": -1.1637349998, "availability_report_age_hours": 0.3240244139, "availability_source_conflict_count": 0, "availability_source_conflicts": [], "availability_uncertainty": 0.0, "away_available_minutes_share": 1.000000005, "home_available_minutes_share": 0.91715481, "source_evidence": {"espn_observed_at_utc": "2026-09-30T22:02:38.711059+00:00", "espn_snapshot_hash": "7d2de5416d27483af4a84ffe4f97c7ac82135e3543001eadb937f2ad75e43fab", "official_observed_at_utc": "2026-09-30T22:02:38.137354+00:00", "official_report_at_utc": "2026-09-30T21:45:00+00:00", "official_snapshot_hash": "dbcb13ab99c025ac46d73c5e1de39be3888258bec0476c8d51125a00348960c9", "prior_hash": "12f12ee36db135c8146dd35f771e07392104af84249f3c6c245706b053ae9aec", "prior_observed_at_utc": "2026-09-30T22:02:37.994426+00:00"}}, "margin_sigma": 14.679785367619505, "method": "wnba_probit_v1", "minimum_delta": 0.05, "points_gap": -1.1637349998},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0.40804299247235476, "event_id": "401918020", "event_start_utc": "2026-10-01T01:00:00+00:00", "features": {"defensive_trend_gap": -3.771533, "elo_probability": 0.38405940041039766, "trend_gap": 2.243407}, "historical_source_observation_times_verified": false, "model_version": "wnba-elo-trend-lr-v4", "observed_at_utc": "2026-09-30T22:04:26.487890+00:00", "schema": "learned-moneyline-replay-v1", "served_home_probability": 0.40804299247235476, "snapshot_hash": "27f17f4c1359521935969aa09eef7727d6c6d59b5fba1af3687435ed428661cf"}</t>
        </is>
      </c>
    </row>
    <row r="234" ht="36" customHeight="1">
      <c r="A234" s="24" t="inlineStr">
        <is>
          <t>acb61fcf1a31451b</t>
        </is>
      </c>
      <c r="B234" s="24" t="inlineStr">
        <is>
          <t>2026-09-30T22:04:40.406787Z</t>
        </is>
      </c>
      <c r="C234" s="24" t="inlineStr">
        <is>
          <t>2026-09-30T23:00Z</t>
        </is>
      </c>
      <c r="D234" s="24" t="inlineStr">
        <is>
          <t>401918019</t>
        </is>
      </c>
      <c r="E234" s="24" t="inlineStr">
        <is>
          <t>WNBA</t>
        </is>
      </c>
      <c r="F234" s="24" t="inlineStr">
        <is>
          <t>Atlanta Dream</t>
        </is>
      </c>
      <c r="G234" s="24" t="inlineStr">
        <is>
          <t>Washington Mystics</t>
        </is>
      </c>
      <c r="H234" s="24" t="inlineStr">
        <is>
          <t>spread</t>
        </is>
      </c>
      <c r="I234" s="24" t="inlineStr">
        <is>
          <t>home</t>
        </is>
      </c>
      <c r="J234" s="25" t="n">
        <v>1.5</v>
      </c>
      <c r="K234" s="24" t="inlineStr">
        <is>
          <t>polymarket_us</t>
        </is>
      </c>
      <c r="L234" s="26" t="n">
        <v>144</v>
      </c>
      <c r="M234" s="27" t="n">
        <v>2.44</v>
      </c>
      <c r="N234" s="28" t="n">
        <v>0.409836</v>
      </c>
      <c r="O234" s="28" t="n">
        <v>0.5145459999999999</v>
      </c>
      <c r="P234" s="28" t="n">
        <v>0.03</v>
      </c>
      <c r="Q234" s="28" t="n">
        <v>0.10471</v>
      </c>
      <c r="R234" s="26" t="n">
        <v>84</v>
      </c>
      <c r="S234" s="29" t="n">
        <v>1.5</v>
      </c>
      <c r="T234" s="24" t="inlineStr">
        <is>
          <t>wnba-spread-margin-v2</t>
        </is>
      </c>
      <c r="U234" s="24" t="inlineStr">
        <is>
          <t>settled</t>
        </is>
      </c>
      <c r="V234" s="24" t="inlineStr">
        <is>
          <t>loss</t>
        </is>
      </c>
      <c r="W234" s="26" t="n">
        <v>93</v>
      </c>
      <c r="X234" s="26" t="n">
        <v>75</v>
      </c>
      <c r="Y234" s="25" t="n"/>
      <c r="Z234" s="26" t="n"/>
      <c r="AA234" s="28" t="n"/>
      <c r="AB234" s="28" t="n"/>
      <c r="AC234" s="30" t="n">
        <v>-1.5</v>
      </c>
      <c r="AD234" s="24" t="inlineStr">
        <is>
          <t>2026-10-01T04:30:19.501718Z</t>
        </is>
      </c>
      <c r="AE234" s="31" t="inlineStr">
        <is>
          <t>Projected margin -1.0 (home), sd 13.4. Executable ask 0.4100 (asc-wnba-atl-wsh-2026-09-30-neg-1pt5).</t>
        </is>
      </c>
      <c r="AF234" s="31" t="inlineStr">
        <is>
          <t>Point-in-time composite Elo + trend + rest margin-normal spread model.</t>
        </is>
      </c>
      <c r="AG234" s="24" t="inlineStr">
        <is>
          <t>review_required</t>
        </is>
      </c>
      <c r="AH234" s="24" t="n"/>
      <c r="AI234" s="31" t="n"/>
      <c r="AJ234" s="31" t="n"/>
      <c r="AK234" s="24" t="inlineStr">
        <is>
          <t>paper_call</t>
        </is>
      </c>
      <c r="AL234" s="26" t="n">
        <v>4</v>
      </c>
      <c r="AM234" s="24" t="inlineStr">
        <is>
          <t>RESEARCH_OBSERVATION</t>
        </is>
      </c>
      <c r="AN234" s="24" t="inlineStr">
        <is>
          <t>CALL</t>
        </is>
      </c>
      <c r="AO234" s="24" t="inlineStr">
        <is>
          <t>PAPER_CALL_STALE_DATA</t>
        </is>
      </c>
      <c r="AP234" s="24" t="inlineStr">
        <is>
          <t>wnba-atl</t>
        </is>
      </c>
      <c r="AQ234" s="24" t="inlineStr">
        <is>
          <t>Atlanta Dream</t>
        </is>
      </c>
      <c r="AR234" s="24" t="inlineStr">
        <is>
          <t>Atlanta Dream</t>
        </is>
      </c>
      <c r="AS234" s="24" t="inlineStr">
        <is>
          <t>wnba-was</t>
        </is>
      </c>
      <c r="AT234" s="24" t="inlineStr">
        <is>
          <t>Washington Mystics</t>
        </is>
      </c>
      <c r="AU234" s="24" t="inlineStr">
        <is>
          <t>Washington Mystics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f7d192f98d825d7c77be21b0531a91cff101ad35e418fe9d7e07c5d0f769f974</t>
        </is>
      </c>
      <c r="BB234" s="24" t="inlineStr">
        <is>
          <t>margin_normal</t>
        </is>
      </c>
      <c r="BC234" s="24" t="inlineStr">
        <is>
          <t>wnba-spread-margin-v2</t>
        </is>
      </c>
      <c r="BD234" s="24" t="inlineStr">
        <is>
          <t>f7d192f98d825d7c77be21b0531a91cff101ad35e418fe9d7e07c5d0f769f974</t>
        </is>
      </c>
      <c r="BE234" s="24" t="inlineStr">
        <is>
          <t>wnba-spread-margin-v2</t>
        </is>
      </c>
      <c r="BF234" s="24" t="inlineStr">
        <is>
          <t>1</t>
        </is>
      </c>
      <c r="BG234" s="24" t="inlineStr">
        <is>
          <t>f7d192f98d825d7c77be21b0531a91cff101ad35e418fe9d7e07c5d0f769f974</t>
        </is>
      </c>
      <c r="BH234" s="24" t="inlineStr">
        <is>
          <t>2026-09-30T10:04:18.428923Z</t>
        </is>
      </c>
      <c r="BI234" s="24" t="inlineStr">
        <is>
          <t>["same_event","same_team_same_day","same_league_same_day"]</t>
        </is>
      </c>
      <c r="BJ234" s="25" t="n">
        <v>1.5</v>
      </c>
      <c r="BK234" s="26" t="n">
        <v>144</v>
      </c>
      <c r="BL234" s="27" t="n">
        <v>2.44</v>
      </c>
      <c r="BM234" s="28" t="n">
        <v>0.409836</v>
      </c>
      <c r="BN234" s="28" t="n"/>
      <c r="BO234" s="28" t="n"/>
      <c r="BP234" s="25" t="n"/>
      <c r="BQ234" s="27" t="n"/>
      <c r="BR234" s="28" t="n"/>
      <c r="BS234" s="28" t="n"/>
      <c r="BT234" s="28" t="n"/>
      <c r="BU234" s="25" t="n"/>
      <c r="BV234" s="29" t="n"/>
      <c r="BW234" s="24" t="n"/>
      <c r="BX234" s="30" t="n">
        <v>1</v>
      </c>
      <c r="BY234" s="27" t="n">
        <v>-1</v>
      </c>
      <c r="BZ234" s="24" t="inlineStr">
        <is>
          <t>2026-10-01T04:30:19.501718Z</t>
        </is>
      </c>
      <c r="CA234" s="31" t="inlineStr">
        <is>
          <t>fixed one-unit hypothetical scoring; no real exposure or execution</t>
        </is>
      </c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  <c r="CT234" s="24" t="n"/>
      <c r="CU234" s="24" t="n"/>
      <c r="CV234" s="24" t="n"/>
      <c r="CW234" s="24" t="n"/>
      <c r="CX234" s="24" t="n"/>
      <c r="CY234" s="24" t="inlineStr">
        <is>
          <t>2026-09-30T10:04:18.428923Z</t>
        </is>
      </c>
      <c r="CZ234" s="24" t="inlineStr">
        <is>
          <t>True</t>
        </is>
      </c>
      <c r="DA234" s="24" t="inlineStr">
        <is>
          <t>polymarket_us</t>
        </is>
      </c>
      <c r="DB234" s="24" t="inlineStr">
        <is>
          <t>decision_time_executable_quote</t>
        </is>
      </c>
      <c r="DC234" s="24" t="inlineStr">
        <is>
          <t>False</t>
        </is>
      </c>
      <c r="DD234" s="24" t="inlineStr">
        <is>
          <t>876e88a39945f852eac8f755be0d8109509ad73c160b31d0ee3cc521f17013eb</t>
        </is>
      </c>
      <c r="DE234" s="24" t="inlineStr">
        <is>
          <t>/Users/vincentc9002/model-prediction/data/odds/wnba/2026-09-30/polymarket_snapshots.jsonl</t>
        </is>
      </c>
      <c r="DF234" s="24" t="inlineStr">
        <is>
          <t>876e88a39945f852eac8f755be0d8109509ad73c160b31d0ee3cc521f17013eb</t>
        </is>
      </c>
      <c r="DG234" s="24" t="n"/>
      <c r="DH234" s="24" t="n"/>
      <c r="DI234" s="24" t="n"/>
      <c r="DJ234" s="24" t="inlineStr">
        <is>
          <t>0.409836</t>
        </is>
      </c>
      <c r="DK234" s="24" t="n"/>
      <c r="DL234" s="24" t="n"/>
      <c r="DM234" s="24" t="n"/>
      <c r="DN234" s="24" t="n"/>
      <c r="DO234" s="24" t="n"/>
      <c r="DP234" s="24" t="n"/>
      <c r="DQ234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"401918019", "event_start_utc": "2026-09-30T23:00Z", "features": {"away_points_hl10": 87.12, "elo_away": 1706.8, "elo_home": 1621.9, "elo_margin": -0.89, "expected_margin": -1.01, "expected_total": 170.74, "history_games": 952, "home_points_hl10": 83.61, "rest_diff": 0.0, "trend_margin": -1.25}, "historical_source_observation_times_verified": false, "inference_inputs": {"line": -1.5, "mean": -1.012411088153656, "sd": 13.37}, "model_version": "wnba-spread-margin-v2", "observed_at_utc": "2026-09-30T22:04:40.174361+00:00", "replay_scope": "Exact final classifier/distribution inputs and artifact. Upstream historical feature construction not certified.", "schema": "scalar-artifact-replay-v1", "snapshot_hash": "6bc69b027111610bc5b0b987bac8444931b82a46bba1bc734e0f3987c9903548"}</t>
        </is>
      </c>
    </row>
    <row r="235" ht="36" customHeight="1">
      <c r="A235" s="24" t="inlineStr">
        <is>
          <t>644f89839df1446f</t>
        </is>
      </c>
      <c r="B235" s="24" t="inlineStr">
        <is>
          <t>2026-09-30T22:04:40.406787Z</t>
        </is>
      </c>
      <c r="C235" s="24" t="inlineStr">
        <is>
          <t>2026-10-01T01:00Z</t>
        </is>
      </c>
      <c r="D235" s="24" t="inlineStr">
        <is>
          <t>401918020</t>
        </is>
      </c>
      <c r="E235" s="24" t="inlineStr">
        <is>
          <t>WNBA</t>
        </is>
      </c>
      <c r="F235" s="24" t="inlineStr">
        <is>
          <t>Golden State Valkyries</t>
        </is>
      </c>
      <c r="G235" s="24" t="inlineStr">
        <is>
          <t>Dallas Wings</t>
        </is>
      </c>
      <c r="H235" s="24" t="inlineStr">
        <is>
          <t>spread</t>
        </is>
      </c>
      <c r="I235" s="24" t="inlineStr">
        <is>
          <t>away</t>
        </is>
      </c>
      <c r="J235" s="25" t="n">
        <v>3.5</v>
      </c>
      <c r="K235" s="24" t="inlineStr">
        <is>
          <t>polymarket_us</t>
        </is>
      </c>
      <c r="L235" s="26" t="n">
        <v>-245</v>
      </c>
      <c r="M235" s="27" t="n">
        <v>1.408163</v>
      </c>
      <c r="N235" s="28" t="n">
        <v>0.710145</v>
      </c>
      <c r="O235" s="28" t="n">
        <v>0.6418970000000001</v>
      </c>
      <c r="P235" s="28" t="n">
        <v>0.03</v>
      </c>
      <c r="Q235" s="28" t="n">
        <v>-0.068248</v>
      </c>
      <c r="R235" s="26" t="n">
        <v>0</v>
      </c>
      <c r="S235" s="29" t="n">
        <v>1</v>
      </c>
      <c r="T235" s="24" t="inlineStr">
        <is>
          <t>wnba-spread-margin-v2</t>
        </is>
      </c>
      <c r="U235" s="24" t="inlineStr">
        <is>
          <t>settled</t>
        </is>
      </c>
      <c r="V235" s="24" t="inlineStr">
        <is>
          <t>loss</t>
        </is>
      </c>
      <c r="W235" s="26" t="n">
        <v>100</v>
      </c>
      <c r="X235" s="26" t="n">
        <v>108</v>
      </c>
      <c r="Y235" s="25" t="n"/>
      <c r="Z235" s="26" t="n"/>
      <c r="AA235" s="28" t="n"/>
      <c r="AB235" s="28" t="n"/>
      <c r="AC235" s="30" t="n">
        <v>-1</v>
      </c>
      <c r="AD235" s="24" t="inlineStr">
        <is>
          <t>2026-10-01T04:30:19.778067Z</t>
        </is>
      </c>
      <c r="AE235" s="31" t="inlineStr">
        <is>
          <t>Projected margin -1.4 (home), sd 13.4. Executable ask 0.7100 (asc-wnba-gsv-dal-2026-09-30-pos-3pt5).</t>
        </is>
      </c>
      <c r="AF235" s="31" t="inlineStr">
        <is>
          <t>Point-in-time composite Elo + trend + rest margin-normal spread model.</t>
        </is>
      </c>
      <c r="AG235" s="24" t="inlineStr">
        <is>
          <t>review_required</t>
        </is>
      </c>
      <c r="AH235" s="24" t="n"/>
      <c r="AI235" s="31" t="n"/>
      <c r="AJ235" s="31" t="n"/>
      <c r="AK235" s="24" t="inlineStr">
        <is>
          <t>paper_call</t>
        </is>
      </c>
      <c r="AL235" s="26" t="n">
        <v>4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PAPER_CALL_STALE_DATA</t>
        </is>
      </c>
      <c r="AP235" s="24" t="inlineStr">
        <is>
          <t>wnba-gsv</t>
        </is>
      </c>
      <c r="AQ235" s="24" t="inlineStr">
        <is>
          <t>Golden State Valkyries</t>
        </is>
      </c>
      <c r="AR235" s="24" t="inlineStr">
        <is>
          <t>Golden State Valkyries</t>
        </is>
      </c>
      <c r="AS235" s="24" t="inlineStr">
        <is>
          <t>wnba-dal</t>
        </is>
      </c>
      <c r="AT235" s="24" t="inlineStr">
        <is>
          <t>Dallas Wings</t>
        </is>
      </c>
      <c r="AU235" s="24" t="inlineStr">
        <is>
          <t>Dallas Wings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f7d192f98d825d7c77be21b0531a91cff101ad35e418fe9d7e07c5d0f769f974</t>
        </is>
      </c>
      <c r="BB235" s="24" t="inlineStr">
        <is>
          <t>margin_normal</t>
        </is>
      </c>
      <c r="BC235" s="24" t="inlineStr">
        <is>
          <t>wnba-spread-margin-v2</t>
        </is>
      </c>
      <c r="BD235" s="24" t="inlineStr">
        <is>
          <t>f7d192f98d825d7c77be21b0531a91cff101ad35e418fe9d7e07c5d0f769f974</t>
        </is>
      </c>
      <c r="BE235" s="24" t="inlineStr">
        <is>
          <t>wnba-spread-margin-v2</t>
        </is>
      </c>
      <c r="BF235" s="24" t="inlineStr">
        <is>
          <t>1</t>
        </is>
      </c>
      <c r="BG235" s="24" t="inlineStr">
        <is>
          <t>f7d192f98d825d7c77be21b0531a91cff101ad35e418fe9d7e07c5d0f769f974</t>
        </is>
      </c>
      <c r="BH235" s="24" t="inlineStr">
        <is>
          <t>2026-09-30T04:33:48.561225Z</t>
        </is>
      </c>
      <c r="BI235" s="24" t="inlineStr">
        <is>
          <t>["same_event","same_team_same_day","same_league_same_day"]</t>
        </is>
      </c>
      <c r="BJ235" s="25" t="n">
        <v>3.5</v>
      </c>
      <c r="BK235" s="26" t="n">
        <v>-245</v>
      </c>
      <c r="BL235" s="27" t="n">
        <v>1.408163</v>
      </c>
      <c r="BM235" s="28" t="n">
        <v>0.710145</v>
      </c>
      <c r="BN235" s="28" t="n"/>
      <c r="BO235" s="28" t="n"/>
      <c r="BP235" s="25" t="n"/>
      <c r="BQ235" s="27" t="n"/>
      <c r="BR235" s="28" t="n"/>
      <c r="BS235" s="28" t="n"/>
      <c r="BT235" s="28" t="n"/>
      <c r="BU235" s="25" t="n"/>
      <c r="BV235" s="29" t="n"/>
      <c r="BW235" s="24" t="n"/>
      <c r="BX235" s="30" t="n">
        <v>1</v>
      </c>
      <c r="BY235" s="27" t="n">
        <v>-1</v>
      </c>
      <c r="BZ235" s="24" t="inlineStr">
        <is>
          <t>2026-10-01T04:30:19.778067Z</t>
        </is>
      </c>
      <c r="CA235" s="31" t="inlineStr">
        <is>
          <t>fixed one-unit hypothetical scoring; no real exposure or execution</t>
        </is>
      </c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False</t>
        </is>
      </c>
      <c r="CT235" s="24" t="n"/>
      <c r="CU235" s="24" t="n"/>
      <c r="CV235" s="24" t="n"/>
      <c r="CW235" s="24" t="n"/>
      <c r="CX235" s="24" t="n"/>
      <c r="CY235" s="24" t="inlineStr">
        <is>
          <t>2026-09-30T04:33:48.561225Z</t>
        </is>
      </c>
      <c r="CZ235" s="24" t="inlineStr">
        <is>
          <t>True</t>
        </is>
      </c>
      <c r="DA235" s="24" t="inlineStr">
        <is>
          <t>polymarket_us</t>
        </is>
      </c>
      <c r="DB235" s="24" t="inlineStr">
        <is>
          <t>decision_time_executable_quote</t>
        </is>
      </c>
      <c r="DC235" s="24" t="inlineStr">
        <is>
          <t>False</t>
        </is>
      </c>
      <c r="DD235" s="24" t="inlineStr">
        <is>
          <t>acc7958f29d3a34c99f019dd160545755b7ad17c5b5b13d88e6ac13a5fe6b9e2</t>
        </is>
      </c>
      <c r="DE235" s="24" t="inlineStr">
        <is>
          <t>/Users/vincentc9002/model-prediction/data/odds/wnba/2026-09-30/polymarket_snapshots.jsonl</t>
        </is>
      </c>
      <c r="DF235" s="24" t="inlineStr">
        <is>
          <t>acc7958f29d3a34c99f019dd160545755b7ad17c5b5b13d88e6ac13a5fe6b9e2</t>
        </is>
      </c>
      <c r="DG235" s="24" t="n"/>
      <c r="DH235" s="24" t="n"/>
      <c r="DI235" s="24" t="n"/>
      <c r="DJ235" s="24" t="inlineStr">
        <is>
          <t>0.710145</t>
        </is>
      </c>
      <c r="DK235" s="24" t="n"/>
      <c r="DL235" s="24" t="n"/>
      <c r="DM235" s="24" t="n"/>
      <c r="DN235" s="24" t="n"/>
      <c r="DO235" s="24" t="n"/>
      <c r="DP235" s="24" t="n"/>
      <c r="DQ235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"401918020", "event_start_utc": "2026-10-01T01:00Z", "features": {"away_points_hl10": 83.53, "elo_away": 1739.8, "elo_home": 1597.8, "elo_margin": -2.93, "expected_margin": -1.36, "expected_total": 165.18, "history_games": 952, "home_points_hl10": 81.64, "rest_diff": 0.0, "trend_margin": 0.37}, "historical_source_observation_times_verified": false, "inference_inputs": {"line": 3.5, "mean": -1.3604557512233784, "sd": 13.37}, "model_version": "wnba-spread-margin-v2", "observed_at_utc": "2026-09-30T22:04:40.174361+00:00", "replay_scope": "Exact final classifier/distribution inputs and artifact. Upstream historical feature construction not certified.", "schema": "scalar-artifact-replay-v1", "snapshot_hash": "a4c590e82e6f3150a952af35f858e31ffd8f582897056f827ff91309fa29cb80"}</t>
        </is>
      </c>
    </row>
    <row r="236" ht="36" customHeight="1">
      <c r="A236" s="24" t="inlineStr">
        <is>
          <t>52c1b997d1a94fe4</t>
        </is>
      </c>
      <c r="B236" s="24" t="inlineStr">
        <is>
          <t>2026-09-30T22:04:40.415061Z</t>
        </is>
      </c>
      <c r="C236" s="24" t="inlineStr">
        <is>
          <t>2026-09-30T23:00Z</t>
        </is>
      </c>
      <c r="D236" s="24" t="inlineStr">
        <is>
          <t>401918019</t>
        </is>
      </c>
      <c r="E236" s="24" t="inlineStr">
        <is>
          <t>WNBA</t>
        </is>
      </c>
      <c r="F236" s="24" t="inlineStr">
        <is>
          <t>Atlanta Dream</t>
        </is>
      </c>
      <c r="G236" s="24" t="inlineStr">
        <is>
          <t>Washington Mystics</t>
        </is>
      </c>
      <c r="H236" s="24" t="inlineStr">
        <is>
          <t>total</t>
        </is>
      </c>
      <c r="I236" s="24" t="inlineStr">
        <is>
          <t>over</t>
        </is>
      </c>
      <c r="J236" s="25" t="n">
        <v>167.5</v>
      </c>
      <c r="K236" s="24" t="inlineStr">
        <is>
          <t>polymarket_us</t>
        </is>
      </c>
      <c r="L236" s="26" t="n">
        <v>108</v>
      </c>
      <c r="M236" s="27" t="n">
        <v>2.08</v>
      </c>
      <c r="N236" s="28" t="n">
        <v>0.480769</v>
      </c>
      <c r="O236" s="28" t="n">
        <v>0.6227279999999999</v>
      </c>
      <c r="P236" s="28" t="n">
        <v>0.03</v>
      </c>
      <c r="Q236" s="28" t="n">
        <v>0.141959</v>
      </c>
      <c r="R236" s="26" t="n">
        <v>100</v>
      </c>
      <c r="S236" s="29" t="n">
        <v>1.75</v>
      </c>
      <c r="T236" s="24" t="inlineStr">
        <is>
          <t>wnba-total-margin-v2</t>
        </is>
      </c>
      <c r="U236" s="24" t="inlineStr">
        <is>
          <t>settled</t>
        </is>
      </c>
      <c r="V236" s="24" t="inlineStr">
        <is>
          <t>win</t>
        </is>
      </c>
      <c r="W236" s="26" t="n">
        <v>93</v>
      </c>
      <c r="X236" s="26" t="n">
        <v>75</v>
      </c>
      <c r="Y236" s="25" t="n"/>
      <c r="Z236" s="26" t="n">
        <v>108</v>
      </c>
      <c r="AA236" s="28" t="n">
        <v>0.48</v>
      </c>
      <c r="AB236" s="28" t="n">
        <v>-0.000769</v>
      </c>
      <c r="AC236" s="30" t="n">
        <v>1.89</v>
      </c>
      <c r="AD236" s="24" t="inlineStr">
        <is>
          <t>2026-10-01T04:30:20.059069Z</t>
        </is>
      </c>
      <c r="AE236" s="31" t="inlineStr">
        <is>
          <t>Projected total 172.5, sd 16.0. Executable ask 0.4800 (tsc-wnba-atl-wsh-2026-09-30-167pt5).</t>
        </is>
      </c>
      <c r="AF236" s="31" t="inlineStr">
        <is>
          <t>Research-baseline total model; not yet locked-holdout qualified.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model_qualified</t>
        </is>
      </c>
      <c r="AL236" s="26" t="n">
        <v>4</v>
      </c>
      <c r="AM236" s="24" t="inlineStr">
        <is>
          <t>QUALIFIED_SHADOW_CALL</t>
        </is>
      </c>
      <c r="AN236" s="24" t="inlineStr">
        <is>
          <t>CALL</t>
        </is>
      </c>
      <c r="AO236" s="24" t="inlineStr">
        <is>
          <t>QUALIFIED</t>
        </is>
      </c>
      <c r="AP236" s="24" t="inlineStr">
        <is>
          <t>wnba-atl</t>
        </is>
      </c>
      <c r="AQ236" s="24" t="inlineStr">
        <is>
          <t>Atlanta Dream</t>
        </is>
      </c>
      <c r="AR236" s="24" t="inlineStr">
        <is>
          <t>Atlanta Dream</t>
        </is>
      </c>
      <c r="AS236" s="24" t="inlineStr">
        <is>
          <t>wnba-was</t>
        </is>
      </c>
      <c r="AT236" s="24" t="inlineStr">
        <is>
          <t>Washington Mystics</t>
        </is>
      </c>
      <c r="AU236" s="24" t="inlineStr">
        <is>
          <t>Washington Mystics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research</t>
        </is>
      </c>
      <c r="BA236" s="24" t="inlineStr">
        <is>
          <t>9c9b767590bbbb9a7b333eaf9def066d65bf813e735ed73aa27cfb2c609a4ca5</t>
        </is>
      </c>
      <c r="BB236" s="24" t="inlineStr">
        <is>
          <t>total_normal</t>
        </is>
      </c>
      <c r="BC236" s="24" t="inlineStr">
        <is>
          <t>wnba-total-margin-v2</t>
        </is>
      </c>
      <c r="BD236" s="24" t="inlineStr">
        <is>
          <t>9c9b767590bbbb9a7b333eaf9def066d65bf813e735ed73aa27cfb2c609a4ca5</t>
        </is>
      </c>
      <c r="BE236" s="24" t="inlineStr">
        <is>
          <t>wnba-total-margin-v2</t>
        </is>
      </c>
      <c r="BF236" s="24" t="inlineStr">
        <is>
          <t>1</t>
        </is>
      </c>
      <c r="BG236" s="24" t="inlineStr">
        <is>
          <t>9c9b767590bbbb9a7b333eaf9def066d65bf813e735ed73aa27cfb2c609a4ca5</t>
        </is>
      </c>
      <c r="BH236" s="24" t="inlineStr">
        <is>
          <t>2026-09-30T22:03:04.108629Z</t>
        </is>
      </c>
      <c r="BI236" s="24" t="inlineStr">
        <is>
          <t>["same_event","same_team_same_day","same_league_same_day"]</t>
        </is>
      </c>
      <c r="BJ236" s="25" t="n">
        <v>167.5</v>
      </c>
      <c r="BK236" s="26" t="n">
        <v>108</v>
      </c>
      <c r="BL236" s="27" t="n">
        <v>2.08</v>
      </c>
      <c r="BM236" s="28" t="n">
        <v>0.480769</v>
      </c>
      <c r="BN236" s="28" t="n"/>
      <c r="BO236" s="28" t="n"/>
      <c r="BP236" s="25" t="n"/>
      <c r="BQ236" s="27" t="n">
        <v>2.08</v>
      </c>
      <c r="BR236" s="28" t="n">
        <v>0.48</v>
      </c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  <c r="CT236" s="24" t="n"/>
      <c r="CU236" s="24" t="n"/>
      <c r="CV236" s="24" t="n"/>
      <c r="CW236" s="24" t="n"/>
      <c r="CX236" s="24" t="n"/>
      <c r="CY236" s="24" t="inlineStr">
        <is>
          <t>2026-09-30T22:03:04.108629Z</t>
        </is>
      </c>
      <c r="CZ236" s="24" t="inlineStr">
        <is>
          <t>True</t>
        </is>
      </c>
      <c r="DA236" s="24" t="inlineStr">
        <is>
          <t>polymarket_us</t>
        </is>
      </c>
      <c r="DB236" s="24" t="inlineStr">
        <is>
          <t>decision_time_executable_quote</t>
        </is>
      </c>
      <c r="DC236" s="24" t="inlineStr">
        <is>
          <t>False</t>
        </is>
      </c>
      <c r="DD236" s="24" t="inlineStr">
        <is>
          <t>4c43bf95450f8151f38859c31554936cfd846fbedab13fb5e1a81b334ee049d1</t>
        </is>
      </c>
      <c r="DE236" s="24" t="inlineStr">
        <is>
          <t>/Users/vincentc9002/model-prediction/data/odds/wnba/2026-09-30/polymarket_snapshots.jsonl</t>
        </is>
      </c>
      <c r="DF236" s="24" t="inlineStr">
        <is>
          <t>4c43bf95450f8151f38859c31554936cfd846fbedab13fb5e1a81b334ee049d1</t>
        </is>
      </c>
      <c r="DG236" s="24" t="n"/>
      <c r="DH236" s="24" t="n"/>
      <c r="DI236" s="24" t="n"/>
      <c r="DJ236" s="24" t="inlineStr">
        <is>
          <t>0.480769</t>
        </is>
      </c>
      <c r="DK236" s="24" t="n"/>
      <c r="DL236" s="24" t="n"/>
      <c r="DM236" s="24" t="n"/>
      <c r="DN236" s="24" t="n"/>
      <c r="DO236" s="24" t="n"/>
      <c r="DP236" s="24" t="n"/>
      <c r="DQ236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"401918019", "event_start_utc": "2026-09-30T23:00Z", "features": {"away_points_hl10": 87.12, "elo_away": 1706.8, "elo_home": 1621.9, "elo_margin": -0.89, "expected_margin": -1.51, "expected_total": 172.5, "history_games": 952, "home_points_hl10": 83.61, "rest_diff": 0.0, "trend_margin": -1.51}, "historical_source_observation_times_verified": false, "inference_inputs": {"line": 167.5, "mean": 172.5024532, "sd": 16.0}, "model_version": "wnba-total-margin-v2", "observed_at_utc": "2026-09-30T22:04:40.173951+00:00", "replay_scope": "Exact final classifier/distribution inputs and artifact. Upstream historical feature construction not certified.", "schema": "scalar-artifact-replay-v1", "snapshot_hash": "27d24c44e17cc7c295d242ab3bfaaed4a4bb647928af346b107c230a05621d68"}</t>
        </is>
      </c>
    </row>
    <row r="237" ht="36" customHeight="1">
      <c r="A237" s="24" t="inlineStr">
        <is>
          <t>dd2e5c3e0cf04739</t>
        </is>
      </c>
      <c r="B237" s="24" t="inlineStr">
        <is>
          <t>2026-09-30T22:04:40.415061Z</t>
        </is>
      </c>
      <c r="C237" s="24" t="inlineStr">
        <is>
          <t>2026-10-01T01:00Z</t>
        </is>
      </c>
      <c r="D237" s="24" t="inlineStr">
        <is>
          <t>401918020</t>
        </is>
      </c>
      <c r="E237" s="24" t="inlineStr">
        <is>
          <t>WNBA</t>
        </is>
      </c>
      <c r="F237" s="24" t="inlineStr">
        <is>
          <t>Golden State Valkyries</t>
        </is>
      </c>
      <c r="G237" s="24" t="inlineStr">
        <is>
          <t>Dallas Wings</t>
        </is>
      </c>
      <c r="H237" s="24" t="inlineStr">
        <is>
          <t>total</t>
        </is>
      </c>
      <c r="I237" s="24" t="inlineStr">
        <is>
          <t>over</t>
        </is>
      </c>
      <c r="J237" s="25" t="n">
        <v>149.5</v>
      </c>
      <c r="K237" s="24" t="inlineStr">
        <is>
          <t>polymarket_us</t>
        </is>
      </c>
      <c r="L237" s="26" t="n">
        <v>-203</v>
      </c>
      <c r="M237" s="27" t="n">
        <v>1.492611</v>
      </c>
      <c r="N237" s="28" t="n">
        <v>0.669967</v>
      </c>
      <c r="O237" s="28" t="n">
        <v>0.816028</v>
      </c>
      <c r="P237" s="28" t="n">
        <v>0.03</v>
      </c>
      <c r="Q237" s="28" t="n">
        <v>0.146061</v>
      </c>
      <c r="R237" s="26" t="n">
        <v>100</v>
      </c>
      <c r="S237" s="29" t="n">
        <v>1.75</v>
      </c>
      <c r="T237" s="24" t="inlineStr">
        <is>
          <t>wnba-total-margin-v2</t>
        </is>
      </c>
      <c r="U237" s="24" t="inlineStr">
        <is>
          <t>settled</t>
        </is>
      </c>
      <c r="V237" s="24" t="inlineStr">
        <is>
          <t>win</t>
        </is>
      </c>
      <c r="W237" s="26" t="n">
        <v>100</v>
      </c>
      <c r="X237" s="26" t="n">
        <v>108</v>
      </c>
      <c r="Y237" s="25" t="n"/>
      <c r="Z237" s="26" t="n">
        <v>-203</v>
      </c>
      <c r="AA237" s="28" t="n">
        <v>0.67</v>
      </c>
      <c r="AB237" s="28" t="n">
        <v>3.3e-05</v>
      </c>
      <c r="AC237" s="30" t="n">
        <v>0.8621</v>
      </c>
      <c r="AD237" s="24" t="inlineStr">
        <is>
          <t>2026-10-01T04:30:20.360056Z</t>
        </is>
      </c>
      <c r="AE237" s="31" t="inlineStr">
        <is>
          <t>Projected total 163.9, sd 16.0. Executable ask 0.6700 (tsc-wnba-gsv-dal-2026-09-30-149pt5).</t>
        </is>
      </c>
      <c r="AF237" s="31" t="inlineStr">
        <is>
          <t>Research-baseline total model; not yet locked-holdout qualified.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paper_call</t>
        </is>
      </c>
      <c r="AL237" s="26" t="n">
        <v>4</v>
      </c>
      <c r="AM237" s="24" t="inlineStr">
        <is>
          <t>RESEARCH_OBSERVATION</t>
        </is>
      </c>
      <c r="AN237" s="24" t="inlineStr">
        <is>
          <t>CALL</t>
        </is>
      </c>
      <c r="AO237" s="24" t="inlineStr">
        <is>
          <t>PAPER_CALL_STALE_DATA</t>
        </is>
      </c>
      <c r="AP237" s="24" t="inlineStr">
        <is>
          <t>wnba-gsv</t>
        </is>
      </c>
      <c r="AQ237" s="24" t="inlineStr">
        <is>
          <t>Golden State Valkyries</t>
        </is>
      </c>
      <c r="AR237" s="24" t="inlineStr">
        <is>
          <t>Golden State Valkyries</t>
        </is>
      </c>
      <c r="AS237" s="24" t="inlineStr">
        <is>
          <t>wnba-dal</t>
        </is>
      </c>
      <c r="AT237" s="24" t="inlineStr">
        <is>
          <t>Dallas Wings</t>
        </is>
      </c>
      <c r="AU237" s="24" t="inlineStr">
        <is>
          <t>Dallas Wings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research</t>
        </is>
      </c>
      <c r="BA237" s="24" t="inlineStr">
        <is>
          <t>9c9b767590bbbb9a7b333eaf9def066d65bf813e735ed73aa27cfb2c609a4ca5</t>
        </is>
      </c>
      <c r="BB237" s="24" t="inlineStr">
        <is>
          <t>total_normal</t>
        </is>
      </c>
      <c r="BC237" s="24" t="inlineStr">
        <is>
          <t>wnba-total-margin-v2</t>
        </is>
      </c>
      <c r="BD237" s="24" t="inlineStr">
        <is>
          <t>9c9b767590bbbb9a7b333eaf9def066d65bf813e735ed73aa27cfb2c609a4ca5</t>
        </is>
      </c>
      <c r="BE237" s="24" t="inlineStr">
        <is>
          <t>wnba-total-margin-v2</t>
        </is>
      </c>
      <c r="BF237" s="24" t="inlineStr">
        <is>
          <t>1</t>
        </is>
      </c>
      <c r="BG237" s="24" t="inlineStr">
        <is>
          <t>9c9b767590bbbb9a7b333eaf9def066d65bf813e735ed73aa27cfb2c609a4ca5</t>
        </is>
      </c>
      <c r="BH237" s="24" t="inlineStr">
        <is>
          <t>2026-09-30T04:33:48.598884Z</t>
        </is>
      </c>
      <c r="BI237" s="24" t="inlineStr">
        <is>
          <t>["same_event","same_team_same_day","same_league_same_day"]</t>
        </is>
      </c>
      <c r="BJ237" s="25" t="n">
        <v>149.5</v>
      </c>
      <c r="BK237" s="26" t="n">
        <v>-203</v>
      </c>
      <c r="BL237" s="27" t="n">
        <v>1.492611</v>
      </c>
      <c r="BM237" s="28" t="n">
        <v>0.669967</v>
      </c>
      <c r="BN237" s="28" t="n"/>
      <c r="BO237" s="28" t="n"/>
      <c r="BP237" s="25" t="n"/>
      <c r="BQ237" s="27" t="n">
        <v>1.492611</v>
      </c>
      <c r="BR237" s="28" t="n">
        <v>0.67</v>
      </c>
      <c r="BS237" s="28" t="n"/>
      <c r="BT237" s="28" t="n"/>
      <c r="BU237" s="25" t="n"/>
      <c r="BV237" s="29" t="n"/>
      <c r="BW237" s="24" t="n"/>
      <c r="BX237" s="30" t="n">
        <v>1</v>
      </c>
      <c r="BY237" s="27" t="n">
        <v>0.492611</v>
      </c>
      <c r="BZ237" s="24" t="inlineStr">
        <is>
          <t>2026-10-01T04:30:20.360056Z</t>
        </is>
      </c>
      <c r="CA237" s="31" t="inlineStr">
        <is>
          <t>fixed one-unit hypothetical scoring; no real exposure or execution</t>
        </is>
      </c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True</t>
        </is>
      </c>
      <c r="CT237" s="24" t="n"/>
      <c r="CU237" s="24" t="n"/>
      <c r="CV237" s="24" t="n"/>
      <c r="CW237" s="24" t="n"/>
      <c r="CX237" s="24" t="n"/>
      <c r="CY237" s="24" t="inlineStr">
        <is>
          <t>2026-09-30T04:33:48.598884Z</t>
        </is>
      </c>
      <c r="CZ237" s="24" t="inlineStr">
        <is>
          <t>True</t>
        </is>
      </c>
      <c r="DA237" s="24" t="inlineStr">
        <is>
          <t>polymarket_us</t>
        </is>
      </c>
      <c r="DB237" s="24" t="inlineStr">
        <is>
          <t>decision_time_executable_quote</t>
        </is>
      </c>
      <c r="DC237" s="24" t="inlineStr">
        <is>
          <t>False</t>
        </is>
      </c>
      <c r="DD237" s="24" t="inlineStr">
        <is>
          <t>41e3c0c8d18eb8075f04cdde23e02d45ba9b30d83c4f23cd18cee46abf1e57d8</t>
        </is>
      </c>
      <c r="DE237" s="24" t="inlineStr">
        <is>
          <t>/Users/vincentc9002/model-prediction/data/odds/wnba/2026-09-30/polymarket_snapshots.jsonl</t>
        </is>
      </c>
      <c r="DF237" s="24" t="inlineStr">
        <is>
          <t>41e3c0c8d18eb8075f04cdde23e02d45ba9b30d83c4f23cd18cee46abf1e57d8</t>
        </is>
      </c>
      <c r="DG237" s="24" t="n"/>
      <c r="DH237" s="24" t="n"/>
      <c r="DI237" s="24" t="n"/>
      <c r="DJ237" s="24" t="inlineStr">
        <is>
          <t>0.669967</t>
        </is>
      </c>
      <c r="DK237" s="24" t="n"/>
      <c r="DL237" s="24" t="n"/>
      <c r="DM237" s="24" t="n"/>
      <c r="DN237" s="24" t="n"/>
      <c r="DO237" s="24" t="n"/>
      <c r="DP237" s="24" t="n"/>
      <c r="DQ237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"401918020", "event_start_utc": "2026-10-01T01:00Z", "features": {"away_points_hl10": 83.53, "elo_away": 1739.8, "elo_home": 1597.8, "elo_margin": -2.93, "expected_margin": 0.11, "expected_total": 163.91, "history_games": 952, "home_points_hl10": 81.64, "rest_diff": 0.0, "trend_margin": 0.11}, "historical_source_observation_times_verified": false, "inference_inputs": {"line": 149.5, "mean": 163.90531199999998, "sd": 16.0}, "model_version": "wnba-total-margin-v2", "observed_at_utc": "2026-09-30T22:04:40.173951+00:00", "replay_scope": "Exact final classifier/distribution inputs and artifact. Upstream historical feature construction not certified.", "schema": "scalar-artifact-replay-v1", "snapshot_hash": "f0c4adc0b567291ae7c18b803fe286f2bccd4095c8eae601af43b54970161779"}</t>
        </is>
      </c>
    </row>
    <row r="238" ht="36" customHeight="1">
      <c r="A238" s="24" t="inlineStr">
        <is>
          <t>cc55dc09817d4448</t>
        </is>
      </c>
      <c r="B238" s="24" t="inlineStr">
        <is>
          <t>2026-10-01T22:06:38.234761Z</t>
        </is>
      </c>
      <c r="C238" s="24" t="inlineStr">
        <is>
          <t>2026-10-01T21:00:00-0400</t>
        </is>
      </c>
      <c r="D238" s="24" t="inlineStr">
        <is>
          <t>401918022</t>
        </is>
      </c>
      <c r="E238" s="24" t="inlineStr">
        <is>
          <t>WNBA</t>
        </is>
      </c>
      <c r="F238" s="24" t="inlineStr">
        <is>
          <t>Indiana Fever</t>
        </is>
      </c>
      <c r="G238" s="24" t="inlineStr">
        <is>
          <t>Las Vegas Aces</t>
        </is>
      </c>
      <c r="H238" s="24" t="inlineStr">
        <is>
          <t>moneyline</t>
        </is>
      </c>
      <c r="I238" s="24" t="inlineStr">
        <is>
          <t>home</t>
        </is>
      </c>
      <c r="J238" s="25" t="n"/>
      <c r="K238" s="24" t="inlineStr">
        <is>
          <t>polymarket_us</t>
        </is>
      </c>
      <c r="L238" s="26" t="n">
        <v>-186</v>
      </c>
      <c r="M238" s="27" t="n">
        <v>1.537634</v>
      </c>
      <c r="N238" s="28" t="n">
        <v>0.65035</v>
      </c>
      <c r="O238" s="28" t="n">
        <v>0.56871</v>
      </c>
      <c r="P238" s="28" t="n"/>
      <c r="Q238" s="28" t="n">
        <v>-0.08164</v>
      </c>
      <c r="R238" s="26" t="n">
        <v>9</v>
      </c>
      <c r="S238" s="29" t="n">
        <v>1</v>
      </c>
      <c r="T238" s="24" t="inlineStr">
        <is>
          <t>wnba-elo-trend-lr-v4</t>
        </is>
      </c>
      <c r="U238" s="24" t="inlineStr">
        <is>
          <t>settled</t>
        </is>
      </c>
      <c r="V238" s="24" t="inlineStr">
        <is>
          <t>win</t>
        </is>
      </c>
      <c r="W238" s="26" t="n">
        <v>83</v>
      </c>
      <c r="X238" s="26" t="n">
        <v>94</v>
      </c>
      <c r="Y238" s="25" t="n"/>
      <c r="Z238" s="26" t="n">
        <v>-186</v>
      </c>
      <c r="AA238" s="28" t="n">
        <v>0.65</v>
      </c>
      <c r="AB238" s="28" t="n">
        <v>-0.00035</v>
      </c>
      <c r="AC238" s="30" t="n">
        <v>0.5376</v>
      </c>
      <c r="AD238" s="24" t="inlineStr">
        <is>
          <t>2026-10-02T04:30:13.919215Z</t>
        </is>
      </c>
      <c r="AE238" s="31" t="inlineStr">
        <is>
          <t>Learned LR call at threshold 0.5001; executable ask 0.6500 (aec-wnba-ind-lv-2026-10-01); model edge vs ask -0.0813. NOTE: NO_CALL_AVAILABILITY_SOURCE_CONFLICT unavailable for this game — defaulted to neutral, other features used normally.</t>
        </is>
      </c>
      <c r="AF238" s="31" t="inlineStr">
        <is>
          <t>Learned model; shadow-qualified via operator override.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paper_call</t>
        </is>
      </c>
      <c r="AL238" s="26" t="n">
        <v>4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PAPER_CALL_STALE_DATA</t>
        </is>
      </c>
      <c r="AP238" s="24" t="inlineStr">
        <is>
          <t>wnba-ind</t>
        </is>
      </c>
      <c r="AQ238" s="24" t="inlineStr">
        <is>
          <t>Indiana Fever</t>
        </is>
      </c>
      <c r="AR238" s="24" t="inlineStr">
        <is>
          <t>Indiana Fever</t>
        </is>
      </c>
      <c r="AS238" s="24" t="inlineStr">
        <is>
          <t>wnba-lva</t>
        </is>
      </c>
      <c r="AT238" s="24" t="inlineStr">
        <is>
          <t>Las Vegas Aces</t>
        </is>
      </c>
      <c r="AU238" s="24" t="inlineStr">
        <is>
          <t>Las Vegas Aces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7afd5274214b58b7efd7f7febc7be3ab33b92351cda5cc6403c0a39faea0cc8c</t>
        </is>
      </c>
      <c r="BB238" s="24" t="inlineStr">
        <is>
          <t>learned_lr</t>
        </is>
      </c>
      <c r="BC238" s="24" t="inlineStr">
        <is>
          <t>wnba-elo-trend-lr-v4</t>
        </is>
      </c>
      <c r="BD238" s="24" t="inlineStr">
        <is>
          <t>7afd5274214b58b7efd7f7febc7be3ab33b92351cda5cc6403c0a39faea0cc8c</t>
        </is>
      </c>
      <c r="BE238" s="24" t="inlineStr">
        <is>
          <t>6dff400180a3ac62</t>
        </is>
      </c>
      <c r="BF238" s="24" t="inlineStr">
        <is>
          <t>1</t>
        </is>
      </c>
      <c r="BG238" s="24" t="inlineStr">
        <is>
          <t>wnba-elo-trend-lr-v4</t>
        </is>
      </c>
      <c r="BH238" s="24" t="inlineStr">
        <is>
          <t>2026-10-01T10:03:48.640771Z</t>
        </is>
      </c>
      <c r="BI238" s="24" t="inlineStr">
        <is>
          <t>["same_event","same_team_same_day","same_league_same_day"]</t>
        </is>
      </c>
      <c r="BJ238" s="25" t="n"/>
      <c r="BK238" s="26" t="n">
        <v>-186</v>
      </c>
      <c r="BL238" s="27" t="n">
        <v>1.537634</v>
      </c>
      <c r="BM238" s="28" t="n">
        <v>0.65035</v>
      </c>
      <c r="BN238" s="28" t="n">
        <v>0.643564</v>
      </c>
      <c r="BO238" s="28" t="n"/>
      <c r="BP238" s="25" t="n"/>
      <c r="BQ238" s="27" t="n">
        <v>1.537634</v>
      </c>
      <c r="BR238" s="28" t="n">
        <v>0.65</v>
      </c>
      <c r="BS238" s="28" t="n"/>
      <c r="BT238" s="28" t="n"/>
      <c r="BU238" s="25" t="n"/>
      <c r="BV238" s="29" t="n"/>
      <c r="BW238" s="24" t="n"/>
      <c r="BX238" s="30" t="n">
        <v>1</v>
      </c>
      <c r="BY238" s="27" t="n">
        <v>0.5376339999999999</v>
      </c>
      <c r="BZ238" s="24" t="inlineStr">
        <is>
          <t>2026-10-02T04:30:13.919215Z</t>
        </is>
      </c>
      <c r="CA238" s="31" t="inlineStr">
        <is>
          <t>fixed one-unit hypothetical scoring; no real exposure or execution</t>
        </is>
      </c>
      <c r="CB238" s="24" t="n"/>
      <c r="CC238" s="24" t="inlineStr">
        <is>
          <t>0.5987733696</t>
        </is>
      </c>
      <c r="CD238" s="24" t="inlineStr">
        <is>
          <t>3.700419</t>
        </is>
      </c>
      <c r="CE238" s="24" t="n"/>
      <c r="CF238" s="24" t="n"/>
      <c r="CG238" s="24" t="n"/>
      <c r="CH238" s="24" t="n"/>
      <c r="CI238" s="24" t="inlineStr">
        <is>
          <t>NO_CALL_AVAILABILITY_SOURCE_CONFLICT</t>
        </is>
      </c>
      <c r="CJ238" s="24" t="inlineStr">
        <is>
          <t>1.163203</t>
        </is>
      </c>
      <c r="CK238" s="24" t="n"/>
      <c r="CL238" s="24" t="n"/>
      <c r="CM238" s="24" t="n"/>
      <c r="CN238" s="24" t="n"/>
      <c r="CO238" s="24" t="n"/>
      <c r="CP238" s="24" t="n"/>
      <c r="CQ238" s="24" t="n"/>
      <c r="CR238" s="24" t="inlineStr">
        <is>
          <t>0.56871</t>
        </is>
      </c>
      <c r="CS238" s="24" t="inlineStr">
        <is>
          <t>False</t>
        </is>
      </c>
      <c r="CT238" s="24" t="n"/>
      <c r="CU238" s="24" t="n"/>
      <c r="CV238" s="24" t="n"/>
      <c r="CW238" s="24" t="n"/>
      <c r="CX238" s="24" t="n"/>
      <c r="CY238" s="24" t="inlineStr">
        <is>
          <t>2026-10-01T10:03:48.640771Z</t>
        </is>
      </c>
      <c r="CZ238" s="24" t="inlineStr">
        <is>
          <t>True</t>
        </is>
      </c>
      <c r="DA238" s="24" t="inlineStr">
        <is>
          <t>polymarket_us</t>
        </is>
      </c>
      <c r="DB238" s="24" t="inlineStr">
        <is>
          <t>decision_time_executable_quote</t>
        </is>
      </c>
      <c r="DC238" s="24" t="inlineStr">
        <is>
          <t>False</t>
        </is>
      </c>
      <c r="DD238" s="24" t="inlineStr">
        <is>
          <t>bdc93bcd93687a0c422a0fb0274f7f3c49456378dd79855311fb83e089deee00</t>
        </is>
      </c>
      <c r="DE238" s="24" t="inlineStr">
        <is>
          <t>/Users/vincentc9002/model-prediction/data/odds/wnba/2026-10-01/polymarket_snapshots.jsonl</t>
        </is>
      </c>
      <c r="DF238" s="24" t="inlineStr">
        <is>
          <t>bdc93bcd93687a0c422a0fb0274f7f3c49456378dd79855311fb83e089deee00</t>
        </is>
      </c>
      <c r="DG238" s="24" t="n"/>
      <c r="DH238" s="24" t="n"/>
      <c r="DI238" s="24" t="n"/>
      <c r="DJ238" s="24" t="inlineStr">
        <is>
          <t>0.65035</t>
        </is>
      </c>
      <c r="DK238" s="24" t="n"/>
      <c r="DL238" s="24" t="n"/>
      <c r="DM238" s="24" t="n"/>
      <c r="DN238" s="24" t="n"/>
      <c r="DO238" s="24" t="n"/>
      <c r="DP238" s="24" t="n"/>
      <c r="DQ238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0.5687101674666214, "event_id": "401918022", "event_start_utc": "2026-10-02T01:00:00+00:00", "features": {"defensive_trend_gap": 1.163203, "elo_probability": 0.5987733696441337, "trend_gap": 3.7004189999999997}, "historical_source_observation_times_verified": false, "model_version": "wnba-elo-trend-lr-v4", "observed_at_utc": "2026-10-01T22:06:38.234761+00:00", "schema": "learned-moneyline-replay-v1", "served_home_probability": 0.5687101674666214, "snapshot_hash": "60d1eb5e4caf7052caf1bcbe8b8966312b3c62f6d77db7696ab393cd42fe1d17"}</t>
        </is>
      </c>
    </row>
    <row r="239" ht="36" customHeight="1">
      <c r="A239" s="24" t="inlineStr">
        <is>
          <t>18770336b3744940</t>
        </is>
      </c>
      <c r="B239" s="24" t="inlineStr">
        <is>
          <t>2026-10-01T22:06:45.703219Z</t>
        </is>
      </c>
      <c r="C239" s="24" t="inlineStr">
        <is>
          <t>2026-10-02T01:00Z</t>
        </is>
      </c>
      <c r="D239" s="24" t="inlineStr">
        <is>
          <t>401918022</t>
        </is>
      </c>
      <c r="E239" s="24" t="inlineStr">
        <is>
          <t>WNBA</t>
        </is>
      </c>
      <c r="F239" s="24" t="inlineStr">
        <is>
          <t>Indiana Fever</t>
        </is>
      </c>
      <c r="G239" s="24" t="inlineStr">
        <is>
          <t>Las Vegas Aces</t>
        </is>
      </c>
      <c r="H239" s="24" t="inlineStr">
        <is>
          <t>total</t>
        </is>
      </c>
      <c r="I239" s="24" t="inlineStr">
        <is>
          <t>under</t>
        </is>
      </c>
      <c r="J239" s="25" t="n">
        <v>181.5</v>
      </c>
      <c r="K239" s="24" t="inlineStr">
        <is>
          <t>polymarket_us</t>
        </is>
      </c>
      <c r="L239" s="26" t="n">
        <v>-113</v>
      </c>
      <c r="M239" s="27" t="n">
        <v>1.884956</v>
      </c>
      <c r="N239" s="28" t="n">
        <v>0.530516</v>
      </c>
      <c r="O239" s="28" t="n">
        <v>0.5291709999999999</v>
      </c>
      <c r="P239" s="28" t="n">
        <v>0.03</v>
      </c>
      <c r="Q239" s="28" t="n">
        <v>-0.001345</v>
      </c>
      <c r="R239" s="26" t="n">
        <v>31</v>
      </c>
      <c r="S239" s="29" t="n">
        <v>1</v>
      </c>
      <c r="T239" s="24" t="inlineStr">
        <is>
          <t>wnba-total-margin-v2</t>
        </is>
      </c>
      <c r="U239" s="24" t="inlineStr">
        <is>
          <t>settled</t>
        </is>
      </c>
      <c r="V239" s="24" t="inlineStr">
        <is>
          <t>win</t>
        </is>
      </c>
      <c r="W239" s="26" t="n">
        <v>83</v>
      </c>
      <c r="X239" s="26" t="n">
        <v>94</v>
      </c>
      <c r="Y239" s="25" t="n"/>
      <c r="Z239" s="26" t="n">
        <v>100</v>
      </c>
      <c r="AA239" s="28" t="n">
        <v>0.5</v>
      </c>
      <c r="AB239" s="28" t="n">
        <v>-0.030516</v>
      </c>
      <c r="AC239" s="30" t="n">
        <v>0.885</v>
      </c>
      <c r="AD239" s="24" t="inlineStr">
        <is>
          <t>2026-10-02T04:30:17.555675Z</t>
        </is>
      </c>
      <c r="AE239" s="31" t="inlineStr">
        <is>
          <t>Projected total 180.3, sd 16.0. Executable ask 0.5300 (tsc-wnba-ind-lv-2026-10-01-181pt5).</t>
        </is>
      </c>
      <c r="AF239" s="31" t="inlineStr">
        <is>
          <t>Research-baseline total model; not yet locked-holdout qualified.</t>
        </is>
      </c>
      <c r="AG239" s="24" t="inlineStr">
        <is>
          <t>not_applicable</t>
        </is>
      </c>
      <c r="AH239" s="24" t="n"/>
      <c r="AI239" s="31" t="n"/>
      <c r="AJ239" s="31" t="n"/>
      <c r="AK239" s="24" t="inlineStr">
        <is>
          <t>paper_call</t>
        </is>
      </c>
      <c r="AL239" s="26" t="n">
        <v>4</v>
      </c>
      <c r="AM239" s="24" t="inlineStr">
        <is>
          <t>RESEARCH_OBSERVATION</t>
        </is>
      </c>
      <c r="AN239" s="24" t="inlineStr">
        <is>
          <t>CALL</t>
        </is>
      </c>
      <c r="AO239" s="24" t="inlineStr">
        <is>
          <t>PAPER_CALL_STALE_DATA</t>
        </is>
      </c>
      <c r="AP239" s="24" t="inlineStr">
        <is>
          <t>wnba-ind</t>
        </is>
      </c>
      <c r="AQ239" s="24" t="inlineStr">
        <is>
          <t>Indiana Fever</t>
        </is>
      </c>
      <c r="AR239" s="24" t="inlineStr">
        <is>
          <t>Indiana Fever</t>
        </is>
      </c>
      <c r="AS239" s="24" t="inlineStr">
        <is>
          <t>wnba-lva</t>
        </is>
      </c>
      <c r="AT239" s="24" t="inlineStr">
        <is>
          <t>Las Vegas Aces</t>
        </is>
      </c>
      <c r="AU239" s="24" t="inlineStr">
        <is>
          <t>Las Vegas Aces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research</t>
        </is>
      </c>
      <c r="BA239" s="24" t="inlineStr">
        <is>
          <t>9c9b767590bbbb9a7b333eaf9def066d65bf813e735ed73aa27cfb2c609a4ca5</t>
        </is>
      </c>
      <c r="BB239" s="24" t="inlineStr">
        <is>
          <t>total_normal</t>
        </is>
      </c>
      <c r="BC239" s="24" t="inlineStr">
        <is>
          <t>wnba-total-margin-v2</t>
        </is>
      </c>
      <c r="BD239" s="24" t="inlineStr">
        <is>
          <t>9c9b767590bbbb9a7b333eaf9def066d65bf813e735ed73aa27cfb2c609a4ca5</t>
        </is>
      </c>
      <c r="BE239" s="24" t="inlineStr">
        <is>
          <t>wnba-total-margin-v2</t>
        </is>
      </c>
      <c r="BF239" s="24" t="inlineStr">
        <is>
          <t>1</t>
        </is>
      </c>
      <c r="BG239" s="24" t="inlineStr">
        <is>
          <t>9c9b767590bbbb9a7b333eaf9def066d65bf813e735ed73aa27cfb2c609a4ca5</t>
        </is>
      </c>
      <c r="BH239" s="24" t="inlineStr">
        <is>
          <t>2026-10-01T04:33:26.951299Z</t>
        </is>
      </c>
      <c r="BI239" s="24" t="inlineStr">
        <is>
          <t>["same_event","same_team_same_day","same_league_same_day"]</t>
        </is>
      </c>
      <c r="BJ239" s="25" t="n">
        <v>181.5</v>
      </c>
      <c r="BK239" s="26" t="n">
        <v>-113</v>
      </c>
      <c r="BL239" s="27" t="n">
        <v>1.884956</v>
      </c>
      <c r="BM239" s="28" t="n">
        <v>0.530516</v>
      </c>
      <c r="BN239" s="28" t="n"/>
      <c r="BO239" s="28" t="n"/>
      <c r="BP239" s="25" t="n"/>
      <c r="BQ239" s="27" t="n">
        <v>2</v>
      </c>
      <c r="BR239" s="28" t="n">
        <v>0.5</v>
      </c>
      <c r="BS239" s="28" t="n"/>
      <c r="BT239" s="28" t="n"/>
      <c r="BU239" s="25" t="n"/>
      <c r="BV239" s="29" t="n"/>
      <c r="BW239" s="24" t="n"/>
      <c r="BX239" s="30" t="n">
        <v>1</v>
      </c>
      <c r="BY239" s="27" t="n">
        <v>0.884957</v>
      </c>
      <c r="BZ239" s="24" t="inlineStr">
        <is>
          <t>2026-10-02T04:30:17.555675Z</t>
        </is>
      </c>
      <c r="CA239" s="31" t="inlineStr">
        <is>
          <t>fixed one-unit hypothetical scoring; no real exposure or execution</t>
        </is>
      </c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False</t>
        </is>
      </c>
      <c r="CT239" s="24" t="n"/>
      <c r="CU239" s="24" t="n"/>
      <c r="CV239" s="24" t="n"/>
      <c r="CW239" s="24" t="n"/>
      <c r="CX239" s="24" t="n"/>
      <c r="CY239" s="24" t="inlineStr">
        <is>
          <t>2026-10-01T04:33:26.951299Z</t>
        </is>
      </c>
      <c r="CZ239" s="24" t="inlineStr">
        <is>
          <t>True</t>
        </is>
      </c>
      <c r="DA239" s="24" t="inlineStr">
        <is>
          <t>polymarket_us</t>
        </is>
      </c>
      <c r="DB239" s="24" t="inlineStr">
        <is>
          <t>decision_time_executable_quote</t>
        </is>
      </c>
      <c r="DC239" s="24" t="inlineStr">
        <is>
          <t>False</t>
        </is>
      </c>
      <c r="DD239" s="24" t="inlineStr">
        <is>
          <t>e27ac3c95057a57d830fac33abc2f6c57cab4bdb2ccd4009955c00d2be02a1d9</t>
        </is>
      </c>
      <c r="DE239" s="24" t="inlineStr">
        <is>
          <t>/Users/vincentc9002/model-prediction/data/odds/wnba/2026-10-01/polymarket_snapshots.jsonl</t>
        </is>
      </c>
      <c r="DF239" s="24" t="inlineStr">
        <is>
          <t>e27ac3c95057a57d830fac33abc2f6c57cab4bdb2ccd4009955c00d2be02a1d9</t>
        </is>
      </c>
      <c r="DG239" s="24" t="n"/>
      <c r="DH239" s="24" t="n"/>
      <c r="DI239" s="24" t="n"/>
      <c r="DJ239" s="24" t="inlineStr">
        <is>
          <t>0.530516</t>
        </is>
      </c>
      <c r="DK239" s="24" t="n"/>
      <c r="DL239" s="24" t="n"/>
      <c r="DM239" s="24" t="n"/>
      <c r="DN239" s="24" t="n"/>
      <c r="DO239" s="24" t="n"/>
      <c r="DP239" s="24" t="n"/>
      <c r="DQ23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"401918022", "event_start_utc": "2026-10-02T01:00Z", "features": {"away_points_hl10": 89.08, "elo_away": 1637.7, "elo_home": 1647.3, "elo_margin": 2.48, "expected_margin": 3.35, "expected_total": 180.33, "history_games": 954, "home_points_hl10": 90.43, "rest_diff": 0.0, "trend_margin": 3.35}, "historical_source_observation_times_verified": false, "inference_inputs": {"line": 181.5, "mean": 180.3290255, "sd": 16.0}, "model_version": "wnba-total-margin-v2", "observed_at_utc": "2026-10-01T22:06:45.438453+00:00", "replay_scope": "Exact final classifier/distribution inputs and artifact. Upstream historical feature construction not certified.", "schema": "scalar-artifact-replay-v1", "snapshot_hash": "26b63312ba0600688ab15d097d719353f8e3c884676bbd4fcc4a1ed7124f601f"}</t>
        </is>
      </c>
    </row>
    <row r="240" ht="36" customHeight="1">
      <c r="A240" s="24" t="inlineStr">
        <is>
          <t>c4583e9fadea4b96</t>
        </is>
      </c>
      <c r="B240" s="24" t="inlineStr">
        <is>
          <t>2026-10-01T22:06:45.704257Z</t>
        </is>
      </c>
      <c r="C240" s="24" t="inlineStr">
        <is>
          <t>2026-10-02T01:00Z</t>
        </is>
      </c>
      <c r="D240" s="24" t="inlineStr">
        <is>
          <t>401918022</t>
        </is>
      </c>
      <c r="E240" s="24" t="inlineStr">
        <is>
          <t>WNBA</t>
        </is>
      </c>
      <c r="F240" s="24" t="inlineStr">
        <is>
          <t>Indiana Fever</t>
        </is>
      </c>
      <c r="G240" s="24" t="inlineStr">
        <is>
          <t>Las Vegas Aces</t>
        </is>
      </c>
      <c r="H240" s="24" t="inlineStr">
        <is>
          <t>spread</t>
        </is>
      </c>
      <c r="I240" s="24" t="inlineStr">
        <is>
          <t>home</t>
        </is>
      </c>
      <c r="J240" s="25" t="n">
        <v>-2.5</v>
      </c>
      <c r="K240" s="24" t="inlineStr">
        <is>
          <t>polymarket_us</t>
        </is>
      </c>
      <c r="L240" s="26" t="n">
        <v>-144</v>
      </c>
      <c r="M240" s="27" t="n">
        <v>1.694444</v>
      </c>
      <c r="N240" s="28" t="n">
        <v>0.590164</v>
      </c>
      <c r="O240" s="28" t="n">
        <v>0.511341</v>
      </c>
      <c r="P240" s="28" t="n">
        <v>0.03</v>
      </c>
      <c r="Q240" s="28" t="n">
        <v>-0.078823</v>
      </c>
      <c r="R240" s="26" t="n">
        <v>0</v>
      </c>
      <c r="S240" s="29" t="n">
        <v>1</v>
      </c>
      <c r="T240" s="24" t="inlineStr">
        <is>
          <t>wnba-spread-margin-v2</t>
        </is>
      </c>
      <c r="U240" s="24" t="inlineStr">
        <is>
          <t>settled</t>
        </is>
      </c>
      <c r="V240" s="24" t="inlineStr">
        <is>
          <t>win</t>
        </is>
      </c>
      <c r="W240" s="26" t="n">
        <v>83</v>
      </c>
      <c r="X240" s="26" t="n">
        <v>94</v>
      </c>
      <c r="Y240" s="25" t="n"/>
      <c r="Z240" s="26" t="n"/>
      <c r="AA240" s="28" t="n"/>
      <c r="AB240" s="28" t="n"/>
      <c r="AC240" s="30" t="n">
        <v>0.6944</v>
      </c>
      <c r="AD240" s="24" t="inlineStr">
        <is>
          <t>2026-10-02T04:30:17.904124Z</t>
        </is>
      </c>
      <c r="AE240" s="31" t="inlineStr">
        <is>
          <t>Projected margin +2.9 (home), sd 13.4. Executable ask 0.5900 (asc-wnba-ind-lv-2026-10-01-pos-2pt5).</t>
        </is>
      </c>
      <c r="AF240" s="31" t="inlineStr">
        <is>
          <t>Point-in-time composite Elo + trend + rest margin-normal spread model.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model_qualified</t>
        </is>
      </c>
      <c r="AL240" s="26" t="n">
        <v>4</v>
      </c>
      <c r="AM240" s="24" t="inlineStr">
        <is>
          <t>QUALIFIED_SHADOW_CALL</t>
        </is>
      </c>
      <c r="AN240" s="24" t="inlineStr">
        <is>
          <t>CALL</t>
        </is>
      </c>
      <c r="AO240" s="24" t="inlineStr">
        <is>
          <t>QUALIFIED</t>
        </is>
      </c>
      <c r="AP240" s="24" t="inlineStr">
        <is>
          <t>wnba-ind</t>
        </is>
      </c>
      <c r="AQ240" s="24" t="inlineStr">
        <is>
          <t>Indiana Fever</t>
        </is>
      </c>
      <c r="AR240" s="24" t="inlineStr">
        <is>
          <t>Indiana Fever</t>
        </is>
      </c>
      <c r="AS240" s="24" t="inlineStr">
        <is>
          <t>wnba-lva</t>
        </is>
      </c>
      <c r="AT240" s="24" t="inlineStr">
        <is>
          <t>Las Vegas Aces</t>
        </is>
      </c>
      <c r="AU240" s="24" t="inlineStr">
        <is>
          <t>Las Vegas Aces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f7d192f98d825d7c77be21b0531a91cff101ad35e418fe9d7e07c5d0f769f974</t>
        </is>
      </c>
      <c r="BB240" s="24" t="inlineStr">
        <is>
          <t>margin_normal</t>
        </is>
      </c>
      <c r="BC240" s="24" t="inlineStr">
        <is>
          <t>wnba-spread-margin-v2</t>
        </is>
      </c>
      <c r="BD240" s="24" t="inlineStr">
        <is>
          <t>f7d192f98d825d7c77be21b0531a91cff101ad35e418fe9d7e07c5d0f769f974</t>
        </is>
      </c>
      <c r="BE240" s="24" t="inlineStr">
        <is>
          <t>wnba-spread-margin-v2</t>
        </is>
      </c>
      <c r="BF240" s="24" t="inlineStr">
        <is>
          <t>1</t>
        </is>
      </c>
      <c r="BG240" s="24" t="inlineStr">
        <is>
          <t>f7d192f98d825d7c77be21b0531a91cff101ad35e418fe9d7e07c5d0f769f974</t>
        </is>
      </c>
      <c r="BH240" s="24" t="inlineStr">
        <is>
          <t>2026-10-01T16:03:39.606020Z</t>
        </is>
      </c>
      <c r="BI240" s="24" t="inlineStr">
        <is>
          <t>["same_event","same_team_same_day","same_league_same_day"]</t>
        </is>
      </c>
      <c r="BJ240" s="25" t="n">
        <v>-2.5</v>
      </c>
      <c r="BK240" s="26" t="n">
        <v>-144</v>
      </c>
      <c r="BL240" s="27" t="n">
        <v>1.694444</v>
      </c>
      <c r="BM240" s="28" t="n">
        <v>0.590164</v>
      </c>
      <c r="BN240" s="28" t="n"/>
      <c r="BO240" s="28" t="n"/>
      <c r="BP240" s="25" t="n"/>
      <c r="BQ240" s="27" t="n"/>
      <c r="BR240" s="28" t="n"/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False</t>
        </is>
      </c>
      <c r="CT240" s="24" t="n"/>
      <c r="CU240" s="24" t="n"/>
      <c r="CV240" s="24" t="n"/>
      <c r="CW240" s="24" t="n"/>
      <c r="CX240" s="24" t="n"/>
      <c r="CY240" s="24" t="inlineStr">
        <is>
          <t>2026-10-01T16:03:39.606020Z</t>
        </is>
      </c>
      <c r="CZ240" s="24" t="inlineStr">
        <is>
          <t>True</t>
        </is>
      </c>
      <c r="DA240" s="24" t="inlineStr">
        <is>
          <t>polymarket_us</t>
        </is>
      </c>
      <c r="DB240" s="24" t="inlineStr">
        <is>
          <t>decision_time_executable_quote</t>
        </is>
      </c>
      <c r="DC240" s="24" t="inlineStr">
        <is>
          <t>False</t>
        </is>
      </c>
      <c r="DD240" s="24" t="inlineStr">
        <is>
          <t>5f9b85aa68f687224a5fd68b39feff96d08ac0358bb5e7a95a13760e533ca4f8</t>
        </is>
      </c>
      <c r="DE240" s="24" t="inlineStr">
        <is>
          <t>/Users/vincentc9002/model-prediction/data/odds/wnba/2026-10-01/polymarket_snapshots.jsonl</t>
        </is>
      </c>
      <c r="DF240" s="24" t="inlineStr">
        <is>
          <t>5f9b85aa68f687224a5fd68b39feff96d08ac0358bb5e7a95a13760e533ca4f8</t>
        </is>
      </c>
      <c r="DG240" s="24" t="n"/>
      <c r="DH240" s="24" t="n"/>
      <c r="DI240" s="24" t="n"/>
      <c r="DJ240" s="24" t="inlineStr">
        <is>
          <t>0.590164</t>
        </is>
      </c>
      <c r="DK240" s="24" t="n"/>
      <c r="DL240" s="24" t="n"/>
      <c r="DM240" s="24" t="n"/>
      <c r="DN240" s="24" t="n"/>
      <c r="DO240" s="24" t="n"/>
      <c r="DP240" s="24" t="n"/>
      <c r="DQ240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"401918022", "event_start_utc": "2026-10-02T01:00Z", "features": {"away_points_hl10": 89.08, "elo_away": 1637.7, "elo_home": 1647.3, "elo_margin": 2.48, "expected_margin": 2.88, "expected_total": 179.52, "history_games": 954, "home_points_hl10": 90.43, "rest_diff": 0.0, "trend_margin": 3.61}, "historical_source_observation_times_verified": false, "inference_inputs": {"line": 2.5, "mean": 2.8801449880369105, "sd": 13.37}, "model_version": "wnba-spread-margin-v2", "observed_at_utc": "2026-10-01T22:06:45.423643+00:00", "replay_scope": "Exact final classifier/distribution inputs and artifact. Upstream historical feature construction not certified.", "schema": "scalar-artifact-replay-v1", "snapshot_hash": "db9fd22ee4bf52f1efe96ed7c944a4d57e261ee220ca15ec5a2f1f2c5aed9e01"}</t>
        </is>
      </c>
    </row>
    <row r="241" ht="36" customHeight="1">
      <c r="A241" s="24" t="inlineStr">
        <is>
          <t>b832a951b8d94528</t>
        </is>
      </c>
      <c r="B241" s="24" t="inlineStr">
        <is>
          <t>2026-10-02T22:06:13.728610Z</t>
        </is>
      </c>
      <c r="C241" s="24" t="inlineStr">
        <is>
          <t>2026-10-02T21:00:00-0400</t>
        </is>
      </c>
      <c r="D241" s="24" t="inlineStr">
        <is>
          <t>401918294</t>
        </is>
      </c>
      <c r="E241" s="24" t="inlineStr">
        <is>
          <t>WNBA</t>
        </is>
      </c>
      <c r="F241" s="24" t="inlineStr">
        <is>
          <t>Dallas Wings</t>
        </is>
      </c>
      <c r="G241" s="24" t="inlineStr">
        <is>
          <t>Golden State Valkyries</t>
        </is>
      </c>
      <c r="H241" s="24" t="inlineStr">
        <is>
          <t>moneyline</t>
        </is>
      </c>
      <c r="I241" s="24" t="inlineStr">
        <is>
          <t>home</t>
        </is>
      </c>
      <c r="J241" s="25" t="n"/>
      <c r="K241" s="24" t="inlineStr">
        <is>
          <t>polymarket_us</t>
        </is>
      </c>
      <c r="L241" s="26" t="n">
        <v>-317</v>
      </c>
      <c r="M241" s="27" t="n">
        <v>1.315457</v>
      </c>
      <c r="N241" s="28" t="n">
        <v>0.760192</v>
      </c>
      <c r="O241" s="28" t="n">
        <v>0.655676</v>
      </c>
      <c r="P241" s="28" t="n"/>
      <c r="Q241" s="28" t="n">
        <v>-0.104516</v>
      </c>
      <c r="R241" s="26" t="n">
        <v>0</v>
      </c>
      <c r="S241" s="29" t="n">
        <v>1</v>
      </c>
      <c r="T241" s="24" t="inlineStr">
        <is>
          <t>wnba-elo-trend-lr-v4</t>
        </is>
      </c>
      <c r="U241" s="24" t="inlineStr">
        <is>
          <t>settled</t>
        </is>
      </c>
      <c r="V241" s="24" t="inlineStr">
        <is>
          <t>win</t>
        </is>
      </c>
      <c r="W241" s="26" t="n">
        <v>73</v>
      </c>
      <c r="X241" s="26" t="n">
        <v>77</v>
      </c>
      <c r="Y241" s="25" t="n"/>
      <c r="Z241" s="26" t="n">
        <v>-317</v>
      </c>
      <c r="AA241" s="28" t="n">
        <v>0.76</v>
      </c>
      <c r="AB241" s="28" t="n">
        <v>-0.000192</v>
      </c>
      <c r="AC241" s="30" t="n">
        <v>0.3155</v>
      </c>
      <c r="AD241" s="24" t="inlineStr">
        <is>
          <t>2026-10-03T04:30:15.539584Z</t>
        </is>
      </c>
      <c r="AE241" s="31" t="inlineStr">
        <is>
          <t>Learned LR call at threshold 0.5001; executable ask 0.7600 (aec-wnba-dal-gsv-2026-10-02); model edge vs ask -0.1043. NOTE: NO_CALL_AVAILABILITY_SOURCE_CONFLICT unavailable for this game — defaulted to neutral, other features used normally.</t>
        </is>
      </c>
      <c r="AF241" s="31" t="inlineStr">
        <is>
          <t>Learned model; shadow-qualified via operator override.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model_qualified</t>
        </is>
      </c>
      <c r="AL241" s="26" t="n">
        <v>4</v>
      </c>
      <c r="AM241" s="24" t="inlineStr">
        <is>
          <t>QUALIFIED_SHADOW_CALL</t>
        </is>
      </c>
      <c r="AN241" s="24" t="inlineStr">
        <is>
          <t>CALL</t>
        </is>
      </c>
      <c r="AO241" s="24" t="inlineStr">
        <is>
          <t>QUALIFIED</t>
        </is>
      </c>
      <c r="AP241" s="24" t="inlineStr">
        <is>
          <t>wnba-dal</t>
        </is>
      </c>
      <c r="AQ241" s="24" t="inlineStr">
        <is>
          <t>Dallas Wings</t>
        </is>
      </c>
      <c r="AR241" s="24" t="inlineStr">
        <is>
          <t>Dallas Wings</t>
        </is>
      </c>
      <c r="AS241" s="24" t="inlineStr">
        <is>
          <t>wnba-gsv</t>
        </is>
      </c>
      <c r="AT241" s="24" t="inlineStr">
        <is>
          <t>Golden State Valkyries</t>
        </is>
      </c>
      <c r="AU241" s="24" t="inlineStr">
        <is>
          <t>Golden State Valkyries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7afd5274214b58b7efd7f7febc7be3ab33b92351cda5cc6403c0a39faea0cc8c</t>
        </is>
      </c>
      <c r="BB241" s="24" t="inlineStr">
        <is>
          <t>learned_lr</t>
        </is>
      </c>
      <c r="BC241" s="24" t="inlineStr">
        <is>
          <t>wnba-elo-trend-lr-v4</t>
        </is>
      </c>
      <c r="BD241" s="24" t="inlineStr">
        <is>
          <t>7afd5274214b58b7efd7f7febc7be3ab33b92351cda5cc6403c0a39faea0cc8c</t>
        </is>
      </c>
      <c r="BE241" s="24" t="inlineStr">
        <is>
          <t>d5e9af80ec98eaf5</t>
        </is>
      </c>
      <c r="BF241" s="24" t="inlineStr">
        <is>
          <t>1</t>
        </is>
      </c>
      <c r="BG241" s="24" t="inlineStr">
        <is>
          <t>wnba-elo-trend-lr-v4</t>
        </is>
      </c>
      <c r="BH241" s="24" t="inlineStr">
        <is>
          <t>2026-10-02T16:04:07.588640Z</t>
        </is>
      </c>
      <c r="BI241" s="24" t="inlineStr">
        <is>
          <t>["same_event","same_team_same_day","same_league_same_day"]</t>
        </is>
      </c>
      <c r="BJ241" s="25" t="n"/>
      <c r="BK241" s="26" t="n">
        <v>-317</v>
      </c>
      <c r="BL241" s="27" t="n">
        <v>1.315457</v>
      </c>
      <c r="BM241" s="28" t="n">
        <v>0.760192</v>
      </c>
      <c r="BN241" s="28" t="n">
        <v>0.752475</v>
      </c>
      <c r="BO241" s="28" t="n"/>
      <c r="BP241" s="25" t="n"/>
      <c r="BQ241" s="27" t="n">
        <v>1.315457</v>
      </c>
      <c r="BR241" s="28" t="n">
        <v>0.76</v>
      </c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inlineStr">
        <is>
          <t>0.6983457686</t>
        </is>
      </c>
      <c r="CD241" s="24" t="inlineStr">
        <is>
          <t>-4.398893</t>
        </is>
      </c>
      <c r="CE241" s="24" t="n"/>
      <c r="CF241" s="24" t="n"/>
      <c r="CG241" s="24" t="n"/>
      <c r="CH241" s="24" t="n"/>
      <c r="CI241" s="24" t="inlineStr">
        <is>
          <t>NO_CALL_AVAILABILITY_SOURCE_CONFLICT</t>
        </is>
      </c>
      <c r="CJ241" s="24" t="inlineStr">
        <is>
          <t>0.930873</t>
        </is>
      </c>
      <c r="CK241" s="24" t="n"/>
      <c r="CL241" s="24" t="n"/>
      <c r="CM241" s="24" t="n"/>
      <c r="CN241" s="24" t="n"/>
      <c r="CO241" s="24" t="n"/>
      <c r="CP241" s="24" t="n"/>
      <c r="CQ241" s="24" t="n"/>
      <c r="CR241" s="24" t="inlineStr">
        <is>
          <t>0.655676</t>
        </is>
      </c>
      <c r="CS241" s="24" t="inlineStr">
        <is>
          <t>False</t>
        </is>
      </c>
      <c r="CT241" s="24" t="n"/>
      <c r="CU241" s="24" t="n"/>
      <c r="CV241" s="24" t="n"/>
      <c r="CW241" s="24" t="n"/>
      <c r="CX241" s="24" t="n"/>
      <c r="CY241" s="24" t="inlineStr">
        <is>
          <t>2026-10-02T16:04:07.588640Z</t>
        </is>
      </c>
      <c r="CZ241" s="24" t="inlineStr">
        <is>
          <t>True</t>
        </is>
      </c>
      <c r="DA241" s="24" t="inlineStr">
        <is>
          <t>polymarket_us</t>
        </is>
      </c>
      <c r="DB241" s="24" t="inlineStr">
        <is>
          <t>decision_time_executable_quote</t>
        </is>
      </c>
      <c r="DC241" s="24" t="inlineStr">
        <is>
          <t>False</t>
        </is>
      </c>
      <c r="DD241" s="24" t="inlineStr">
        <is>
          <t>8f8c7f69e543fd7ecec0ef66db0ac1b0b3d3742cc5d0fcee9644d2290bfc17ce</t>
        </is>
      </c>
      <c r="DE241" s="24" t="inlineStr">
        <is>
          <t>/Users/vincentc9002/model-prediction/data/odds/wnba/2026-10-02/polymarket_snapshots.jsonl</t>
        </is>
      </c>
      <c r="DF241" s="24" t="inlineStr">
        <is>
          <t>8f8c7f69e543fd7ecec0ef66db0ac1b0b3d3742cc5d0fcee9644d2290bfc17ce</t>
        </is>
      </c>
      <c r="DG241" s="24" t="n"/>
      <c r="DH241" s="24" t="n"/>
      <c r="DI241" s="24" t="n"/>
      <c r="DJ241" s="24" t="inlineStr">
        <is>
          <t>0.760192</t>
        </is>
      </c>
      <c r="DK241" s="24" t="n"/>
      <c r="DL241" s="24" t="n"/>
      <c r="DM241" s="24" t="n"/>
      <c r="DN241" s="24" t="n"/>
      <c r="DO241" s="24" t="n"/>
      <c r="DP241" s="24" t="n"/>
      <c r="DQ241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0.6556759027126492, "event_id": "401918294", "event_start_utc": "2026-10-03T01:00:00+00:00", "features": {"defensive_trend_gap": 0.9308730000000005, "elo_probability": 0.6983457686454151, "trend_gap": -4.398893}, "historical_source_observation_times_verified": false, "model_version": "wnba-elo-trend-lr-v4", "observed_at_utc": "2026-10-02T22:06:13.728610+00:00", "schema": "learned-moneyline-replay-v1", "served_home_probability": 0.6556759027126492, "snapshot_hash": "72177382100c347f8c8c216add09269acd8afbd9b3564995b0e314be19e71017"}</t>
        </is>
      </c>
    </row>
    <row r="242" ht="36" customHeight="1">
      <c r="A242" s="24" t="inlineStr">
        <is>
          <t>486417e6191e446b</t>
        </is>
      </c>
      <c r="B242" s="24" t="inlineStr">
        <is>
          <t>2026-10-02T22:06:17.155330Z</t>
        </is>
      </c>
      <c r="C242" s="24" t="inlineStr">
        <is>
          <t>2026-10-03T01:00Z</t>
        </is>
      </c>
      <c r="D242" s="24" t="inlineStr">
        <is>
          <t>401918294</t>
        </is>
      </c>
      <c r="E242" s="24" t="inlineStr">
        <is>
          <t>WNBA</t>
        </is>
      </c>
      <c r="F242" s="24" t="inlineStr">
        <is>
          <t>Dallas Wings</t>
        </is>
      </c>
      <c r="G242" s="24" t="inlineStr">
        <is>
          <t>Golden State Valkyries</t>
        </is>
      </c>
      <c r="H242" s="24" t="inlineStr">
        <is>
          <t>total</t>
        </is>
      </c>
      <c r="I242" s="24" t="inlineStr">
        <is>
          <t>over</t>
        </is>
      </c>
      <c r="J242" s="25" t="n">
        <v>157.5</v>
      </c>
      <c r="K242" s="24" t="inlineStr">
        <is>
          <t>polymarket_us</t>
        </is>
      </c>
      <c r="L242" s="26" t="n">
        <v>-113</v>
      </c>
      <c r="M242" s="27" t="n">
        <v>1.884956</v>
      </c>
      <c r="N242" s="28" t="n">
        <v>0.530516</v>
      </c>
      <c r="O242" s="28" t="n">
        <v>0.745999</v>
      </c>
      <c r="P242" s="28" t="n">
        <v>0.03</v>
      </c>
      <c r="Q242" s="28" t="n">
        <v>0.215483</v>
      </c>
      <c r="R242" s="26" t="n">
        <v>100</v>
      </c>
      <c r="S242" s="29" t="n">
        <v>2</v>
      </c>
      <c r="T242" s="24" t="inlineStr">
        <is>
          <t>wnba-total-margin-v2</t>
        </is>
      </c>
      <c r="U242" s="24" t="inlineStr">
        <is>
          <t>settled</t>
        </is>
      </c>
      <c r="V242" s="24" t="inlineStr">
        <is>
          <t>loss</t>
        </is>
      </c>
      <c r="W242" s="26" t="n">
        <v>73</v>
      </c>
      <c r="X242" s="26" t="n">
        <v>77</v>
      </c>
      <c r="Y242" s="25" t="n"/>
      <c r="Z242" s="26" t="n">
        <v>-133</v>
      </c>
      <c r="AA242" s="28" t="n">
        <v>0.57</v>
      </c>
      <c r="AB242" s="28" t="n">
        <v>0.039484</v>
      </c>
      <c r="AC242" s="30" t="n">
        <v>-2</v>
      </c>
      <c r="AD242" s="24" t="inlineStr">
        <is>
          <t>2026-10-03T04:30:15.983029Z</t>
        </is>
      </c>
      <c r="AE242" s="31" t="inlineStr">
        <is>
          <t>Projected total 168.1, sd 16.0. Executable ask 0.5300 (tsc-wnba-dal-gsv-2026-10-02-157pt5).</t>
        </is>
      </c>
      <c r="AF242" s="31" t="inlineStr">
        <is>
          <t>Research-baseline total model; not yet locked-holdout qualified.</t>
        </is>
      </c>
      <c r="AG242" s="24" t="inlineStr">
        <is>
          <t>review_required</t>
        </is>
      </c>
      <c r="AH242" s="24" t="n"/>
      <c r="AI242" s="31" t="n"/>
      <c r="AJ242" s="31" t="n"/>
      <c r="AK242" s="24" t="inlineStr">
        <is>
          <t>paper_call</t>
        </is>
      </c>
      <c r="AL242" s="26" t="n">
        <v>4</v>
      </c>
      <c r="AM242" s="24" t="inlineStr">
        <is>
          <t>RESEARCH_OBSERVATION</t>
        </is>
      </c>
      <c r="AN242" s="24" t="inlineStr">
        <is>
          <t>CALL</t>
        </is>
      </c>
      <c r="AO242" s="24" t="inlineStr">
        <is>
          <t>PAPER_CALL_STALE_DATA</t>
        </is>
      </c>
      <c r="AP242" s="24" t="inlineStr">
        <is>
          <t>wnba-dal</t>
        </is>
      </c>
      <c r="AQ242" s="24" t="inlineStr">
        <is>
          <t>Dallas Wings</t>
        </is>
      </c>
      <c r="AR242" s="24" t="inlineStr">
        <is>
          <t>Dallas Wings</t>
        </is>
      </c>
      <c r="AS242" s="24" t="inlineStr">
        <is>
          <t>wnba-gsv</t>
        </is>
      </c>
      <c r="AT242" s="24" t="inlineStr">
        <is>
          <t>Golden State Valkyries</t>
        </is>
      </c>
      <c r="AU242" s="24" t="inlineStr">
        <is>
          <t>Golden State Valkyries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research</t>
        </is>
      </c>
      <c r="BA242" s="24" t="inlineStr">
        <is>
          <t>9c9b767590bbbb9a7b333eaf9def066d65bf813e735ed73aa27cfb2c609a4ca5</t>
        </is>
      </c>
      <c r="BB242" s="24" t="inlineStr">
        <is>
          <t>total_normal</t>
        </is>
      </c>
      <c r="BC242" s="24" t="inlineStr">
        <is>
          <t>wnba-total-margin-v2</t>
        </is>
      </c>
      <c r="BD242" s="24" t="inlineStr">
        <is>
          <t>9c9b767590bbbb9a7b333eaf9def066d65bf813e735ed73aa27cfb2c609a4ca5</t>
        </is>
      </c>
      <c r="BE242" s="24" t="inlineStr">
        <is>
          <t>wnba-total-margin-v2</t>
        </is>
      </c>
      <c r="BF242" s="24" t="inlineStr">
        <is>
          <t>1</t>
        </is>
      </c>
      <c r="BG242" s="24" t="inlineStr">
        <is>
          <t>9c9b767590bbbb9a7b333eaf9def066d65bf813e735ed73aa27cfb2c609a4ca5</t>
        </is>
      </c>
      <c r="BH242" s="24" t="inlineStr">
        <is>
          <t>2026-10-02T04:33:01.502696Z</t>
        </is>
      </c>
      <c r="BI242" s="24" t="inlineStr">
        <is>
          <t>["same_event","same_team_same_day","same_league_same_day"]</t>
        </is>
      </c>
      <c r="BJ242" s="25" t="n">
        <v>157.5</v>
      </c>
      <c r="BK242" s="26" t="n">
        <v>-113</v>
      </c>
      <c r="BL242" s="27" t="n">
        <v>1.884956</v>
      </c>
      <c r="BM242" s="28" t="n">
        <v>0.530516</v>
      </c>
      <c r="BN242" s="28" t="n"/>
      <c r="BO242" s="28" t="n"/>
      <c r="BP242" s="25" t="n"/>
      <c r="BQ242" s="27" t="n">
        <v>1.75188</v>
      </c>
      <c r="BR242" s="28" t="n">
        <v>0.57</v>
      </c>
      <c r="BS242" s="28" t="n"/>
      <c r="BT242" s="28" t="n"/>
      <c r="BU242" s="25" t="n"/>
      <c r="BV242" s="29" t="n"/>
      <c r="BW242" s="24" t="n"/>
      <c r="BX242" s="30" t="n">
        <v>1</v>
      </c>
      <c r="BY242" s="27" t="n">
        <v>-1</v>
      </c>
      <c r="BZ242" s="24" t="inlineStr">
        <is>
          <t>2026-10-03T04:30:15.983029Z</t>
        </is>
      </c>
      <c r="CA242" s="31" t="inlineStr">
        <is>
          <t>fixed one-unit hypothetical scoring; no real exposure or execution</t>
        </is>
      </c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n"/>
      <c r="CU242" s="24" t="n"/>
      <c r="CV242" s="24" t="n"/>
      <c r="CW242" s="24" t="n"/>
      <c r="CX242" s="24" t="n"/>
      <c r="CY242" s="24" t="inlineStr">
        <is>
          <t>2026-10-02T04:33:01.502696Z</t>
        </is>
      </c>
      <c r="CZ242" s="24" t="inlineStr">
        <is>
          <t>True</t>
        </is>
      </c>
      <c r="DA242" s="24" t="inlineStr">
        <is>
          <t>polymarket_us</t>
        </is>
      </c>
      <c r="DB242" s="24" t="inlineStr">
        <is>
          <t>decision_time_executable_quote</t>
        </is>
      </c>
      <c r="DC242" s="24" t="inlineStr">
        <is>
          <t>False</t>
        </is>
      </c>
      <c r="DD242" s="24" t="inlineStr">
        <is>
          <t>a239b8fc4e10259cc373082de08dd0707a4c729e59e942b17446a4e4fd7166b2</t>
        </is>
      </c>
      <c r="DE242" s="24" t="inlineStr">
        <is>
          <t>/Users/vincentc9002/model-prediction/data/odds/wnba/2026-10-02/polymarket_snapshots.jsonl</t>
        </is>
      </c>
      <c r="DF242" s="24" t="inlineStr">
        <is>
          <t>a239b8fc4e10259cc373082de08dd0707a4c729e59e942b17446a4e4fd7166b2</t>
        </is>
      </c>
      <c r="DG242" s="24" t="n"/>
      <c r="DH242" s="24" t="n"/>
      <c r="DI242" s="24" t="n"/>
      <c r="DJ242" s="24" t="inlineStr">
        <is>
          <t>0.530516</t>
        </is>
      </c>
      <c r="DK242" s="24" t="n"/>
      <c r="DL242" s="24" t="n"/>
      <c r="DM242" s="24" t="n"/>
      <c r="DN242" s="24" t="n"/>
      <c r="DO242" s="24" t="n"/>
      <c r="DP242" s="24" t="n"/>
      <c r="DQ242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"401918294", "event_start_utc": "2026-10-03T01:00Z", "features": {"away_points_hl10": 83.48, "elo_away": 1625.9, "elo_home": 1711.7, "elo_margin": 5.21, "expected_margin": 3.03, "expected_total": 168.09, "history_games": 955, "home_points_hl10": 84.51, "rest_diff": 0.0, "trend_margin": 3.03}, "historical_source_observation_times_verified": false, "inference_inputs": {"line": 157.5, "mean": 168.0912376, "sd": 16.0}, "model_version": "wnba-total-margin-v2", "observed_at_utc": "2026-10-02T22:06:17.036540+00:00", "replay_scope": "Exact final classifier/distribution inputs and artifact. Upstream historical feature construction not certified.", "schema": "scalar-artifact-replay-v1", "snapshot_hash": "a111130fc284576ab5cb0dda5f78011868b8a791c10f2658bafe0015c7dad776"}</t>
        </is>
      </c>
    </row>
    <row r="243" ht="36" customHeight="1">
      <c r="A243" s="24" t="inlineStr">
        <is>
          <t>0fe1049b37e840d9</t>
        </is>
      </c>
      <c r="B243" s="24" t="inlineStr">
        <is>
          <t>2026-10-02T22:06:17.155715Z</t>
        </is>
      </c>
      <c r="C243" s="24" t="inlineStr">
        <is>
          <t>2026-10-03T01:00Z</t>
        </is>
      </c>
      <c r="D243" s="24" t="inlineStr">
        <is>
          <t>401918294</t>
        </is>
      </c>
      <c r="E243" s="24" t="inlineStr">
        <is>
          <t>WNBA</t>
        </is>
      </c>
      <c r="F243" s="24" t="inlineStr">
        <is>
          <t>Dallas Wings</t>
        </is>
      </c>
      <c r="G243" s="24" t="inlineStr">
        <is>
          <t>Golden State Valkyries</t>
        </is>
      </c>
      <c r="H243" s="24" t="inlineStr">
        <is>
          <t>spread</t>
        </is>
      </c>
      <c r="I243" s="24" t="inlineStr">
        <is>
          <t>away</t>
        </is>
      </c>
      <c r="J243" s="25" t="n">
        <v>8.5</v>
      </c>
      <c r="K243" s="24" t="inlineStr">
        <is>
          <t>polymarket_us</t>
        </is>
      </c>
      <c r="L243" s="26" t="n">
        <v>-108</v>
      </c>
      <c r="M243" s="27" t="n">
        <v>1.925926</v>
      </c>
      <c r="N243" s="28" t="n">
        <v>0.519231</v>
      </c>
      <c r="O243" s="28" t="n">
        <v>0.62742</v>
      </c>
      <c r="P243" s="28" t="n">
        <v>0.03</v>
      </c>
      <c r="Q243" s="28" t="n">
        <v>0.108189</v>
      </c>
      <c r="R243" s="26" t="n">
        <v>86</v>
      </c>
      <c r="S243" s="29" t="n">
        <v>1.5</v>
      </c>
      <c r="T243" s="24" t="inlineStr">
        <is>
          <t>wnba-spread-margin-v2</t>
        </is>
      </c>
      <c r="U243" s="24" t="inlineStr">
        <is>
          <t>settled</t>
        </is>
      </c>
      <c r="V243" s="24" t="inlineStr">
        <is>
          <t>win</t>
        </is>
      </c>
      <c r="W243" s="26" t="n">
        <v>73</v>
      </c>
      <c r="X243" s="26" t="n">
        <v>77</v>
      </c>
      <c r="Y243" s="25" t="n"/>
      <c r="Z243" s="26" t="n"/>
      <c r="AA243" s="28" t="n"/>
      <c r="AB243" s="28" t="n"/>
      <c r="AC243" s="30" t="n">
        <v>1.3889</v>
      </c>
      <c r="AD243" s="24" t="inlineStr">
        <is>
          <t>2026-10-03T04:30:16.277947Z</t>
        </is>
      </c>
      <c r="AE243" s="31" t="inlineStr">
        <is>
          <t>Projected margin +4.2 (home), sd 13.4. Executable ask 0.5200 (asc-wnba-dal-gsv-2026-10-02-pos-8pt5).</t>
        </is>
      </c>
      <c r="AF243" s="31" t="inlineStr">
        <is>
          <t>Point-in-time composite Elo + trend + rest margin-normal spread model.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paper_call</t>
        </is>
      </c>
      <c r="AL243" s="26" t="n">
        <v>4</v>
      </c>
      <c r="AM243" s="24" t="inlineStr">
        <is>
          <t>RESEARCH_OBSERVATION</t>
        </is>
      </c>
      <c r="AN243" s="24" t="inlineStr">
        <is>
          <t>CALL</t>
        </is>
      </c>
      <c r="AO243" s="24" t="inlineStr">
        <is>
          <t>PAPER_CALL_STALE_DATA</t>
        </is>
      </c>
      <c r="AP243" s="24" t="inlineStr">
        <is>
          <t>wnba-dal</t>
        </is>
      </c>
      <c r="AQ243" s="24" t="inlineStr">
        <is>
          <t>Dallas Wings</t>
        </is>
      </c>
      <c r="AR243" s="24" t="inlineStr">
        <is>
          <t>Dallas Wings</t>
        </is>
      </c>
      <c r="AS243" s="24" t="inlineStr">
        <is>
          <t>wnba-gsv</t>
        </is>
      </c>
      <c r="AT243" s="24" t="inlineStr">
        <is>
          <t>Golden State Valkyries</t>
        </is>
      </c>
      <c r="AU243" s="24" t="inlineStr">
        <is>
          <t>Golden State Valkyries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f7d192f98d825d7c77be21b0531a91cff101ad35e418fe9d7e07c5d0f769f974</t>
        </is>
      </c>
      <c r="BB243" s="24" t="inlineStr">
        <is>
          <t>margin_normal</t>
        </is>
      </c>
      <c r="BC243" s="24" t="inlineStr">
        <is>
          <t>wnba-spread-margin-v2</t>
        </is>
      </c>
      <c r="BD243" s="24" t="inlineStr">
        <is>
          <t>f7d192f98d825d7c77be21b0531a91cff101ad35e418fe9d7e07c5d0f769f974</t>
        </is>
      </c>
      <c r="BE243" s="24" t="inlineStr">
        <is>
          <t>wnba-spread-margin-v2</t>
        </is>
      </c>
      <c r="BF243" s="24" t="inlineStr">
        <is>
          <t>1</t>
        </is>
      </c>
      <c r="BG243" s="24" t="inlineStr">
        <is>
          <t>f7d192f98d825d7c77be21b0531a91cff101ad35e418fe9d7e07c5d0f769f974</t>
        </is>
      </c>
      <c r="BH243" s="24" t="inlineStr">
        <is>
          <t>2026-10-02T04:33:01.489096Z</t>
        </is>
      </c>
      <c r="BI243" s="24" t="inlineStr">
        <is>
          <t>["same_event","same_team_same_day","same_league_same_day"]</t>
        </is>
      </c>
      <c r="BJ243" s="25" t="n">
        <v>8.5</v>
      </c>
      <c r="BK243" s="26" t="n">
        <v>-108</v>
      </c>
      <c r="BL243" s="27" t="n">
        <v>1.925926</v>
      </c>
      <c r="BM243" s="28" t="n">
        <v>0.519231</v>
      </c>
      <c r="BN243" s="28" t="n"/>
      <c r="BO243" s="28" t="n"/>
      <c r="BP243" s="25" t="n"/>
      <c r="BQ243" s="27" t="n"/>
      <c r="BR243" s="28" t="n"/>
      <c r="BS243" s="28" t="n"/>
      <c r="BT243" s="28" t="n"/>
      <c r="BU243" s="25" t="n"/>
      <c r="BV243" s="29" t="n"/>
      <c r="BW243" s="24" t="n"/>
      <c r="BX243" s="30" t="n">
        <v>1</v>
      </c>
      <c r="BY243" s="27" t="n">
        <v>0.925925</v>
      </c>
      <c r="BZ243" s="24" t="inlineStr">
        <is>
          <t>2026-10-03T04:30:16.277947Z</t>
        </is>
      </c>
      <c r="CA243" s="31" t="inlineStr">
        <is>
          <t>fixed one-unit hypothetical scoring; no real exposure or execution</t>
        </is>
      </c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True</t>
        </is>
      </c>
      <c r="CT243" s="24" t="n"/>
      <c r="CU243" s="24" t="n"/>
      <c r="CV243" s="24" t="n"/>
      <c r="CW243" s="24" t="n"/>
      <c r="CX243" s="24" t="n"/>
      <c r="CY243" s="24" t="inlineStr">
        <is>
          <t>2026-10-02T04:33:01.489096Z</t>
        </is>
      </c>
      <c r="CZ243" s="24" t="inlineStr">
        <is>
          <t>True</t>
        </is>
      </c>
      <c r="DA243" s="24" t="inlineStr">
        <is>
          <t>polymarket_us</t>
        </is>
      </c>
      <c r="DB243" s="24" t="inlineStr">
        <is>
          <t>decision_time_executable_quote</t>
        </is>
      </c>
      <c r="DC243" s="24" t="inlineStr">
        <is>
          <t>False</t>
        </is>
      </c>
      <c r="DD243" s="24" t="inlineStr">
        <is>
          <t>831dee0c5204ea593e56fd302453268dfb07dcd009eac2d8f4bf8701e41394cf</t>
        </is>
      </c>
      <c r="DE243" s="24" t="inlineStr">
        <is>
          <t>/Users/vincentc9002/model-prediction/data/odds/wnba/2026-10-02/polymarket_snapshots.jsonl</t>
        </is>
      </c>
      <c r="DF243" s="24" t="inlineStr">
        <is>
          <t>831dee0c5204ea593e56fd302453268dfb07dcd009eac2d8f4bf8701e41394cf</t>
        </is>
      </c>
      <c r="DG243" s="24" t="n"/>
      <c r="DH243" s="24" t="n"/>
      <c r="DI243" s="24" t="n"/>
      <c r="DJ243" s="24" t="inlineStr">
        <is>
          <t>0.519231</t>
        </is>
      </c>
      <c r="DK243" s="24" t="n"/>
      <c r="DL243" s="24" t="n"/>
      <c r="DM243" s="24" t="n"/>
      <c r="DN243" s="24" t="n"/>
      <c r="DO243" s="24" t="n"/>
      <c r="DP243" s="24" t="n"/>
      <c r="DQ243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"401918294", "event_start_utc": "2026-10-03T01:00Z", "features": {"away_points_hl10": 83.48, "elo_away": 1625.9, "elo_home": 1711.7, "elo_margin": 5.21, "expected_margin": 4.15, "expected_total": 167.99, "history_games": 955, "home_points_hl10": 84.51, "rest_diff": 0.0, "trend_margin": 3.29}, "historical_source_observation_times_verified": false, "inference_inputs": {"line": 8.5, "mean": 4.154371935803232, "sd": 13.37}, "model_version": "wnba-spread-margin-v2", "observed_at_utc": "2026-10-02T22:06:17.043411+00:00", "replay_scope": "Exact final classifier/distribution inputs and artifact. Upstream historical feature construction not certified.", "schema": "scalar-artifact-replay-v1", "snapshot_hash": "76c6aedb7890c3ee2f5599a4e1b23920406976ca4f18eae81a17c25f0768bbb5"}</t>
        </is>
      </c>
    </row>
    <row r="244" ht="36" customHeight="1">
      <c r="A244" s="24" t="inlineStr">
        <is>
          <t>d1a65e32d9ba42e0</t>
        </is>
      </c>
      <c r="B244" s="24" t="inlineStr">
        <is>
          <t>2026-10-07T22:24:46.884594Z</t>
        </is>
      </c>
      <c r="C244" s="24" t="inlineStr">
        <is>
          <t>2026-10-07T19:30:00-0400</t>
        </is>
      </c>
      <c r="D244" s="24" t="inlineStr">
        <is>
          <t>401918297</t>
        </is>
      </c>
      <c r="E244" s="24" t="inlineStr">
        <is>
          <t>WNBA</t>
        </is>
      </c>
      <c r="F244" s="24" t="inlineStr">
        <is>
          <t>New York Liberty</t>
        </is>
      </c>
      <c r="G244" s="24" t="inlineStr">
        <is>
          <t>Atlanta Dream</t>
        </is>
      </c>
      <c r="H244" s="24" t="inlineStr">
        <is>
          <t>moneyline</t>
        </is>
      </c>
      <c r="I244" s="24" t="inlineStr">
        <is>
          <t>home</t>
        </is>
      </c>
      <c r="J244" s="25" t="n"/>
      <c r="K244" s="24" t="inlineStr">
        <is>
          <t>polymarket_us</t>
        </is>
      </c>
      <c r="L244" s="26" t="n">
        <v>-117</v>
      </c>
      <c r="M244" s="27" t="n">
        <v>1.854701</v>
      </c>
      <c r="N244" s="28" t="n">
        <v>0.539171</v>
      </c>
      <c r="O244" s="28" t="n">
        <v>0.666431</v>
      </c>
      <c r="P244" s="28" t="n"/>
      <c r="Q244" s="28" t="n">
        <v>0.12726</v>
      </c>
      <c r="R244" s="26" t="n">
        <v>86</v>
      </c>
      <c r="S244" s="29" t="n">
        <v>1.5</v>
      </c>
      <c r="T244" s="24" t="inlineStr">
        <is>
          <t>wnba-elo-trend-lr-v4</t>
        </is>
      </c>
      <c r="U244" s="24" t="inlineStr">
        <is>
          <t>settled</t>
        </is>
      </c>
      <c r="V244" s="24" t="inlineStr">
        <is>
          <t>win</t>
        </is>
      </c>
      <c r="W244" s="26" t="n">
        <v>98</v>
      </c>
      <c r="X244" s="26" t="n">
        <v>101</v>
      </c>
      <c r="Y244" s="25" t="n"/>
      <c r="Z244" s="26" t="n">
        <v>-117</v>
      </c>
      <c r="AA244" s="28" t="n">
        <v>0.54</v>
      </c>
      <c r="AB244" s="28" t="n">
        <v>0.000829</v>
      </c>
      <c r="AC244" s="30" t="n">
        <v>1.282</v>
      </c>
      <c r="AD244" s="24" t="inlineStr">
        <is>
          <t>2026-10-08T03:21:15.184583Z</t>
        </is>
      </c>
      <c r="AE244" s="31" t="inlineStr">
        <is>
          <t>Learned LR call at threshold 0.5001; executable ask 0.5400 (aec-wnba-ny-atl-2026-10-07); model edge vs ask +0.1264. NOTE: NO_CALL_AVAILABILITY_PLAYER_UNMAPPED unavailable for this game — defaulted to neutral, other features used normally.</t>
        </is>
      </c>
      <c r="AF244" s="31" t="inlineStr">
        <is>
          <t>Learned model; shadow-qualified via operator override.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model_qualified</t>
        </is>
      </c>
      <c r="AL244" s="26" t="n">
        <v>4</v>
      </c>
      <c r="AM244" s="24" t="inlineStr">
        <is>
          <t>QUALIFIED_SHADOW_CALL</t>
        </is>
      </c>
      <c r="AN244" s="24" t="inlineStr">
        <is>
          <t>CALL</t>
        </is>
      </c>
      <c r="AO244" s="24" t="inlineStr">
        <is>
          <t>QUALIFIED</t>
        </is>
      </c>
      <c r="AP244" s="24" t="inlineStr">
        <is>
          <t>wnba-nyl</t>
        </is>
      </c>
      <c r="AQ244" s="24" t="inlineStr">
        <is>
          <t>New York Liberty</t>
        </is>
      </c>
      <c r="AR244" s="24" t="inlineStr">
        <is>
          <t>New York Liberty</t>
        </is>
      </c>
      <c r="AS244" s="24" t="inlineStr">
        <is>
          <t>wnba-atl</t>
        </is>
      </c>
      <c r="AT244" s="24" t="inlineStr">
        <is>
          <t>Atlanta Dream</t>
        </is>
      </c>
      <c r="AU244" s="24" t="inlineStr">
        <is>
          <t>Atlanta Dream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7afd5274214b58b7efd7f7febc7be3ab33b92351cda5cc6403c0a39faea0cc8c</t>
        </is>
      </c>
      <c r="BB244" s="24" t="inlineStr">
        <is>
          <t>learned_lr</t>
        </is>
      </c>
      <c r="BC244" s="24" t="inlineStr">
        <is>
          <t>wnba-elo-trend-lr-v4</t>
        </is>
      </c>
      <c r="BD244" s="24" t="inlineStr">
        <is>
          <t>7afd5274214b58b7efd7f7febc7be3ab33b92351cda5cc6403c0a39faea0cc8c</t>
        </is>
      </c>
      <c r="BE244" s="24" t="inlineStr">
        <is>
          <t>7b76ed1a5cc2c69b</t>
        </is>
      </c>
      <c r="BF244" s="24" t="inlineStr">
        <is>
          <t>1</t>
        </is>
      </c>
      <c r="BG244" s="24" t="inlineStr">
        <is>
          <t>wnba-elo-trend-lr-v4</t>
        </is>
      </c>
      <c r="BH244" s="24" t="inlineStr">
        <is>
          <t>2026-10-07T22:10:56.731722Z</t>
        </is>
      </c>
      <c r="BI244" s="24" t="inlineStr">
        <is>
          <t>["same_event","same_team_same_day","same_league_same_day"]</t>
        </is>
      </c>
      <c r="BJ244" s="25" t="n"/>
      <c r="BK244" s="26" t="n">
        <v>-117</v>
      </c>
      <c r="BL244" s="27" t="n">
        <v>1.854701</v>
      </c>
      <c r="BM244" s="28" t="n">
        <v>0.539171</v>
      </c>
      <c r="BN244" s="28" t="n">
        <v>0.534653</v>
      </c>
      <c r="BO244" s="28" t="n"/>
      <c r="BP244" s="25" t="n"/>
      <c r="BQ244" s="27" t="n">
        <v>1.854701</v>
      </c>
      <c r="BR244" s="28" t="n">
        <v>0.54</v>
      </c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inlineStr">
        <is>
          <t>0.7319895378</t>
        </is>
      </c>
      <c r="CD244" s="24" t="inlineStr">
        <is>
          <t>4.309094</t>
        </is>
      </c>
      <c r="CE244" s="24" t="n"/>
      <c r="CF244" s="24" t="n"/>
      <c r="CG244" s="24" t="n"/>
      <c r="CH244" s="24" t="n"/>
      <c r="CI244" s="24" t="inlineStr">
        <is>
          <t>NO_CALL_AVAILABILITY_PLAYER_UNMAPPED</t>
        </is>
      </c>
      <c r="CJ244" s="24" t="inlineStr">
        <is>
          <t>0.461806</t>
        </is>
      </c>
      <c r="CK244" s="24" t="n"/>
      <c r="CL244" s="24" t="n"/>
      <c r="CM244" s="24" t="n"/>
      <c r="CN244" s="24" t="n"/>
      <c r="CO244" s="24" t="n"/>
      <c r="CP244" s="24" t="n"/>
      <c r="CQ244" s="24" t="n"/>
      <c r="CR244" s="24" t="inlineStr">
        <is>
          <t>0.666431</t>
        </is>
      </c>
      <c r="CS244" s="24" t="inlineStr">
        <is>
          <t>True</t>
        </is>
      </c>
      <c r="CT244" s="24" t="n"/>
      <c r="CU244" s="24" t="n"/>
      <c r="CV244" s="24" t="n"/>
      <c r="CW244" s="24" t="n"/>
      <c r="CX244" s="24" t="n"/>
      <c r="CY244" s="24" t="inlineStr">
        <is>
          <t>2026-10-07T22:10:56.731722Z</t>
        </is>
      </c>
      <c r="CZ244" s="24" t="inlineStr">
        <is>
          <t>True</t>
        </is>
      </c>
      <c r="DA244" s="24" t="inlineStr">
        <is>
          <t>polymarket_us</t>
        </is>
      </c>
      <c r="DB244" s="24" t="inlineStr">
        <is>
          <t>decision_time_executable_quote</t>
        </is>
      </c>
      <c r="DC244" s="24" t="inlineStr">
        <is>
          <t>False</t>
        </is>
      </c>
      <c r="DD244" s="24" t="inlineStr">
        <is>
          <t>1b60ded60fe349dc5a868f2893190fbf12c022d55cf3886be727bc857ab4e436</t>
        </is>
      </c>
      <c r="DE244" s="24" t="inlineStr">
        <is>
          <t>E:\model-prediction\data\odds\wnba\2026-10-07\polymarket_snapshots.jsonl</t>
        </is>
      </c>
      <c r="DF244" s="24" t="inlineStr">
        <is>
          <t>1b60ded60fe349dc5a868f2893190fbf12c022d55cf3886be727bc857ab4e436</t>
        </is>
      </c>
      <c r="DG244" s="24" t="n"/>
      <c r="DH244" s="24" t="n"/>
      <c r="DI244" s="24" t="n"/>
      <c r="DJ244" s="24" t="inlineStr">
        <is>
          <t>0.539171</t>
        </is>
      </c>
      <c r="DK244" s="24" t="n"/>
      <c r="DL244" s="24" t="n"/>
      <c r="DM244" s="24" t="n"/>
      <c r="DN244" s="24" t="n"/>
      <c r="DO244" s="24" t="n"/>
      <c r="DP244" s="24" t="n"/>
      <c r="DQ244" s="24" t="inlineStr">
        <is>
          <t>{"adjustment": {"applied": false, "method": "identity", "reason": "NO_CALL_AVAILABILITY_PLAYER_UNMAPPED"},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0.6664307789911182, "event_id": "401918297", "event_start_utc": "2026-10-07T23:30:00+00:00", "features": {"defensive_trend_gap": 0.4618059999999997, "elo_probability": 0.7319895377976802, "trend_gap": 4.309094}, "historical_source_observation_times_verified": false, "model_version": "wnba-elo-trend-lr-v4", "observed_at_utc": "2026-10-07T22:24:46.884594+00:00", "schema": "learned-moneyline-replay-v1", "served_home_probability": 0.6664307789911182, "snapshot_hash": "3f5057704fbcf733a776e0ce18ecfc062110e40fa420a4883bd29e2e22b59bcc"}</t>
        </is>
      </c>
    </row>
    <row r="245" ht="36" customHeight="1">
      <c r="A245" s="24" t="inlineStr">
        <is>
          <t>2b903aafce0b4a20</t>
        </is>
      </c>
      <c r="B245" s="24" t="inlineStr">
        <is>
          <t>2026-10-07T22:24:46.884594Z</t>
        </is>
      </c>
      <c r="C245" s="24" t="inlineStr">
        <is>
          <t>2026-10-07T21:30:00-0400</t>
        </is>
      </c>
      <c r="D245" s="24" t="inlineStr">
        <is>
          <t>401918298</t>
        </is>
      </c>
      <c r="E245" s="24" t="inlineStr">
        <is>
          <t>WNBA</t>
        </is>
      </c>
      <c r="F245" s="24" t="inlineStr">
        <is>
          <t>Las Vegas Aces</t>
        </is>
      </c>
      <c r="G245" s="24" t="inlineStr">
        <is>
          <t>Golden State Valkyries</t>
        </is>
      </c>
      <c r="H245" s="24" t="inlineStr">
        <is>
          <t>moneyline</t>
        </is>
      </c>
      <c r="I245" s="24" t="inlineStr">
        <is>
          <t>home</t>
        </is>
      </c>
      <c r="J245" s="25" t="n"/>
      <c r="K245" s="24" t="inlineStr">
        <is>
          <t>polymarket_us</t>
        </is>
      </c>
      <c r="L245" s="26" t="n">
        <v>-117</v>
      </c>
      <c r="M245" s="27" t="n">
        <v>1.854701</v>
      </c>
      <c r="N245" s="28" t="n">
        <v>0.539171</v>
      </c>
      <c r="O245" s="28" t="n">
        <v>0.649417</v>
      </c>
      <c r="P245" s="28" t="n"/>
      <c r="Q245" s="28" t="n">
        <v>0.110246</v>
      </c>
      <c r="R245" s="26" t="n">
        <v>77</v>
      </c>
      <c r="S245" s="29" t="n">
        <v>1.5</v>
      </c>
      <c r="T245" s="24" t="inlineStr">
        <is>
          <t>wnba-elo-trend-lr-v4</t>
        </is>
      </c>
      <c r="U245" s="24" t="inlineStr">
        <is>
          <t>settled</t>
        </is>
      </c>
      <c r="V245" s="24" t="inlineStr">
        <is>
          <t>win</t>
        </is>
      </c>
      <c r="W245" s="26" t="n">
        <v>81</v>
      </c>
      <c r="X245" s="26" t="n">
        <v>83</v>
      </c>
      <c r="Y245" s="25" t="n"/>
      <c r="Z245" s="26" t="n">
        <v>-117</v>
      </c>
      <c r="AA245" s="28" t="n">
        <v>0.54</v>
      </c>
      <c r="AB245" s="28" t="n">
        <v>0.000829</v>
      </c>
      <c r="AC245" s="30" t="n">
        <v>1.282</v>
      </c>
      <c r="AD245" s="24" t="inlineStr">
        <is>
          <t>2026-10-11T04:30:54.513825Z</t>
        </is>
      </c>
      <c r="AE245" s="31" t="inlineStr">
        <is>
          <t>Learned LR call at threshold 0.5001; executable ask 0.5400 (aec-wnba-lv-gsv-2026-10-07); model edge vs ask +0.1094. NOTE: NO_CALL_AVAILABILITY_SOURCE_CONFLICT unavailable for this game — defaulted to neutral, other features used normally.</t>
        </is>
      </c>
      <c r="AF245" s="31" t="inlineStr">
        <is>
          <t>Learned model; shadow-qualified via operator override.</t>
        </is>
      </c>
      <c r="AG245" s="24" t="inlineStr">
        <is>
          <t>not_applicable</t>
        </is>
      </c>
      <c r="AH245" s="24" t="n"/>
      <c r="AI245" s="31" t="n"/>
      <c r="AJ245" s="31" t="n"/>
      <c r="AK245" s="24" t="inlineStr">
        <is>
          <t>model_qualified</t>
        </is>
      </c>
      <c r="AL245" s="26" t="n">
        <v>4</v>
      </c>
      <c r="AM245" s="24" t="inlineStr">
        <is>
          <t>QUALIFIED_SHADOW_CALL</t>
        </is>
      </c>
      <c r="AN245" s="24" t="inlineStr">
        <is>
          <t>CALL</t>
        </is>
      </c>
      <c r="AO245" s="24" t="inlineStr">
        <is>
          <t>QUALIFIED</t>
        </is>
      </c>
      <c r="AP245" s="24" t="inlineStr">
        <is>
          <t>wnba-lva</t>
        </is>
      </c>
      <c r="AQ245" s="24" t="inlineStr">
        <is>
          <t>Las Vegas Aces</t>
        </is>
      </c>
      <c r="AR245" s="24" t="inlineStr">
        <is>
          <t>Las Vegas Aces</t>
        </is>
      </c>
      <c r="AS245" s="24" t="inlineStr">
        <is>
          <t>wnba-gsv</t>
        </is>
      </c>
      <c r="AT245" s="24" t="inlineStr">
        <is>
          <t>Golden State Valkyries</t>
        </is>
      </c>
      <c r="AU245" s="24" t="inlineStr">
        <is>
          <t>Golden State Valkyries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7afd5274214b58b7efd7f7febc7be3ab33b92351cda5cc6403c0a39faea0cc8c</t>
        </is>
      </c>
      <c r="BB245" s="24" t="inlineStr">
        <is>
          <t>learned_lr</t>
        </is>
      </c>
      <c r="BC245" s="24" t="inlineStr">
        <is>
          <t>wnba-elo-trend-lr-v4</t>
        </is>
      </c>
      <c r="BD245" s="24" t="inlineStr">
        <is>
          <t>7afd5274214b58b7efd7f7febc7be3ab33b92351cda5cc6403c0a39faea0cc8c</t>
        </is>
      </c>
      <c r="BE245" s="24" t="inlineStr">
        <is>
          <t>f4497cbfe07aad01</t>
        </is>
      </c>
      <c r="BF245" s="24" t="inlineStr">
        <is>
          <t>1</t>
        </is>
      </c>
      <c r="BG245" s="24" t="inlineStr">
        <is>
          <t>wnba-elo-trend-lr-v4</t>
        </is>
      </c>
      <c r="BH245" s="24" t="inlineStr">
        <is>
          <t>2026-10-07T16:13:00.653672Z</t>
        </is>
      </c>
      <c r="BI245" s="24" t="inlineStr">
        <is>
          <t>["same_event","same_team_same_day","same_league_same_day"]</t>
        </is>
      </c>
      <c r="BJ245" s="25" t="n"/>
      <c r="BK245" s="26" t="n">
        <v>-117</v>
      </c>
      <c r="BL245" s="27" t="n">
        <v>1.854701</v>
      </c>
      <c r="BM245" s="28" t="n">
        <v>0.539171</v>
      </c>
      <c r="BN245" s="28" t="n">
        <v>0.534653</v>
      </c>
      <c r="BO245" s="28" t="n"/>
      <c r="BP245" s="25" t="n"/>
      <c r="BQ245" s="27" t="n">
        <v>1.854701</v>
      </c>
      <c r="BR245" s="28" t="n">
        <v>0.54</v>
      </c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inlineStr">
        <is>
          <t>0.6991262963</t>
        </is>
      </c>
      <c r="CD245" s="24" t="inlineStr">
        <is>
          <t>1.191065</t>
        </is>
      </c>
      <c r="CE245" s="24" t="n"/>
      <c r="CF245" s="24" t="n"/>
      <c r="CG245" s="24" t="n"/>
      <c r="CH245" s="24" t="n"/>
      <c r="CI245" s="24" t="inlineStr">
        <is>
          <t>NO_CALL_AVAILABILITY_SOURCE_CONFLICT</t>
        </is>
      </c>
      <c r="CJ245" s="24" t="inlineStr">
        <is>
          <t>-1.693458</t>
        </is>
      </c>
      <c r="CK245" s="24" t="n"/>
      <c r="CL245" s="24" t="n"/>
      <c r="CM245" s="24" t="n"/>
      <c r="CN245" s="24" t="n"/>
      <c r="CO245" s="24" t="n"/>
      <c r="CP245" s="24" t="n"/>
      <c r="CQ245" s="24" t="n"/>
      <c r="CR245" s="24" t="inlineStr">
        <is>
          <t>0.649417</t>
        </is>
      </c>
      <c r="CS245" s="24" t="inlineStr">
        <is>
          <t>True</t>
        </is>
      </c>
      <c r="CT245" s="24" t="n"/>
      <c r="CU245" s="24" t="n"/>
      <c r="CV245" s="24" t="n"/>
      <c r="CW245" s="24" t="n"/>
      <c r="CX245" s="24" t="n"/>
      <c r="CY245" s="24" t="inlineStr">
        <is>
          <t>2026-10-07T16:13:00.653672Z</t>
        </is>
      </c>
      <c r="CZ245" s="24" t="inlineStr">
        <is>
          <t>True</t>
        </is>
      </c>
      <c r="DA245" s="24" t="inlineStr">
        <is>
          <t>polymarket_us</t>
        </is>
      </c>
      <c r="DB245" s="24" t="inlineStr">
        <is>
          <t>decision_time_executable_quote</t>
        </is>
      </c>
      <c r="DC245" s="24" t="inlineStr">
        <is>
          <t>False</t>
        </is>
      </c>
      <c r="DD245" s="24" t="inlineStr">
        <is>
          <t>094170689457ea84daaafb389a08ca61f8c6d5eb8220ab8325ae4b0d0a1ce778</t>
        </is>
      </c>
      <c r="DE245" s="24" t="inlineStr">
        <is>
          <t>E:\model-prediction\data\odds\wnba\2026-10-07\polymarket_snapshots.jsonl</t>
        </is>
      </c>
      <c r="DF245" s="24" t="inlineStr">
        <is>
          <t>094170689457ea84daaafb389a08ca61f8c6d5eb8220ab8325ae4b0d0a1ce778</t>
        </is>
      </c>
      <c r="DG245" s="24" t="n"/>
      <c r="DH245" s="24" t="n"/>
      <c r="DI245" s="24" t="n"/>
      <c r="DJ245" s="24" t="inlineStr">
        <is>
          <t>0.539171</t>
        </is>
      </c>
      <c r="DK245" s="24" t="n"/>
      <c r="DL245" s="24" t="n"/>
      <c r="DM245" s="24" t="n"/>
      <c r="DN245" s="24" t="n"/>
      <c r="DO245" s="24" t="n"/>
      <c r="DP245" s="24" t="n"/>
      <c r="DQ245" s="24" t="inlineStr">
        <is>
          <t>{"adjustment": {"applied": false, "method": "identity", "reason": "NO_CALL_AVAILABILITY_SOURCE_CONFLICT"}, "artifact": {"artifact_hash": "7afd5274214b58b7efd7f7febc7be3ab33b92351cda5cc6403c0a39faea0cc8c", "market_models": {"moneyline": {"coefficients": [3.1343561088, -0.0067554948, -0.0029373676], "confidence_threshold": 0.50013272, "feature_names": ["elo_probability", "trend_gap", "defensive_trend_gap"], "intercept": -1.5717634496, "positive_class": "home"}}, "method": "logistic_regression", "model_version": "wnba-elo-trend-lr-v4", "qualification": {"brier_score": 0.214138, "calibration": {"brier_score": 0.21413759718068046, "calibration_intercept": 0.07582153112447694, "calibration_slope": 1.2699773525039615, "expected_calibration_error": 0.046531085488235015, "log_loss": 0.6187369191789821, "reliability_buckets": [{"count": 56, "hit_rate": 0.5714285714285714, "lower": 0.5, "mean_p": 0.5445774945195826, "upper": 0.6}, {"count": 78, "hit_rate": 0.6923076923076923, "lower": 0.6, "mean_p": 0.6475174195046467, "upper": 0.7}, {"count": 29, "hit_rate": 0.8275862068965517, "lower": 0.7, "mean_p": 0.7383701603778835, "upper": 0.8}], "sample_size": 163, "status": "ok"}, "called_rate": 1.0, "calls": 163, "every_called_month_positive_at_minus_110": true, "every_qualifying_month_positive_at_minus_110": true, "failures": [], "framework": "locked_complete_date_60_20_20", "hit_rate": 0.674847, "hits": 110, "locked_holdout": true, "market_type": "moneyline", "meets_primary_holdout_metrics": true, "minimum_calls": 50, "minimum_hit_rate": 0.6, "monthly_at_minus_110": [{"calls": 33, "hit_rate": 0.545455, "hits": 18, "month": "2026-05", "qualification_status": "qualifying", "units_at_minus_110": 1.363636}, {"calls": 82, "hit_rate": 0.731707, "hits": 60, "month": "2026-06", "qualification_status": "qualifying", "units_at_minus_110": 32.545455}, {"calls": 48, "hit_rate": 0.666667, "hits": 32, "month": "2026-07", "qualification_status": "partial_month", "units_at_minus_110": 13.090909}], "monthly_minimum_calls": 10, "price_diagnostics": null, "qualification_eligible": true, "qualified": true, "roi": null, "secondary_reporting_complete": true, "selectivity": 1.0, "total_predictions": 163, "units_at_minus_110": 47.0}, "schema_version": "1", "sport": "wnba", "training": {"coefficient_fit": {"end": "2025-08-15", "observations": 457, "start": "2024-05-31"}, "locked_holdout": {"end": "2026-07-19", "observations": 163, "start": "2026-05-19"}, "market_inputs_used": false, "threshold_selection": {"end": "2026-05-18", "observations": 143, "start": "2025-08-16"}, "threshold_source": "later validation cohort; never locked holdout", "walk_forward_features": true}}, "artifact_hash": "7afd5274214b58b7efd7f7febc7be3ab33b92351cda5cc6403c0a39faea0cc8c", "base_home_probability": 0.6494165102889455, "event_id": "401918298", "event_start_utc": "2026-10-08T01:30:00+00:00", "features": {"defensive_trend_gap": -1.693458, "elo_probability": 0.6991262963408399, "trend_gap": 1.191065}, "historical_source_observation_times_verified": false, "model_version": "wnba-elo-trend-lr-v4", "observed_at_utc": "2026-10-07T22:24:46.884594+00:00", "schema": "learned-moneyline-replay-v1", "served_home_probability": 0.6494165102889455, "snapshot_hash": "391543dd98d0e4845daa098c9d0a8602cefad04c032577d11234eec082b8a771"}</t>
        </is>
      </c>
    </row>
    <row r="246" ht="36" customHeight="1">
      <c r="A246" s="24" t="inlineStr">
        <is>
          <t>33d34d62074f4669</t>
        </is>
      </c>
      <c r="B246" s="24" t="inlineStr">
        <is>
          <t>2026-10-07T22:26:19.003679Z</t>
        </is>
      </c>
      <c r="C246" s="24" t="inlineStr">
        <is>
          <t>2026-10-07T23:30Z</t>
        </is>
      </c>
      <c r="D246" s="24" t="inlineStr">
        <is>
          <t>401918297</t>
        </is>
      </c>
      <c r="E246" s="24" t="inlineStr">
        <is>
          <t>WNBA</t>
        </is>
      </c>
      <c r="F246" s="24" t="inlineStr">
        <is>
          <t>New York Liberty</t>
        </is>
      </c>
      <c r="G246" s="24" t="inlineStr">
        <is>
          <t>Atlanta Dream</t>
        </is>
      </c>
      <c r="H246" s="24" t="inlineStr">
        <is>
          <t>spread</t>
        </is>
      </c>
      <c r="I246" s="24" t="inlineStr">
        <is>
          <t>home</t>
        </is>
      </c>
      <c r="J246" s="25" t="n">
        <v>-1.5</v>
      </c>
      <c r="K246" s="24" t="inlineStr">
        <is>
          <t>polymarket_us</t>
        </is>
      </c>
      <c r="L246" s="26" t="n">
        <v>100</v>
      </c>
      <c r="M246" s="27" t="n">
        <v>2</v>
      </c>
      <c r="N246" s="28" t="n">
        <v>0.5</v>
      </c>
      <c r="O246" s="28" t="n">
        <v>0.616107</v>
      </c>
      <c r="P246" s="28" t="n">
        <v>0.03</v>
      </c>
      <c r="Q246" s="28" t="n">
        <v>0.116107</v>
      </c>
      <c r="R246" s="26" t="n">
        <v>90</v>
      </c>
      <c r="S246" s="29" t="n">
        <v>1.5</v>
      </c>
      <c r="T246" s="24" t="inlineStr">
        <is>
          <t>wnba-spread-margin-v2</t>
        </is>
      </c>
      <c r="U246" s="24" t="inlineStr">
        <is>
          <t>settled</t>
        </is>
      </c>
      <c r="V246" s="24" t="inlineStr">
        <is>
          <t>win</t>
        </is>
      </c>
      <c r="W246" s="26" t="n">
        <v>98</v>
      </c>
      <c r="X246" s="26" t="n">
        <v>101</v>
      </c>
      <c r="Y246" s="25" t="n"/>
      <c r="Z246" s="26" t="n"/>
      <c r="AA246" s="28" t="n"/>
      <c r="AB246" s="28" t="n"/>
      <c r="AC246" s="30" t="n">
        <v>1.5</v>
      </c>
      <c r="AD246" s="24" t="inlineStr">
        <is>
          <t>2026-10-08T03:21:17.565381Z</t>
        </is>
      </c>
      <c r="AE246" s="31" t="inlineStr">
        <is>
          <t>Projected margin +5.4 (home), sd 13.4. Executable ask 0.5000 (asc-wnba-ny-atl-2026-10-07-pos-1pt5).</t>
        </is>
      </c>
      <c r="AF246" s="31" t="inlineStr">
        <is>
          <t>Point-in-time composite Elo + trend + rest margin-normal spread model.</t>
        </is>
      </c>
      <c r="AG246" s="24" t="inlineStr">
        <is>
          <t>not_applicable</t>
        </is>
      </c>
      <c r="AH246" s="24" t="n"/>
      <c r="AI246" s="31" t="n"/>
      <c r="AJ246" s="31" t="n"/>
      <c r="AK246" s="24" t="inlineStr">
        <is>
          <t>paper_call</t>
        </is>
      </c>
      <c r="AL246" s="26" t="n">
        <v>4</v>
      </c>
      <c r="AM246" s="24" t="inlineStr">
        <is>
          <t>RESEARCH_OBSERVATION</t>
        </is>
      </c>
      <c r="AN246" s="24" t="inlineStr">
        <is>
          <t>CALL</t>
        </is>
      </c>
      <c r="AO246" s="24" t="inlineStr">
        <is>
          <t>PAPER_CALL_STALE_DATA</t>
        </is>
      </c>
      <c r="AP246" s="24" t="inlineStr">
        <is>
          <t>wnba-nyl</t>
        </is>
      </c>
      <c r="AQ246" s="24" t="inlineStr">
        <is>
          <t>New York Liberty</t>
        </is>
      </c>
      <c r="AR246" s="24" t="inlineStr">
        <is>
          <t>New York Liberty</t>
        </is>
      </c>
      <c r="AS246" s="24" t="inlineStr">
        <is>
          <t>wnba-atl</t>
        </is>
      </c>
      <c r="AT246" s="24" t="inlineStr">
        <is>
          <t>Atlanta Dream</t>
        </is>
      </c>
      <c r="AU246" s="24" t="inlineStr">
        <is>
          <t>Atlanta Dream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f7d192f98d825d7c77be21b0531a91cff101ad35e418fe9d7e07c5d0f769f974</t>
        </is>
      </c>
      <c r="BB246" s="24" t="inlineStr">
        <is>
          <t>margin_normal</t>
        </is>
      </c>
      <c r="BC246" s="24" t="inlineStr">
        <is>
          <t>wnba-spread-margin-v2</t>
        </is>
      </c>
      <c r="BD246" s="24" t="inlineStr">
        <is>
          <t>f7d192f98d825d7c77be21b0531a91cff101ad35e418fe9d7e07c5d0f769f974</t>
        </is>
      </c>
      <c r="BE246" s="24" t="inlineStr">
        <is>
          <t>wnba-spread-margin-v2</t>
        </is>
      </c>
      <c r="BF246" s="24" t="inlineStr">
        <is>
          <t>1</t>
        </is>
      </c>
      <c r="BG246" s="24" t="inlineStr">
        <is>
          <t>f7d192f98d825d7c77be21b0531a91cff101ad35e418fe9d7e07c5d0f769f974</t>
        </is>
      </c>
      <c r="BH246" s="24" t="inlineStr">
        <is>
          <t>2026-10-07T04:34:32.066256Z</t>
        </is>
      </c>
      <c r="BI246" s="24" t="inlineStr">
        <is>
          <t>["same_event","same_team_same_day","same_league_same_day"]</t>
        </is>
      </c>
      <c r="BJ246" s="25" t="n">
        <v>-1.5</v>
      </c>
      <c r="BK246" s="26" t="n">
        <v>100</v>
      </c>
      <c r="BL246" s="27" t="n">
        <v>2</v>
      </c>
      <c r="BM246" s="28" t="n">
        <v>0.5</v>
      </c>
      <c r="BN246" s="28" t="n"/>
      <c r="BO246" s="28" t="n"/>
      <c r="BP246" s="25" t="n"/>
      <c r="BQ246" s="27" t="n"/>
      <c r="BR246" s="28" t="n"/>
      <c r="BS246" s="28" t="n"/>
      <c r="BT246" s="28" t="n"/>
      <c r="BU246" s="25" t="n"/>
      <c r="BV246" s="29" t="n"/>
      <c r="BW246" s="24" t="n"/>
      <c r="BX246" s="30" t="n">
        <v>1</v>
      </c>
      <c r="BY246" s="27" t="n">
        <v>1</v>
      </c>
      <c r="BZ246" s="24" t="inlineStr">
        <is>
          <t>2026-10-08T03:21:17.565381Z</t>
        </is>
      </c>
      <c r="CA246" s="31" t="inlineStr">
        <is>
          <t>fixed one-unit hypothetical scoring; no real exposure or execution</t>
        </is>
      </c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inlineStr">
        <is>
          <t>2026-10-07T04:34:32.066256Z</t>
        </is>
      </c>
      <c r="CZ246" s="24" t="inlineStr">
        <is>
          <t>True</t>
        </is>
      </c>
      <c r="DA246" s="24" t="inlineStr">
        <is>
          <t>polymarket_us</t>
        </is>
      </c>
      <c r="DB246" s="24" t="inlineStr">
        <is>
          <t>decision_time_executable_quote</t>
        </is>
      </c>
      <c r="DC246" s="24" t="inlineStr">
        <is>
          <t>False</t>
        </is>
      </c>
      <c r="DD246" s="24" t="inlineStr">
        <is>
          <t>bdb13ce91a5ab3d345823d2f5d0bddda2de694f279a9537f6e320483134175af</t>
        </is>
      </c>
      <c r="DE246" s="24" t="inlineStr">
        <is>
          <t>E:\model-prediction\data\odds\wnba\2026-10-07\polymarket_snapshots.jsonl</t>
        </is>
      </c>
      <c r="DF246" s="24" t="inlineStr">
        <is>
          <t>bdb13ce91a5ab3d345823d2f5d0bddda2de694f279a9537f6e320483134175af</t>
        </is>
      </c>
      <c r="DG246" s="24" t="n"/>
      <c r="DH246" s="24" t="n"/>
      <c r="DI246" s="24" t="n"/>
      <c r="DJ246" s="24" t="inlineStr">
        <is>
          <t>0.5</t>
        </is>
      </c>
      <c r="DK246" s="24" t="n"/>
      <c r="DL246" s="24" t="n"/>
      <c r="DM246" s="24" t="n"/>
      <c r="DN246" s="24" t="n"/>
      <c r="DO246" s="24" t="n"/>
      <c r="DP246" s="24" t="n"/>
      <c r="DQ246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"401918297", "event_start_utc": "2026-10-07T23:30Z", "features": {"away_points_hl10": 85.22, "elo_away": 1632.7, "elo_home": 1747.3, "elo_margin": 6.23, "expected_margin": 5.45, "expected_total": 173.19, "history_games": 958, "home_points_hl10": 87.97, "rest_diff": 0.0, "trend_margin": 5.01}, "historical_source_observation_times_verified": false, "inference_inputs": {"line": 1.5, "mean": 5.447778085238765, "sd": 13.37}, "model_version": "wnba-spread-margin-v2", "observed_at_utc": "2026-10-07T22:26:18.674151+00:00", "replay_scope": "Exact final classifier/distribution inputs and artifact. Upstream historical feature construction not certified.", "schema": "scalar-artifact-replay-v1", "snapshot_hash": "e67e868b60a9a5e9d3db3fb0a25f369078ec6044ccab5b4a68c3748984784394"}</t>
        </is>
      </c>
    </row>
    <row r="247" ht="36" customHeight="1">
      <c r="A247" s="24" t="inlineStr">
        <is>
          <t>06a23a57a6dd4da9</t>
        </is>
      </c>
      <c r="B247" s="24" t="inlineStr">
        <is>
          <t>2026-10-07T22:26:19.003679Z</t>
        </is>
      </c>
      <c r="C247" s="24" t="inlineStr">
        <is>
          <t>2026-10-08T01:30Z</t>
        </is>
      </c>
      <c r="D247" s="24" t="inlineStr">
        <is>
          <t>401918298</t>
        </is>
      </c>
      <c r="E247" s="24" t="inlineStr">
        <is>
          <t>WNBA</t>
        </is>
      </c>
      <c r="F247" s="24" t="inlineStr">
        <is>
          <t>Las Vegas Aces</t>
        </is>
      </c>
      <c r="G247" s="24" t="inlineStr">
        <is>
          <t>Golden State Valkyries</t>
        </is>
      </c>
      <c r="H247" s="24" t="inlineStr">
        <is>
          <t>spread</t>
        </is>
      </c>
      <c r="I247" s="24" t="inlineStr">
        <is>
          <t>home</t>
        </is>
      </c>
      <c r="J247" s="25" t="n">
        <v>-1.5</v>
      </c>
      <c r="K247" s="24" t="inlineStr">
        <is>
          <t>polymarket_us</t>
        </is>
      </c>
      <c r="L247" s="26" t="n">
        <v>-104</v>
      </c>
      <c r="M247" s="27" t="n">
        <v>1.961538</v>
      </c>
      <c r="N247" s="28" t="n">
        <v>0.509804</v>
      </c>
      <c r="O247" s="28" t="n">
        <v>0.563515</v>
      </c>
      <c r="P247" s="28" t="n">
        <v>0.03</v>
      </c>
      <c r="Q247" s="28" t="n">
        <v>0.053711</v>
      </c>
      <c r="R247" s="26" t="n">
        <v>59</v>
      </c>
      <c r="S247" s="29" t="n">
        <v>1.25</v>
      </c>
      <c r="T247" s="24" t="inlineStr">
        <is>
          <t>wnba-spread-margin-v2</t>
        </is>
      </c>
      <c r="U247" s="24" t="inlineStr">
        <is>
          <t>settled</t>
        </is>
      </c>
      <c r="V247" s="24" t="inlineStr">
        <is>
          <t>win</t>
        </is>
      </c>
      <c r="W247" s="26" t="n">
        <v>81</v>
      </c>
      <c r="X247" s="26" t="n">
        <v>83</v>
      </c>
      <c r="Y247" s="25" t="n"/>
      <c r="Z247" s="26" t="n"/>
      <c r="AA247" s="28" t="n"/>
      <c r="AB247" s="28" t="n"/>
      <c r="AC247" s="30" t="n">
        <v>1.2019</v>
      </c>
      <c r="AD247" s="24" t="inlineStr">
        <is>
          <t>2026-10-11T04:32:27.676297Z</t>
        </is>
      </c>
      <c r="AE247" s="31" t="inlineStr">
        <is>
          <t>Projected margin +3.6 (home), sd 13.4. Executable ask 0.5100 (asc-wnba-lv-gsv-2026-10-07-pos-1pt5).</t>
        </is>
      </c>
      <c r="AF247" s="31" t="inlineStr">
        <is>
          <t>Point-in-time composite Elo + trend + rest margin-normal spread model.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model_qualified</t>
        </is>
      </c>
      <c r="AL247" s="26" t="n">
        <v>4</v>
      </c>
      <c r="AM247" s="24" t="inlineStr">
        <is>
          <t>QUALIFIED_SHADOW_CALL</t>
        </is>
      </c>
      <c r="AN247" s="24" t="inlineStr">
        <is>
          <t>CALL</t>
        </is>
      </c>
      <c r="AO247" s="24" t="inlineStr">
        <is>
          <t>QUALIFIED</t>
        </is>
      </c>
      <c r="AP247" s="24" t="inlineStr">
        <is>
          <t>wnba-lva</t>
        </is>
      </c>
      <c r="AQ247" s="24" t="inlineStr">
        <is>
          <t>Las Vegas Aces</t>
        </is>
      </c>
      <c r="AR247" s="24" t="inlineStr">
        <is>
          <t>Las Vegas Aces</t>
        </is>
      </c>
      <c r="AS247" s="24" t="inlineStr">
        <is>
          <t>wnba-gsv</t>
        </is>
      </c>
      <c r="AT247" s="24" t="inlineStr">
        <is>
          <t>Golden State Valkyries</t>
        </is>
      </c>
      <c r="AU247" s="24" t="inlineStr">
        <is>
          <t>Golden State Valkyries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f7d192f98d825d7c77be21b0531a91cff101ad35e418fe9d7e07c5d0f769f974</t>
        </is>
      </c>
      <c r="BB247" s="24" t="inlineStr">
        <is>
          <t>margin_normal</t>
        </is>
      </c>
      <c r="BC247" s="24" t="inlineStr">
        <is>
          <t>wnba-spread-margin-v2</t>
        </is>
      </c>
      <c r="BD247" s="24" t="inlineStr">
        <is>
          <t>f7d192f98d825d7c77be21b0531a91cff101ad35e418fe9d7e07c5d0f769f974</t>
        </is>
      </c>
      <c r="BE247" s="24" t="inlineStr">
        <is>
          <t>wnba-spread-margin-v2</t>
        </is>
      </c>
      <c r="BF247" s="24" t="inlineStr">
        <is>
          <t>1</t>
        </is>
      </c>
      <c r="BG247" s="24" t="inlineStr">
        <is>
          <t>f7d192f98d825d7c77be21b0531a91cff101ad35e418fe9d7e07c5d0f769f974</t>
        </is>
      </c>
      <c r="BH247" s="24" t="inlineStr">
        <is>
          <t>2026-10-07T22:11:27.099850Z</t>
        </is>
      </c>
      <c r="BI247" s="24" t="inlineStr">
        <is>
          <t>["same_event","same_team_same_day","same_league_same_day"]</t>
        </is>
      </c>
      <c r="BJ247" s="25" t="n">
        <v>-1.5</v>
      </c>
      <c r="BK247" s="26" t="n">
        <v>-104</v>
      </c>
      <c r="BL247" s="27" t="n">
        <v>1.961538</v>
      </c>
      <c r="BM247" s="28" t="n">
        <v>0.509804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/>
      <c r="BY247" s="27" t="n"/>
      <c r="BZ247" s="24" t="n"/>
      <c r="CA247" s="31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True</t>
        </is>
      </c>
      <c r="CT247" s="24" t="n"/>
      <c r="CU247" s="24" t="n"/>
      <c r="CV247" s="24" t="n"/>
      <c r="CW247" s="24" t="n"/>
      <c r="CX247" s="24" t="n"/>
      <c r="CY247" s="24" t="inlineStr">
        <is>
          <t>2026-10-07T22:11:27.099850Z</t>
        </is>
      </c>
      <c r="CZ247" s="24" t="inlineStr">
        <is>
          <t>True</t>
        </is>
      </c>
      <c r="DA247" s="24" t="inlineStr">
        <is>
          <t>polymarket_us</t>
        </is>
      </c>
      <c r="DB247" s="24" t="inlineStr">
        <is>
          <t>decision_time_executable_quote</t>
        </is>
      </c>
      <c r="DC247" s="24" t="inlineStr">
        <is>
          <t>False</t>
        </is>
      </c>
      <c r="DD247" s="24" t="inlineStr">
        <is>
          <t>8f4999b4f1ec03c26d78111f7c1f4220d5fc7ecad6bd4d63613c85407b14293f</t>
        </is>
      </c>
      <c r="DE247" s="24" t="inlineStr">
        <is>
          <t>E:\model-prediction\data\odds\wnba\2026-10-07\polymarket_snapshots.jsonl</t>
        </is>
      </c>
      <c r="DF247" s="24" t="inlineStr">
        <is>
          <t>8f4999b4f1ec03c26d78111f7c1f4220d5fc7ecad6bd4d63613c85407b14293f</t>
        </is>
      </c>
      <c r="DG247" s="24" t="n"/>
      <c r="DH247" s="24" t="n"/>
      <c r="DI247" s="24" t="n"/>
      <c r="DJ247" s="24" t="inlineStr">
        <is>
          <t>0.509804</t>
        </is>
      </c>
      <c r="DK247" s="24" t="n"/>
      <c r="DL247" s="24" t="n"/>
      <c r="DM247" s="24" t="n"/>
      <c r="DN247" s="24" t="n"/>
      <c r="DO247" s="24" t="n"/>
      <c r="DP247" s="24" t="n"/>
      <c r="DQ247" s="24" t="inlineStr">
        <is>
          <t>{"artifact": {"artifact_hash": "f7d192f98d825d7c77be21b0531a91cff101ad35e418fe9d7e07c5d0f769f974", "cdf_family": "normal", "elo_weight": 0.52, "expected_margin_detail": "elo_margin = (elo_home + 28 - elo_away) / 28.0; trend_margin = (home_hl10 - away_hl10) + 2.26; rest_diff = home_rest_days - away_rest_days", "expected_margin_formula": "0.52 * elo_margin + 0.44 * trend_margin + 0.20 * rest_diff", "expected_margin_source": "elo_trend_rest_composite_normal", "home_court_points": 2.26, "league": "WNBA", "margin_sd": 13.37, "method": "margin_normal", "model_version": "wnba-spread-margin-v2", "note": "Production-qualified WNBA point spread model replacing wnba-spread-margin-v1. Fixes under-estimated variance (10.5 -&gt; 13.37) and integrates team Elo ratings, opponent-adjusted EWM scoring trends, and rest disparity.", "positive_class": "away_cover", "prediction_formula": "P(away_cover) = normal_cdf(spread_away_line, expected_margin, 13.37)", "qualification": {"brier_improvement_pct": 2.84, "framework": "wnba_composite_margin_cdf", "holdout_brier_score": 0.19942, "holdout_log_loss": 0.58357, "locked_holdout": true, "log_loss_improvement_pct": 2.13, "note": "Fully validated on 916 historical WNBA games through 2026. Resolves overconfidence and severe miscalibration of v1.", "qualified": true, "sample_size": 816, "status": "qualified"}, "rest_weight": 0.2, "schema_version": "2", "sport": "wnba", "trend_weight": 0.44}, "artifact_hash": "f7d192f98d825d7c77be21b0531a91cff101ad35e418fe9d7e07c5d0f769f974", "engine_source_sha256": "4bb2281ce4da7a55b3a26141599a8609b871dfc0d26d7d9a2c7dfc4b5242d652", "event_id": "401918298", "event_start_utc": "2026-10-08T01:30Z", "features": {"away_points_hl10": 82.21, "elo_away": 1650.5, "elo_home": 1737.0, "elo_margin": 5.23, "expected_margin": 3.64, "expected_total": 164.24, "history_games": 958, "home_points_hl10": 82.03, "rest_diff": 0.0, "trend_margin": 2.09}, "historical_source_observation_times_verified": false, "inference_inputs": {"line": 1.5, "mean": 3.6377013810631302, "sd": 13.37}, "model_version": "wnba-spread-margin-v2", "observed_at_utc": "2026-10-07T22:26:18.674151+00:00", "replay_scope": "Exact final classifier/distribution inputs and artifact. Upstream historical feature construction not certified.", "schema": "scalar-artifact-replay-v1", "snapshot_hash": "8db47943ddbd56601ebdcdb9658e1a2f59707446910e751250cc4f93755b9cf8"}</t>
        </is>
      </c>
    </row>
    <row r="248" ht="36" customHeight="1">
      <c r="A248" s="24" t="inlineStr">
        <is>
          <t>a5d71d94db26418a</t>
        </is>
      </c>
      <c r="B248" s="24" t="inlineStr">
        <is>
          <t>2026-10-07T22:26:19.012055Z</t>
        </is>
      </c>
      <c r="C248" s="24" t="inlineStr">
        <is>
          <t>2026-10-07T23:30Z</t>
        </is>
      </c>
      <c r="D248" s="24" t="inlineStr">
        <is>
          <t>401918297</t>
        </is>
      </c>
      <c r="E248" s="24" t="inlineStr">
        <is>
          <t>WNBA</t>
        </is>
      </c>
      <c r="F248" s="24" t="inlineStr">
        <is>
          <t>New York Liberty</t>
        </is>
      </c>
      <c r="G248" s="24" t="inlineStr">
        <is>
          <t>Atlanta Dream</t>
        </is>
      </c>
      <c r="H248" s="24" t="inlineStr">
        <is>
          <t>total</t>
        </is>
      </c>
      <c r="I248" s="24" t="inlineStr">
        <is>
          <t>under</t>
        </is>
      </c>
      <c r="J248" s="25" t="n">
        <v>172.5</v>
      </c>
      <c r="K248" s="24" t="inlineStr">
        <is>
          <t>polymarket_us</t>
        </is>
      </c>
      <c r="L248" s="26" t="n">
        <v>-122</v>
      </c>
      <c r="M248" s="27" t="n">
        <v>1.819672</v>
      </c>
      <c r="N248" s="28" t="n">
        <v>0.54955</v>
      </c>
      <c r="O248" s="28" t="n">
        <v>0.532064</v>
      </c>
      <c r="P248" s="28" t="n">
        <v>0.03</v>
      </c>
      <c r="Q248" s="28" t="n">
        <v>-0.017486</v>
      </c>
      <c r="R248" s="26" t="n">
        <v>23</v>
      </c>
      <c r="S248" s="29" t="n">
        <v>1</v>
      </c>
      <c r="T248" s="24" t="inlineStr">
        <is>
          <t>wnba-total-margin-v2</t>
        </is>
      </c>
      <c r="U248" s="24" t="inlineStr">
        <is>
          <t>settled</t>
        </is>
      </c>
      <c r="V248" s="24" t="inlineStr">
        <is>
          <t>loss</t>
        </is>
      </c>
      <c r="W248" s="26" t="n">
        <v>98</v>
      </c>
      <c r="X248" s="26" t="n">
        <v>101</v>
      </c>
      <c r="Y248" s="25" t="n"/>
      <c r="Z248" s="26" t="n">
        <v>-127</v>
      </c>
      <c r="AA248" s="28" t="n">
        <v>0.5600000000000001</v>
      </c>
      <c r="AB248" s="28" t="n">
        <v>0.01045</v>
      </c>
      <c r="AC248" s="30" t="n">
        <v>-1</v>
      </c>
      <c r="AD248" s="24" t="inlineStr">
        <is>
          <t>2026-10-08T03:21:18.426957Z</t>
        </is>
      </c>
      <c r="AE248" s="31" t="inlineStr">
        <is>
          <t>Projected total 171.2, sd 16.0. Executable ask 0.5500 (tsc-wnba-ny-atl-2026-10-07-172pt5).</t>
        </is>
      </c>
      <c r="AF248" s="31" t="inlineStr">
        <is>
          <t>Research-baseline total model; not yet locked-holdout qualified.</t>
        </is>
      </c>
      <c r="AG248" s="24" t="inlineStr">
        <is>
          <t>review_required</t>
        </is>
      </c>
      <c r="AH248" s="24" t="n"/>
      <c r="AI248" s="31" t="n"/>
      <c r="AJ248" s="31" t="n"/>
      <c r="AK248" s="24" t="inlineStr">
        <is>
          <t>paper_call</t>
        </is>
      </c>
      <c r="AL248" s="26" t="n">
        <v>4</v>
      </c>
      <c r="AM248" s="24" t="inlineStr">
        <is>
          <t>RESEARCH_OBSERVATION</t>
        </is>
      </c>
      <c r="AN248" s="24" t="inlineStr">
        <is>
          <t>CALL</t>
        </is>
      </c>
      <c r="AO248" s="24" t="inlineStr">
        <is>
          <t>PAPER_CALL_STALE_DATA</t>
        </is>
      </c>
      <c r="AP248" s="24" t="inlineStr">
        <is>
          <t>wnba-nyl</t>
        </is>
      </c>
      <c r="AQ248" s="24" t="inlineStr">
        <is>
          <t>New York Liberty</t>
        </is>
      </c>
      <c r="AR248" s="24" t="inlineStr">
        <is>
          <t>New York Liberty</t>
        </is>
      </c>
      <c r="AS248" s="24" t="inlineStr">
        <is>
          <t>wnba-atl</t>
        </is>
      </c>
      <c r="AT248" s="24" t="inlineStr">
        <is>
          <t>Atlanta Dream</t>
        </is>
      </c>
      <c r="AU248" s="24" t="inlineStr">
        <is>
          <t>Atlanta Dream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research</t>
        </is>
      </c>
      <c r="BA248" s="24" t="inlineStr">
        <is>
          <t>9c9b767590bbbb9a7b333eaf9def066d65bf813e735ed73aa27cfb2c609a4ca5</t>
        </is>
      </c>
      <c r="BB248" s="24" t="inlineStr">
        <is>
          <t>total_normal</t>
        </is>
      </c>
      <c r="BC248" s="24" t="inlineStr">
        <is>
          <t>wnba-total-margin-v2</t>
        </is>
      </c>
      <c r="BD248" s="24" t="inlineStr">
        <is>
          <t>9c9b767590bbbb9a7b333eaf9def066d65bf813e735ed73aa27cfb2c609a4ca5</t>
        </is>
      </c>
      <c r="BE248" s="24" t="inlineStr">
        <is>
          <t>wnba-total-margin-v2</t>
        </is>
      </c>
      <c r="BF248" s="24" t="inlineStr">
        <is>
          <t>1</t>
        </is>
      </c>
      <c r="BG248" s="24" t="inlineStr">
        <is>
          <t>9c9b767590bbbb9a7b333eaf9def066d65bf813e735ed73aa27cfb2c609a4ca5</t>
        </is>
      </c>
      <c r="BH248" s="24" t="inlineStr">
        <is>
          <t>2026-10-07T10:12:40.591612Z</t>
        </is>
      </c>
      <c r="BI248" s="24" t="inlineStr">
        <is>
          <t>["same_event","same_team_same_day","same_league_same_day"]</t>
        </is>
      </c>
      <c r="BJ248" s="25" t="n">
        <v>172.5</v>
      </c>
      <c r="BK248" s="26" t="n">
        <v>-122</v>
      </c>
      <c r="BL248" s="27" t="n">
        <v>1.819672</v>
      </c>
      <c r="BM248" s="28" t="n">
        <v>0.54955</v>
      </c>
      <c r="BN248" s="28" t="n"/>
      <c r="BO248" s="28" t="n"/>
      <c r="BP248" s="25" t="n"/>
      <c r="BQ248" s="27" t="n">
        <v>1.787402</v>
      </c>
      <c r="BR248" s="28" t="n">
        <v>0.5600000000000001</v>
      </c>
      <c r="BS248" s="28" t="n"/>
      <c r="BT248" s="28" t="n"/>
      <c r="BU248" s="25" t="n"/>
      <c r="BV248" s="29" t="n"/>
      <c r="BW248" s="24" t="n"/>
      <c r="BX248" s="30" t="n">
        <v>1</v>
      </c>
      <c r="BY248" s="27" t="n">
        <v>-1</v>
      </c>
      <c r="BZ248" s="24" t="inlineStr">
        <is>
          <t>2026-10-08T03:21:18.426957Z</t>
        </is>
      </c>
      <c r="CA248" s="31" t="inlineStr">
        <is>
          <t>fixed one-unit hypothetical scoring; no real exposure or execution</t>
        </is>
      </c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False</t>
        </is>
      </c>
      <c r="CT248" s="24" t="n"/>
      <c r="CU248" s="24" t="n"/>
      <c r="CV248" s="24" t="n"/>
      <c r="CW248" s="24" t="n"/>
      <c r="CX248" s="24" t="n"/>
      <c r="CY248" s="24" t="inlineStr">
        <is>
          <t>2026-10-07T10:12:40.591612Z</t>
        </is>
      </c>
      <c r="CZ248" s="24" t="inlineStr">
        <is>
          <t>True</t>
        </is>
      </c>
      <c r="DA248" s="24" t="inlineStr">
        <is>
          <t>polymarket_us</t>
        </is>
      </c>
      <c r="DB248" s="24" t="inlineStr">
        <is>
          <t>decision_time_executable_quote</t>
        </is>
      </c>
      <c r="DC248" s="24" t="inlineStr">
        <is>
          <t>False</t>
        </is>
      </c>
      <c r="DD248" s="24" t="inlineStr">
        <is>
          <t>d0db771f935378b493cb4e6bd26f47499ac59d8bbf796b6a242248d7781f25c3</t>
        </is>
      </c>
      <c r="DE248" s="24" t="inlineStr">
        <is>
          <t>E:\model-prediction\data\odds\wnba\2026-10-07\polymarket_snapshots.jsonl</t>
        </is>
      </c>
      <c r="DF248" s="24" t="inlineStr">
        <is>
          <t>d0db771f935378b493cb4e6bd26f47499ac59d8bbf796b6a242248d7781f25c3</t>
        </is>
      </c>
      <c r="DG248" s="24" t="n"/>
      <c r="DH248" s="24" t="n"/>
      <c r="DI248" s="24" t="n"/>
      <c r="DJ248" s="24" t="inlineStr">
        <is>
          <t>0.54955</t>
        </is>
      </c>
      <c r="DK248" s="24" t="n"/>
      <c r="DL248" s="24" t="n"/>
      <c r="DM248" s="24" t="n"/>
      <c r="DN248" s="24" t="n"/>
      <c r="DO248" s="24" t="n"/>
      <c r="DP248" s="24" t="n"/>
      <c r="DQ248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"401918297", "event_start_utc": "2026-10-07T23:30Z", "features": {"away_points_hl10": 85.22, "elo_away": 1632.7, "elo_home": 1747.3, "elo_margin": 6.23, "expected_margin": 4.75, "expected_total": 171.21, "history_games": 958, "home_points_hl10": 87.97, "rest_diff": 0.0, "trend_margin": 4.75}, "historical_source_observation_times_verified": false, "inference_inputs": {"line": 172.5, "mean": 171.21267039999998, "sd": 16.0}, "model_version": "wnba-total-margin-v2", "observed_at_utc": "2026-10-07T22:26:18.668634+00:00", "replay_scope": "Exact final classifier/distribution inputs and artifact. Upstream historical feature construction not certified.", "schema": "scalar-artifact-replay-v1", "snapshot_hash": "8682cd9f04bc8e6b9507d72f4813a62c35cf0abd438495d1c096fdf08f148d36"}</t>
        </is>
      </c>
    </row>
    <row r="249" ht="36" customHeight="1">
      <c r="A249" s="24" t="inlineStr">
        <is>
          <t>6ff5c49ceccf4b9e</t>
        </is>
      </c>
      <c r="B249" s="24" t="inlineStr">
        <is>
          <t>2026-10-07T22:26:19.012055Z</t>
        </is>
      </c>
      <c r="C249" s="24" t="inlineStr">
        <is>
          <t>2026-10-08T01:30Z</t>
        </is>
      </c>
      <c r="D249" s="24" t="inlineStr">
        <is>
          <t>401918298</t>
        </is>
      </c>
      <c r="E249" s="24" t="inlineStr">
        <is>
          <t>WNBA</t>
        </is>
      </c>
      <c r="F249" s="24" t="inlineStr">
        <is>
          <t>Las Vegas Aces</t>
        </is>
      </c>
      <c r="G249" s="24" t="inlineStr">
        <is>
          <t>Golden State Valkyries</t>
        </is>
      </c>
      <c r="H249" s="24" t="inlineStr">
        <is>
          <t>total</t>
        </is>
      </c>
      <c r="I249" s="24" t="inlineStr">
        <is>
          <t>over</t>
        </is>
      </c>
      <c r="J249" s="25" t="n">
        <v>156.5</v>
      </c>
      <c r="K249" s="24" t="inlineStr">
        <is>
          <t>polymarket_us</t>
        </is>
      </c>
      <c r="L249" s="26" t="n">
        <v>100</v>
      </c>
      <c r="M249" s="27" t="n">
        <v>2</v>
      </c>
      <c r="N249" s="28" t="n">
        <v>0.5</v>
      </c>
      <c r="O249" s="28" t="n">
        <v>0.690653</v>
      </c>
      <c r="P249" s="28" t="n">
        <v>0.03</v>
      </c>
      <c r="Q249" s="28" t="n">
        <v>0.190653</v>
      </c>
      <c r="R249" s="26" t="n">
        <v>100</v>
      </c>
      <c r="S249" s="29" t="n">
        <v>2</v>
      </c>
      <c r="T249" s="24" t="inlineStr">
        <is>
          <t>wnba-total-margin-v2</t>
        </is>
      </c>
      <c r="U249" s="24" t="inlineStr">
        <is>
          <t>settled</t>
        </is>
      </c>
      <c r="V249" s="24" t="inlineStr">
        <is>
          <t>win</t>
        </is>
      </c>
      <c r="W249" s="26" t="n">
        <v>81</v>
      </c>
      <c r="X249" s="26" t="n">
        <v>83</v>
      </c>
      <c r="Y249" s="25" t="n"/>
      <c r="Z249" s="26" t="n">
        <v>100</v>
      </c>
      <c r="AA249" s="28" t="n">
        <v>0.5</v>
      </c>
      <c r="AB249" s="28" t="n">
        <v>0</v>
      </c>
      <c r="AC249" s="30" t="n">
        <v>2</v>
      </c>
      <c r="AD249" s="24" t="inlineStr">
        <is>
          <t>2026-10-11T04:32:38.140159Z</t>
        </is>
      </c>
      <c r="AE249" s="31" t="inlineStr">
        <is>
          <t>Projected total 164.5, sd 16.0. Executable ask 0.5000 (tsc-wnba-lv-gsv-2026-10-07-156pt5).</t>
        </is>
      </c>
      <c r="AF249" s="31" t="inlineStr">
        <is>
          <t>Research-baseline total model; not yet locked-holdout qualified.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model_qualified</t>
        </is>
      </c>
      <c r="AL249" s="26" t="n">
        <v>4</v>
      </c>
      <c r="AM249" s="24" t="inlineStr">
        <is>
          <t>QUALIFIED_SHADOW_CALL</t>
        </is>
      </c>
      <c r="AN249" s="24" t="inlineStr">
        <is>
          <t>CALL</t>
        </is>
      </c>
      <c r="AO249" s="24" t="inlineStr">
        <is>
          <t>QUALIFIED</t>
        </is>
      </c>
      <c r="AP249" s="24" t="inlineStr">
        <is>
          <t>wnba-lva</t>
        </is>
      </c>
      <c r="AQ249" s="24" t="inlineStr">
        <is>
          <t>Las Vegas Aces</t>
        </is>
      </c>
      <c r="AR249" s="24" t="inlineStr">
        <is>
          <t>Las Vegas Aces</t>
        </is>
      </c>
      <c r="AS249" s="24" t="inlineStr">
        <is>
          <t>wnba-gsv</t>
        </is>
      </c>
      <c r="AT249" s="24" t="inlineStr">
        <is>
          <t>Golden State Valkyries</t>
        </is>
      </c>
      <c r="AU249" s="24" t="inlineStr">
        <is>
          <t>Golden State Valkyries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research</t>
        </is>
      </c>
      <c r="BA249" s="24" t="inlineStr">
        <is>
          <t>9c9b767590bbbb9a7b333eaf9def066d65bf813e735ed73aa27cfb2c609a4ca5</t>
        </is>
      </c>
      <c r="BB249" s="24" t="inlineStr">
        <is>
          <t>total_normal</t>
        </is>
      </c>
      <c r="BC249" s="24" t="inlineStr">
        <is>
          <t>wnba-total-margin-v2</t>
        </is>
      </c>
      <c r="BD249" s="24" t="inlineStr">
        <is>
          <t>9c9b767590bbbb9a7b333eaf9def066d65bf813e735ed73aa27cfb2c609a4ca5</t>
        </is>
      </c>
      <c r="BE249" s="24" t="inlineStr">
        <is>
          <t>wnba-total-margin-v2</t>
        </is>
      </c>
      <c r="BF249" s="24" t="inlineStr">
        <is>
          <t>1</t>
        </is>
      </c>
      <c r="BG249" s="24" t="inlineStr">
        <is>
          <t>9c9b767590bbbb9a7b333eaf9def066d65bf813e735ed73aa27cfb2c609a4ca5</t>
        </is>
      </c>
      <c r="BH249" s="24" t="inlineStr">
        <is>
          <t>2026-10-07T22:11:17.025281Z</t>
        </is>
      </c>
      <c r="BI249" s="24" t="inlineStr">
        <is>
          <t>["same_event","same_team_same_day","same_league_same_day"]</t>
        </is>
      </c>
      <c r="BJ249" s="25" t="n">
        <v>156.5</v>
      </c>
      <c r="BK249" s="26" t="n">
        <v>100</v>
      </c>
      <c r="BL249" s="27" t="n">
        <v>2</v>
      </c>
      <c r="BM249" s="28" t="n">
        <v>0.5</v>
      </c>
      <c r="BN249" s="28" t="n"/>
      <c r="BO249" s="28" t="n"/>
      <c r="BP249" s="25" t="n"/>
      <c r="BQ249" s="27" t="n">
        <v>2</v>
      </c>
      <c r="BR249" s="28" t="n">
        <v>0.5</v>
      </c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True</t>
        </is>
      </c>
      <c r="CT249" s="24" t="n"/>
      <c r="CU249" s="24" t="n"/>
      <c r="CV249" s="24" t="n"/>
      <c r="CW249" s="24" t="n"/>
      <c r="CX249" s="24" t="n"/>
      <c r="CY249" s="24" t="inlineStr">
        <is>
          <t>2026-10-07T22:11:17.025281Z</t>
        </is>
      </c>
      <c r="CZ249" s="24" t="inlineStr">
        <is>
          <t>True</t>
        </is>
      </c>
      <c r="DA249" s="24" t="inlineStr">
        <is>
          <t>polymarket_us</t>
        </is>
      </c>
      <c r="DB249" s="24" t="inlineStr">
        <is>
          <t>decision_time_executable_quote</t>
        </is>
      </c>
      <c r="DC249" s="24" t="inlineStr">
        <is>
          <t>False</t>
        </is>
      </c>
      <c r="DD249" s="24" t="inlineStr">
        <is>
          <t>d0d926d3be332ae162743f9268d434e0ea7556720f5f614fcf3635608620be7c</t>
        </is>
      </c>
      <c r="DE249" s="24" t="inlineStr">
        <is>
          <t>E:\model-prediction\data\odds\wnba\2026-10-07\polymarket_snapshots.jsonl</t>
        </is>
      </c>
      <c r="DF249" s="24" t="inlineStr">
        <is>
          <t>d0d926d3be332ae162743f9268d434e0ea7556720f5f614fcf3635608620be7c</t>
        </is>
      </c>
      <c r="DG249" s="24" t="n"/>
      <c r="DH249" s="24" t="n"/>
      <c r="DI249" s="24" t="n"/>
      <c r="DJ249" s="24" t="inlineStr">
        <is>
          <t>0.5</t>
        </is>
      </c>
      <c r="DK249" s="24" t="n"/>
      <c r="DL249" s="24" t="n"/>
      <c r="DM249" s="24" t="n"/>
      <c r="DN249" s="24" t="n"/>
      <c r="DO249" s="24" t="n"/>
      <c r="DP249" s="24" t="n"/>
      <c r="DQ249" s="24" t="inlineStr">
        <is>
          <t>{"artifact": {"artifact_hash": "9c9b767590bbbb9a7b333eaf9def066d65bf813e735ed73aa27cfb2c609a4ca5", "cdf_family": "normal", "expected_total_formula": "0.60 * (away_hl10 + home_hl10) + 0.40 * ((home_10g_avg + away_10g_avg) / 2.0)", "expected_total_source": "composite_trend_team_rolling_normal", "league": "WNBA", "margin_sd": 13.37, "method": "total_normal", "model_version": "wnba-total-margin-v2", "note": "Production-qualified WNBA game totals model replacing wnba-total-margin-v1. Integrates opponent-adjusted EWM scoring trends, team recent scoring levels, and calibrated total score standard deviation.", "positive_class": "over", "prediction_formula": "P(over) = 1.0 - normal_cdf(total_line, expected_total, 16.0)", "qualification": {"framework": "wnba_composite_total_cdf", "holdout_brier_score": 0.21164, "holdout_log_loss": 0.60958, "locked_holdout": true, "mae": 14.273, "note": "Walk-forward validated on 916 historical WNBA games through 2026.", "qualified": true, "sample_size": 816, "status": "qualified"}, "schema_version": "2", "sport": "wnba", "team_total_weight": 0.4, "total_sd": 16.0, "trend_total_weight": 0.6}, "artifact_hash": "9c9b767590bbbb9a7b333eaf9def066d65bf813e735ed73aa27cfb2c609a4ca5", "engine_source_sha256": "4bb2281ce4da7a55b3a26141599a8609b871dfc0d26d7d9a2c7dfc4b5242d652", "event_id": "401918298", "event_start_utc": "2026-10-08T01:30Z", "features": {"away_points_hl10": 82.21, "elo_away": 1650.5, "elo_home": 1737.0, "elo_margin": 5.23, "expected_margin": 1.83, "expected_total": 164.46, "history_games": 958, "home_points_hl10": 82.03, "rest_diff": 0.0, "trend_margin": 1.83}, "historical_source_observation_times_verified": false, "inference_inputs": {"line": 156.5, "mean": 164.4632311, "sd": 16.0}, "model_version": "wnba-total-margin-v2", "observed_at_utc": "2026-10-07T22:26:18.668634+00:00", "replay_scope": "Exact final classifier/distribution inputs and artifact. Upstream historical feature construction not certified.", "schema": "scalar-artifact-replay-v1", "snapshot_hash": "d98f727747d1e3ffe12968d91793eac7353590b7de6fe70f10da7cb7d901d524"}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2026-10-11T04:32:43Z</dcterms:created>
  <dcterms:modified xmlns:dcterms="http://purl.org/dc/terms/" xmlns:xsi="http://www.w3.org/2001/XMLSchema-instance" xsi:type="dcterms:W3CDTF">2026-10-11T04:32:44Z</dcterms:modified>
</cp:coreProperties>
</file>