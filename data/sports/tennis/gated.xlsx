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icks" sheetId="2" state="visible" r:id="rId2"/>
  </sheets>
  <definedNames>
    <definedName name="_xlnm.Print_Area" localSheetId="0">'Summary'!$A$1:$L$19</definedName>
    <definedName name="_xlnm._FilterDatabase" localSheetId="1" hidden="1">'Picks'!$A$1:$DQ$1</definedName>
    <definedName name="_xlnm.Print_Titles" localSheetId="1">'Picks'!$1:$1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###"/>
    <numFmt numFmtId="165" formatCode="0.000000"/>
    <numFmt numFmtId="166" formatCode="0.0000"/>
    <numFmt numFmtId="167" formatCode="0.0%"/>
  </numFmts>
  <fonts count="9">
    <font>
      <name val="Calibri"/>
      <family val="2"/>
      <color theme="1"/>
      <sz val="11"/>
      <scheme val="minor"/>
    </font>
    <font>
      <name val="Aptos"/>
      <color rgb="001F2937"/>
      <sz val="10"/>
    </font>
    <font>
      <name val="Aptos"/>
      <b val="1"/>
      <color rgb="00FFFFFF"/>
      <sz val="10"/>
    </font>
    <font>
      <name val="Aptos Display"/>
      <b val="1"/>
      <color rgb="00FFFFFF"/>
      <sz val="18"/>
    </font>
    <font>
      <name val="Aptos"/>
      <b val="1"/>
      <color rgb="0017365D"/>
      <sz val="10"/>
    </font>
    <font>
      <name val="Aptos"/>
      <color rgb="00374151"/>
      <sz val="10"/>
    </font>
    <font>
      <name val="Aptos Display"/>
      <b val="1"/>
      <color rgb="00111827"/>
      <sz val="15"/>
    </font>
    <font>
      <name val="Aptos"/>
      <b val="1"/>
      <color rgb="00FFFFFF"/>
      <sz val="11"/>
    </font>
    <font>
      <name val="Aptos"/>
      <i val="1"/>
      <color rgb="007A4E00"/>
      <sz val="10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7FAFC"/>
      </patternFill>
    </fill>
    <fill>
      <patternFill patternType="solid">
        <fgColor rgb="00FFFFFF"/>
      </patternFill>
    </fill>
    <fill>
      <patternFill patternType="solid">
        <fgColor rgb="00F3F6F9"/>
      </patternFill>
    </fill>
    <fill>
      <patternFill patternType="solid">
        <fgColor rgb="00FFF4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4" fillId="4" borderId="0" pivotButton="0" quotePrefix="0" xfId="0"/>
    <xf numFmtId="0" fontId="5" fillId="0" borderId="0" pivotButton="0" quotePrefix="0" xfId="0"/>
    <xf numFmtId="1" fontId="4" fillId="0" borderId="0" pivotButton="0" quotePrefix="0" xfId="0"/>
    <xf numFmtId="0" fontId="4" fillId="4" borderId="0" applyAlignment="1" pivotButton="0" quotePrefix="0" xfId="0">
      <alignment vertical="center"/>
    </xf>
    <xf numFmtId="0" fontId="6" fillId="5" borderId="0" applyAlignment="1" pivotButton="0" quotePrefix="0" xfId="0">
      <alignment vertical="center"/>
    </xf>
    <xf numFmtId="167" fontId="6" fillId="5" borderId="0" applyAlignment="1" pivotButton="0" quotePrefix="0" xfId="0">
      <alignment vertical="center"/>
    </xf>
    <xf numFmtId="166" fontId="6" fillId="5" borderId="0" applyAlignment="1" pivotButton="0" quotePrefix="0" xfId="0">
      <alignment vertical="center"/>
    </xf>
    <xf numFmtId="10" fontId="6" fillId="5" borderId="0" applyAlignment="1" pivotButton="0" quotePrefix="0" xfId="0">
      <alignment vertical="center"/>
    </xf>
    <xf numFmtId="0" fontId="7" fillId="3" borderId="0" pivotButton="0" quotePrefix="0" xfId="0"/>
    <xf numFmtId="0" fontId="4" fillId="4" borderId="0" applyAlignment="1" pivotButton="0" quotePrefix="0" xfId="0">
      <alignment horizontal="center"/>
    </xf>
    <xf numFmtId="0" fontId="1" fillId="6" borderId="0" applyAlignment="1" pivotButton="0" quotePrefix="0" xfId="0">
      <alignment horizontal="left"/>
    </xf>
    <xf numFmtId="0" fontId="1" fillId="6" borderId="0" applyAlignment="1" pivotButton="0" quotePrefix="0" xfId="0">
      <alignment horizontal="right"/>
    </xf>
    <xf numFmtId="167" fontId="1" fillId="6" borderId="0" applyAlignment="1" pivotButton="0" quotePrefix="0" xfId="0">
      <alignment horizontal="right"/>
    </xf>
    <xf numFmtId="166" fontId="1" fillId="6" borderId="0" applyAlignment="1" pivotButton="0" quotePrefix="0" xfId="0">
      <alignment horizontal="right"/>
    </xf>
    <xf numFmtId="10" fontId="1" fillId="6" borderId="0" applyAlignment="1" pivotButton="0" quotePrefix="0" xfId="0">
      <alignment horizontal="right"/>
    </xf>
    <xf numFmtId="0" fontId="1" fillId="7" borderId="0" applyAlignment="1" pivotButton="0" quotePrefix="0" xfId="0">
      <alignment horizontal="left"/>
    </xf>
    <xf numFmtId="0" fontId="1" fillId="7" borderId="0" applyAlignment="1" pivotButton="0" quotePrefix="0" xfId="0">
      <alignment horizontal="right"/>
    </xf>
    <xf numFmtId="167" fontId="1" fillId="7" borderId="0" applyAlignment="1" pivotButton="0" quotePrefix="0" xfId="0">
      <alignment horizontal="right"/>
    </xf>
    <xf numFmtId="166" fontId="1" fillId="7" borderId="0" applyAlignment="1" pivotButton="0" quotePrefix="0" xfId="0">
      <alignment horizontal="right"/>
    </xf>
    <xf numFmtId="10" fontId="1" fillId="7" borderId="0" applyAlignment="1" pivotButton="0" quotePrefix="0" xfId="0">
      <alignment horizontal="right"/>
    </xf>
    <xf numFmtId="0" fontId="8" fillId="8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7" customWidth="1" min="10" max="10"/>
    <col width="4" customWidth="1" min="11" max="11"/>
    <col width="12" customWidth="1" min="12" max="12"/>
  </cols>
  <sheetData>
    <row r="1" ht="34" customHeight="1">
      <c r="A1" s="1" t="inlineStr">
        <is>
          <t>MODEL PREDICTION — PICKS LEDGER</t>
        </is>
      </c>
      <c r="J1" s="2" t="inlineStr">
        <is>
          <t>METRIC CONTROL</t>
        </is>
      </c>
    </row>
    <row r="2">
      <c r="J2" s="3" t="inlineStr">
        <is>
          <t>Minimum calibration sample</t>
        </is>
      </c>
      <c r="L2" s="4" t="n">
        <v>30</v>
      </c>
    </row>
    <row r="3" ht="20" customHeight="1">
      <c r="A3" s="5" t="inlineStr">
        <is>
          <t>Total records</t>
        </is>
      </c>
      <c r="C3" s="5" t="inlineStr">
        <is>
          <t>Open records</t>
        </is>
      </c>
      <c r="E3" s="5" t="inlineStr">
        <is>
          <t>Settled records</t>
        </is>
      </c>
      <c r="G3" s="5" t="inlineStr">
        <is>
          <t>Calibration status</t>
        </is>
      </c>
    </row>
    <row r="4" ht="28" customHeight="1">
      <c r="A4" s="6">
        <f>COUNTA('Picks'!$A$2:$A$2)</f>
        <v/>
      </c>
      <c r="C4" s="6">
        <f>COUNTIF('Picks'!$U$2:$U$2,"open")</f>
        <v/>
      </c>
      <c r="E4" s="6">
        <f>COUNTIF('Picks'!$U$2:$U$2,"settled")</f>
        <v/>
      </c>
      <c r="G4" s="6">
        <f>IF(COUNTIFS('Picks'!$U$2:$U$2,"settled",'Picks'!$V$2:$V$2,"win")+COUNTIFS('Picks'!$U$2:$U$2,"settled",'Picks'!$V$2:$V$2,"loss")&gt;=$L$2,"Ready","Insufficient sample")</f>
        <v/>
      </c>
    </row>
    <row r="6" ht="20" customHeight="1">
      <c r="A6" s="5" t="inlineStr">
        <is>
          <t>Research scored</t>
        </is>
      </c>
      <c r="C6" s="5" t="inlineStr">
        <is>
          <t>Research record</t>
        </is>
      </c>
      <c r="E6" s="5" t="inlineStr">
        <is>
          <t>Research accuracy</t>
        </is>
      </c>
      <c r="G6" s="5" t="inlineStr">
        <is>
          <t>Research ROI</t>
        </is>
      </c>
    </row>
    <row r="7" ht="28" customHeight="1">
      <c r="A7" s="6">
        <f>COUNTIF('Picks'!$BX$2:$BX$2,"&gt;0")</f>
        <v/>
      </c>
      <c r="C7" s="6">
        <f>COUNTIFS('Picks'!$BX$2:$BX$2,"&gt;0",'Picks'!$V$2:$V$2,"win")&amp;"-"&amp;COUNTIFS('Picks'!$BX$2:$BX$2,"&gt;0",'Picks'!$V$2:$V$2,"loss")</f>
        <v/>
      </c>
      <c r="E7" s="7">
        <f>IFERROR(COUNTIFS('Picks'!$BX$2:$BX$2,"&gt;0",'Picks'!$V$2:$V$2,"win")/(COUNTIFS('Picks'!$BX$2:$BX$2,"&gt;0",'Picks'!$V$2:$V$2,"win")+COUNTIFS('Picks'!$BX$2:$BX$2,"&gt;0",'Picks'!$V$2:$V$2,"loss")),0)</f>
        <v/>
      </c>
      <c r="G7" s="7">
        <f>IFERROR(SUM('Picks'!$BY$2:$BY$2)/SUM('Picks'!$BX$2:$BX$2),0)</f>
        <v/>
      </c>
    </row>
    <row r="9" ht="20" customHeight="1">
      <c r="A9" s="5" t="inlineStr">
        <is>
          <t>Research P&amp;L</t>
        </is>
      </c>
      <c r="C9" s="5" t="inlineStr">
        <is>
          <t>Mean raw-probability CLV</t>
        </is>
      </c>
      <c r="E9" s="5" t="inlineStr">
        <is>
          <t>Qualified calls</t>
        </is>
      </c>
      <c r="G9" s="5" t="inlineStr">
        <is>
          <t>Qualified P&amp;L</t>
        </is>
      </c>
    </row>
    <row r="10" ht="28" customHeight="1">
      <c r="A10" s="8">
        <f>SUM('Picks'!$BY$2:$BY$2)</f>
        <v/>
      </c>
      <c r="C10" s="9">
        <f>IFERROR(AVERAGEIF('Picks'!$AB$2:$AB$2,"&lt;&gt;",'Picks'!$AB$2:$AB$2),0)</f>
        <v/>
      </c>
      <c r="E10" s="6">
        <f>COUNTIFS('Picks'!$AM$2:$AM$2,"QUALIFIED_SHADOW_CALL",'Picks'!$U$2:$U$2,"settled")</f>
        <v/>
      </c>
      <c r="G10" s="8">
        <f>SUMIFS('Picks'!$AC$2:$AC$2,'Picks'!$AM$2:$AM$2,"QUALIFIED_SHADOW_CALL")</f>
        <v/>
      </c>
    </row>
    <row r="12">
      <c r="A12" s="10" t="inlineStr">
        <is>
          <t>SETTLED ACCURACY BY MARKET</t>
        </is>
      </c>
    </row>
    <row r="13">
      <c r="A13" s="11" t="inlineStr">
        <is>
          <t>Market</t>
        </is>
      </c>
      <c r="B13" s="11" t="inlineStr">
        <is>
          <t>Settled</t>
        </is>
      </c>
      <c r="C13" s="11" t="inlineStr">
        <is>
          <t>Wins</t>
        </is>
      </c>
      <c r="D13" s="11" t="inlineStr">
        <is>
          <t>Losses</t>
        </is>
      </c>
      <c r="E13" s="11" t="inlineStr">
        <is>
          <t>Accuracy</t>
        </is>
      </c>
      <c r="F13" s="11" t="inlineStr">
        <is>
          <t>Research P&amp;L</t>
        </is>
      </c>
      <c r="G13" s="11" t="inlineStr">
        <is>
          <t>Mean CLV</t>
        </is>
      </c>
    </row>
    <row r="14">
      <c r="A14" s="12" t="inlineStr">
        <is>
          <t>moneyline</t>
        </is>
      </c>
      <c r="B14" s="13">
        <f>COUNTIFS('Picks'!$H$2:$H$2,$A14,'Picks'!$U$2:$U$2,"settled")</f>
        <v/>
      </c>
      <c r="C14" s="13">
        <f>COUNTIFS('Picks'!$H$2:$H$2,$A14,'Picks'!$U$2:$U$2,"settled",'Picks'!$V$2:$V$2,"win")</f>
        <v/>
      </c>
      <c r="D14" s="13">
        <f>COUNTIFS('Picks'!$H$2:$H$2,$A14,'Picks'!$U$2:$U$2,"settled",'Picks'!$V$2:$V$2,"loss")</f>
        <v/>
      </c>
      <c r="E14" s="14">
        <f>IFERROR(C14/(C14+D14),0)</f>
        <v/>
      </c>
      <c r="F14" s="15">
        <f>SUMIFS('Picks'!$BY$2:$BY$2,'Picks'!$H$2:$H$2,$A14)</f>
        <v/>
      </c>
      <c r="G14" s="16">
        <f>IFERROR(AVERAGEIFS('Picks'!$AB$2:$AB$2,'Picks'!$H$2:$H$2,$A14,'Picks'!$U$2:$U$2,"settled"),0)</f>
        <v/>
      </c>
    </row>
    <row r="15">
      <c r="A15" s="17" t="inlineStr">
        <is>
          <t>spread</t>
        </is>
      </c>
      <c r="B15" s="18">
        <f>COUNTIFS('Picks'!$H$2:$H$2,$A15,'Picks'!$U$2:$U$2,"settled")</f>
        <v/>
      </c>
      <c r="C15" s="18">
        <f>COUNTIFS('Picks'!$H$2:$H$2,$A15,'Picks'!$U$2:$U$2,"settled",'Picks'!$V$2:$V$2,"win")</f>
        <v/>
      </c>
      <c r="D15" s="18">
        <f>COUNTIFS('Picks'!$H$2:$H$2,$A15,'Picks'!$U$2:$U$2,"settled",'Picks'!$V$2:$V$2,"loss")</f>
        <v/>
      </c>
      <c r="E15" s="19">
        <f>IFERROR(C15/(C15+D15),0)</f>
        <v/>
      </c>
      <c r="F15" s="20">
        <f>SUMIFS('Picks'!$BY$2:$BY$2,'Picks'!$H$2:$H$2,$A15)</f>
        <v/>
      </c>
      <c r="G15" s="21">
        <f>IFERROR(AVERAGEIFS('Picks'!$AB$2:$AB$2,'Picks'!$H$2:$H$2,$A15,'Picks'!$U$2:$U$2,"settled"),0)</f>
        <v/>
      </c>
    </row>
    <row r="16">
      <c r="A16" s="12" t="inlineStr">
        <is>
          <t>total</t>
        </is>
      </c>
      <c r="B16" s="13">
        <f>COUNTIFS('Picks'!$H$2:$H$2,$A16,'Picks'!$U$2:$U$2,"settled")</f>
        <v/>
      </c>
      <c r="C16" s="13">
        <f>COUNTIFS('Picks'!$H$2:$H$2,$A16,'Picks'!$U$2:$U$2,"settled",'Picks'!$V$2:$V$2,"win")</f>
        <v/>
      </c>
      <c r="D16" s="13">
        <f>COUNTIFS('Picks'!$H$2:$H$2,$A16,'Picks'!$U$2:$U$2,"settled",'Picks'!$V$2:$V$2,"loss")</f>
        <v/>
      </c>
      <c r="E16" s="14">
        <f>IFERROR(C16/(C16+D16),0)</f>
        <v/>
      </c>
      <c r="F16" s="15">
        <f>SUMIFS('Picks'!$BY$2:$BY$2,'Picks'!$H$2:$H$2,$A16)</f>
        <v/>
      </c>
      <c r="G16" s="16">
        <f>IFERROR(AVERAGEIFS('Picks'!$AB$2:$AB$2,'Picks'!$H$2:$H$2,$A16,'Picks'!$U$2:$U$2,"settled"),0)</f>
        <v/>
      </c>
    </row>
    <row r="18">
      <c r="A18" s="22" t="inlineStr">
        <is>
          <t>Descriptive only—not evidence of profitability. Calibration needs 30 settled binary picks.</t>
        </is>
      </c>
    </row>
    <row r="19"/>
  </sheetData>
  <mergeCells count="3">
    <mergeCell ref="A18:L19"/>
    <mergeCell ref="A12:G12"/>
    <mergeCell ref="A1:H1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Q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18" customWidth="1" min="4" max="4"/>
    <col width="12" customWidth="1" min="5" max="5"/>
    <col width="24" customWidth="1" min="6" max="6"/>
    <col width="24" customWidth="1" min="7" max="7"/>
    <col width="13" customWidth="1" min="8" max="8"/>
    <col width="12" customWidth="1" min="9" max="9"/>
    <col width="15" customWidth="1" min="10" max="10"/>
    <col width="24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24" customWidth="1" min="20" max="20"/>
    <col width="12" customWidth="1" min="21" max="21"/>
    <col width="12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25" customWidth="1" min="30" max="30"/>
    <col width="48" customWidth="1" min="31" max="31"/>
    <col width="48" customWidth="1" min="32" max="32"/>
    <col width="15" customWidth="1" min="33" max="33"/>
    <col width="21" customWidth="1" min="34" max="34"/>
    <col width="48" customWidth="1" min="35" max="35"/>
    <col width="48" customWidth="1" min="36" max="36"/>
    <col width="12" customWidth="1" min="37" max="37"/>
    <col width="15" customWidth="1" min="38" max="38"/>
    <col width="13" customWidth="1" min="39" max="39"/>
    <col width="12" customWidth="1" min="40" max="40"/>
    <col width="24" customWidth="1" min="41" max="41"/>
    <col width="18" customWidth="1" min="42" max="42"/>
    <col width="22" customWidth="1" min="43" max="43"/>
    <col width="22" customWidth="1" min="44" max="44"/>
    <col width="18" customWidth="1" min="45" max="45"/>
    <col width="22" customWidth="1" min="46" max="46"/>
    <col width="22" customWidth="1" min="47" max="47"/>
    <col width="18" customWidth="1" min="48" max="48"/>
    <col width="22" customWidth="1" min="49" max="49"/>
    <col width="14" customWidth="1" min="50" max="50"/>
    <col width="21" customWidth="1" min="51" max="51"/>
    <col width="22" customWidth="1" min="52" max="52"/>
    <col width="20" customWidth="1" min="53" max="53"/>
    <col width="20" customWidth="1" min="54" max="54"/>
    <col width="21" customWidth="1" min="55" max="55"/>
    <col width="20" customWidth="1" min="56" max="56"/>
    <col width="22" customWidth="1" min="57" max="57"/>
    <col width="20" customWidth="1" min="58" max="58"/>
    <col width="15" customWidth="1" min="59" max="59"/>
    <col width="25" customWidth="1" min="60" max="60"/>
    <col width="18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3" customWidth="1" min="75" max="75"/>
    <col width="15" customWidth="1" min="76" max="76"/>
    <col width="15" customWidth="1" min="77" max="77"/>
    <col width="25" customWidth="1" min="78" max="78"/>
    <col width="48" customWidth="1" min="79" max="79"/>
    <col width="22" customWidth="1" min="80" max="80"/>
    <col width="17" customWidth="1" min="81" max="81"/>
    <col width="12" customWidth="1" min="82" max="82"/>
    <col width="13" customWidth="1" min="83" max="83"/>
    <col width="16" customWidth="1" min="84" max="84"/>
    <col width="17" customWidth="1" min="85" max="85"/>
    <col width="22" customWidth="1" min="86" max="86"/>
    <col width="22" customWidth="1" min="87" max="87"/>
    <col width="21" customWidth="1" min="88" max="88"/>
    <col width="22" customWidth="1" min="89" max="89"/>
    <col width="22" customWidth="1" min="90" max="90"/>
    <col width="17" customWidth="1" min="91" max="91"/>
    <col width="16" customWidth="1" min="92" max="92"/>
    <col width="18" customWidth="1" min="93" max="93"/>
    <col width="18" customWidth="1" min="94" max="94"/>
    <col width="22" customWidth="1" min="95" max="95"/>
    <col width="22" customWidth="1" min="96" max="96"/>
    <col width="17" customWidth="1" min="97" max="97"/>
    <col width="20" customWidth="1" min="98" max="98"/>
    <col width="20" customWidth="1" min="99" max="99"/>
    <col width="13" customWidth="1" min="100" max="100"/>
    <col width="22" customWidth="1" min="101" max="101"/>
    <col width="21" customWidth="1" min="102" max="102"/>
    <col width="22" customWidth="1" min="103" max="103"/>
    <col width="22" customWidth="1" min="104" max="104"/>
    <col width="21" customWidth="1" min="105" max="105"/>
    <col width="22" customWidth="1" min="106" max="106"/>
    <col width="22" customWidth="1" min="107" max="107"/>
    <col width="20" customWidth="1" min="108" max="108"/>
    <col width="22" customWidth="1" min="109" max="109"/>
    <col width="18" customWidth="1" min="110" max="110"/>
    <col width="15" customWidth="1" min="111" max="111"/>
    <col width="13" customWidth="1" min="112" max="112"/>
    <col width="22" customWidth="1" min="113" max="113"/>
    <col width="22" customWidth="1" min="114" max="114"/>
    <col width="21" customWidth="1" min="115" max="115"/>
    <col width="14" customWidth="1" min="116" max="116"/>
    <col width="20" customWidth="1" min="117" max="117"/>
    <col width="20" customWidth="1" min="118" max="118"/>
    <col width="20" customWidth="1" min="119" max="119"/>
    <col width="22" customWidth="1" min="120" max="120"/>
    <col width="22" customWidth="1" min="121" max="121"/>
  </cols>
  <sheetData>
    <row r="1" ht="32" customHeight="1">
      <c r="A1" s="23" t="inlineStr">
        <is>
          <t>pick_id</t>
        </is>
      </c>
      <c r="B1" s="23" t="inlineStr">
        <is>
          <t>created_at_utc</t>
        </is>
      </c>
      <c r="C1" s="23" t="inlineStr">
        <is>
          <t>event_start_utc</t>
        </is>
      </c>
      <c r="D1" s="23" t="inlineStr">
        <is>
          <t>event_id</t>
        </is>
      </c>
      <c r="E1" s="23" t="inlineStr">
        <is>
          <t>league</t>
        </is>
      </c>
      <c r="F1" s="23" t="inlineStr">
        <is>
          <t>away_team</t>
        </is>
      </c>
      <c r="G1" s="23" t="inlineStr">
        <is>
          <t>home_team</t>
        </is>
      </c>
      <c r="H1" s="23" t="inlineStr">
        <is>
          <t>market_type</t>
        </is>
      </c>
      <c r="I1" s="23" t="inlineStr">
        <is>
          <t>selection</t>
        </is>
      </c>
      <c r="J1" s="23" t="inlineStr">
        <is>
          <t>line</t>
        </is>
      </c>
      <c r="K1" s="23" t="inlineStr">
        <is>
          <t>sportsbook</t>
        </is>
      </c>
      <c r="L1" s="23" t="inlineStr">
        <is>
          <t>american_odds</t>
        </is>
      </c>
      <c r="M1" s="23" t="inlineStr">
        <is>
          <t>decimal_odds</t>
        </is>
      </c>
      <c r="N1" s="23" t="inlineStr">
        <is>
          <t>market_implied_probability</t>
        </is>
      </c>
      <c r="O1" s="23" t="inlineStr">
        <is>
          <t>model_probability</t>
        </is>
      </c>
      <c r="P1" s="23" t="inlineStr">
        <is>
          <t>model_uncertainty</t>
        </is>
      </c>
      <c r="Q1" s="23" t="inlineStr">
        <is>
          <t>edge</t>
        </is>
      </c>
      <c r="R1" s="23" t="inlineStr">
        <is>
          <t>confidence_score</t>
        </is>
      </c>
      <c r="S1" s="23" t="inlineStr">
        <is>
          <t>units</t>
        </is>
      </c>
      <c r="T1" s="23" t="inlineStr">
        <is>
          <t>model_version</t>
        </is>
      </c>
      <c r="U1" s="23" t="inlineStr">
        <is>
          <t>status</t>
        </is>
      </c>
      <c r="V1" s="23" t="inlineStr">
        <is>
          <t>result</t>
        </is>
      </c>
      <c r="W1" s="23" t="inlineStr">
        <is>
          <t>away_score</t>
        </is>
      </c>
      <c r="X1" s="23" t="inlineStr">
        <is>
          <t>home_score</t>
        </is>
      </c>
      <c r="Y1" s="23" t="inlineStr">
        <is>
          <t>closing_line</t>
        </is>
      </c>
      <c r="Z1" s="23" t="inlineStr">
        <is>
          <t>closing_american_odds</t>
        </is>
      </c>
      <c r="AA1" s="23" t="inlineStr">
        <is>
          <t>closing_implied_probability</t>
        </is>
      </c>
      <c r="AB1" s="23" t="inlineStr">
        <is>
          <t>probability_clv</t>
        </is>
      </c>
      <c r="AC1" s="23" t="inlineStr">
        <is>
          <t>pnl_units</t>
        </is>
      </c>
      <c r="AD1" s="23" t="inlineStr">
        <is>
          <t>settled_at_utc</t>
        </is>
      </c>
      <c r="AE1" s="23" t="inlineStr">
        <is>
          <t>rationale</t>
        </is>
      </c>
      <c r="AF1" s="23" t="inlineStr">
        <is>
          <t>risks</t>
        </is>
      </c>
      <c r="AG1" s="23" t="inlineStr">
        <is>
          <t>review_status</t>
        </is>
      </c>
      <c r="AH1" s="23" t="inlineStr">
        <is>
          <t>loss_classification</t>
        </is>
      </c>
      <c r="AI1" s="23" t="inlineStr">
        <is>
          <t>loss_cause</t>
        </is>
      </c>
      <c r="AJ1" s="23" t="inlineStr">
        <is>
          <t>corrective_action</t>
        </is>
      </c>
      <c r="AK1" s="23" t="inlineStr">
        <is>
          <t>call_type</t>
        </is>
      </c>
      <c r="AL1" s="23" t="inlineStr">
        <is>
          <t>ledger_schema_version</t>
        </is>
      </c>
      <c r="AM1" s="23" t="inlineStr">
        <is>
          <t>record_type</t>
        </is>
      </c>
      <c r="AN1" s="23" t="inlineStr">
        <is>
          <t>decision</t>
        </is>
      </c>
      <c r="AO1" s="23" t="inlineStr">
        <is>
          <t>reason_code</t>
        </is>
      </c>
      <c r="AP1" s="23" t="inlineStr">
        <is>
          <t>canonical_away_team_id</t>
        </is>
      </c>
      <c r="AQ1" s="23" t="inlineStr">
        <is>
          <t>canonical_away_team_name</t>
        </is>
      </c>
      <c r="AR1" s="23" t="inlineStr">
        <is>
          <t>original_away_team</t>
        </is>
      </c>
      <c r="AS1" s="23" t="inlineStr">
        <is>
          <t>canonical_home_team_id</t>
        </is>
      </c>
      <c r="AT1" s="23" t="inlineStr">
        <is>
          <t>canonical_home_team_name</t>
        </is>
      </c>
      <c r="AU1" s="23" t="inlineStr">
        <is>
          <t>original_home_team</t>
        </is>
      </c>
      <c r="AV1" s="23" t="inlineStr">
        <is>
          <t>banned_team_id</t>
        </is>
      </c>
      <c r="AW1" s="23" t="inlineStr">
        <is>
          <t>banned_team_name</t>
        </is>
      </c>
      <c r="AX1" s="23" t="inlineStr">
        <is>
          <t>model_origin</t>
        </is>
      </c>
      <c r="AY1" s="23" t="inlineStr">
        <is>
          <t>baseline_identifier</t>
        </is>
      </c>
      <c r="AZ1" s="23" t="inlineStr">
        <is>
          <t>model_state_at_decision</t>
        </is>
      </c>
      <c r="BA1" s="23" t="inlineStr">
        <is>
          <t>model_artifact_hash</t>
        </is>
      </c>
      <c r="BB1" s="23" t="inlineStr">
        <is>
          <t>calibration_method</t>
        </is>
      </c>
      <c r="BC1" s="23" t="inlineStr">
        <is>
          <t>calibration_version</t>
        </is>
      </c>
      <c r="BD1" s="23" t="inlineStr">
        <is>
          <t>calibration_artifact_hash</t>
        </is>
      </c>
      <c r="BE1" s="23" t="inlineStr">
        <is>
          <t>feature_schema_version</t>
        </is>
      </c>
      <c r="BF1" s="23" t="inlineStr">
        <is>
          <t>entity_map_version</t>
        </is>
      </c>
      <c r="BG1" s="23" t="inlineStr">
        <is>
          <t>code_revision</t>
        </is>
      </c>
      <c r="BH1" s="23" t="inlineStr">
        <is>
          <t>observed_at_utc</t>
        </is>
      </c>
      <c r="BI1" s="23" t="inlineStr">
        <is>
          <t>correlation_tags</t>
        </is>
      </c>
      <c r="BJ1" s="23" t="inlineStr">
        <is>
          <t>decision_line</t>
        </is>
      </c>
      <c r="BK1" s="23" t="inlineStr">
        <is>
          <t>decision_american_odds</t>
        </is>
      </c>
      <c r="BL1" s="23" t="inlineStr">
        <is>
          <t>decision_decimal_odds</t>
        </is>
      </c>
      <c r="BM1" s="23" t="inlineStr">
        <is>
          <t>decision_raw_implied_probability</t>
        </is>
      </c>
      <c r="BN1" s="23" t="inlineStr">
        <is>
          <t>decision_no_vig_probability</t>
        </is>
      </c>
      <c r="BO1" s="23" t="inlineStr">
        <is>
          <t>decision_consensus_probability</t>
        </is>
      </c>
      <c r="BP1" s="23" t="inlineStr">
        <is>
          <t>decision_consensus_line</t>
        </is>
      </c>
      <c r="BQ1" s="23" t="inlineStr">
        <is>
          <t>closing_decimal_odds</t>
        </is>
      </c>
      <c r="BR1" s="23" t="inlineStr">
        <is>
          <t>closing_raw_implied_probability</t>
        </is>
      </c>
      <c r="BS1" s="23" t="inlineStr">
        <is>
          <t>closing_no_vig_probability</t>
        </is>
      </c>
      <c r="BT1" s="23" t="inlineStr">
        <is>
          <t>closing_consensus_probability</t>
        </is>
      </c>
      <c r="BU1" s="23" t="inlineStr">
        <is>
          <t>closing_consensus_line</t>
        </is>
      </c>
      <c r="BV1" s="23" t="inlineStr">
        <is>
          <t>legacy_units</t>
        </is>
      </c>
      <c r="BW1" s="23" t="inlineStr">
        <is>
          <t>void_reason</t>
        </is>
      </c>
      <c r="BX1" s="23" t="inlineStr">
        <is>
          <t>research_score_units</t>
        </is>
      </c>
      <c r="BY1" s="23" t="inlineStr">
        <is>
          <t>research_pnl_units</t>
        </is>
      </c>
      <c r="BZ1" s="23" t="inlineStr">
        <is>
          <t>research_scored_at_utc</t>
        </is>
      </c>
      <c r="CA1" s="23" t="inlineStr">
        <is>
          <t>research_scoring_note</t>
        </is>
      </c>
      <c r="CB1" s="23" t="inlineStr">
        <is>
          <t>migrated_from_version</t>
        </is>
      </c>
      <c r="CC1" s="23" t="inlineStr">
        <is>
          <t>elo_probability</t>
        </is>
      </c>
      <c r="CD1" s="23" t="inlineStr">
        <is>
          <t>trend_gap</t>
        </is>
      </c>
      <c r="CE1" s="23" t="inlineStr">
        <is>
          <t>park_factor</t>
        </is>
      </c>
      <c r="CF1" s="23" t="inlineStr">
        <is>
          <t>weather_factor</t>
        </is>
      </c>
      <c r="CG1" s="23" t="inlineStr">
        <is>
          <t>pitcher_era_gap</t>
        </is>
      </c>
      <c r="CH1" s="23" t="inlineStr">
        <is>
          <t>probable_starter_era_gap</t>
        </is>
      </c>
      <c r="CI1" s="23" t="inlineStr">
        <is>
          <t>unavailable_features</t>
        </is>
      </c>
      <c r="CJ1" s="23" t="inlineStr">
        <is>
          <t>defensive_trend_gap</t>
        </is>
      </c>
      <c r="CK1" s="23" t="inlineStr">
        <is>
          <t>neutral_elo_rating_difference</t>
        </is>
      </c>
      <c r="CL1" s="23" t="inlineStr">
        <is>
          <t>bullpen_weakness_gap</t>
        </is>
      </c>
      <c r="CM1" s="23" t="inlineStr">
        <is>
          <t>starter_era_gap</t>
        </is>
      </c>
      <c r="CN1" s="23" t="inlineStr">
        <is>
          <t>rest_disparity</t>
        </is>
      </c>
      <c r="CO1" s="23" t="inlineStr">
        <is>
          <t>back_to_back_gap</t>
        </is>
      </c>
      <c r="CP1" s="23" t="inlineStr">
        <is>
          <t>games_last_7_gap</t>
        </is>
      </c>
      <c r="CQ1" s="23" t="inlineStr">
        <is>
          <t>schedule_missingness</t>
        </is>
      </c>
      <c r="CR1" s="23" t="inlineStr">
        <is>
          <t>market_residual_probability</t>
        </is>
      </c>
      <c r="CS1" s="23" t="inlineStr">
        <is>
          <t>trade_candidate</t>
        </is>
      </c>
      <c r="CT1" s="23" t="inlineStr">
        <is>
          <t>config_hash</t>
        </is>
      </c>
      <c r="CU1" s="23" t="inlineStr">
        <is>
          <t>config_byte_sha256</t>
        </is>
      </c>
      <c r="CV1" s="23" t="inlineStr">
        <is>
          <t>config_path</t>
        </is>
      </c>
      <c r="CW1" s="23" t="inlineStr">
        <is>
          <t>model_artifact_byte_sha256</t>
        </is>
      </c>
      <c r="CX1" s="23" t="inlineStr">
        <is>
          <t>model_artifact_path</t>
        </is>
      </c>
      <c r="CY1" s="23" t="inlineStr">
        <is>
          <t>market_quote_observed_at_utc</t>
        </is>
      </c>
      <c r="CZ1" s="23" t="inlineStr">
        <is>
          <t>market_quote_timestamp_valid</t>
        </is>
      </c>
      <c r="DA1" s="23" t="inlineStr">
        <is>
          <t>market_quote_source</t>
        </is>
      </c>
      <c r="DB1" s="23" t="inlineStr">
        <is>
          <t>market_quote_provenance</t>
        </is>
      </c>
      <c r="DC1" s="23" t="inlineStr">
        <is>
          <t>market_quote_reconstructed</t>
        </is>
      </c>
      <c r="DD1" s="23" t="inlineStr">
        <is>
          <t>market_snapshot_hash</t>
        </is>
      </c>
      <c r="DE1" s="23" t="inlineStr">
        <is>
          <t>market_snapshot_archive_path</t>
        </is>
      </c>
      <c r="DF1" s="23" t="inlineStr">
        <is>
          <t>market_snapshot_record_id</t>
        </is>
      </c>
      <c r="DG1" s="23" t="inlineStr">
        <is>
          <t>record_source</t>
        </is>
      </c>
      <c r="DH1" s="23" t="inlineStr">
        <is>
          <t>is_backfill</t>
        </is>
      </c>
      <c r="DI1" s="23" t="inlineStr">
        <is>
          <t>model_probability_raw</t>
        </is>
      </c>
      <c r="DJ1" s="23" t="inlineStr">
        <is>
          <t>market_probability_at_decision</t>
        </is>
      </c>
      <c r="DK1" s="23" t="inlineStr">
        <is>
          <t>serving_probability</t>
        </is>
      </c>
      <c r="DL1" s="23" t="inlineStr">
        <is>
          <t>blend_weight</t>
        </is>
      </c>
      <c r="DM1" s="23" t="inlineStr">
        <is>
          <t>blend_policy_artifact_hash</t>
        </is>
      </c>
      <c r="DN1" s="23" t="inlineStr">
        <is>
          <t>blend_experiment_spec_hash</t>
        </is>
      </c>
      <c r="DO1" s="23" t="inlineStr">
        <is>
          <t>blend_config_hash</t>
        </is>
      </c>
      <c r="DP1" s="23" t="inlineStr">
        <is>
          <t>serving_policy_block_reason</t>
        </is>
      </c>
      <c r="DQ1" s="23" t="inlineStr">
        <is>
          <t>model_input_snapshot_json</t>
        </is>
      </c>
    </row>
  </sheetData>
  <autoFilter ref="A1:DQ1"/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Model Prediction</dc:creator>
  <dc:title xmlns:dc="http://purl.org/dc/elements/1.1/">Model Prediction Picks Ledger</dc:title>
  <dc:subject xmlns:dc="http://purl.org/dc/elements/1.1/">Shadow-only sports forecasting research ledger</dc:subject>
  <dcterms:created xmlns:dcterms="http://purl.org/dc/terms/" xmlns:xsi="http://www.w3.org/2001/XMLSchema-instance" xsi:type="dcterms:W3CDTF">2026-10-06T06:40:17Z</dcterms:created>
  <dcterms:modified xmlns:dcterms="http://purl.org/dc/terms/" xmlns:xsi="http://www.w3.org/2001/XMLSchema-instance" xsi:type="dcterms:W3CDTF">2026-10-06T06:40:17Z</dcterms:modified>
</cp:coreProperties>
</file>